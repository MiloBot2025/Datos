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st0+oz9pYwGjKEDp/MHuqswVNtBpvD/nYPBexEt621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<sst xmlns="http://schemas.openxmlformats.org/spreadsheetml/2006/main" count="20628" uniqueCount="9893">
  <si>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</si>
  <si>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</si>
  <si>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</si>
  <si>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</si>
  <si>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</si>
  <si>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</si>
  <si>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</si>
  <si>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</si>
  <si>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</si>
  <si>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</si>
  <si>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</si>
  <si>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</si>
  <si>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</si>
  <si>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</si>
  <si>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</si>
  <si>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</si>
  <si>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</si>
  <si>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</si>
  <si>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</si>
  <si>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</si>
  <si>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</si>
  <si>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</si>
  <si>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</si>
  <si>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</si>
  <si>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</si>
  <si>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</si>
  <si>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</si>
  <si>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</si>
  <si>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</si>
  <si>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</si>
  <si>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</si>
  <si>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</si>
  <si>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</si>
  <si>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</si>
  <si>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</si>
  <si>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</si>
  <si>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</si>
  <si>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</si>
  <si>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</si>
  <si>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</si>
  <si>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</si>
  <si>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</si>
  <si>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</si>
  <si>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</si>
  <si>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</si>
  <si>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</si>
  <si>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</si>
  <si>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</si>
  <si>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</si>
  <si>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</si>
  <si>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</si>
  <si>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</si>
  <si>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</si>
  <si>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</si>
  <si>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</si>
  <si>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</si>
  <si>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</si>
  <si>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</si>
  <si>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</si>
  <si>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</si>
  <si>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</si>
  <si>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</si>
  <si>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</si>
  <si>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</si>
  <si>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</si>
  <si>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</si>
  <si>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</si>
  <si>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</si>
  <si>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</si>
  <si>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</si>
  <si>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</si>
  <si>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</si>
  <si>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</si>
  <si>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</si>
  <si>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</si>
  <si>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</si>
  <si>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</si>
  <si>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</si>
  <si>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</si>
  <si>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</si>
  <si>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</si>
  <si>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</si>
  <si>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</si>
  <si>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</si>
  <si>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</si>
  <si>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</si>
  <si>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</si>
  <si>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</si>
  <si>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</si>
  <si>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</si>
  <si>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</si>
  <si>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</si>
  <si>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</si>
  <si>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</si>
  <si>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</si>
  <si>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</si>
  <si>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</si>
  <si>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</si>
  <si>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</si>
  <si>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</si>
  <si>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</si>
  <si>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</si>
  <si>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</si>
  <si>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</si>
  <si>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</si>
  <si>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</si>
  <si>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</si>
  <si>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</si>
  <si>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</si>
  <si>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</si>
  <si>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</si>
  <si>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</si>
  <si>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</si>
  <si>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</si>
  <si>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</si>
  <si>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</si>
  <si>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</si>
  <si>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</si>
  <si>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</si>
  <si>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</si>
  <si>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</si>
  <si>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</si>
  <si>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</si>
  <si>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</si>
  <si>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</si>
  <si>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</si>
  <si>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</si>
  <si>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</si>
  <si>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</si>
  <si>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</si>
  <si>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</si>
  <si>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</si>
  <si>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</si>
  <si>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</si>
  <si>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</si>
  <si>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</si>
  <si>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</si>
  <si>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</si>
  <si>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</si>
  <si>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</si>
  <si>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</si>
  <si>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</si>
  <si>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</si>
  <si>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</si>
  <si>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</si>
  <si>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</si>
  <si>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</si>
  <si>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</si>
  <si>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</si>
  <si>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</si>
  <si>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</si>
  <si>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</si>
  <si>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</si>
  <si>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</si>
  <si>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</si>
  <si>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</si>
  <si>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</si>
  <si>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</si>
  <si>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</si>
  <si>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</si>
  <si>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</si>
  <si>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</si>
  <si>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</si>
  <si>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</si>
  <si>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</si>
  <si>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</si>
  <si>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</si>
  <si>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</si>
  <si>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</si>
  <si>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</si>
  <si>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</si>
  <si>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</si>
  <si>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</si>
  <si>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</si>
  <si>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</si>
  <si>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</si>
  <si>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</si>
  <si>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</si>
  <si>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</si>
  <si>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</si>
  <si>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</si>
  <si>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</si>
  <si>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</si>
  <si>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</si>
  <si>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</si>
  <si>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</si>
  <si>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</si>
  <si>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</si>
  <si>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</si>
  <si>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</si>
  <si>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</si>
  <si>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</si>
  <si>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</si>
  <si>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</si>
  <si>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</si>
  <si>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</si>
  <si>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</si>
  <si>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</si>
  <si>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</si>
  <si>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</si>
  <si>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</si>
  <si>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</si>
  <si>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</si>
  <si>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</si>
  <si>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</si>
  <si>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</si>
  <si>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</si>
  <si>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</si>
  <si>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</si>
  <si>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</si>
  <si>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</si>
  <si>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</si>
  <si>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</si>
  <si>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</si>
  <si>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</si>
  <si>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</si>
  <si>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</si>
  <si>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</si>
  <si>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</si>
  <si>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</si>
  <si>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</si>
  <si>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</si>
  <si>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</si>
  <si>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</si>
  <si>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</si>
  <si>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</si>
  <si>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</si>
  <si>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</si>
  <si>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</si>
  <si>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</si>
  <si>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</si>
  <si>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</si>
  <si>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</si>
  <si>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</si>
  <si>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</si>
  <si>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</si>
  <si>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</si>
  <si>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</si>
  <si>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</si>
  <si>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</si>
  <si>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</si>
  <si>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</si>
  <si>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</si>
  <si>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</si>
  <si>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</si>
  <si>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</si>
  <si>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</si>
  <si>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</si>
  <si>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</si>
  <si>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</si>
  <si>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</si>
  <si>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</si>
  <si>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</si>
  <si>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</si>
  <si>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</si>
  <si>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</si>
  <si>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</si>
  <si>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</si>
  <si>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</si>
  <si>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</si>
  <si>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</si>
  <si>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</si>
  <si>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</si>
  <si>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</si>
  <si>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</si>
  <si>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</si>
  <si>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</si>
  <si>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</si>
  <si>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</si>
  <si>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</si>
  <si>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</si>
  <si>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</si>
  <si>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</si>
  <si>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</si>
  <si>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</si>
  <si>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</si>
  <si>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</si>
  <si>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</si>
  <si>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</si>
  <si>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</si>
  <si>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</si>
  <si>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</si>
  <si>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</si>
  <si>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</si>
  <si>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</si>
  <si>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</si>
  <si>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</si>
  <si>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</si>
  <si>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</si>
  <si>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</si>
  <si>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</si>
  <si>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</si>
  <si>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</si>
  <si>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</si>
  <si>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</si>
  <si>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</si>
  <si>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</si>
  <si>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</si>
  <si>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</si>
  <si>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</si>
  <si>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</si>
  <si>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</si>
  <si>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</si>
  <si>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</si>
  <si>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</si>
  <si>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</si>
  <si>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</si>
  <si>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</si>
  <si>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</si>
  <si>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</si>
  <si>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</si>
  <si>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</si>
  <si>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</si>
  <si>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</si>
  <si>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</si>
  <si>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</si>
  <si>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</si>
  <si>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</si>
  <si>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</si>
  <si>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</si>
  <si>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</si>
  <si>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</si>
  <si>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</si>
  <si>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</si>
  <si>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</si>
  <si>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</si>
  <si>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</si>
  <si>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</si>
  <si>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</si>
  <si>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</si>
  <si>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</si>
  <si>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</si>
  <si>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</si>
  <si>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</si>
  <si>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</si>
  <si>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</si>
  <si>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</si>
  <si>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</si>
  <si>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</si>
  <si>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</si>
  <si>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</si>
  <si>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</si>
  <si>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</si>
  <si>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</si>
  <si>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</si>
  <si>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</si>
  <si>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</si>
  <si>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</si>
  <si>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</si>
  <si>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</si>
  <si>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</si>
  <si>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</si>
  <si>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</si>
  <si>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</si>
  <si>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</si>
  <si>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</si>
  <si>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</si>
  <si>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</si>
  <si>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</si>
  <si>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</si>
  <si>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</si>
  <si>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</si>
  <si>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</si>
  <si>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</si>
  <si>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</si>
  <si>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</si>
  <si>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</si>
  <si>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</si>
  <si>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</si>
  <si>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</si>
  <si>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</si>
  <si>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</si>
  <si>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</si>
  <si>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</si>
  <si>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</si>
  <si>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</si>
  <si>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</si>
  <si>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</si>
  <si>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</si>
  <si>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</si>
  <si>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</si>
  <si>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</si>
  <si>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</si>
  <si>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</si>
  <si>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</si>
  <si>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</si>
  <si>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</si>
  <si>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</si>
  <si>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</si>
  <si>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</si>
  <si>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</si>
  <si>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</si>
  <si>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</si>
  <si>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</si>
  <si>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</si>
  <si>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</si>
  <si>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</si>
  <si>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</si>
  <si>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</si>
  <si>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</si>
  <si>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</si>
  <si>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</si>
  <si>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</si>
  <si>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</si>
  <si>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</si>
  <si>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</si>
  <si>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</si>
  <si>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</si>
  <si>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</si>
  <si>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</si>
  <si>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</si>
  <si>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</si>
  <si>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</si>
  <si>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</si>
  <si>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</si>
  <si>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</si>
  <si>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</si>
  <si>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</si>
  <si>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</si>
  <si>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</si>
  <si>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</si>
  <si>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</si>
  <si>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</si>
  <si>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</si>
  <si>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</si>
  <si>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</si>
  <si>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</si>
  <si>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</si>
  <si>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</si>
  <si>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</si>
  <si>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</si>
  <si>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</si>
  <si>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</si>
  <si>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</si>
  <si>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</si>
  <si>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</si>
  <si>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</si>
  <si>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</si>
  <si>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</si>
  <si>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</si>
  <si>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</si>
  <si>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</si>
  <si>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</si>
  <si>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</si>
  <si>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</si>
  <si>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</si>
  <si>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</si>
  <si>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</si>
  <si>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</si>
  <si>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</si>
  <si>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</si>
  <si>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</si>
  <si>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</si>
  <si>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</si>
  <si>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</si>
  <si>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</si>
  <si>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</si>
  <si>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</si>
  <si>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</si>
  <si>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</si>
  <si>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</si>
  <si>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</si>
  <si>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</si>
  <si>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</si>
  <si>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</si>
  <si>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</si>
  <si>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</si>
  <si>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</si>
  <si>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</si>
  <si>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</si>
  <si>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</si>
  <si>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</si>
  <si>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</si>
  <si>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</si>
  <si>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</si>
  <si>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</si>
  <si>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</si>
  <si>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</si>
  <si>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</si>
  <si>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</si>
  <si>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</si>
  <si>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</si>
  <si>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</si>
  <si>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</si>
  <si>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</si>
  <si>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</si>
  <si>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</si>
  <si>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</si>
  <si>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</si>
  <si>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</si>
  <si>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</si>
  <si>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</si>
  <si>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</si>
  <si>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</si>
  <si>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</si>
  <si>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</si>
  <si>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</si>
  <si>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</si>
  <si>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</si>
  <si>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</si>
  <si>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</si>
  <si>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</si>
  <si>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</si>
  <si>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</si>
  <si>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</si>
  <si>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</si>
  <si>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</si>
  <si>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</si>
  <si>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</si>
  <si>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</si>
  <si>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</si>
  <si>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</si>
  <si>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</si>
  <si>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</si>
  <si>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</si>
  <si>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</si>
  <si>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</si>
  <si>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</si>
  <si>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</si>
  <si>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</si>
  <si>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</si>
  <si>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</si>
  <si>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</si>
  <si>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</si>
  <si>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</si>
  <si>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</si>
  <si>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</si>
  <si>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</si>
  <si>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</si>
  <si>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</si>
  <si>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</si>
  <si>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</si>
  <si>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</si>
  <si>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</si>
  <si>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</si>
  <si>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</si>
  <si>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</si>
  <si>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</si>
  <si>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</si>
  <si>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</si>
  <si>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</si>
  <si>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</si>
  <si>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</si>
  <si>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</si>
  <si>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</si>
  <si>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</si>
  <si>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</si>
  <si>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</si>
  <si>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</si>
  <si>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</si>
  <si>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</si>
  <si>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</si>
  <si>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</si>
  <si>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</si>
  <si>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</si>
  <si>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</si>
  <si>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</si>
  <si>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</si>
  <si>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</si>
  <si>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</si>
  <si>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</si>
  <si>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</si>
  <si>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</si>
  <si>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</si>
  <si>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</si>
  <si>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</si>
  <si>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</si>
  <si>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</si>
  <si>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</si>
  <si>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</si>
  <si>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</si>
  <si>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</si>
  <si>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</si>
  <si>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</si>
  <si>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</si>
  <si>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</si>
  <si>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</si>
  <si>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</si>
  <si>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</si>
  <si>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</si>
  <si>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</si>
  <si>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</si>
  <si>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</si>
  <si>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</si>
  <si>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</si>
  <si>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</si>
  <si>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</si>
  <si>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</si>
  <si>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</si>
  <si>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</si>
  <si>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</si>
  <si>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</si>
  <si>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</si>
  <si>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</si>
  <si>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</si>
  <si>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</si>
  <si>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</si>
  <si>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</si>
  <si>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</si>
  <si>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</si>
  <si>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</si>
  <si>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</si>
  <si>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</si>
  <si>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</si>
  <si>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</si>
  <si>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</si>
  <si>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</si>
  <si>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</si>
  <si>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</si>
  <si>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</si>
  <si>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</si>
  <si>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</si>
  <si>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</si>
  <si>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</si>
  <si>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</si>
  <si>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</si>
  <si>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</si>
  <si>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</si>
  <si>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</si>
  <si>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</si>
  <si>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</si>
  <si>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</si>
  <si>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</si>
  <si>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</si>
  <si>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</si>
  <si>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</si>
  <si>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</si>
  <si>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</si>
  <si>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</si>
  <si>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</si>
  <si>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</si>
  <si>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</si>
  <si>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</si>
  <si>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</si>
  <si>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</si>
  <si>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</si>
  <si>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</si>
  <si>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</si>
  <si>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</si>
  <si>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</si>
  <si>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</si>
  <si>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</si>
  <si>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</si>
  <si>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</si>
  <si>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</si>
  <si>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</si>
  <si>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</si>
  <si>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</si>
  <si>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</si>
  <si>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</si>
  <si>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</si>
  <si>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</si>
  <si>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</si>
  <si>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</si>
  <si>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</si>
  <si>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</si>
  <si>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</si>
  <si>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</si>
  <si>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</si>
  <si>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</si>
  <si>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</si>
  <si>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</si>
  <si>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</si>
  <si>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</si>
  <si>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</si>
  <si>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</si>
  <si>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</si>
  <si>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</si>
  <si>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</si>
  <si>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</si>
  <si>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</si>
  <si>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</si>
  <si>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</si>
  <si>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</si>
  <si>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</si>
  <si>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</si>
  <si>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</si>
  <si>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</si>
  <si>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</si>
  <si>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</si>
  <si>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</si>
  <si>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</si>
  <si>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</si>
  <si>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</si>
  <si>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</si>
  <si>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</si>
  <si>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</si>
  <si>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</si>
  <si>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</si>
  <si>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</si>
  <si>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</si>
  <si>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</si>
  <si>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</si>
  <si>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</si>
  <si>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</si>
  <si>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</si>
  <si>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</si>
  <si>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</si>
  <si>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</si>
  <si>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</si>
  <si>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</si>
  <si>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</si>
  <si>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</si>
  <si>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</si>
  <si>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</si>
  <si>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</si>
  <si>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</si>
  <si>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</si>
  <si>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</si>
  <si>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</si>
  <si>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</si>
  <si>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</si>
  <si>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</si>
  <si>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</si>
  <si>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</si>
  <si>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</si>
  <si>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</si>
  <si>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</si>
  <si>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</si>
  <si>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</si>
  <si>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</si>
  <si>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</si>
  <si>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</si>
  <si>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</si>
  <si>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</si>
  <si>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</si>
  <si>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</si>
  <si>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</si>
  <si>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</si>
  <si>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</si>
  <si>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</si>
  <si>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</si>
  <si>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</si>
  <si>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</si>
  <si>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</si>
  <si>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</si>
  <si>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</si>
  <si>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</si>
  <si>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</si>
  <si>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</si>
  <si>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</si>
  <si>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</si>
  <si>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</si>
  <si>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</si>
  <si>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</si>
  <si>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</si>
  <si>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</si>
  <si>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</si>
  <si>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</si>
  <si>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</si>
  <si>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</si>
  <si>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</si>
  <si>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</si>
  <si>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</si>
  <si>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</si>
  <si>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</si>
  <si>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</si>
  <si>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</si>
  <si>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</si>
  <si>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</si>
  <si>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</si>
  <si>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</si>
  <si>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</si>
  <si>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</si>
  <si>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</si>
  <si>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</si>
  <si>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</si>
  <si>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</si>
  <si>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</si>
  <si>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</si>
  <si>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</si>
  <si>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</si>
  <si>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</si>
  <si>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</si>
  <si>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</si>
  <si>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</si>
  <si>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</si>
  <si>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</si>
  <si>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</si>
  <si>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</si>
  <si>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</si>
  <si>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</si>
  <si>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</si>
  <si>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</si>
  <si>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</si>
  <si>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</si>
  <si>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</si>
  <si>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</si>
  <si>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</si>
  <si>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</si>
  <si>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</si>
  <si>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</si>
  <si>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</si>
  <si>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</si>
  <si>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</si>
  <si>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</si>
  <si>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</si>
  <si>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</si>
  <si>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</si>
  <si>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</si>
  <si>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</si>
  <si>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</si>
  <si>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</si>
  <si>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</si>
  <si>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</si>
  <si>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</si>
  <si>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</si>
  <si>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</si>
  <si>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</si>
  <si>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</si>
  <si>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</si>
  <si>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</si>
  <si>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</si>
  <si>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</si>
  <si>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</si>
  <si>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</si>
  <si>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</si>
  <si>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</si>
  <si>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</si>
  <si>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</si>
  <si>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</si>
  <si>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</si>
  <si>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</si>
  <si>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</si>
  <si>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</si>
  <si>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</si>
  <si>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</si>
  <si>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</si>
  <si>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</si>
  <si>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</si>
  <si>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</si>
  <si>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</si>
  <si>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</si>
  <si>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</si>
  <si>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</si>
  <si>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</si>
  <si>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</si>
  <si>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</si>
  <si>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</si>
  <si>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</si>
  <si>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</si>
  <si>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</si>
  <si>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</si>
  <si>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</si>
  <si>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</si>
  <si>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</si>
  <si>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</si>
  <si>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</si>
  <si>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</si>
  <si>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</si>
  <si>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</si>
  <si>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</si>
  <si>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</si>
  <si>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</si>
  <si>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</si>
  <si>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</si>
  <si>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</si>
  <si>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</si>
  <si>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</si>
  <si>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</si>
  <si>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</si>
  <si>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</si>
  <si>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</si>
  <si>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</si>
  <si>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</si>
  <si>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</si>
  <si>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</si>
  <si>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</si>
  <si>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</si>
  <si>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</si>
  <si>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</si>
  <si>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</si>
  <si>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</si>
  <si>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</si>
  <si>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</si>
  <si>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</si>
  <si>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</si>
  <si>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</si>
  <si>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</si>
  <si>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</si>
  <si>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</si>
  <si>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</si>
  <si>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</si>
  <si>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</si>
  <si>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</si>
  <si>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</si>
  <si>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</si>
  <si>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</si>
  <si>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</si>
  <si>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</si>
  <si>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</si>
  <si>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</si>
  <si>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</si>
  <si>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</si>
  <si>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</si>
  <si>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</si>
  <si>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</si>
  <si>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</si>
  <si>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</si>
  <si>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</si>
  <si>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</si>
  <si>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</si>
  <si>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</si>
  <si>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</si>
  <si>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</si>
  <si>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</si>
  <si>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</si>
  <si>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</si>
  <si>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</si>
  <si>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</si>
  <si>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</si>
  <si>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</si>
  <si>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</si>
  <si>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</si>
  <si>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</si>
  <si>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</si>
  <si>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</si>
  <si>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</si>
  <si>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</si>
  <si>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</si>
  <si>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</si>
  <si>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</si>
  <si>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</si>
  <si>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</si>
  <si>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</si>
  <si>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</si>
  <si>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</si>
  <si>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</si>
  <si>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</si>
  <si>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</si>
  <si>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</si>
  <si>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</si>
  <si>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</si>
  <si>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</si>
  <si>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</si>
  <si>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</si>
  <si>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</si>
  <si>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</si>
  <si>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</si>
  <si>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</si>
  <si>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</si>
  <si>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</si>
  <si>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</si>
  <si>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</si>
  <si>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</si>
  <si>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</si>
  <si>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</si>
  <si>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</si>
  <si>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</si>
  <si>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</si>
  <si>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</si>
  <si>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</si>
  <si>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</si>
  <si>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</si>
  <si>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</si>
  <si>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</si>
  <si>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</si>
  <si>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</si>
  <si>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</si>
  <si>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</si>
  <si>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</si>
  <si>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</si>
  <si>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</si>
  <si>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</si>
  <si>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</si>
  <si>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</si>
  <si>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</si>
  <si>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</si>
  <si>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</si>
  <si>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</si>
  <si>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</si>
  <si>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</si>
  <si>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</si>
  <si>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</si>
  <si>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</si>
  <si>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</si>
  <si>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</si>
  <si>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</si>
  <si>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</si>
  <si>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</si>
  <si>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</si>
  <si>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</si>
  <si>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</si>
  <si>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</si>
  <si>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</si>
  <si>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</si>
  <si>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</si>
  <si>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</si>
  <si>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</si>
  <si>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</si>
  <si>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</si>
  <si>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</si>
  <si>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</si>
  <si>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</si>
  <si>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</si>
  <si>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</si>
  <si>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</si>
  <si>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</si>
  <si>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</si>
  <si>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</si>
  <si>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</si>
  <si>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</si>
  <si>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</si>
  <si>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</si>
  <si>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</si>
  <si>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</si>
  <si>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</si>
  <si>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</si>
  <si>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</si>
  <si>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</si>
  <si>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</si>
  <si>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</si>
  <si>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</si>
  <si>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</si>
  <si>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</si>
  <si>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</si>
  <si>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</si>
  <si>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</si>
  <si>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</si>
  <si>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</si>
  <si>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</si>
  <si>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</si>
  <si>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</si>
  <si>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</si>
  <si>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</si>
  <si>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</si>
  <si>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</si>
  <si>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</si>
  <si>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</si>
  <si>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</si>
  <si>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</si>
  <si>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</si>
  <si>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</si>
  <si>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</si>
  <si>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</si>
  <si>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</si>
  <si>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</si>
  <si>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</si>
  <si>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</si>
  <si>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</si>
  <si>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</si>
  <si>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</si>
  <si>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</si>
  <si>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</si>
  <si>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</si>
  <si>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</si>
  <si>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</si>
  <si>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</si>
  <si>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</si>
  <si>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</si>
  <si>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</si>
  <si>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</si>
  <si>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</si>
  <si>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</si>
  <si>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</si>
  <si>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</si>
  <si>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</si>
  <si>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</si>
  <si>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</si>
  <si>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</si>
  <si>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</si>
  <si>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</si>
  <si>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</si>
  <si>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</si>
  <si>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</si>
  <si>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</si>
  <si>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</si>
  <si>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</si>
  <si>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</si>
  <si>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</si>
  <si>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</si>
  <si>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</si>
  <si>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</si>
  <si>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</si>
  <si>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</si>
  <si>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</si>
  <si>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</si>
  <si>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</si>
  <si>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</si>
  <si>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</si>
  <si>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</si>
  <si>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</si>
  <si>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</si>
  <si>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</si>
  <si>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</si>
  <si>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</si>
  <si>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</si>
  <si>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</si>
  <si>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</si>
  <si>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</si>
  <si>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</si>
  <si>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</si>
  <si>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</si>
  <si>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</si>
  <si>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</si>
  <si>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</si>
  <si>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</si>
  <si>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</si>
  <si>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</si>
  <si>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</si>
  <si>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</si>
  <si>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</si>
  <si>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</si>
  <si>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</si>
  <si>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</si>
  <si>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</si>
  <si>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</si>
  <si>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</si>
  <si>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</si>
  <si>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</si>
  <si>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</si>
  <si>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</si>
  <si>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</si>
  <si>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</si>
  <si>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</si>
  <si>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</si>
  <si>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</si>
  <si>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</si>
  <si>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</si>
  <si>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</si>
  <si>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</si>
  <si>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</si>
  <si>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</si>
  <si>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</si>
  <si>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</si>
  <si>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</si>
  <si>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</si>
  <si>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</si>
  <si>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</si>
  <si>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</si>
  <si>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</si>
  <si>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</si>
  <si>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</si>
  <si>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</si>
  <si>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</si>
  <si>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</si>
  <si>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</si>
  <si>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</si>
  <si>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</si>
  <si>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</si>
  <si>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</si>
  <si>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</si>
  <si>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</si>
  <si>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</si>
  <si>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</si>
  <si>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</si>
  <si>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</si>
  <si>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</si>
  <si>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</si>
  <si>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</si>
  <si>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</si>
  <si>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</si>
  <si>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</si>
  <si>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</si>
  <si>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</si>
  <si>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</si>
  <si>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</si>
  <si>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</si>
  <si>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</si>
  <si>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</si>
  <si>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</si>
  <si>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</si>
  <si>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</si>
  <si>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</si>
  <si>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</si>
  <si>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</si>
  <si>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</si>
  <si>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</si>
  <si>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</si>
  <si>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</si>
  <si>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</si>
  <si>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</si>
  <si>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</si>
  <si>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</si>
  <si>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</si>
  <si>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</si>
  <si>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</si>
  <si>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</si>
  <si>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</si>
  <si>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</si>
  <si>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</si>
  <si>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</si>
  <si>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</si>
  <si>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</si>
  <si>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</si>
  <si>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</si>
  <si>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</si>
  <si>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</si>
  <si>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</si>
  <si>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</si>
  <si>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</si>
  <si>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</si>
  <si>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</si>
  <si>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</si>
  <si>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</si>
  <si>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</si>
  <si>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</si>
  <si>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</si>
  <si>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</si>
  <si>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</si>
  <si>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</si>
  <si>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</si>
  <si>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</si>
  <si>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</si>
  <si>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</si>
  <si>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</si>
  <si>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</si>
  <si>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</si>
  <si>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</si>
  <si>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</si>
  <si>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</si>
  <si>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</si>
  <si>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</si>
  <si>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</si>
  <si>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</si>
  <si>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</si>
  <si>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</si>
  <si>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</si>
  <si>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</si>
  <si>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</si>
  <si>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</si>
  <si>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</si>
  <si>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</si>
  <si>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</si>
  <si>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</si>
  <si>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</si>
  <si>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</si>
  <si>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</si>
  <si>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</si>
  <si>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</si>
  <si>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</si>
  <si>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</si>
  <si>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</si>
  <si>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</si>
  <si>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</si>
  <si>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</si>
  <si>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</si>
  <si>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</si>
  <si>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</si>
  <si>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</si>
  <si>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</si>
  <si>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</si>
  <si>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</si>
  <si>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</si>
  <si>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</si>
  <si>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</si>
  <si>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</si>
  <si>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</si>
  <si>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</si>
  <si>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</si>
  <si>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</si>
  <si>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</si>
  <si>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</si>
  <si>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</si>
  <si>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</si>
  <si>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</si>
  <si>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</si>
  <si>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</si>
  <si>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</si>
  <si>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</si>
  <si>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</si>
  <si>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</si>
  <si>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</si>
  <si>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</si>
  <si>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</si>
  <si>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</si>
  <si>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</si>
  <si>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</si>
  <si>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</si>
  <si>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</si>
  <si>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</si>
  <si>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</si>
  <si>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</si>
  <si>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</si>
  <si>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</si>
  <si>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</si>
  <si>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</si>
  <si>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</si>
  <si>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</si>
  <si>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</si>
  <si>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</si>
  <si>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</si>
  <si>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</si>
  <si>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</si>
  <si>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</si>
  <si>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</si>
  <si>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</si>
  <si>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</si>
  <si>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</si>
  <si>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</si>
  <si>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</si>
  <si>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</si>
  <si>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</si>
  <si>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</si>
  <si>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</si>
  <si>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</si>
  <si>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</si>
  <si>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</si>
  <si>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</si>
  <si>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</si>
  <si>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</si>
  <si>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</si>
  <si>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</si>
  <si>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</si>
  <si>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</si>
  <si>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</si>
  <si>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</si>
  <si>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</si>
  <si>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</si>
  <si>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</si>
  <si>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</si>
  <si>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</si>
  <si>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</si>
  <si>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</si>
  <si>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</si>
  <si>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</si>
  <si>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</si>
  <si>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</si>
  <si>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</si>
  <si>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</si>
  <si>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</si>
  <si>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</si>
  <si>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</si>
  <si>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</si>
  <si>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</si>
  <si>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</si>
  <si>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</si>
  <si>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</si>
  <si>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</si>
  <si>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</si>
  <si>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</si>
  <si>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</si>
  <si>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</si>
  <si>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</si>
  <si>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</si>
  <si>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</si>
  <si>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</si>
  <si>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</si>
  <si>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</si>
  <si>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</si>
  <si>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</si>
  <si>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</si>
  <si>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</si>
  <si>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</si>
  <si>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</si>
  <si>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</si>
  <si>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</si>
  <si>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</si>
  <si>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</si>
  <si>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</si>
  <si>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</si>
  <si>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</si>
  <si>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</si>
  <si>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</si>
  <si>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</si>
  <si>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</si>
  <si>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</si>
  <si>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</si>
  <si>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</si>
  <si>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</si>
  <si>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</si>
  <si>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</si>
  <si>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</si>
  <si>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</si>
  <si>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</si>
  <si>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</si>
  <si>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</si>
  <si>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</si>
  <si>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</si>
  <si>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</si>
  <si>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</si>
  <si>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</si>
  <si>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</si>
  <si>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</si>
  <si>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</si>
  <si>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</si>
  <si>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</si>
  <si>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</si>
  <si>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</si>
  <si>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</si>
  <si>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</si>
  <si>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</si>
  <si>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</si>
  <si>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</si>
  <si>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</si>
  <si>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</si>
  <si>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</si>
  <si>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</si>
  <si>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</si>
  <si>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</si>
  <si>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</si>
  <si>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</si>
  <si>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</si>
  <si>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</si>
  <si>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</si>
  <si>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</si>
  <si>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</si>
  <si>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</si>
  <si>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</si>
  <si>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</si>
  <si>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</si>
  <si>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</si>
  <si>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</si>
  <si>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</si>
  <si>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</si>
  <si>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</si>
  <si>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</si>
  <si>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</si>
  <si>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</si>
  <si>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</si>
  <si>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</si>
  <si>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</si>
  <si>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</si>
  <si>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</si>
  <si>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</si>
  <si>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</si>
  <si>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</si>
  <si>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</si>
  <si>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</si>
  <si>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</si>
  <si>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</si>
  <si>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</si>
  <si>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</si>
  <si>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</si>
  <si>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</si>
  <si>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</si>
  <si>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</si>
  <si>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</si>
  <si>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</si>
  <si>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</si>
  <si>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</si>
  <si>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</si>
  <si>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</si>
  <si>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</si>
  <si>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</si>
  <si>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</si>
  <si>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</si>
  <si>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</si>
  <si>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</si>
  <si>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</si>
  <si>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</si>
  <si>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</si>
  <si>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</si>
  <si>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</si>
  <si>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</si>
  <si>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</si>
  <si>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</si>
  <si>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</si>
  <si>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</si>
  <si>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</si>
  <si>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</si>
  <si>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</si>
  <si>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</si>
  <si>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</si>
  <si>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</si>
  <si>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</si>
  <si>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</si>
  <si>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</si>
  <si>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</si>
  <si>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</si>
  <si>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</si>
  <si>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</si>
  <si>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</si>
  <si>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</si>
  <si>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</si>
  <si>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</si>
  <si>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</si>
  <si>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</si>
  <si>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</si>
  <si>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</si>
  <si>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</si>
  <si>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</si>
  <si>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</si>
  <si>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</si>
  <si>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</si>
  <si>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</si>
  <si>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</si>
  <si>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</si>
  <si>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</si>
  <si>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</si>
  <si>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</si>
  <si>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</si>
  <si>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</si>
  <si>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</si>
  <si>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</si>
  <si>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</si>
  <si>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</si>
  <si>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</si>
  <si>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</si>
  <si>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</si>
  <si>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</si>
  <si>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</si>
  <si>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</si>
  <si>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</si>
  <si>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</si>
  <si>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</si>
  <si>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</si>
  <si>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</si>
  <si>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</si>
  <si>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</si>
  <si>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</si>
  <si>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</si>
  <si>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</si>
  <si>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</si>
  <si>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</si>
  <si>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</si>
  <si>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</si>
  <si>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</si>
  <si>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</si>
  <si>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</si>
  <si>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</si>
  <si>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</si>
  <si>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</si>
  <si>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</si>
  <si>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</si>
  <si>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</si>
  <si>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</si>
  <si>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</si>
  <si>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</si>
  <si>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</si>
  <si>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</si>
  <si>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</si>
  <si>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</si>
  <si>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</si>
  <si>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</si>
  <si>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</si>
  <si>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</si>
  <si>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</si>
  <si>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</si>
  <si>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</si>
  <si>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</si>
  <si>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</si>
  <si>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</si>
  <si>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</si>
  <si>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</si>
  <si>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</si>
  <si>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</si>
  <si>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</si>
  <si>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</si>
  <si>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</si>
  <si>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</si>
  <si>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</si>
  <si>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</si>
  <si>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</si>
  <si>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</si>
  <si>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</si>
  <si>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</si>
  <si>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</si>
  <si>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</si>
  <si>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</si>
  <si>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</si>
  <si>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</si>
  <si>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</si>
  <si>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</si>
  <si>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</si>
  <si>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</si>
  <si>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</si>
  <si>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</si>
  <si>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</si>
  <si>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</si>
  <si>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</si>
  <si>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</si>
  <si>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</si>
  <si>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</si>
  <si>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</si>
  <si>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</si>
  <si>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</si>
  <si>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</si>
  <si>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</si>
  <si>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</si>
  <si>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</si>
  <si>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</si>
  <si>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</si>
  <si>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</si>
  <si>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</si>
  <si>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</si>
  <si>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</si>
  <si>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</si>
  <si>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</si>
  <si>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</si>
  <si>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</si>
  <si>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</si>
  <si>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</si>
  <si>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</si>
  <si>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</si>
  <si>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</si>
  <si>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</si>
  <si>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</si>
  <si>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</si>
  <si>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</si>
  <si>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</si>
  <si>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</si>
  <si>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</si>
  <si>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</si>
  <si>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</si>
  <si>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</si>
  <si>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</si>
  <si>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</si>
  <si>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</si>
  <si>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</si>
  <si>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</si>
  <si>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</si>
  <si>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</si>
  <si>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</si>
  <si>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</si>
  <si>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</si>
  <si>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</si>
  <si>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</si>
  <si>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</si>
  <si>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</si>
  <si>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</si>
  <si>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</si>
  <si>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</si>
  <si>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</si>
  <si>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</si>
  <si>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</si>
  <si>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</si>
  <si>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</si>
  <si>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</si>
  <si>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</si>
  <si>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</si>
  <si>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</si>
  <si>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</si>
  <si>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</si>
  <si>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</si>
  <si>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</si>
  <si>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</si>
  <si>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</si>
  <si>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</si>
  <si>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</si>
  <si>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</si>
  <si>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</si>
  <si>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</si>
  <si>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</si>
  <si>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</si>
  <si>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</si>
  <si>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</si>
  <si>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</si>
  <si>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</si>
  <si>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</si>
  <si>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</si>
  <si>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</si>
  <si>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</si>
  <si>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</si>
  <si>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</si>
  <si>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</si>
  <si>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</si>
  <si>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</si>
  <si>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</si>
  <si>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</si>
  <si>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</si>
  <si>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</si>
  <si>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</si>
  <si>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</si>
  <si>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</si>
  <si>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</si>
  <si>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</si>
  <si>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</si>
  <si>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</si>
  <si>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</si>
  <si>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</si>
  <si>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</si>
  <si>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</si>
  <si>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</si>
  <si>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</si>
  <si>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</si>
  <si>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</si>
  <si>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</si>
  <si>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</si>
  <si>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</si>
  <si>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</si>
  <si>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</si>
  <si>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</si>
  <si>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</si>
  <si>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</si>
  <si>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</si>
  <si>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</si>
  <si>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</si>
  <si>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</si>
  <si>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</si>
  <si>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</si>
  <si>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</si>
  <si>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</si>
  <si>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</si>
  <si>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</si>
  <si>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</si>
  <si>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</si>
  <si>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</si>
  <si>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</si>
  <si>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</si>
  <si>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</si>
  <si>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</si>
  <si>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</si>
  <si>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</si>
  <si>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</si>
  <si>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</si>
  <si>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</si>
  <si>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</si>
  <si>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</si>
  <si>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</si>
  <si>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</si>
  <si>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</si>
  <si>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</si>
  <si>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</si>
  <si>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</si>
  <si>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</si>
  <si>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</si>
  <si>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</si>
  <si>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</si>
  <si>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</si>
  <si>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</si>
  <si>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</si>
  <si>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</si>
  <si>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</si>
  <si>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</si>
  <si>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</si>
  <si>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</si>
  <si>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</si>
  <si>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</si>
  <si>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</si>
  <si>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</si>
  <si>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</si>
  <si>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</si>
  <si>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</si>
  <si>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</si>
  <si>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</si>
  <si>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</si>
  <si>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</si>
  <si>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</si>
  <si>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</si>
  <si>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</si>
  <si>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</si>
  <si>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</si>
  <si>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</si>
  <si>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</si>
  <si>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</si>
  <si>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</si>
  <si>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</si>
  <si>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</si>
  <si>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</si>
  <si>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</si>
  <si>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</si>
  <si>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</si>
  <si>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</si>
  <si>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</si>
  <si>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</si>
  <si>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</si>
  <si>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</si>
  <si>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</si>
  <si>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</si>
  <si>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</si>
  <si>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</si>
  <si>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</si>
  <si>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</si>
  <si>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</si>
  <si>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</si>
  <si>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</si>
  <si>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</si>
  <si>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</si>
  <si>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</si>
  <si>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</si>
  <si>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</si>
  <si>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</si>
  <si>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</si>
  <si>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</si>
  <si>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</si>
  <si>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</si>
  <si>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</si>
  <si>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</si>
  <si>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</si>
  <si>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</si>
  <si>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</si>
  <si>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</si>
  <si>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</si>
  <si>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</si>
  <si>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</si>
  <si>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</si>
  <si>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</si>
  <si>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</si>
  <si>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</si>
  <si>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</si>
  <si>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</si>
  <si>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</si>
  <si>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</si>
  <si>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</si>
  <si>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</si>
  <si>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</si>
  <si>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</si>
  <si>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</si>
  <si>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</si>
  <si>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</si>
  <si>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</si>
  <si>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</si>
  <si>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</si>
  <si>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</si>
  <si>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</si>
  <si>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</si>
  <si>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</si>
  <si>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</si>
  <si>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</si>
  <si>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</si>
  <si>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</si>
  <si>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</si>
  <si>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</si>
  <si>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</si>
  <si>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</si>
  <si>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</si>
  <si>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</si>
  <si>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</si>
  <si>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</si>
  <si>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</si>
  <si>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</si>
  <si>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</si>
  <si>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</si>
  <si>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</si>
  <si>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</si>
  <si>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</si>
  <si>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</si>
  <si>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</si>
  <si>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</si>
  <si>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</si>
  <si>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</si>
  <si>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</si>
  <si>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</si>
  <si>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</si>
  <si>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</si>
  <si>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</si>
  <si>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</si>
  <si>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</si>
  <si>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</si>
  <si>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</si>
  <si>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</si>
  <si>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</si>
  <si>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</si>
  <si>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</si>
  <si>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</si>
  <si>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</si>
  <si>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</si>
  <si>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</si>
  <si>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</si>
  <si>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</si>
  <si>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</si>
  <si>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</si>
  <si>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</si>
  <si>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</si>
  <si>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</si>
  <si>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</si>
  <si>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</si>
  <si>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</si>
  <si>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</si>
  <si>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</si>
  <si>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</si>
  <si>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</si>
  <si>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</si>
  <si>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</si>
  <si>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</si>
  <si>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</si>
  <si>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</si>
  <si>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</si>
  <si>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</si>
  <si>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</si>
  <si>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</si>
  <si>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</si>
  <si>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</si>
  <si>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</si>
  <si>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</si>
  <si>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</si>
  <si>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</si>
  <si>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</si>
  <si>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</si>
  <si>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</si>
  <si>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</si>
  <si>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</si>
  <si>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</si>
  <si>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</si>
  <si>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</si>
  <si>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</si>
  <si>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</si>
  <si>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</si>
  <si>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</si>
  <si>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</si>
  <si>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</si>
  <si>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</si>
  <si>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</si>
  <si>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</si>
  <si>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</si>
  <si>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</si>
  <si>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</si>
  <si>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</si>
  <si>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</si>
  <si>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</si>
  <si>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</si>
  <si>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</si>
  <si>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</si>
  <si>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</si>
  <si>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</si>
  <si>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</si>
  <si>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</si>
  <si>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</si>
  <si>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</si>
  <si>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</si>
  <si>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</si>
  <si>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</si>
  <si>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</si>
  <si>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</si>
  <si>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</si>
  <si>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</si>
  <si>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</si>
  <si>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</si>
  <si>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</si>
  <si>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</si>
  <si>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</si>
  <si>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</si>
  <si>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</si>
  <si>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</si>
  <si>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</si>
  <si>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</si>
  <si>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</si>
  <si>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</si>
  <si>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</si>
  <si>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</si>
  <si>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</si>
  <si>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</si>
  <si>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</si>
  <si>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</si>
  <si>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</si>
  <si>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</si>
  <si>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</si>
  <si>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</si>
  <si>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</si>
  <si>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</si>
  <si>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</si>
  <si>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</si>
  <si>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</si>
  <si>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</si>
  <si>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</si>
  <si>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</si>
  <si>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</si>
  <si>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</si>
  <si>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</si>
  <si>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</si>
  <si>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</si>
  <si>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</si>
  <si>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</si>
  <si>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</si>
  <si>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</si>
  <si>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</si>
  <si>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</si>
  <si>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</si>
  <si>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</si>
  <si>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</si>
  <si>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</si>
  <si>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</si>
  <si>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</si>
  <si>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</si>
  <si>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</si>
  <si>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</si>
  <si>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</si>
  <si>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</si>
  <si>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</si>
  <si>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</si>
  <si>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</si>
  <si>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</si>
  <si>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</si>
  <si>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</si>
  <si>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</si>
  <si>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</si>
  <si>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</si>
  <si>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</si>
  <si>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</si>
  <si>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</si>
  <si>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</si>
  <si>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</si>
  <si>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</si>
  <si>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</si>
  <si>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</si>
  <si>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</si>
  <si>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</si>
  <si>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</si>
  <si>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</si>
  <si>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</si>
  <si>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</si>
  <si>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</si>
  <si>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</si>
  <si>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</si>
  <si>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</si>
  <si>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</si>
  <si>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</si>
  <si>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</si>
  <si>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</si>
  <si>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</si>
  <si>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</si>
  <si>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</si>
  <si>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</si>
  <si>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</si>
  <si>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</si>
  <si>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</si>
  <si>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</si>
  <si>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</si>
  <si>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</si>
  <si>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</si>
  <si>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</si>
  <si>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</si>
  <si>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</si>
  <si>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</si>
  <si>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</si>
  <si>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</si>
  <si>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</si>
  <si>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</si>
  <si>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</si>
  <si>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</si>
  <si>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</si>
  <si>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</si>
  <si>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</si>
  <si>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</si>
  <si>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</si>
  <si>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</si>
  <si>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</si>
  <si>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</si>
  <si>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</si>
  <si>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</si>
  <si>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</si>
  <si>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</si>
  <si>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</si>
  <si>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</si>
  <si>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</si>
  <si>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</si>
  <si>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</si>
  <si>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</si>
  <si>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</si>
  <si>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</si>
  <si>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</si>
  <si>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</si>
  <si>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</si>
  <si>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</si>
  <si>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</si>
  <si>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</si>
  <si>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</si>
  <si>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</si>
  <si>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</si>
  <si>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</si>
  <si>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</si>
  <si>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</si>
  <si>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</si>
  <si>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</si>
  <si>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</si>
  <si>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</si>
  <si>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</si>
  <si>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</si>
  <si>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</si>
  <si>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</si>
  <si>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</si>
  <si>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</si>
  <si>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</si>
  <si>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</si>
  <si>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</si>
  <si>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</si>
  <si>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</si>
  <si>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</si>
  <si>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</si>
  <si>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</si>
  <si>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</si>
  <si>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</si>
  <si>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</si>
  <si>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</si>
  <si>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</si>
  <si>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</si>
  <si>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</si>
  <si>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</si>
  <si>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</si>
  <si>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</si>
  <si>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</si>
  <si>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</si>
  <si>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</si>
  <si>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</si>
  <si>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</si>
  <si>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</si>
  <si>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</si>
  <si>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</si>
  <si>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</si>
  <si>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</si>
  <si>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</si>
  <si>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</si>
  <si>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</si>
  <si>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</si>
  <si>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</si>
  <si>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</si>
  <si>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</si>
  <si>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</si>
  <si>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</si>
  <si>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</si>
  <si>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</si>
  <si>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</si>
  <si>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</si>
  <si>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</si>
  <si>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</si>
  <si>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</si>
  <si>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</si>
  <si>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</si>
  <si>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</si>
  <si>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</si>
  <si>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</si>
  <si>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</si>
  <si>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</si>
  <si>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</si>
  <si>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</si>
  <si>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</si>
  <si>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</si>
  <si>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</si>
  <si>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</si>
  <si>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</si>
  <si>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</si>
  <si>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</si>
  <si>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</si>
  <si>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</si>
  <si>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</si>
  <si>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</si>
  <si>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</si>
  <si>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</si>
  <si>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</si>
  <si>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</si>
  <si>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</si>
  <si>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</si>
  <si>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</si>
  <si>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</si>
  <si>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</si>
  <si>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</si>
  <si>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</si>
  <si>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</si>
  <si>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</si>
  <si>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</si>
  <si>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</si>
  <si>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</si>
  <si>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</si>
  <si>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</si>
  <si>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</si>
  <si>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</si>
  <si>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</si>
  <si>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</si>
  <si>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</si>
  <si>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</si>
  <si>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</si>
  <si>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</si>
  <si>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</si>
  <si>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</si>
  <si>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</si>
  <si>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</si>
  <si>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</si>
  <si>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</si>
  <si>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</si>
  <si>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</si>
  <si>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</si>
  <si>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</si>
  <si>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</si>
  <si>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</si>
  <si>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</si>
  <si>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</si>
  <si>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</si>
  <si>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</si>
  <si>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</si>
  <si>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</si>
  <si>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</si>
  <si>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</si>
  <si>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</si>
  <si>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</si>
  <si>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</si>
  <si>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</si>
  <si>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</si>
  <si>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</si>
  <si>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</si>
  <si>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</si>
  <si>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</si>
  <si>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</si>
  <si>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</si>
  <si>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</si>
  <si>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</si>
  <si>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</si>
  <si>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</si>
  <si>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</si>
  <si>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</si>
  <si>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</si>
  <si>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</si>
  <si>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</si>
  <si>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</si>
  <si>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</si>
  <si>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</si>
  <si>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</si>
  <si>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</si>
  <si>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</si>
  <si>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</si>
  <si>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</si>
  <si>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</si>
  <si>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</si>
  <si>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</si>
  <si>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</si>
  <si>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</si>
  <si>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</si>
  <si>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</si>
  <si>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</si>
  <si>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</si>
  <si>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</si>
  <si>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</si>
  <si>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</si>
  <si>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</si>
  <si>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</si>
  <si>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</si>
  <si>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</si>
  <si>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</si>
  <si>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</si>
  <si>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</si>
  <si>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</si>
  <si>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</si>
  <si>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</si>
  <si>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</si>
  <si>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</si>
  <si>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</si>
  <si>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</si>
  <si>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</si>
  <si>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</si>
  <si>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</si>
  <si>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</si>
  <si>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</si>
  <si>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</si>
  <si>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</si>
  <si>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</si>
  <si>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</si>
  <si>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</si>
  <si>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</si>
  <si>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</si>
  <si>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</si>
  <si>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</si>
  <si>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</si>
  <si>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</si>
  <si>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</si>
  <si>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</si>
  <si>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</si>
  <si>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</si>
  <si>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</si>
  <si>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</si>
  <si>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</si>
  <si>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</si>
  <si>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</si>
  <si>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</si>
  <si>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</si>
  <si>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</si>
  <si>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</si>
  <si>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</si>
  <si>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</si>
  <si>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</si>
  <si>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</si>
  <si>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</si>
  <si>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</si>
  <si>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</si>
  <si>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</si>
  <si>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</si>
  <si>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</si>
  <si>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</si>
  <si>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</si>
  <si>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</si>
  <si>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</si>
  <si>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</si>
  <si>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</si>
  <si>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</si>
  <si>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</si>
  <si>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</si>
  <si>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</si>
  <si>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</si>
  <si>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</si>
  <si>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</si>
  <si>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</si>
  <si>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</si>
  <si>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</si>
  <si>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</si>
  <si>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</si>
  <si>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</si>
  <si>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</si>
  <si>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</si>
  <si>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</si>
  <si>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</si>
  <si>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</si>
  <si>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</si>
  <si>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</si>
  <si>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</si>
  <si>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</si>
  <si>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</si>
  <si>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</si>
  <si>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</si>
  <si>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</si>
  <si>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</si>
  <si>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</si>
  <si>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</si>
  <si>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</si>
  <si>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</si>
  <si>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</si>
  <si>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</si>
  <si>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</si>
  <si>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</si>
  <si>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</si>
  <si>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</si>
  <si>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</si>
  <si>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</si>
  <si>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</si>
  <si>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</si>
  <si>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</si>
  <si>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</si>
  <si>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</si>
  <si>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</si>
  <si>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</si>
  <si>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</si>
  <si>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</si>
  <si>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</si>
  <si>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</si>
  <si>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</si>
  <si>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</si>
  <si>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</si>
  <si>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</si>
  <si>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</si>
  <si>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</si>
  <si>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</si>
  <si>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</si>
  <si>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</si>
  <si>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</si>
  <si>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</si>
  <si>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</si>
  <si>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</si>
  <si>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</si>
  <si>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</si>
  <si>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</si>
  <si>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</si>
  <si>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</si>
  <si>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</si>
  <si>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</si>
  <si>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</si>
  <si>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</si>
  <si>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</si>
  <si>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</si>
  <si>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</si>
  <si>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</si>
  <si>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</si>
  <si>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</si>
  <si>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</si>
  <si>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</si>
  <si>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</si>
  <si>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</si>
  <si>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</si>
  <si>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</si>
  <si>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</si>
  <si>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</si>
  <si>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</si>
  <si>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</si>
  <si>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</si>
  <si>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</si>
  <si>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</si>
  <si>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</si>
  <si>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</si>
  <si>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</si>
  <si>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</si>
  <si>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</si>
  <si>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</si>
  <si>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</si>
  <si>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</si>
  <si>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</si>
  <si>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</si>
  <si>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</si>
  <si>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</si>
  <si>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</si>
  <si>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</si>
  <si>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</si>
  <si>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</si>
  <si>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</si>
  <si>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</si>
  <si>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</si>
  <si>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</si>
  <si>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</si>
  <si>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</si>
  <si>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</si>
  <si>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</si>
  <si>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</si>
  <si>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</si>
  <si>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</si>
  <si>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</si>
  <si>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</si>
  <si>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</si>
  <si>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</si>
  <si>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</si>
  <si>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</si>
  <si>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</si>
  <si>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</si>
  <si>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</si>
  <si>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</si>
  <si>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</si>
  <si>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</si>
  <si>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</si>
  <si>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</si>
  <si>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</si>
  <si>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</si>
  <si>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</si>
  <si>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</si>
  <si>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</si>
  <si>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</si>
  <si>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</si>
  <si>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</si>
  <si>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</si>
  <si>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</si>
  <si>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</si>
  <si>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</si>
  <si>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</si>
  <si>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</si>
  <si>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</si>
  <si>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</si>
  <si>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</si>
  <si>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</si>
  <si>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</si>
  <si>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</si>
  <si>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</si>
  <si>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</si>
  <si>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</si>
  <si>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</si>
  <si>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</si>
  <si>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</si>
  <si>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</si>
  <si>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</si>
  <si>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</si>
  <si>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</si>
  <si>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</si>
  <si>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</si>
  <si>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</si>
  <si>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</si>
  <si>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</si>
  <si>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</si>
  <si>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</si>
  <si>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</si>
  <si>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</si>
  <si>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</si>
  <si>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</si>
  <si>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</si>
  <si>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</si>
  <si>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</si>
  <si>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</si>
  <si>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</si>
  <si>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</si>
  <si>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</si>
  <si>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</si>
  <si>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</si>
  <si>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</si>
  <si>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</si>
  <si>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</si>
  <si>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</si>
  <si>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</si>
  <si>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</si>
  <si>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</si>
  <si>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</si>
  <si>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</si>
  <si>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</si>
  <si>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</si>
  <si>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</si>
  <si>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</si>
  <si>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</si>
  <si>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</si>
  <si>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</si>
  <si>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</si>
  <si>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</si>
  <si>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</si>
  <si>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</si>
  <si>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</si>
  <si>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</si>
  <si>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</si>
  <si>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</si>
  <si>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</si>
  <si>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</si>
  <si>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</si>
  <si>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</si>
  <si>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</si>
  <si>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</si>
  <si>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</si>
  <si>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</si>
  <si>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</si>
  <si>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</si>
  <si>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</si>
  <si>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</si>
  <si>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</si>
  <si>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</si>
  <si>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</si>
  <si>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</si>
  <si>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</si>
  <si>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</si>
  <si>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</si>
  <si>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</si>
  <si>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</si>
  <si>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</si>
  <si>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</si>
  <si>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</si>
  <si>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</si>
  <si>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</si>
  <si>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</si>
  <si>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</si>
  <si>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</si>
  <si>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</si>
  <si>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</si>
  <si>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</si>
  <si>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</si>
  <si>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</si>
  <si>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</si>
  <si>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</si>
  <si>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</si>
  <si>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</si>
  <si>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</si>
  <si>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</si>
  <si>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</si>
  <si>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</si>
  <si>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</si>
  <si>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</si>
  <si>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</si>
  <si>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</si>
  <si>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</si>
  <si>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</si>
  <si>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</si>
  <si>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</si>
  <si>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</si>
  <si>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</si>
  <si>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</si>
  <si>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</si>
  <si>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</si>
  <si>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</si>
  <si>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</si>
  <si>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</si>
  <si>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</si>
  <si>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</si>
  <si>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</si>
  <si>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</si>
  <si>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</si>
  <si>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</si>
  <si>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</si>
  <si>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</si>
  <si>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</si>
  <si>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</si>
  <si>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</si>
  <si>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</si>
  <si>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</si>
  <si>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</si>
  <si>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</si>
  <si>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</si>
  <si>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</si>
  <si>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</si>
  <si>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</si>
  <si>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</si>
  <si>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</si>
  <si>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</si>
  <si>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</si>
  <si>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</si>
  <si>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</si>
  <si>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</si>
  <si>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</si>
  <si>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</si>
  <si>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</si>
  <si>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</si>
  <si>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</si>
  <si>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</si>
  <si>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</si>
  <si>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</si>
  <si>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</si>
  <si>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</si>
  <si>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</si>
  <si>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</si>
  <si>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</si>
  <si>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</si>
  <si>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</si>
  <si>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</si>
  <si>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</si>
  <si>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</si>
  <si>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</si>
  <si>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</si>
  <si>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</si>
  <si>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</si>
  <si>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</si>
  <si>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</si>
  <si>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</si>
  <si>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</si>
  <si>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</si>
  <si>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</si>
  <si>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</si>
  <si>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</si>
  <si>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</si>
  <si>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</si>
  <si>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</si>
  <si>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</si>
  <si>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</si>
  <si>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</si>
  <si>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</si>
  <si>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</si>
  <si>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</si>
  <si>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</si>
  <si>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</si>
  <si>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</si>
  <si>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</si>
  <si>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</si>
  <si>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</si>
  <si>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</si>
  <si>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</si>
  <si>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</si>
  <si>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</si>
  <si>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</si>
  <si>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</si>
  <si>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</si>
  <si>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</si>
  <si>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</si>
  <si>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</si>
  <si>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</si>
  <si>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</si>
  <si>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</si>
  <si>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</si>
  <si>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</si>
  <si>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</si>
  <si>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</si>
  <si>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</si>
  <si>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</si>
  <si>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</si>
  <si>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</si>
  <si>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</si>
  <si>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</si>
  <si>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</si>
  <si>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</si>
  <si>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</si>
  <si>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</si>
  <si>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</si>
  <si>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</si>
  <si>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</si>
  <si>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</si>
  <si>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</si>
  <si>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</si>
  <si>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</si>
  <si>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</si>
  <si>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</si>
  <si>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</si>
  <si>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</si>
  <si>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</si>
  <si>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</si>
  <si>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</si>
  <si>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</si>
  <si>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</si>
  <si>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</si>
  <si>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</si>
  <si>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</si>
  <si>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</si>
  <si>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</si>
  <si>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</si>
  <si>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</si>
  <si>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</si>
  <si>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</si>
  <si>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</si>
  <si>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</si>
  <si>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</si>
  <si>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</si>
  <si>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</si>
  <si>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</si>
  <si>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</si>
  <si>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</si>
  <si>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</si>
  <si>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</si>
  <si>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</si>
  <si>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</si>
  <si>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</si>
  <si>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</si>
  <si>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</si>
  <si>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</si>
  <si>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</si>
  <si>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</si>
  <si>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</si>
  <si>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</si>
  <si>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</si>
  <si>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</si>
  <si>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</si>
  <si>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</si>
  <si>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</si>
  <si>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</si>
  <si>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</si>
  <si>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</si>
  <si>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</si>
  <si>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</si>
  <si>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</si>
  <si>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</si>
  <si>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</si>
  <si>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</si>
  <si>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</si>
  <si>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</si>
  <si>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</si>
  <si>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</si>
  <si>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</si>
  <si>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</si>
  <si>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</si>
  <si>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</si>
  <si>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</si>
  <si>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</si>
  <si>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</si>
  <si>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</si>
  <si>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</si>
  <si>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</si>
  <si>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</si>
  <si>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</si>
  <si>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</si>
  <si>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</si>
  <si>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</si>
  <si>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</si>
  <si>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</si>
  <si>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</si>
  <si>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</si>
  <si>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</si>
  <si>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</si>
  <si>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</si>
  <si>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</si>
  <si>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</si>
  <si>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</si>
  <si>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</si>
  <si>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</si>
  <si>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</si>
  <si>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</si>
  <si>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</si>
  <si>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</si>
  <si>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</si>
  <si>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</si>
  <si>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</si>
  <si>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</si>
  <si>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</si>
  <si>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</si>
  <si>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</si>
  <si>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</si>
  <si>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</si>
  <si>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</si>
  <si>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</si>
  <si>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</si>
  <si>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</si>
  <si>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</si>
  <si>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</si>
  <si>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</si>
  <si>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</si>
  <si>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</si>
  <si>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</si>
  <si>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</si>
  <si>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</si>
  <si>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</si>
  <si>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</si>
  <si>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</si>
  <si>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</si>
  <si>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</si>
  <si>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</si>
  <si>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</si>
  <si>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</si>
  <si>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</si>
  <si>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</si>
  <si>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</si>
  <si>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</si>
  <si>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</si>
  <si>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</si>
  <si>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</si>
  <si>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</si>
  <si>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</si>
  <si>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</si>
  <si>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</si>
  <si>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</si>
  <si>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</si>
  <si>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</si>
  <si>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</si>
  <si>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</si>
  <si>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</si>
  <si>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</si>
  <si>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</si>
  <si>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</si>
  <si>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</si>
  <si>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</si>
  <si>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</si>
  <si>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</si>
  <si>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</si>
  <si>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</si>
  <si>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</si>
  <si>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</si>
  <si>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</si>
  <si>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</si>
  <si>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</si>
  <si>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</si>
  <si>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</si>
  <si>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</si>
  <si>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</si>
  <si>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</si>
  <si>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</si>
  <si>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</si>
  <si>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</si>
  <si>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</si>
  <si>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</si>
  <si>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</si>
  <si>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</si>
  <si>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</si>
  <si>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</si>
  <si>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</si>
  <si>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</si>
  <si>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</si>
  <si>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</si>
  <si>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</si>
  <si>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</si>
  <si>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</si>
  <si>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</si>
  <si>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</si>
  <si>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</si>
  <si>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</si>
  <si>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</si>
  <si>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</si>
  <si>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</si>
  <si>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</si>
  <si>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</si>
  <si>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</si>
  <si>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</si>
  <si>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</si>
  <si>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</si>
  <si>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</si>
  <si>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</si>
  <si>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</si>
  <si>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</si>
  <si>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</si>
  <si>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</si>
  <si>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</si>
  <si>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</si>
  <si>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</si>
  <si>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</si>
  <si>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</si>
  <si>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</si>
  <si>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</si>
  <si>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</si>
  <si>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</si>
  <si>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</si>
  <si>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</si>
  <si>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</si>
  <si>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</si>
  <si>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</si>
  <si>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</si>
  <si>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</si>
  <si>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</si>
  <si>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</si>
  <si>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</si>
  <si>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</si>
  <si>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</si>
  <si>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</si>
  <si>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</si>
  <si>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</si>
  <si>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</si>
  <si>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</si>
  <si>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</si>
  <si>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</si>
  <si>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</si>
  <si>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</si>
  <si>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</si>
  <si>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</si>
  <si>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</si>
  <si>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</si>
  <si>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</si>
  <si>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</si>
  <si>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</si>
  <si>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</si>
  <si>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</si>
  <si>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</si>
  <si>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</si>
  <si>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</si>
  <si>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</si>
  <si>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</si>
  <si>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</si>
  <si>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</si>
  <si>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</si>
  <si>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</si>
  <si>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</si>
  <si>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</si>
  <si>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</si>
  <si>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</si>
  <si>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</si>
  <si>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</si>
  <si>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</si>
  <si>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</si>
  <si>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</si>
  <si>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</si>
  <si>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</si>
  <si>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</si>
  <si>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</si>
  <si>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</si>
  <si>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</si>
  <si>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</si>
  <si>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</si>
  <si>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</si>
  <si>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</si>
  <si>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</si>
  <si>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</si>
  <si>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</si>
  <si>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</si>
  <si>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</si>
  <si>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</si>
  <si>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</si>
  <si>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</si>
  <si>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</si>
  <si>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</si>
  <si>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</si>
  <si>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</si>
  <si>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</si>
  <si>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</si>
  <si>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</si>
  <si>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</si>
  <si>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</si>
  <si>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</si>
  <si>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</si>
  <si>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</si>
  <si>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</si>
  <si>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</si>
  <si>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</si>
  <si>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</si>
  <si>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</si>
  <si>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</si>
  <si>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</si>
  <si>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</si>
  <si>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</si>
  <si>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</si>
  <si>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</si>
  <si>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</si>
  <si>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</si>
  <si>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</si>
  <si>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</si>
  <si>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</si>
  <si>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</si>
  <si>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</si>
  <si>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</si>
  <si>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</si>
  <si>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</si>
  <si>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</si>
  <si>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</si>
  <si>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</si>
  <si>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</si>
  <si>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</si>
  <si>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</si>
  <si>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</si>
  <si>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</si>
  <si>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</si>
  <si>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</si>
  <si>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</si>
  <si>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</si>
  <si>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</si>
  <si>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</si>
  <si>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</si>
  <si>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</si>
  <si>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</si>
  <si>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</si>
  <si>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</si>
  <si>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</si>
  <si>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</si>
  <si>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</si>
  <si>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</si>
  <si>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</si>
  <si>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</si>
  <si>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</si>
  <si>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</si>
  <si>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</si>
  <si>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</si>
  <si>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</si>
  <si>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</si>
  <si>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</si>
  <si>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</si>
  <si>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</si>
  <si>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</si>
  <si>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</si>
  <si>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</si>
  <si>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</si>
  <si>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</si>
  <si>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</si>
  <si>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</si>
  <si>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</si>
  <si>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</si>
  <si>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</si>
  <si>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</si>
  <si>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</si>
  <si>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</si>
  <si>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</si>
  <si>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</si>
  <si>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</si>
  <si>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</si>
  <si>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</si>
  <si>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</si>
  <si>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</si>
  <si>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</si>
  <si>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</si>
  <si>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</si>
  <si>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</si>
  <si>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</si>
  <si>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</si>
  <si>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</si>
  <si>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</si>
  <si>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</si>
  <si>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</si>
  <si>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</si>
  <si>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</si>
  <si>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</si>
  <si>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</si>
  <si>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</si>
  <si>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</si>
  <si>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</si>
  <si>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</si>
  <si>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</si>
  <si>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</si>
  <si>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</si>
  <si>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</si>
  <si>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</si>
  <si>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</si>
  <si>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</si>
  <si>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</si>
  <si>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</si>
  <si>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</si>
  <si>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</si>
  <si>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</si>
  <si>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</si>
  <si>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</si>
  <si>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</si>
  <si>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</si>
  <si>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</si>
  <si>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</si>
  <si>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</si>
  <si>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</si>
  <si>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</si>
  <si>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</si>
  <si>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</si>
  <si>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</si>
  <si>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</si>
  <si>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</si>
  <si>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</si>
  <si>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</si>
  <si>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</si>
  <si>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</si>
  <si>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</si>
  <si>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</si>
  <si>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</si>
  <si>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</si>
  <si>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</si>
  <si>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</si>
  <si>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</si>
  <si>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</si>
  <si>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</si>
  <si>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</si>
  <si>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</si>
  <si>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</si>
  <si>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</si>
  <si>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</si>
  <si>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</si>
  <si>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</si>
  <si>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</si>
  <si>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</si>
  <si>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</si>
  <si>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</si>
  <si>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</si>
  <si>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</si>
  <si>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</si>
  <si>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</si>
  <si>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</si>
  <si>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</si>
  <si>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</si>
  <si>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</si>
  <si>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</si>
  <si>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</si>
  <si>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</si>
  <si>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</si>
  <si>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</si>
  <si>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</si>
  <si>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</si>
  <si>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</si>
  <si>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</si>
  <si>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</si>
  <si>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</si>
  <si>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</si>
  <si>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</si>
  <si>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</si>
  <si>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</si>
  <si>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</si>
  <si>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</si>
  <si>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</si>
  <si>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</si>
  <si>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</si>
  <si>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</si>
  <si>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</si>
  <si>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</si>
  <si>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</si>
  <si>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</si>
  <si>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</si>
  <si>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</si>
  <si>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</si>
  <si>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</si>
  <si>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</si>
  <si>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</si>
  <si>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</si>
  <si>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</si>
  <si>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</si>
  <si>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</si>
  <si>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</si>
  <si>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</si>
  <si>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</si>
  <si>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</si>
  <si>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</si>
  <si>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</si>
  <si>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</si>
  <si>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</si>
  <si>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</si>
  <si>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</si>
  <si>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</si>
  <si>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</si>
  <si>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</si>
  <si>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</si>
  <si>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</si>
  <si>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</si>
  <si>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</si>
  <si>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</si>
  <si>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</si>
  <si>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</si>
  <si>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</si>
  <si>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</si>
  <si>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</si>
  <si>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</si>
  <si>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</si>
  <si>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</si>
  <si>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</si>
  <si>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</si>
  <si>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</si>
  <si>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</si>
  <si>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</si>
  <si>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</si>
  <si>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</si>
  <si>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</si>
  <si>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</si>
  <si>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</si>
  <si>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</si>
  <si>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</si>
  <si>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</si>
  <si>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</si>
  <si>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</si>
  <si>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</si>
  <si>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</si>
  <si>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</si>
  <si>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</si>
  <si>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</si>
  <si>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</si>
  <si>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</si>
  <si>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</si>
  <si>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</si>
  <si>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</si>
  <si>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</si>
  <si>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</si>
  <si>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</si>
  <si>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</si>
  <si>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</si>
  <si>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</si>
  <si>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</si>
  <si>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</si>
  <si>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</si>
  <si>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</si>
  <si>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</si>
  <si>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</si>
  <si>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</si>
  <si>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</si>
  <si>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</si>
  <si>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</si>
  <si>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</si>
  <si>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</si>
  <si>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</si>
  <si>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</si>
  <si>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</si>
  <si>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</si>
  <si>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</si>
  <si>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</si>
  <si>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</si>
  <si>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</si>
  <si>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</si>
  <si>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</si>
  <si>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</si>
  <si>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</si>
  <si>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</si>
  <si>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</si>
  <si>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</si>
  <si>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</si>
  <si>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</si>
  <si>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</si>
  <si>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</si>
  <si>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</si>
  <si>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</si>
  <si>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</si>
  <si>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</si>
  <si>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</si>
  <si>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</si>
  <si>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</si>
  <si>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</si>
  <si>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</si>
  <si>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</si>
  <si>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</si>
  <si>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</si>
  <si>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</si>
  <si>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</si>
  <si>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</si>
  <si>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</si>
  <si>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</si>
  <si>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</si>
  <si>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</si>
  <si>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</si>
  <si>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</si>
  <si>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</si>
  <si>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</si>
  <si>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</si>
  <si>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</si>
  <si>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</si>
  <si>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</si>
  <si>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</si>
  <si>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</si>
  <si>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</si>
  <si>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</si>
  <si>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</si>
  <si>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</si>
  <si>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</si>
  <si>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</si>
  <si>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</si>
  <si>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</si>
  <si>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</si>
  <si>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</si>
  <si>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</si>
  <si>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</si>
  <si>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</si>
  <si>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</si>
  <si>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</si>
  <si>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</si>
  <si>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</si>
  <si>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</si>
  <si>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</si>
  <si>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</si>
  <si>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</si>
  <si>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</si>
  <si>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</si>
  <si>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</si>
  <si>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</si>
  <si>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</si>
  <si>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</si>
  <si>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</si>
  <si>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</si>
  <si>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</si>
  <si>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</si>
  <si>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</si>
  <si>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</si>
  <si>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</si>
  <si>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</si>
  <si>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</si>
  <si>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</si>
  <si>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</si>
  <si>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</si>
  <si>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</si>
  <si>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</si>
  <si>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</si>
  <si>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</si>
  <si>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</si>
  <si>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</si>
  <si>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</si>
  <si>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</si>
  <si>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</si>
  <si>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</si>
  <si>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</si>
  <si>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</si>
  <si>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</si>
  <si>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</si>
  <si>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</si>
  <si>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</si>
  <si>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</si>
  <si>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</si>
  <si>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</si>
  <si>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</si>
  <si>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</si>
  <si>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</si>
  <si>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</si>
  <si>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</si>
  <si>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</si>
  <si>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</si>
  <si>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</si>
  <si>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</si>
  <si>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</si>
  <si>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</si>
  <si>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</si>
  <si>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</si>
  <si>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</si>
  <si>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</si>
  <si>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</si>
  <si>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</si>
  <si>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</si>
  <si>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</si>
  <si>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</si>
  <si>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</si>
  <si>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</si>
  <si>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</si>
  <si>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</si>
  <si>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</si>
  <si>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</si>
  <si>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</si>
  <si>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</si>
  <si>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</si>
  <si>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</si>
  <si>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</si>
  <si>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</si>
  <si>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</si>
  <si>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</si>
  <si>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</si>
  <si>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</si>
  <si>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</si>
  <si>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</si>
  <si>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</si>
  <si>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</si>
  <si>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</si>
  <si>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</si>
  <si>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</si>
  <si>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</si>
  <si>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</si>
  <si>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</si>
  <si>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</si>
  <si>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</si>
  <si>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</si>
  <si>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</si>
  <si>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</si>
  <si>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</si>
  <si>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</si>
  <si>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</si>
  <si>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</si>
  <si>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</si>
  <si>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</si>
  <si>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</si>
  <si>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</si>
  <si>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</si>
  <si>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</si>
  <si>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</si>
  <si>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</si>
  <si>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</si>
  <si>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</si>
  <si>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</si>
  <si>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</si>
  <si>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</si>
  <si>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</si>
  <si>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</si>
  <si>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</si>
  <si>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</si>
  <si>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</si>
  <si>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</si>
  <si>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</si>
  <si>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</si>
  <si>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</si>
  <si>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</si>
  <si>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</si>
  <si>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</si>
  <si>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</si>
  <si>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</si>
  <si>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</si>
  <si>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</si>
  <si>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</si>
  <si>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</si>
  <si>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</si>
  <si>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</si>
  <si>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</si>
  <si>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</si>
  <si>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</si>
  <si>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</si>
  <si>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</si>
  <si>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</si>
  <si>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</si>
  <si>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</si>
  <si>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</si>
  <si>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</si>
  <si>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</si>
  <si>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</si>
  <si>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</si>
  <si>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</si>
  <si>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</si>
  <si>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</si>
  <si>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</si>
  <si>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</si>
  <si>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</si>
  <si>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</si>
  <si>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</si>
  <si>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</si>
  <si>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</si>
  <si>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</si>
  <si>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</si>
  <si>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</si>
  <si>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</si>
  <si>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</si>
  <si>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</si>
  <si>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</si>
  <si>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</si>
  <si>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</si>
  <si>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</si>
  <si>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</si>
  <si>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</si>
  <si>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</si>
  <si>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</si>
  <si>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</si>
  <si>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</si>
  <si>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</si>
  <si>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</si>
  <si>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</si>
  <si>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</si>
  <si>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</si>
  <si>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</si>
  <si>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</si>
  <si>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</si>
  <si>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</si>
  <si>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</si>
  <si>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</si>
  <si>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</si>
  <si>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</si>
  <si>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</si>
  <si>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</si>
  <si>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</si>
  <si>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</si>
  <si>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</si>
  <si>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</si>
  <si>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</si>
  <si>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</si>
  <si>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</si>
  <si>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</si>
  <si>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</si>
  <si>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</si>
  <si>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</si>
  <si>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</si>
  <si>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</si>
  <si>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</si>
  <si>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</si>
  <si>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</si>
  <si>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</si>
  <si>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</si>
  <si>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</si>
  <si>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</si>
  <si>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</si>
  <si>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</si>
  <si>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</si>
  <si>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</si>
  <si>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</si>
  <si>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</si>
  <si>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</si>
  <si>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</si>
  <si>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</si>
  <si>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</si>
  <si>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</si>
  <si>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</si>
  <si>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</si>
  <si>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</si>
  <si>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</si>
  <si>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</si>
  <si>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</si>
  <si>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</si>
  <si>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</si>
  <si>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</si>
  <si>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</si>
  <si>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</si>
  <si>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</si>
  <si>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</si>
  <si>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</si>
  <si>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</si>
  <si>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</si>
  <si>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</si>
  <si>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</si>
  <si>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</si>
  <si>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</si>
  <si>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</si>
  <si>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</si>
  <si>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</si>
  <si>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</si>
  <si>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</si>
  <si>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</si>
  <si>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</si>
  <si>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</si>
  <si>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</si>
  <si>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</si>
  <si>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</si>
  <si>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</si>
  <si>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</si>
  <si>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</si>
  <si>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</si>
  <si>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</si>
  <si>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</si>
  <si>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</si>
  <si>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</si>
  <si>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</si>
  <si>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</si>
  <si>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</si>
  <si>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</si>
  <si>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</si>
  <si>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</si>
  <si>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</si>
  <si>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</si>
  <si>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</si>
  <si>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</si>
  <si>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</si>
  <si>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</si>
  <si>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</si>
  <si>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</si>
  <si>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</si>
  <si>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</si>
  <si>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</si>
  <si>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</si>
  <si>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</si>
  <si>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</si>
  <si>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</si>
  <si>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</si>
  <si>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</si>
  <si>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</si>
  <si>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</si>
  <si>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</si>
  <si>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</si>
  <si>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</si>
  <si>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</si>
  <si>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</si>
  <si>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</si>
  <si>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</si>
  <si>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</si>
  <si>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</si>
  <si>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</si>
  <si>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</si>
  <si>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</si>
  <si>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</si>
  <si>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</si>
  <si>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</si>
  <si>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</si>
  <si>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</si>
  <si>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</si>
  <si>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</si>
  <si>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</si>
  <si>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</si>
  <si>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</si>
  <si>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</si>
  <si>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</si>
  <si>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</si>
  <si>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</si>
  <si>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</si>
  <si>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</si>
  <si>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</si>
  <si>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</si>
  <si>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</si>
  <si>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</si>
  <si>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</si>
  <si>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</si>
  <si>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</si>
  <si>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</si>
  <si>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</si>
  <si>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</si>
  <si>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</si>
  <si>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</si>
  <si>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</si>
  <si>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</si>
  <si>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</si>
  <si>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</si>
  <si>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</si>
  <si>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</si>
  <si>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</si>
  <si>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</si>
  <si>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</si>
  <si>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</si>
  <si>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</si>
  <si>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</si>
  <si>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</si>
  <si>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</si>
  <si>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</si>
  <si>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</si>
  <si>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</si>
  <si>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</si>
  <si>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</si>
  <si>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</si>
  <si>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</si>
  <si>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</si>
  <si>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</si>
  <si>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</si>
  <si>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</si>
  <si>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</si>
  <si>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</si>
  <si>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</si>
  <si>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</si>
  <si>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</si>
  <si>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</si>
  <si>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</si>
  <si>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</si>
  <si>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</si>
  <si>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</si>
  <si>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</si>
  <si>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</si>
  <si>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</si>
  <si>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</si>
  <si>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</si>
  <si>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</si>
  <si>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</si>
  <si>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</si>
  <si>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</si>
  <si>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</si>
  <si>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</si>
  <si>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</si>
  <si>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</si>
  <si>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</si>
  <si>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</si>
  <si>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</si>
  <si>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</si>
  <si>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</si>
  <si>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</si>
  <si>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</si>
  <si>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</si>
  <si>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</si>
  <si>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</si>
  <si>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</si>
  <si>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</si>
  <si>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</si>
  <si>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</si>
  <si>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</si>
  <si>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</si>
  <si>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</si>
  <si>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</si>
  <si>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</si>
  <si>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</si>
  <si>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</si>
  <si>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</si>
  <si>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</si>
  <si>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</si>
  <si>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</si>
  <si>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</si>
  <si>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</si>
  <si>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</si>
  <si>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</si>
  <si>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</si>
  <si>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</si>
  <si>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</si>
  <si>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</si>
  <si>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</si>
  <si>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</si>
  <si>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</si>
  <si>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</si>
  <si>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</si>
  <si>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</si>
  <si>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</si>
  <si>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</si>
  <si>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</si>
  <si>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</si>
  <si>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</si>
  <si>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</si>
  <si>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</si>
  <si>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</si>
  <si>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</si>
  <si>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</si>
  <si>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</si>
  <si>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</si>
  <si>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</si>
  <si>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</si>
  <si>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</si>
  <si>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</si>
  <si>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</si>
  <si>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</si>
  <si>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</si>
  <si>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</si>
  <si>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</si>
  <si>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</si>
  <si>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</si>
  <si>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</si>
  <si>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</si>
  <si>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</si>
  <si>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</si>
  <si>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</si>
  <si>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</si>
  <si>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</si>
  <si>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</si>
  <si>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</si>
  <si>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</si>
  <si>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</si>
  <si>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</si>
  <si>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</si>
  <si>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</si>
  <si>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</si>
  <si>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</si>
  <si>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</si>
  <si>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</si>
  <si>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</si>
  <si>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</si>
  <si>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</si>
  <si>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</si>
  <si>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</si>
  <si>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</si>
  <si>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</si>
  <si>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</si>
  <si>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</si>
  <si>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</si>
  <si>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</si>
  <si>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</si>
  <si>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</si>
  <si>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</si>
  <si>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</si>
  <si>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</si>
  <si>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</si>
  <si>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</si>
  <si>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</si>
  <si>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</si>
  <si>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</si>
  <si>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</si>
  <si>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</si>
  <si>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</si>
  <si>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</si>
  <si>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</si>
  <si>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</si>
  <si>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</si>
  <si>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</si>
  <si>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</si>
  <si>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</si>
  <si>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</si>
  <si>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</si>
  <si>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</si>
  <si>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</si>
  <si>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</si>
  <si>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</si>
  <si>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</si>
  <si>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</si>
  <si>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</si>
  <si>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</si>
  <si>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</si>
  <si>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</si>
  <si>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</si>
  <si>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</si>
  <si>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</si>
  <si>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</si>
  <si>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</si>
  <si>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</si>
  <si>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</si>
  <si>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</si>
  <si>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</si>
  <si>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</si>
  <si>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</si>
  <si>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</si>
  <si>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</si>
  <si>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</si>
  <si>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</si>
  <si>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</si>
  <si>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</si>
  <si>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</si>
  <si>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</si>
  <si>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</si>
  <si>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</si>
  <si>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</si>
  <si>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</si>
  <si>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</si>
  <si>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</si>
  <si>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</si>
  <si>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</si>
  <si>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</si>
  <si>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</si>
  <si>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</si>
  <si>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</si>
  <si>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</si>
  <si>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</si>
  <si>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</si>
  <si>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</si>
  <si>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</si>
  <si>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</si>
  <si>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</si>
  <si>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</si>
  <si>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</si>
  <si>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</si>
  <si>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</si>
  <si>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</si>
  <si>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</si>
  <si>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</si>
  <si>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</si>
  <si>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</si>
  <si>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</si>
  <si>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</si>
  <si>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</si>
  <si>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</si>
  <si>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</si>
  <si>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</si>
  <si>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</si>
  <si>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</si>
  <si>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</si>
  <si>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</si>
  <si>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</si>
  <si>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</si>
  <si>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</si>
  <si>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</si>
  <si>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</si>
  <si>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</si>
  <si>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</si>
  <si>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</si>
  <si>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</si>
  <si>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</si>
  <si>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</si>
  <si>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</si>
  <si>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</si>
  <si>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</si>
  <si>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</si>
  <si>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</si>
  <si>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</si>
  <si>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</si>
  <si>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</si>
  <si>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</si>
  <si>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</si>
  <si>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</si>
  <si>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</si>
  <si>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</si>
  <si>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</si>
  <si>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</si>
  <si>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</si>
  <si>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</si>
  <si>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</si>
  <si>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</si>
  <si>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</si>
  <si>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</si>
  <si>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</si>
  <si>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</si>
  <si>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</si>
  <si>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</si>
  <si>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</si>
  <si>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</si>
  <si>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</si>
  <si>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</si>
  <si>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</si>
  <si>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</si>
  <si>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</si>
  <si>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</si>
  <si>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</si>
  <si>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</si>
  <si>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</si>
  <si>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</si>
  <si>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</si>
  <si>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</si>
  <si>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</si>
  <si>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</si>
  <si>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</si>
  <si>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</si>
  <si>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</si>
  <si>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</si>
  <si>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</si>
  <si>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</si>
  <si>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</si>
  <si>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</si>
  <si>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</si>
  <si>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</si>
  <si>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</si>
  <si>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</si>
  <si>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</si>
  <si>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</si>
  <si>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</si>
  <si>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</si>
  <si>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</si>
  <si>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</si>
  <si>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</si>
  <si>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</si>
  <si>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</si>
  <si>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</si>
  <si>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</si>
  <si>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</si>
  <si>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</si>
  <si>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</si>
  <si>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</si>
  <si>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</si>
  <si>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</si>
  <si>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</si>
  <si>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</si>
  <si>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</si>
  <si>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</si>
  <si>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</si>
  <si>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</si>
  <si>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</si>
  <si>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</si>
  <si>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</si>
  <si>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</si>
  <si>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</si>
  <si>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</si>
  <si>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</si>
  <si>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</si>
  <si>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</si>
  <si>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</si>
  <si>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</si>
  <si>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</si>
  <si>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</si>
  <si>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</si>
  <si>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</si>
  <si>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</si>
  <si>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</si>
  <si>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</si>
  <si>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</si>
  <si>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</si>
  <si>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</si>
  <si>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</si>
  <si>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</si>
  <si>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</si>
  <si>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</si>
  <si>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</si>
  <si>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</si>
  <si>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</si>
  <si>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</si>
  <si>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</si>
  <si>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</si>
  <si>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</si>
  <si>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</si>
  <si>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</si>
  <si>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</si>
  <si>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</si>
  <si>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</si>
  <si>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</si>
  <si>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</si>
  <si>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</si>
  <si>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</si>
  <si>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</si>
  <si>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</si>
  <si>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</si>
  <si>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</si>
  <si>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</si>
  <si>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</si>
  <si>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</si>
  <si>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</si>
  <si>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</si>
  <si>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</si>
  <si>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</si>
  <si>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</si>
  <si>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</si>
  <si>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</si>
  <si>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</si>
  <si>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</si>
  <si>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</si>
  <si>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</si>
  <si>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</si>
  <si>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</si>
  <si>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</si>
  <si>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</si>
  <si>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</si>
  <si>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</si>
  <si>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</si>
  <si>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</si>
  <si>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</si>
  <si>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</si>
  <si>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</si>
  <si>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</si>
  <si>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</si>
  <si>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</si>
  <si>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</si>
  <si>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</si>
  <si>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</si>
  <si>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</si>
  <si>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</si>
  <si>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</si>
  <si>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</si>
  <si>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</si>
  <si>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</si>
  <si>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</si>
  <si>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</si>
  <si>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</si>
  <si>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</si>
  <si>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</si>
  <si>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</si>
  <si>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</si>
  <si>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</si>
  <si>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</si>
  <si>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</si>
  <si>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</si>
  <si>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</si>
  <si>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</si>
  <si>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</si>
  <si>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</si>
  <si>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</si>
  <si>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</si>
  <si>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</si>
  <si>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</si>
  <si>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</si>
  <si>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</si>
  <si>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</si>
  <si>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</si>
  <si>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</si>
  <si>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</si>
  <si>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</si>
  <si>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</si>
  <si>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</si>
  <si>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</si>
  <si>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</si>
  <si>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</si>
  <si>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</si>
  <si>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</si>
  <si>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</si>
  <si>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</si>
  <si>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</si>
  <si>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</si>
  <si>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</si>
  <si>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</si>
  <si>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</si>
  <si>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</si>
  <si>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</si>
  <si>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</si>
  <si>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</si>
  <si>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</si>
  <si>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</si>
  <si>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</si>
  <si>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</si>
  <si>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</si>
  <si>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</si>
  <si>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</si>
  <si>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</si>
  <si>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</si>
  <si>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</si>
  <si>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</si>
  <si>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</si>
  <si>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</si>
  <si>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</si>
  <si>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</si>
  <si>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</si>
  <si>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</si>
  <si>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</si>
  <si>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</si>
  <si>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</si>
  <si>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</si>
  <si>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</si>
  <si>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</si>
  <si>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</si>
  <si>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</si>
  <si>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</si>
  <si>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</si>
  <si>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</si>
  <si>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</si>
  <si>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</si>
  <si>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</si>
  <si>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</si>
  <si>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</si>
  <si>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</si>
  <si>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</si>
  <si>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</si>
  <si>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</si>
  <si>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</si>
  <si>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</si>
  <si>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</si>
  <si>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</si>
  <si>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</si>
  <si>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</si>
  <si>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</si>
  <si>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</si>
  <si>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</si>
  <si>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</si>
  <si>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</si>
  <si>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</si>
  <si>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</si>
  <si>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</si>
  <si>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</si>
  <si>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</si>
  <si>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</si>
  <si>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</si>
  <si>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</si>
  <si>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</si>
  <si>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</si>
  <si>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</si>
  <si>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</si>
  <si>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</si>
  <si>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</si>
  <si>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</si>
  <si>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</si>
  <si>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</si>
  <si>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</si>
  <si>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</si>
  <si>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</si>
  <si>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</si>
  <si>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</si>
  <si>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</si>
  <si>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</si>
  <si>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</si>
  <si>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</si>
  <si>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</si>
  <si>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</si>
  <si>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</si>
  <si>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</si>
  <si>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</si>
  <si>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</si>
  <si>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</si>
  <si>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</si>
  <si>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</si>
  <si>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</si>
  <si>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</si>
  <si>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</si>
  <si>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</si>
  <si>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</si>
  <si>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</si>
  <si>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</si>
  <si>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</si>
  <si>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</si>
  <si>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</si>
  <si>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</si>
  <si>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</si>
  <si>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</si>
  <si>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</si>
  <si>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</si>
  <si>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</si>
  <si>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</si>
  <si>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</si>
  <si>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</si>
  <si>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</si>
  <si>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</si>
  <si>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</si>
  <si>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</si>
  <si>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</si>
  <si>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</si>
  <si>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</si>
  <si>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</si>
  <si>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</si>
  <si>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</si>
  <si>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</si>
  <si>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</si>
  <si>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</si>
  <si>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</si>
  <si>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</si>
  <si>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</si>
  <si>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</si>
  <si>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</si>
  <si>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</si>
  <si>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</si>
  <si>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</si>
  <si>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</si>
  <si>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</si>
  <si>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</si>
  <si>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</si>
  <si>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</si>
  <si>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</si>
  <si>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</si>
  <si>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</si>
  <si>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</si>
  <si>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</si>
  <si>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</si>
  <si>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</si>
  <si>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</si>
  <si>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</si>
  <si>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</si>
  <si>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</si>
  <si>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</si>
  <si>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</si>
  <si>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</si>
  <si>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</si>
  <si>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</si>
  <si>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</si>
  <si>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</si>
  <si>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</si>
  <si>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</si>
  <si>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</si>
  <si>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</si>
  <si>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</si>
  <si>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</si>
  <si>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</si>
  <si>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</si>
  <si>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</si>
  <si>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</si>
  <si>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</si>
  <si>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</si>
  <si>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</si>
  <si>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</si>
  <si>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</si>
  <si>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</si>
  <si>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</si>
  <si>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</si>
  <si>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</si>
  <si>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</si>
  <si>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</si>
  <si>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</si>
  <si>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</si>
  <si>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</si>
  <si>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</si>
  <si>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</si>
  <si>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</si>
  <si>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</si>
  <si>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</si>
  <si>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</si>
  <si>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</si>
  <si>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</si>
  <si>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</si>
  <si>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</si>
  <si>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</si>
  <si>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</si>
  <si>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</si>
  <si>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</si>
  <si>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</si>
  <si>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</si>
  <si>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</si>
  <si>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</si>
  <si>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</si>
  <si>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</si>
  <si>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</si>
  <si>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</si>
  <si>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</si>
  <si>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</si>
  <si>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</si>
  <si>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</si>
  <si>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</si>
  <si>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</si>
  <si>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</si>
  <si>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</si>
  <si>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</si>
  <si>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</si>
  <si>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</si>
  <si>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</si>
  <si>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</si>
  <si>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</si>
  <si>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</si>
  <si>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</si>
  <si>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</si>
  <si>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</si>
  <si>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</si>
  <si>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</si>
  <si>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</si>
  <si>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</si>
  <si>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</si>
  <si>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</si>
  <si>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</si>
  <si>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</si>
  <si>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</si>
  <si>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</si>
  <si>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</si>
  <si>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</si>
  <si>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</si>
  <si>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</si>
  <si>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</si>
  <si>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</si>
  <si>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</si>
  <si>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</si>
  <si>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</si>
  <si>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</si>
  <si>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</si>
  <si>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</si>
  <si>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</si>
  <si>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</si>
  <si>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</si>
  <si>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</si>
  <si>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</si>
  <si>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</si>
  <si>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</si>
  <si>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</si>
  <si>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</si>
  <si>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</si>
  <si>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</si>
  <si>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</si>
  <si>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</si>
  <si>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</si>
  <si>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</si>
  <si>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</si>
  <si>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</si>
  <si>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</si>
  <si>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</si>
  <si>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</si>
  <si>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</si>
  <si>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</si>
  <si>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</si>
  <si>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</si>
  <si>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</si>
  <si>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</si>
  <si>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</si>
  <si>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</si>
  <si>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</si>
  <si>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</si>
  <si>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</si>
  <si>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</si>
  <si>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</si>
  <si>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</si>
  <si>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</si>
  <si>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</si>
  <si>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</si>
  <si>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</si>
  <si>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</si>
  <si>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</si>
  <si>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</si>
  <si>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</si>
  <si>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</si>
  <si>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</si>
  <si>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</si>
  <si>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</si>
  <si>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</si>
  <si>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</si>
  <si>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</si>
  <si>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</si>
  <si>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</si>
  <si>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</si>
  <si>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</si>
  <si>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</si>
  <si>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</si>
  <si>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</si>
  <si>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</si>
  <si>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</si>
  <si>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</si>
  <si>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</si>
  <si>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</si>
  <si>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</si>
  <si>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</si>
  <si>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</si>
  <si>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</si>
  <si>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</si>
  <si>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</si>
  <si>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</si>
  <si>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</si>
  <si>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</si>
  <si>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</si>
  <si>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</si>
  <si>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</si>
  <si>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</si>
  <si>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</si>
  <si>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</si>
  <si>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</si>
  <si>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</si>
  <si>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</si>
  <si>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</si>
  <si>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</si>
  <si>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</si>
  <si>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</si>
  <si>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</si>
  <si>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</si>
  <si>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</si>
  <si>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</si>
  <si>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</si>
  <si>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</si>
  <si>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</si>
  <si>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</si>
  <si>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</si>
  <si>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</si>
  <si>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</si>
  <si>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</si>
  <si>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</si>
  <si>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</si>
  <si>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</si>
  <si>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</si>
  <si>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</si>
  <si>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</si>
  <si>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</si>
  <si>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</si>
  <si>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</si>
  <si>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</si>
  <si>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</si>
  <si>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</si>
  <si>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</si>
  <si>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</si>
  <si>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</si>
  <si>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</si>
  <si>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</si>
  <si>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</si>
  <si>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</si>
  <si>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</si>
  <si>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</si>
  <si>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</si>
  <si>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</si>
  <si>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</si>
  <si>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</si>
  <si>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</si>
  <si>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</si>
  <si>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</si>
  <si>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</si>
  <si>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</si>
  <si>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</si>
  <si>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</si>
  <si>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</si>
  <si>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</si>
  <si>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</si>
  <si>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</si>
  <si>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</si>
  <si>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</si>
  <si>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</si>
  <si>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</si>
  <si>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</si>
  <si>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</si>
  <si>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</si>
  <si>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</si>
  <si>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</si>
  <si>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</si>
  <si>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</si>
  <si>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</si>
  <si>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</si>
  <si>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</si>
  <si>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</si>
  <si>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</si>
  <si>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</si>
  <si>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</si>
  <si>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</si>
  <si>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</si>
  <si>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</si>
  <si>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</si>
  <si>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</si>
  <si>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</si>
  <si>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</si>
  <si>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</si>
  <si>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</si>
  <si>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</si>
  <si>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</si>
  <si>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</si>
  <si>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</si>
  <si>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</si>
  <si>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</si>
  <si>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</si>
  <si>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</si>
  <si>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</si>
  <si>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</si>
  <si>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</si>
  <si>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</si>
  <si>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</si>
  <si>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</si>
  <si>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</si>
  <si>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</si>
  <si>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</si>
  <si>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</si>
  <si>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</si>
  <si>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</si>
  <si>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</si>
  <si>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</si>
  <si>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</si>
  <si>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</si>
  <si>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</si>
  <si>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</si>
  <si>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</si>
  <si>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</si>
  <si>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</si>
  <si>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</si>
  <si>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</si>
  <si>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</si>
  <si>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</si>
  <si>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</si>
  <si>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</si>
  <si>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</si>
  <si>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</si>
  <si>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</si>
  <si>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</si>
  <si>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</si>
  <si>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</si>
  <si>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</si>
  <si>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</si>
  <si>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</si>
  <si>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</si>
  <si>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</si>
  <si>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</si>
  <si>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</si>
  <si>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</si>
  <si>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</si>
  <si>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</si>
  <si>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</si>
  <si>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</si>
  <si>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</si>
  <si>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</si>
  <si>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</si>
  <si>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</si>
  <si>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</si>
  <si>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</si>
  <si>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</si>
  <si>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</si>
  <si>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</si>
  <si>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</si>
  <si>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</si>
  <si>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</si>
  <si>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</si>
  <si>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</si>
  <si>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</si>
  <si>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</si>
  <si>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</si>
  <si>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</si>
  <si>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</si>
  <si>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</si>
  <si>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</si>
  <si>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</si>
  <si>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</si>
  <si>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</si>
  <si>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</si>
  <si>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</si>
  <si>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</si>
  <si>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</si>
  <si>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</si>
  <si>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</si>
  <si>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</si>
  <si>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</si>
  <si>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</si>
  <si>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</si>
  <si>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</si>
  <si>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</si>
  <si>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</si>
  <si>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</si>
  <si>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</si>
  <si>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</si>
  <si>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</si>
  <si>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</si>
  <si>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</si>
  <si>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</si>
  <si>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</si>
  <si>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</si>
  <si>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</si>
  <si>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</si>
  <si>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</si>
  <si>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</si>
  <si>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</si>
  <si>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</si>
  <si>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</si>
  <si>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</si>
  <si>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</si>
  <si>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</si>
  <si>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</si>
  <si>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</si>
  <si>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</si>
  <si>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</si>
  <si>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</si>
  <si>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</si>
  <si>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</si>
  <si>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</si>
  <si>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</si>
  <si>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</si>
  <si>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</si>
  <si>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</si>
  <si>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</si>
  <si>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</si>
  <si>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</si>
  <si>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</si>
  <si>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</si>
  <si>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</si>
  <si>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</si>
  <si>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</si>
  <si>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</si>
  <si>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</si>
  <si>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</si>
  <si>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</si>
  <si>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</si>
  <si>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</si>
  <si>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</si>
  <si>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</si>
  <si>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</si>
  <si>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</si>
  <si>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</si>
  <si>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</si>
  <si>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</si>
  <si>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</si>
  <si>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</si>
  <si>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</si>
  <si>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</si>
  <si>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</si>
  <si>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</si>
  <si>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</si>
  <si>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</si>
  <si>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</si>
  <si>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</si>
  <si>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</si>
  <si>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</si>
  <si>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</si>
  <si>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</si>
  <si>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</si>
  <si>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</si>
  <si>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</si>
  <si>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</si>
  <si>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</si>
  <si>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</si>
  <si>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</si>
  <si>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</si>
  <si>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</si>
  <si>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</si>
  <si>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</si>
  <si>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</si>
  <si>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</si>
  <si>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</si>
  <si>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</si>
  <si>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</si>
  <si>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</si>
  <si>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</si>
  <si>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</si>
  <si>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</si>
  <si>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</si>
  <si>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</si>
  <si>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</si>
  <si>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</si>
  <si>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</si>
  <si>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</si>
  <si>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</si>
  <si>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</si>
  <si>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</si>
  <si>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</si>
  <si>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</si>
  <si>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</si>
  <si>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</si>
  <si>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</si>
  <si>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</si>
  <si>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</si>
  <si>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</si>
  <si>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</si>
  <si>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</si>
  <si>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</si>
  <si>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</si>
  <si>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</si>
  <si>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</si>
  <si>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</si>
  <si>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</si>
  <si>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</si>
  <si>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</si>
  <si>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</si>
  <si>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</si>
  <si>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</si>
  <si>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</si>
  <si>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</si>
  <si>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</si>
  <si>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</si>
  <si>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</si>
  <si>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</si>
  <si>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</si>
  <si>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</si>
  <si>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</si>
  <si>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</si>
  <si>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</si>
  <si>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</si>
  <si>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</si>
  <si>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</si>
  <si>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</si>
  <si>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</si>
  <si>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</si>
  <si>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</si>
  <si>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</si>
  <si>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</si>
  <si>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</si>
  <si>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</si>
  <si>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</si>
  <si>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</si>
  <si>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</si>
  <si>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</si>
  <si>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</si>
  <si>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</si>
  <si>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</si>
  <si>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</si>
  <si>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</si>
  <si>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</si>
  <si>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</si>
  <si>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</si>
  <si>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</si>
  <si>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</si>
  <si>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</si>
  <si>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</si>
  <si>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</si>
  <si>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</si>
  <si>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</si>
  <si>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</si>
  <si>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</si>
  <si>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</si>
  <si>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</si>
  <si>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</si>
  <si>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</si>
  <si>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</si>
  <si>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</si>
  <si>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</si>
  <si>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</si>
  <si>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</si>
  <si>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</si>
  <si>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</si>
  <si>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</si>
  <si>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</si>
  <si>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</si>
  <si>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</si>
  <si>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</si>
  <si>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</si>
  <si>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</si>
  <si>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</si>
  <si>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</si>
  <si>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</si>
  <si>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</si>
  <si>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</si>
  <si>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</si>
  <si>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</si>
  <si>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</si>
  <si>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</si>
  <si>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</si>
  <si>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</si>
  <si>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</si>
  <si>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</si>
  <si>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</si>
  <si>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</si>
  <si>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</si>
  <si>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</si>
  <si>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</si>
  <si>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</si>
  <si>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</si>
  <si>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</si>
  <si>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</si>
  <si>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</si>
  <si>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</si>
  <si>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</si>
  <si>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</si>
  <si>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</si>
  <si>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</si>
  <si>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</si>
  <si>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</si>
  <si>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</si>
  <si>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</si>
  <si>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</si>
  <si>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</si>
  <si>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</si>
  <si>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</si>
  <si>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</si>
  <si>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</si>
  <si>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</si>
  <si>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</si>
  <si>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</si>
  <si>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</si>
  <si>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</si>
  <si>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</si>
  <si>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</si>
  <si>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</si>
  <si>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</si>
  <si>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</si>
  <si>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</si>
  <si>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</si>
  <si>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</si>
  <si>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</si>
  <si>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</si>
  <si>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</si>
  <si>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</si>
  <si>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</si>
  <si>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</si>
  <si>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</si>
  <si>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</si>
  <si>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</si>
  <si>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</si>
  <si>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</si>
  <si>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</si>
  <si>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</si>
  <si>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</si>
  <si>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</si>
  <si>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</si>
  <si>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</si>
  <si>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</si>
  <si>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</si>
  <si>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</si>
  <si>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</si>
  <si>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</si>
  <si>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</si>
  <si>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</si>
  <si>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</si>
  <si>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</si>
  <si>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</si>
  <si>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</si>
  <si>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</si>
  <si>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</si>
  <si>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</si>
  <si>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</si>
  <si>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</si>
  <si>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</si>
  <si>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</si>
  <si>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</si>
  <si>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</si>
  <si>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</si>
  <si>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</si>
  <si>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</si>
  <si>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</si>
  <si>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</si>
  <si>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</si>
  <si>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</si>
  <si>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</si>
  <si>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</si>
  <si>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</si>
  <si>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</si>
  <si>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</si>
  <si>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</si>
  <si>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</si>
  <si>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</si>
  <si>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</si>
  <si>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</si>
  <si>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</si>
  <si>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</si>
  <si>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</si>
  <si>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</si>
  <si>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</si>
  <si>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</si>
  <si>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</si>
  <si>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</si>
  <si>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</si>
  <si>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</si>
  <si>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</si>
  <si>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</si>
  <si>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</si>
  <si>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</si>
  <si>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</si>
  <si>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</si>
  <si>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</si>
  <si>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</si>
  <si>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</si>
  <si>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</si>
  <si>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</si>
  <si>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</si>
  <si>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</si>
  <si>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</si>
  <si>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</si>
  <si>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</si>
  <si>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</si>
  <si>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</si>
  <si>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</si>
  <si>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</si>
  <si>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</si>
  <si>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</si>
  <si>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</si>
  <si>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</si>
  <si>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</si>
  <si>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</si>
  <si>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</si>
  <si>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</si>
  <si>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</si>
  <si>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</si>
  <si>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</si>
  <si>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</si>
  <si>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</si>
  <si>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</si>
  <si>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</si>
  <si>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</si>
  <si>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</si>
  <si>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</si>
  <si>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</si>
  <si>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</si>
  <si>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</si>
  <si>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</si>
  <si>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</si>
  <si>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</si>
  <si>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</si>
  <si>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</si>
  <si>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</si>
  <si>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</si>
  <si>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</si>
  <si>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</si>
  <si>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</si>
  <si>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</si>
  <si>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</si>
  <si>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</si>
  <si>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</si>
  <si>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</si>
  <si>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</si>
  <si>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</si>
  <si>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</si>
  <si>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</si>
  <si>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</si>
  <si>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</si>
  <si>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</si>
  <si>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</si>
  <si>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</si>
  <si>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</si>
  <si>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</si>
  <si>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</si>
  <si>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</si>
  <si>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</si>
  <si>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</si>
  <si>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</si>
  <si>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</si>
  <si>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</si>
  <si>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</si>
  <si>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</si>
  <si>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</si>
  <si>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</si>
  <si>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</si>
  <si>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</si>
  <si>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</si>
  <si>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</si>
  <si>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</si>
  <si>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</si>
  <si>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</si>
  <si>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</si>
  <si>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</si>
  <si>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</si>
  <si>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</si>
  <si>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</si>
  <si>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</si>
  <si>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</si>
  <si>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</si>
  <si>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</si>
  <si>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</si>
  <si>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</si>
  <si>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</si>
  <si>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</si>
  <si>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</si>
  <si>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</si>
  <si>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</si>
  <si>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</si>
  <si>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</si>
  <si>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</si>
  <si>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</si>
  <si>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</si>
  <si>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</si>
  <si>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</si>
  <si>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</si>
  <si>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</si>
  <si>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</si>
  <si>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</si>
  <si>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</si>
  <si>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</si>
  <si>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</si>
  <si>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</si>
  <si>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</si>
  <si>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</si>
  <si>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</si>
  <si>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</si>
  <si>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</si>
  <si>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</si>
  <si>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</si>
  <si>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</si>
  <si>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</si>
  <si>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</si>
  <si>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</si>
  <si>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</si>
  <si>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</si>
  <si>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</si>
  <si>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</si>
  <si>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</si>
  <si>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</si>
  <si>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</si>
  <si>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</si>
  <si>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</si>
  <si>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</si>
  <si>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</si>
  <si>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</si>
  <si>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</si>
  <si>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</si>
  <si>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</si>
  <si>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</si>
  <si>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</si>
  <si>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</si>
  <si>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</si>
  <si>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</si>
  <si>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</si>
  <si>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</si>
  <si>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</si>
  <si>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</si>
  <si>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</si>
  <si>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</si>
  <si>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</si>
  <si>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</si>
  <si>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</si>
  <si>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</si>
  <si>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</si>
  <si>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</si>
  <si>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</si>
  <si>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</si>
  <si>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</si>
  <si>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</si>
  <si>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</si>
  <si>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</si>
  <si>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</si>
  <si>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</si>
  <si>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</si>
  <si>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</si>
  <si>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</si>
  <si>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</si>
  <si>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</si>
  <si>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</si>
  <si>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</si>
  <si>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</si>
  <si>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</si>
  <si>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</si>
  <si>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</si>
  <si>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</si>
  <si>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</si>
  <si>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</si>
  <si>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</si>
  <si>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</si>
  <si>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</si>
  <si>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</si>
  <si>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</si>
  <si>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</si>
  <si>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</si>
  <si>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</si>
  <si>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</si>
  <si>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</si>
  <si>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</si>
  <si>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</si>
  <si>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</si>
  <si>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</si>
  <si>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</si>
  <si>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</si>
  <si>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</si>
  <si>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</si>
  <si>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</si>
  <si>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</si>
  <si>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</si>
  <si>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</si>
  <si>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</si>
  <si>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</si>
  <si>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</si>
  <si>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</si>
  <si>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</si>
  <si>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</si>
  <si>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</si>
  <si>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</si>
  <si>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</si>
  <si>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</si>
  <si>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</si>
  <si>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</si>
  <si>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</si>
  <si>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</si>
  <si>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</si>
  <si>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</si>
  <si>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</si>
  <si>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</si>
  <si>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</si>
  <si>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</si>
  <si>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</si>
  <si>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</si>
  <si>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</si>
  <si>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</si>
  <si>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</si>
  <si>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</si>
  <si>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</si>
  <si>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</si>
  <si>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</si>
  <si>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</si>
  <si>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</si>
  <si>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</si>
  <si>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</si>
  <si>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</si>
  <si>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</si>
  <si>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</si>
  <si>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</si>
  <si>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</si>
  <si>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</si>
  <si>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</si>
  <si>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</si>
  <si>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</si>
  <si>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</si>
  <si>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</si>
  <si>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</si>
  <si>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</si>
  <si>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</si>
  <si>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</si>
  <si>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</si>
  <si>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</si>
  <si>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</si>
  <si>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</si>
  <si>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</si>
  <si>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</si>
  <si>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</si>
  <si>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</si>
  <si>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</si>
  <si>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</si>
  <si>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</si>
  <si>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</si>
  <si>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</si>
  <si>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</si>
  <si>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</si>
  <si>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</si>
  <si>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</si>
  <si>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</si>
  <si>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</si>
  <si>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</si>
  <si>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</si>
  <si>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</si>
  <si>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</si>
  <si>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</si>
  <si>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</si>
  <si>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</si>
  <si>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</si>
  <si>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</si>
  <si>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</si>
  <si>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</si>
  <si>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</si>
  <si>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</si>
  <si>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</si>
  <si>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</si>
  <si>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</si>
  <si>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</si>
  <si>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</si>
  <si>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</si>
  <si>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</si>
  <si>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</si>
  <si>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</si>
  <si>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</si>
  <si>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</si>
  <si>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</si>
  <si>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</si>
  <si>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</si>
  <si>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</si>
  <si>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</si>
  <si>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</si>
  <si>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</si>
  <si>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</si>
  <si>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</si>
  <si>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</si>
  <si>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</si>
  <si>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</si>
  <si>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</si>
  <si>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</si>
  <si>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</si>
  <si>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</si>
  <si>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</si>
  <si>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</si>
  <si>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</si>
  <si>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</si>
  <si>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</si>
  <si>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</si>
  <si>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</si>
  <si>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</si>
  <si>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</si>
  <si>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</si>
  <si>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</si>
  <si>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</si>
  <si>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</si>
  <si>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</si>
  <si>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</si>
  <si>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</si>
  <si>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</si>
  <si>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</si>
  <si>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</si>
  <si>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</si>
  <si>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</si>
  <si>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</si>
  <si>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</si>
  <si>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</si>
  <si>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</si>
  <si>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</si>
  <si>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</si>
  <si>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</si>
  <si>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</si>
  <si>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</si>
  <si>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</si>
  <si>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</si>
  <si>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</si>
  <si>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</si>
  <si>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</si>
  <si>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</si>
  <si>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</si>
  <si>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</si>
  <si>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</si>
  <si>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</si>
  <si>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</si>
  <si>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</si>
  <si>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</si>
  <si>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</si>
  <si>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</si>
  <si>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</si>
  <si>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</si>
  <si>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</si>
  <si>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</si>
  <si>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</si>
  <si>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</si>
  <si>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</si>
  <si>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</si>
  <si>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</si>
  <si>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</si>
  <si>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</si>
  <si>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</si>
  <si>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</si>
  <si>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</si>
  <si>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</si>
  <si>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</si>
  <si>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</si>
  <si>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</si>
  <si>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</si>
  <si>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</si>
  <si>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</si>
  <si>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</si>
  <si>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</si>
  <si>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</si>
  <si>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</si>
  <si>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</si>
  <si>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</si>
  <si>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</si>
  <si>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</si>
  <si>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</si>
  <si>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</si>
  <si>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</si>
  <si>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</si>
  <si>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</si>
  <si>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</si>
  <si>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</si>
  <si>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</si>
  <si>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</si>
  <si>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</si>
  <si>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</si>
  <si>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</si>
  <si>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</si>
  <si>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</si>
  <si>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</si>
  <si>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</si>
  <si>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</si>
  <si>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</si>
  <si>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</si>
  <si>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</si>
  <si>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</si>
  <si>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</si>
  <si>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</si>
  <si>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</si>
  <si>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</si>
  <si>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</si>
  <si>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</si>
  <si>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</si>
  <si>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</si>
  <si>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</si>
  <si>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</si>
  <si>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</si>
  <si>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</si>
  <si>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</si>
  <si>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</si>
  <si>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</si>
  <si>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</si>
  <si>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</si>
  <si>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</si>
  <si>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</si>
  <si>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</si>
  <si>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</si>
  <si>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</si>
  <si>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</si>
  <si>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</si>
  <si>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</si>
  <si>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</si>
  <si>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</si>
  <si>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</si>
  <si>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</si>
  <si>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</si>
  <si>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</si>
  <si>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</si>
  <si>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</si>
  <si>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</si>
  <si>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</si>
  <si>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</si>
  <si>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</si>
  <si>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</si>
  <si>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</si>
  <si>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</si>
  <si>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</si>
  <si>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</si>
  <si>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</si>
  <si>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</si>
  <si>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</si>
  <si>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</si>
  <si>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</si>
  <si>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</si>
  <si>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</si>
  <si>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</si>
  <si>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</si>
  <si>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</si>
  <si>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</si>
  <si>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</si>
  <si>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</si>
  <si>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</si>
  <si>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</si>
  <si>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</si>
  <si>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</si>
  <si>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</si>
  <si>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</si>
  <si>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</si>
  <si>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</si>
  <si>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</si>
  <si>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</si>
  <si>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</si>
  <si>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</si>
  <si>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</si>
  <si>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</si>
  <si>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</si>
  <si>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</si>
  <si>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</si>
  <si>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</si>
  <si>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</si>
  <si>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</si>
  <si>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</si>
  <si>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</si>
  <si>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</si>
  <si>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</si>
  <si>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</si>
  <si>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</si>
  <si>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</si>
  <si>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</si>
  <si>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</si>
  <si>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</si>
  <si>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</si>
  <si>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</si>
  <si>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</si>
  <si>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</si>
  <si>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</si>
  <si>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</si>
  <si>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</si>
  <si>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</si>
  <si>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</si>
  <si>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</si>
  <si>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</si>
  <si>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</si>
  <si>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</si>
  <si>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</si>
  <si>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</si>
  <si>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</si>
  <si>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</si>
  <si>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</si>
  <si>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</si>
  <si>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</si>
  <si>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</si>
  <si>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</si>
  <si>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</si>
  <si>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</si>
  <si>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</si>
  <si>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</si>
  <si>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</si>
  <si>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</si>
  <si>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</si>
  <si>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</si>
  <si>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</si>
  <si>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</si>
  <si>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</si>
  <si>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</si>
  <si>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</si>
  <si>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</si>
  <si>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</si>
  <si>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</si>
  <si>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</si>
  <si>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</si>
  <si>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</si>
  <si>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</si>
  <si>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</si>
  <si>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</si>
  <si>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</si>
  <si>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</si>
  <si>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</si>
  <si>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</si>
  <si>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</si>
  <si>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</si>
  <si>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</si>
  <si>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</si>
  <si>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</si>
  <si>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</si>
  <si>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</si>
  <si>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</si>
  <si>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</si>
  <si>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</si>
  <si>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</si>
  <si>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</si>
  <si>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</si>
  <si>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</si>
  <si>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</si>
  <si>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</si>
  <si>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</si>
  <si>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</si>
  <si>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</si>
  <si>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</si>
  <si>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</si>
  <si>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</si>
  <si>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</si>
  <si>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</si>
  <si>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</si>
  <si>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</si>
  <si>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</si>
  <si>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</si>
  <si>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</si>
  <si>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</si>
  <si>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</si>
  <si>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</si>
  <si>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</si>
  <si>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</si>
  <si>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</si>
  <si>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</si>
  <si>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</si>
  <si>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</si>
  <si>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</si>
  <si>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</si>
  <si>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</si>
  <si>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</si>
  <si>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</si>
  <si>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</si>
  <si>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</si>
  <si>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</si>
  <si>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</si>
  <si>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</si>
  <si>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</si>
  <si>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</si>
  <si>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</si>
  <si>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</si>
  <si>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</si>
  <si>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</si>
  <si>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</si>
  <si>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</si>
  <si>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</si>
  <si>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</si>
  <si>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</si>
  <si>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</si>
  <si>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</si>
  <si>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</si>
  <si>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</si>
  <si>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</si>
  <si>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</si>
  <si>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</si>
  <si>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</si>
  <si>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</si>
  <si>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</si>
  <si>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</si>
  <si>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</si>
  <si>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</si>
  <si>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</si>
  <si>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</si>
  <si>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</si>
  <si>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</si>
  <si>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</si>
  <si>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</si>
  <si>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</si>
  <si>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</si>
  <si>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</si>
  <si>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</si>
  <si>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</si>
  <si>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</si>
  <si>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</si>
  <si>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</si>
  <si>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</si>
  <si>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</si>
  <si>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</si>
  <si>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</si>
  <si>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</si>
  <si>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</si>
  <si>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</si>
  <si>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</si>
  <si>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</si>
  <si>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</si>
  <si>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</si>
  <si>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</si>
  <si>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</si>
  <si>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</si>
  <si>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</si>
  <si>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</si>
  <si>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</si>
  <si>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</si>
  <si>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</si>
  <si>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</si>
  <si>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</si>
  <si>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</si>
  <si>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</si>
  <si>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</si>
  <si>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</si>
  <si>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</si>
  <si>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</si>
  <si>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</si>
  <si>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</si>
  <si>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</si>
  <si>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</si>
  <si>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</si>
  <si>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</si>
  <si>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</si>
  <si>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</si>
  <si>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</si>
  <si>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</si>
  <si>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</si>
  <si>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</si>
  <si>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</si>
  <si>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</si>
  <si>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</si>
  <si>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</si>
  <si>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</si>
  <si>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</si>
  <si>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</si>
  <si>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</si>
  <si>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</si>
  <si>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</si>
  <si>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</si>
  <si>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</si>
  <si>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</si>
  <si>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</si>
  <si>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</si>
  <si>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</si>
  <si>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</si>
  <si>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</si>
  <si>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</si>
  <si>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</si>
  <si>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</si>
  <si>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</si>
  <si>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</si>
  <si>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</si>
  <si>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</si>
  <si>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</si>
  <si>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</si>
  <si>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</si>
  <si>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</si>
  <si>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</si>
  <si>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</si>
  <si>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</si>
  <si>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</si>
  <si>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</si>
  <si>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</si>
  <si>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</si>
  <si>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</si>
  <si>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</si>
  <si>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</si>
  <si>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</si>
  <si>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</si>
  <si>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</si>
  <si>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</si>
  <si>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</si>
  <si>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</si>
  <si>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</si>
  <si>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</si>
  <si>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</si>
  <si>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</si>
  <si>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</si>
  <si>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</si>
  <si>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</si>
  <si>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</si>
  <si>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</si>
  <si>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</si>
  <si>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</si>
  <si>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</si>
  <si>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</si>
  <si>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</si>
  <si>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</si>
  <si>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</si>
  <si>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</si>
  <si>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</si>
  <si>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</si>
  <si>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</si>
  <si>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</si>
  <si>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</si>
  <si>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</si>
  <si>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</si>
  <si>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</si>
  <si>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</si>
  <si>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</si>
  <si>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</si>
  <si>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</si>
  <si>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</si>
  <si>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</si>
  <si>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</si>
  <si>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</si>
  <si>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</si>
  <si>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</si>
  <si>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</si>
  <si>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</si>
  <si>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</si>
  <si>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</si>
  <si>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</si>
  <si>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</si>
  <si>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</si>
  <si>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</si>
  <si>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</si>
  <si>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</si>
  <si>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</si>
  <si>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</si>
  <si>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</si>
  <si>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</si>
  <si>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</si>
  <si>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</si>
  <si>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</si>
  <si>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</si>
  <si>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</si>
  <si>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</si>
  <si>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</si>
  <si>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</si>
  <si>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</si>
  <si>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</si>
  <si>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</si>
  <si>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</si>
  <si>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</si>
  <si>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</si>
  <si>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</si>
  <si>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</si>
  <si>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</si>
  <si>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</si>
  <si>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</si>
  <si>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</si>
  <si>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</si>
  <si>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</si>
  <si>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</si>
  <si>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</si>
  <si>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</si>
  <si>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</si>
  <si>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</si>
  <si>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</si>
  <si>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</si>
  <si>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</si>
  <si>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</si>
  <si>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</si>
  <si>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</si>
  <si>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</si>
  <si>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</si>
  <si>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</si>
  <si>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</si>
  <si>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</si>
  <si>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</si>
  <si>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</si>
  <si>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</si>
  <si>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</si>
  <si>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</si>
  <si>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</si>
  <si>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</si>
  <si>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</si>
  <si>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</si>
  <si>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</si>
  <si>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</si>
  <si>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</si>
  <si>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</si>
  <si>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</si>
  <si>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</si>
  <si>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</si>
  <si>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</si>
  <si>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</si>
  <si>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</si>
  <si>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</si>
  <si>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</si>
  <si>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</si>
  <si>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</si>
  <si>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</si>
  <si>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</si>
  <si>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</si>
  <si>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</si>
  <si>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</si>
  <si>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</si>
  <si>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</si>
  <si>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</si>
  <si>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</si>
  <si>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</si>
  <si>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</si>
  <si>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</si>
  <si>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</si>
  <si>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</si>
  <si>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</si>
  <si>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</si>
  <si>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</si>
  <si>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</si>
  <si>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</si>
  <si>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</si>
  <si>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</si>
  <si>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</si>
  <si>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</si>
  <si>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</si>
  <si>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</si>
  <si>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</si>
  <si>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</si>
  <si>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</si>
  <si>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</si>
  <si>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</si>
  <si>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</si>
  <si>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</si>
  <si>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</si>
  <si>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</si>
  <si>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</si>
  <si>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</si>
  <si>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</si>
  <si>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</si>
  <si>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</si>
  <si>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</si>
  <si>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</si>
  <si>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</si>
  <si>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</si>
  <si>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</si>
  <si>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</si>
  <si>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</si>
  <si>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</si>
  <si>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</si>
  <si>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</si>
  <si>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</si>
  <si>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</si>
  <si>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</si>
  <si>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</si>
  <si>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</si>
  <si>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</si>
  <si>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</si>
  <si>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</si>
  <si>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</si>
  <si>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</si>
  <si>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</si>
  <si>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</si>
  <si>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</si>
  <si>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</si>
  <si>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</si>
  <si>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</si>
  <si>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</si>
  <si>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</si>
  <si>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</si>
  <si>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</si>
  <si>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</si>
  <si>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</si>
  <si>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</si>
  <si>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</si>
  <si>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</si>
  <si>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</si>
  <si>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</si>
  <si>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</si>
  <si>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</si>
  <si>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</si>
  <si>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</si>
  <si>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</si>
  <si>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</si>
  <si>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</si>
  <si>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</si>
  <si>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</si>
  <si>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</si>
  <si>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</si>
  <si>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</si>
  <si>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</si>
  <si>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</si>
  <si>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</si>
  <si>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</si>
  <si>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</si>
  <si>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</si>
  <si>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</si>
  <si>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</si>
  <si>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</si>
  <si>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</si>
  <si>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</si>
  <si>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</si>
  <si>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</si>
  <si>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</si>
  <si>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</si>
  <si>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</si>
  <si>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</si>
  <si>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</si>
  <si>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</si>
  <si>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</si>
  <si>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</si>
  <si>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</si>
  <si>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</si>
  <si>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</si>
  <si>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</si>
  <si>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</si>
  <si>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</si>
  <si>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</si>
  <si>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</si>
  <si>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</si>
  <si>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</si>
  <si>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</si>
  <si>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</si>
  <si>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</si>
  <si>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</si>
  <si>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</si>
  <si>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</si>
  <si>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</si>
  <si>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</si>
  <si>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</si>
  <si>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</si>
  <si>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</si>
  <si>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</si>
  <si>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</si>
  <si>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</si>
  <si>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</si>
  <si>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</si>
  <si>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</si>
  <si>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</si>
  <si>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</si>
  <si>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</si>
  <si>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</si>
  <si>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</si>
  <si>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</si>
  <si>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</si>
  <si>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</si>
  <si>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</si>
  <si>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</si>
  <si>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</si>
  <si>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</si>
  <si>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</si>
  <si>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</si>
  <si>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</si>
  <si>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</si>
  <si>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</si>
  <si>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</si>
  <si>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</si>
  <si>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</si>
  <si>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</si>
  <si>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</si>
  <si>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</si>
  <si>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</si>
  <si>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</si>
  <si>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</si>
  <si>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</si>
  <si>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</si>
  <si>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</si>
  <si>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</si>
  <si>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</si>
  <si>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</si>
  <si>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</si>
  <si>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</si>
  <si>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</si>
  <si>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</si>
  <si>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</si>
  <si>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</si>
  <si>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</si>
  <si>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</si>
  <si>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</si>
  <si>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</si>
  <si>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</si>
  <si>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</si>
  <si>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</si>
  <si>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</si>
  <si>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</si>
  <si>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</si>
  <si>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</si>
  <si>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</si>
  <si>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</si>
  <si>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</si>
  <si>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</si>
  <si>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</si>
  <si>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</si>
  <si>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</si>
  <si>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</si>
  <si>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</si>
  <si>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</si>
  <si>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</si>
  <si>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</si>
  <si>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</si>
  <si>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</si>
  <si>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</si>
  <si>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</si>
  <si>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</si>
  <si>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</si>
  <si>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</si>
  <si>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</si>
  <si>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</si>
  <si>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</si>
  <si>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</si>
  <si>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</si>
  <si>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</si>
  <si>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</si>
  <si>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</si>
  <si>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</si>
  <si>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</si>
  <si>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</si>
  <si>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</si>
  <si>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</si>
  <si>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</si>
  <si>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</si>
  <si>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</si>
  <si>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</si>
  <si>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</si>
  <si>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</si>
  <si>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</si>
  <si>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</si>
  <si>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</si>
  <si>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</si>
  <si>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</si>
  <si>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</si>
  <si>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</si>
  <si>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</si>
  <si>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</si>
  <si>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</si>
  <si>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</si>
  <si>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</si>
  <si>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</si>
  <si>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</si>
  <si>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</si>
  <si>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</si>
  <si>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</si>
  <si>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</si>
  <si>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</si>
  <si>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</si>
  <si>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</si>
  <si>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</si>
  <si>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</si>
  <si>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</si>
  <si>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</si>
  <si>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</si>
  <si>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</si>
  <si>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</si>
  <si>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</si>
  <si>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</si>
  <si>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</si>
  <si>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</si>
  <si>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</si>
  <si>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</si>
  <si>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</si>
  <si>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</si>
  <si>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</si>
  <si>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</si>
  <si>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</si>
  <si>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</si>
  <si>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</si>
  <si>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</si>
  <si>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</si>
  <si>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</si>
  <si>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</si>
  <si>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</si>
  <si>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</si>
  <si>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</si>
  <si>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</si>
  <si>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</si>
  <si>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</si>
  <si>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</si>
  <si>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</si>
  <si>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</si>
  <si>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</si>
  <si>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</si>
  <si>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</si>
  <si>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</si>
  <si>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</si>
  <si>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</si>
  <si>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</si>
  <si>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</si>
  <si>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</si>
  <si>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</si>
  <si>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</si>
  <si>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</si>
  <si>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</si>
  <si>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</si>
  <si>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</si>
  <si>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</si>
  <si>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</si>
  <si>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</si>
  <si>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</si>
  <si>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</si>
  <si>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</si>
  <si>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</si>
  <si>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</si>
  <si>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</si>
  <si>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</si>
  <si>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</si>
  <si>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</si>
  <si>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</si>
  <si>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</si>
  <si>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</si>
  <si>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</si>
  <si>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</si>
  <si>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</si>
  <si>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</si>
  <si>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</si>
  <si>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</si>
  <si>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</si>
  <si>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</si>
  <si>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</si>
  <si>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</si>
  <si>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</si>
  <si>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</si>
  <si>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</si>
  <si>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</si>
  <si>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</si>
  <si>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</si>
  <si>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</si>
  <si>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</si>
  <si>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</si>
  <si>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</si>
  <si>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</si>
  <si>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</si>
  <si>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</si>
  <si>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</si>
  <si>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</si>
  <si>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</si>
  <si>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</si>
  <si>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</si>
  <si>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</si>
  <si>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</si>
  <si>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</si>
  <si>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</si>
  <si>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</si>
  <si>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</si>
  <si>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</si>
  <si>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</si>
  <si>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</si>
  <si>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</si>
  <si>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</si>
  <si>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</si>
  <si>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</si>
  <si>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</si>
  <si>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</si>
  <si>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</si>
  <si>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</si>
  <si>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</si>
  <si>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</si>
  <si>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</si>
  <si>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</si>
  <si>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</si>
  <si>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</si>
  <si>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</si>
  <si>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</si>
  <si>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</si>
  <si>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</si>
  <si>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</si>
  <si>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</si>
  <si>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</si>
  <si>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</si>
  <si>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</si>
  <si>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</si>
  <si>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</si>
  <si>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</si>
  <si>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</si>
  <si>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</si>
  <si>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</si>
  <si>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</si>
  <si>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</si>
  <si>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</si>
  <si>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</si>
  <si>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</si>
  <si>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</si>
  <si>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</si>
  <si>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</si>
  <si>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</si>
  <si>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</si>
  <si>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</si>
  <si>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</si>
  <si>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</si>
  <si>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</si>
  <si>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</si>
  <si>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</si>
  <si>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</si>
  <si>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</si>
  <si>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</si>
  <si>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</si>
  <si>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</si>
  <si>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</si>
  <si>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</si>
  <si>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</si>
  <si>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</si>
  <si>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</si>
  <si>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</si>
  <si>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</si>
  <si>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</si>
  <si>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</si>
  <si>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</si>
  <si>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</si>
  <si>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</si>
  <si>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</si>
  <si>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</si>
  <si>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</si>
  <si>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</si>
  <si>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</si>
  <si>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</si>
  <si>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</si>
  <si>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</si>
  <si>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</si>
  <si>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</si>
  <si>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</si>
  <si>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</si>
  <si>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</si>
  <si>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</si>
  <si>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</si>
  <si>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</si>
  <si>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</si>
  <si>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</si>
  <si>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</si>
  <si>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</si>
  <si>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</si>
  <si>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</si>
  <si>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</si>
  <si>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</si>
  <si>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</si>
  <si>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</si>
  <si>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</si>
  <si>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</si>
  <si>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</si>
  <si>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</si>
  <si>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</si>
  <si>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</si>
  <si>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</si>
  <si>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</si>
  <si>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</si>
  <si>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</si>
  <si>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</si>
  <si>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</si>
  <si>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</si>
  <si>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</si>
  <si>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</si>
  <si>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</si>
  <si>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</si>
  <si>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</si>
  <si>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</si>
  <si>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</si>
  <si>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</si>
  <si>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</si>
  <si>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</si>
  <si>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</si>
  <si>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</si>
  <si>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</si>
  <si>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</si>
  <si>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</si>
  <si>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</si>
  <si>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</si>
  <si>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</si>
  <si>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</si>
  <si>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</si>
  <si>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</si>
  <si>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</si>
  <si>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</si>
  <si>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</si>
  <si>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</si>
  <si>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</si>
  <si>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</si>
  <si>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</si>
  <si>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</si>
  <si>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</si>
  <si>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</si>
  <si>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</si>
  <si>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</si>
  <si>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</si>
  <si>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</si>
  <si>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</si>
  <si>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</si>
  <si>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</si>
  <si>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</si>
  <si>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</si>
  <si>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</si>
  <si>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</si>
  <si>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</si>
  <si>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</si>
  <si>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</si>
  <si>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</si>
  <si>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</si>
  <si>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</si>
  <si>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</si>
  <si>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</si>
  <si>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</si>
  <si>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</si>
  <si>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</si>
  <si>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</si>
  <si>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</si>
  <si>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</si>
  <si>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</si>
  <si>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</si>
  <si>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</si>
  <si>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</si>
  <si>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</si>
  <si>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</si>
  <si>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</si>
  <si>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</si>
  <si>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</si>
  <si>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</si>
  <si>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</si>
  <si>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</si>
  <si>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</si>
  <si>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</si>
  <si>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</si>
  <si>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</si>
  <si>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</si>
  <si>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</si>
  <si>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</si>
  <si>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</si>
  <si>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</si>
  <si>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</si>
  <si>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</si>
  <si>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</si>
  <si>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</si>
  <si>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</si>
  <si>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</si>
  <si>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</si>
  <si>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</si>
  <si>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</si>
  <si>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</si>
  <si>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</si>
  <si>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</si>
  <si>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</si>
  <si>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</si>
  <si>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</si>
  <si>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</si>
  <si>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</si>
  <si>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</si>
  <si>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</si>
  <si>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</si>
  <si>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</si>
  <si>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</si>
  <si>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</si>
  <si>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</si>
  <si>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</si>
  <si>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</si>
  <si>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</si>
  <si>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</si>
  <si>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</si>
  <si>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</si>
  <si>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</si>
  <si>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</si>
  <si>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</si>
  <si>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</si>
  <si>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</si>
  <si>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</si>
  <si>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</si>
  <si>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</si>
  <si>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</si>
  <si>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</si>
  <si>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</si>
  <si>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</si>
  <si>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</si>
  <si>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</si>
  <si>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</si>
  <si>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</si>
  <si>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</si>
  <si>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</si>
  <si>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</si>
  <si>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</si>
  <si>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</si>
  <si>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</si>
  <si>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</si>
  <si>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</si>
  <si>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</si>
  <si>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</si>
  <si>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</si>
  <si>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</si>
  <si>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</si>
  <si>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</si>
  <si>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</si>
  <si>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</si>
  <si>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</si>
  <si>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</si>
  <si>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</si>
  <si>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</si>
  <si>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</si>
  <si>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</si>
  <si>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</si>
  <si>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</si>
  <si>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</si>
  <si>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</si>
  <si>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</si>
  <si>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</si>
  <si>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</si>
  <si>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</si>
  <si>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</si>
  <si>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</si>
  <si>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</si>
  <si>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</si>
  <si>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</si>
  <si>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</si>
  <si>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</si>
  <si>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</si>
  <si>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</si>
  <si>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</si>
  <si>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</si>
  <si>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</si>
  <si>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</si>
  <si>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</si>
  <si>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</si>
  <si>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</si>
  <si>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</si>
  <si>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</si>
  <si>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</si>
  <si>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</si>
  <si>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</si>
  <si>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</si>
  <si>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</si>
  <si>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</si>
  <si>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</si>
  <si>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</si>
  <si>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</si>
  <si>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</si>
  <si>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</si>
  <si>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</si>
  <si>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</si>
  <si>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</si>
  <si>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</si>
  <si>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</si>
  <si>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</si>
  <si>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</si>
  <si>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</si>
  <si>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</si>
  <si>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</si>
  <si>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</si>
  <si>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</si>
  <si>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</si>
  <si>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</si>
  <si>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</si>
  <si>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</si>
  <si>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</si>
  <si>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</si>
  <si>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</si>
  <si>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</si>
  <si>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</si>
  <si>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</si>
  <si>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</si>
  <si>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</si>
  <si>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</si>
  <si>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</si>
  <si>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</si>
  <si>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</si>
  <si>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</si>
  <si>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</si>
  <si>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</si>
  <si>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</si>
  <si>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</si>
  <si>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</si>
  <si>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</si>
  <si>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</si>
  <si>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</si>
  <si>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</si>
  <si>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</si>
  <si>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</si>
  <si>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</si>
  <si>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</si>
  <si>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</si>
  <si>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</si>
  <si>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</si>
  <si>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</si>
  <si>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</si>
  <si>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</si>
  <si>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</si>
  <si>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</si>
  <si>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</si>
  <si>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</si>
  <si>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</si>
  <si>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</si>
  <si>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</si>
  <si>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</si>
  <si>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</si>
  <si>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</si>
  <si>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</si>
  <si>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</si>
  <si>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</si>
  <si>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</si>
  <si>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</si>
  <si>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</si>
  <si>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</si>
  <si>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</si>
  <si>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</si>
  <si>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</si>
  <si>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</si>
  <si>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</si>
  <si>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</si>
  <si>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</si>
  <si>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</si>
  <si>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</si>
  <si>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</si>
  <si>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</si>
  <si>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</si>
  <si>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</si>
  <si>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</si>
  <si>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</si>
  <si>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</si>
  <si>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</si>
  <si>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</si>
  <si>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</si>
  <si>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</si>
  <si>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</si>
  <si>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</si>
  <si>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</si>
  <si>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</si>
  <si>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</si>
  <si>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</si>
  <si>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</si>
  <si>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</si>
  <si>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</si>
  <si>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</si>
  <si>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</si>
  <si>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</si>
  <si>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</si>
  <si>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</si>
  <si>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</si>
  <si>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</si>
  <si>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</si>
  <si>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</si>
  <si>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</si>
  <si>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</si>
  <si>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</si>
  <si>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</si>
  <si>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</si>
  <si>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</si>
  <si>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</si>
  <si>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</si>
  <si>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</si>
  <si>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</si>
  <si>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</si>
  <si>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</si>
  <si>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</si>
  <si>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</si>
  <si>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</si>
  <si>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</si>
  <si>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</si>
  <si>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</si>
  <si>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</si>
  <si>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</si>
  <si>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</si>
  <si>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</si>
  <si>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</si>
  <si>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</si>
  <si>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</si>
  <si>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</si>
  <si>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</si>
  <si>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</si>
  <si>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</si>
  <si>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</si>
  <si>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</si>
  <si>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</si>
  <si>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</si>
  <si>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</si>
  <si>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</si>
  <si>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</si>
  <si>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</si>
  <si>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</si>
  <si>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</si>
  <si>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</si>
  <si>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</si>
  <si>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</si>
  <si>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</si>
  <si>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</si>
  <si>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</si>
  <si>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</si>
  <si>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</si>
  <si>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</si>
  <si>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</si>
  <si>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</si>
  <si>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</si>
  <si>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</si>
  <si>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</si>
  <si>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</si>
  <si>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</si>
  <si>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</si>
  <si>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</si>
  <si>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</si>
  <si>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</si>
  <si>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</si>
  <si>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</si>
  <si>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</si>
  <si>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</si>
  <si>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</si>
  <si>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</si>
  <si>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</si>
  <si>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</si>
  <si>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</si>
  <si>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</si>
  <si>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</si>
  <si>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</si>
  <si>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</si>
  <si>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</si>
  <si>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</si>
  <si>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</si>
  <si>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</si>
  <si>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</si>
  <si>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</si>
  <si>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</si>
  <si>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</si>
  <si>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</si>
  <si>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</si>
  <si>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</si>
  <si>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</si>
  <si>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</si>
  <si>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</si>
  <si>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</si>
  <si>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</si>
  <si>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</si>
  <si>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</si>
  <si>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</si>
  <si>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</si>
  <si>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</si>
  <si>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</si>
  <si>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</si>
  <si>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</si>
  <si>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</si>
  <si>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</si>
  <si>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</si>
  <si>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</si>
  <si>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</si>
  <si>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</si>
  <si>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</si>
  <si>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</si>
  <si>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</si>
  <si>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</si>
  <si>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</si>
  <si>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</si>
  <si>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</si>
  <si>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</si>
  <si>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</si>
  <si>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</si>
  <si>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</si>
  <si>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</si>
  <si>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</si>
  <si>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</si>
  <si>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</si>
  <si>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</si>
  <si>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</si>
  <si>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</si>
  <si>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</si>
  <si>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</si>
  <si>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</si>
  <si>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</si>
  <si>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</si>
  <si>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</si>
  <si>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</si>
  <si>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</si>
  <si>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</si>
  <si>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</si>
  <si>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</si>
  <si>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</si>
  <si>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</si>
  <si>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</si>
  <si>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</si>
  <si>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</si>
  <si>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</si>
  <si>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</si>
  <si>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</si>
  <si>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</si>
  <si>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</si>
  <si>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</si>
  <si>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</si>
  <si>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</si>
  <si>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</si>
  <si>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</si>
  <si>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</si>
  <si>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</si>
  <si>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</si>
  <si>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</si>
  <si>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</si>
  <si>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</si>
  <si>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</si>
  <si>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</si>
  <si>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</si>
  <si>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</si>
  <si>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</si>
  <si>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</si>
  <si>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</si>
  <si>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</si>
  <si>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</si>
  <si>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</si>
  <si>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</si>
  <si>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</si>
  <si>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</si>
  <si>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</si>
  <si>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</si>
  <si>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</si>
  <si>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</si>
  <si>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</si>
  <si>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</si>
  <si>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</si>
  <si>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</si>
  <si>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</si>
  <si>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</si>
  <si>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</si>
  <si>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</si>
  <si>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</si>
  <si>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</si>
  <si>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</si>
  <si>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</si>
  <si>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</si>
  <si>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</si>
  <si>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</si>
  <si>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</si>
  <si>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</si>
  <si>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</si>
  <si>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</si>
  <si>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</si>
  <si>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</si>
  <si>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</si>
  <si>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</si>
  <si>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</si>
  <si>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</si>
  <si>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</si>
  <si>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</si>
  <si>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</si>
  <si>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</si>
  <si>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</si>
  <si>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</si>
  <si>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</si>
  <si>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</si>
  <si>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</si>
  <si>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</si>
  <si>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</si>
  <si>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</si>
  <si>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</si>
  <si>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</si>
  <si>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</si>
  <si>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</si>
  <si>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</si>
  <si>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</si>
  <si>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</si>
  <si>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</si>
  <si>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</si>
  <si>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</si>
  <si>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</si>
  <si>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</si>
  <si>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</si>
  <si>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</si>
  <si>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</si>
  <si>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</si>
  <si>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</si>
  <si>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</si>
  <si>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</si>
  <si>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</si>
  <si>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</si>
  <si>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</si>
  <si>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</si>
  <si>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</si>
  <si>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</si>
  <si>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</si>
  <si>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</si>
  <si>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</si>
  <si>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</si>
  <si>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</si>
  <si>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</si>
  <si>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</si>
  <si>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</si>
  <si>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</si>
  <si>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</si>
  <si>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</si>
  <si>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</si>
  <si>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</si>
  <si>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</si>
  <si>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</si>
  <si>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</si>
  <si>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</si>
  <si>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</si>
  <si>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</si>
  <si>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</si>
  <si>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</si>
  <si>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</si>
  <si>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</si>
  <si>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</si>
  <si>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</si>
  <si>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</si>
  <si>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</si>
  <si>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</si>
  <si>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</si>
  <si>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</si>
  <si>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</si>
  <si>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</si>
  <si>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</si>
  <si>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</si>
  <si>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</si>
  <si>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</si>
  <si>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</si>
  <si>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</si>
  <si>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</si>
  <si>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</si>
  <si>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</si>
  <si>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</si>
  <si>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</si>
  <si>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</si>
  <si>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</si>
  <si>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</si>
  <si>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</si>
  <si>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</si>
  <si>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</si>
  <si>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</si>
  <si>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</si>
  <si>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</si>
  <si>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</si>
  <si>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</si>
  <si>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</si>
  <si>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</si>
  <si>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</si>
  <si>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</si>
  <si>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</si>
  <si>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</si>
  <si>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</si>
  <si>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</si>
  <si>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</si>
  <si>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</si>
  <si>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</si>
  <si>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</si>
  <si>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</si>
  <si>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</si>
  <si>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</si>
  <si>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</si>
  <si>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</si>
  <si>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</si>
  <si>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</si>
  <si>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</si>
  <si>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</si>
  <si>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</si>
  <si>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</si>
  <si>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</si>
  <si>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</si>
  <si>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</si>
  <si>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</si>
  <si>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</si>
  <si>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</si>
  <si>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</si>
  <si>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</si>
  <si>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</si>
  <si>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</si>
  <si>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</si>
  <si>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</si>
  <si>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</si>
  <si>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</si>
  <si>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</si>
  <si>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</si>
  <si>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</si>
  <si>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</si>
  <si>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</si>
  <si>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</si>
  <si>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</si>
  <si>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</si>
  <si>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</si>
  <si>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</si>
  <si>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</si>
  <si>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</si>
  <si>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</si>
  <si>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</si>
  <si>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</si>
  <si>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</si>
  <si>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</si>
  <si>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</si>
  <si>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</si>
  <si>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</si>
  <si>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</si>
  <si>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</si>
  <si>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</si>
  <si>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</si>
  <si>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</si>
  <si>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</si>
  <si>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</si>
  <si>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</si>
  <si>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</si>
  <si>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</si>
  <si>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</si>
  <si>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</si>
  <si>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</si>
  <si>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</si>
  <si>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</si>
  <si>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</si>
  <si>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</si>
  <si>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</si>
  <si>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</si>
  <si>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</si>
  <si>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</si>
  <si>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</si>
  <si>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</si>
  <si>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</si>
  <si>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</si>
  <si>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</si>
  <si>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</si>
  <si>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</si>
  <si>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</si>
  <si>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</si>
  <si>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</si>
  <si>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</si>
  <si>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</si>
  <si>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</si>
  <si>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</si>
  <si>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</si>
  <si>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</si>
  <si>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</si>
  <si>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</si>
  <si>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</si>
  <si>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</si>
  <si>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</si>
  <si>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</si>
  <si>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</si>
  <si>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</si>
  <si>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</si>
  <si>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</si>
  <si>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</si>
  <si>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</si>
  <si>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</si>
  <si>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</si>
  <si>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</si>
  <si>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</si>
  <si>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</si>
  <si>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</si>
  <si>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</si>
  <si>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</si>
  <si>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</si>
  <si>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</si>
  <si>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</si>
  <si>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</si>
  <si>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</si>
  <si>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</si>
  <si>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</si>
  <si>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</si>
  <si>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</si>
  <si>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</si>
  <si>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</si>
  <si>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</si>
  <si>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</si>
  <si>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</si>
  <si>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</si>
  <si>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</si>
  <si>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</si>
  <si>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</si>
  <si>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</si>
  <si>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</si>
  <si>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</si>
  <si>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</si>
  <si>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</si>
  <si>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</si>
  <si>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</si>
  <si>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</si>
  <si>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</si>
  <si>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</si>
  <si>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</si>
  <si>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</si>
  <si>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</si>
  <si>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</si>
  <si>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</si>
  <si>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</si>
  <si>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</si>
  <si>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</si>
  <si>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</si>
  <si>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</si>
  <si>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</si>
  <si>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</si>
  <si>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</si>
  <si>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</si>
  <si>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</si>
  <si>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</si>
  <si>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</si>
  <si>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</si>
  <si>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</si>
  <si>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</si>
  <si>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</si>
  <si>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</si>
  <si>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</si>
  <si>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</si>
  <si>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</si>
  <si>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</si>
  <si>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</si>
  <si>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</si>
  <si>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</si>
  <si>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</si>
  <si>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</si>
  <si>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</si>
  <si>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</si>
  <si>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</si>
  <si>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</si>
  <si>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</si>
  <si>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</si>
  <si>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</si>
  <si>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</si>
  <si>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</si>
  <si>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</si>
  <si>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</si>
  <si>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</si>
  <si>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</si>
  <si>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</si>
  <si>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</si>
  <si>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</si>
  <si>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</si>
  <si>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</si>
  <si>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</si>
  <si>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</si>
  <si>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</si>
  <si>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</si>
  <si>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</si>
  <si>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</si>
  <si>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</si>
  <si>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</si>
  <si>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</si>
  <si>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</si>
  <si>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</si>
  <si>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</si>
  <si>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</si>
  <si>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</si>
  <si>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</si>
  <si>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</si>
  <si>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</si>
  <si>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</si>
  <si>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</si>
  <si>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</si>
  <si>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</si>
  <si>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</si>
  <si>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</si>
  <si>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</si>
  <si>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</si>
  <si>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</si>
  <si>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</si>
  <si>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</si>
  <si>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</si>
  <si>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</si>
  <si>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</si>
  <si>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</si>
  <si>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</si>
  <si>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</si>
  <si>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</si>
  <si>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</si>
  <si>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</si>
  <si>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</si>
  <si>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</si>
  <si>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</si>
  <si>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</si>
  <si>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</si>
  <si>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</si>
  <si>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</si>
  <si>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</si>
  <si>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</si>
  <si>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</si>
  <si>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</si>
  <si>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</si>
  <si>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</si>
  <si>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</si>
  <si>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</si>
  <si>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</si>
  <si>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</si>
  <si>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</si>
  <si>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</si>
  <si>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</si>
  <si>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</si>
  <si>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</si>
  <si>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</si>
  <si>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</si>
  <si>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</si>
  <si>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</si>
  <si>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</si>
  <si>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</si>
  <si>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</si>
  <si>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</si>
  <si>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</si>
  <si>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</si>
  <si>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</si>
  <si>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</si>
  <si>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</si>
  <si>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</si>
  <si>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</si>
  <si>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</si>
  <si>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</si>
  <si>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</si>
  <si>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</si>
  <si>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</si>
  <si>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</si>
  <si>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</si>
  <si>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</si>
  <si>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</si>
  <si>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</si>
  <si>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</si>
  <si>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</si>
  <si>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</si>
  <si>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</si>
  <si>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</si>
  <si>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</si>
  <si>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</si>
  <si>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</si>
  <si>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</si>
  <si>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</si>
  <si>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</si>
  <si>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</si>
  <si>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</si>
  <si>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</si>
  <si>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</si>
  <si>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</si>
  <si>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</si>
  <si>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</si>
  <si>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</si>
  <si>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</si>
  <si>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</si>
  <si>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</si>
  <si>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</si>
  <si>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</si>
  <si>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</si>
  <si>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</si>
  <si>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</si>
  <si>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</si>
  <si>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</si>
  <si>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</si>
  <si>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</si>
  <si>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</si>
  <si>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</si>
  <si>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</si>
  <si>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</si>
  <si>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</si>
  <si>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</si>
  <si>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</si>
  <si>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</si>
  <si>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</si>
  <si>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</si>
  <si>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</si>
  <si>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</si>
  <si>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</si>
  <si>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</si>
  <si>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</si>
  <si>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</si>
  <si>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</si>
  <si>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</si>
  <si>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</si>
  <si>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</si>
  <si>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</si>
  <si>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</si>
  <si>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</si>
  <si>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</si>
  <si>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</si>
  <si>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</si>
  <si>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</si>
  <si>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</si>
  <si>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</si>
  <si>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</si>
  <si>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</si>
  <si>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</si>
  <si>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</si>
  <si>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</si>
  <si>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</si>
  <si>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</si>
  <si>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</si>
  <si>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</si>
  <si>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</si>
  <si>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</si>
  <si>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</si>
  <si>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</si>
  <si>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</si>
  <si>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</si>
  <si>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</si>
  <si>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</si>
  <si>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</si>
  <si>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</si>
  <si>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</si>
  <si>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</si>
  <si>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</si>
  <si>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</si>
  <si>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</si>
  <si>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</si>
  <si>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</si>
  <si>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</si>
  <si>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</si>
  <si>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</si>
  <si>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</si>
  <si>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</si>
  <si>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</si>
  <si>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</si>
  <si>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</si>
  <si>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</si>
  <si>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</si>
  <si>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</si>
  <si>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</si>
  <si>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</si>
  <si>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</si>
  <si>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</si>
  <si>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</si>
  <si>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</si>
  <si>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</si>
  <si>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</si>
  <si>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</si>
  <si>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</si>
  <si>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</si>
  <si>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</si>
  <si>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</si>
  <si>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</si>
  <si>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</si>
  <si>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</si>
  <si>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</si>
  <si>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</si>
  <si>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</si>
  <si>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</si>
  <si>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</si>
  <si>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</si>
  <si>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</si>
  <si>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</si>
  <si>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</si>
  <si>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</si>
  <si>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</si>
  <si>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</si>
  <si>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</si>
  <si>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</si>
  <si>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</si>
  <si>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</si>
  <si>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</si>
  <si>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</si>
  <si>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</si>
  <si>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</si>
  <si>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</si>
  <si>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</si>
  <si>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</si>
  <si>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</si>
  <si>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</si>
  <si>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</si>
  <si>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</si>
  <si>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</si>
  <si>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</si>
  <si>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</si>
  <si>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</si>
  <si>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</si>
  <si>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</si>
  <si>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</si>
  <si>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</si>
  <si>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</si>
  <si>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</si>
  <si>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</si>
  <si>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</si>
  <si>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</si>
  <si>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</si>
  <si>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</si>
  <si>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</si>
  <si>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</si>
  <si>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</si>
  <si>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</si>
  <si>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</si>
  <si>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</si>
  <si>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</si>
  <si>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</si>
  <si>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</si>
  <si>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</si>
  <si>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</si>
  <si>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</si>
  <si>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</si>
  <si>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</si>
  <si>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</si>
  <si>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</si>
  <si>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</si>
  <si>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</si>
  <si>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</si>
  <si>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</si>
  <si>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</si>
  <si>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</si>
  <si>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</si>
  <si>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</si>
  <si>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</si>
  <si>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</si>
  <si>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</si>
  <si>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</si>
  <si>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</si>
  <si>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</si>
  <si>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</si>
  <si>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</si>
  <si>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</si>
  <si>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</si>
  <si>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</si>
  <si>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</si>
  <si>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</si>
  <si>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</si>
  <si>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</si>
  <si>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</si>
  <si>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</si>
  <si>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</si>
  <si>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</si>
  <si>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</si>
  <si>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</si>
  <si>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</si>
  <si>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</si>
  <si>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</si>
  <si>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</si>
  <si>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</si>
  <si>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</si>
  <si>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</si>
  <si>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</si>
  <si>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</si>
  <si>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</si>
  <si>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</si>
  <si>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</si>
  <si>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</si>
  <si>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</si>
  <si>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</si>
  <si>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</si>
  <si>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</si>
  <si>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</si>
  <si>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</si>
  <si>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</si>
  <si>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</si>
  <si>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</si>
  <si>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</si>
  <si>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</si>
  <si>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</si>
  <si>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</si>
  <si>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</si>
  <si>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</si>
  <si>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</si>
  <si>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</si>
  <si>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</si>
  <si>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</si>
  <si>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</si>
  <si>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</si>
  <si>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</si>
  <si>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</si>
  <si>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</si>
  <si>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</si>
  <si>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</si>
  <si>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</si>
  <si>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</si>
  <si>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</si>
  <si>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</si>
  <si>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</si>
  <si>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</si>
  <si>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</si>
  <si>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</si>
  <si>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</si>
  <si>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</si>
  <si>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</si>
  <si>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</si>
  <si>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</si>
  <si>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</si>
  <si>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</si>
  <si>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</si>
  <si>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</si>
  <si>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</si>
  <si>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</si>
  <si>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</si>
  <si>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</si>
  <si>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</si>
  <si>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</si>
  <si>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</si>
  <si>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</si>
  <si>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</si>
  <si>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</si>
  <si>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</si>
  <si>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</si>
  <si>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</si>
  <si>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</si>
  <si>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</si>
  <si>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</si>
  <si>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</si>
  <si>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</si>
  <si>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</si>
  <si>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</si>
  <si>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</si>
  <si>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</si>
  <si>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</si>
  <si>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</si>
  <si>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</si>
  <si>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</si>
  <si>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</si>
  <si>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</si>
  <si>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</si>
  <si>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</si>
  <si>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</si>
  <si>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</si>
  <si>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</si>
  <si>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</si>
  <si>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</si>
  <si>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</si>
  <si>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</si>
  <si>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</si>
  <si>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</si>
  <si>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</si>
  <si>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</si>
  <si>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</si>
  <si>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</si>
  <si>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</si>
  <si>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</si>
  <si>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</si>
  <si>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</si>
  <si>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</si>
  <si>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</si>
  <si>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</si>
  <si>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</si>
  <si>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</si>
  <si>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</si>
  <si>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</si>
  <si>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</si>
  <si>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</si>
  <si>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</si>
  <si>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</si>
  <si>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</si>
  <si>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</si>
  <si>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</si>
  <si>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</si>
  <si>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</si>
  <si>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</si>
  <si>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</si>
  <si>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</si>
  <si>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</si>
  <si>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</si>
  <si>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</si>
  <si>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</si>
  <si>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</si>
  <si>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</si>
  <si>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</si>
  <si>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</si>
  <si>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</si>
  <si>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</si>
  <si>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</si>
  <si>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</si>
  <si>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</si>
  <si>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</si>
  <si>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</si>
  <si>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</si>
  <si>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</si>
  <si>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</si>
  <si>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</si>
  <si>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</si>
  <si>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</si>
  <si>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</si>
  <si>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</si>
  <si>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</si>
  <si>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</si>
  <si>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</si>
  <si>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</si>
  <si>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</si>
  <si>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</si>
  <si>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</si>
  <si>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</si>
  <si>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</si>
  <si>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</si>
  <si>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</si>
  <si>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</si>
  <si>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</si>
  <si>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</si>
  <si>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</si>
  <si>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</si>
  <si>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</si>
  <si>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</si>
  <si>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</si>
  <si>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</si>
  <si>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</si>
  <si>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</si>
  <si>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</si>
  <si>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</si>
  <si>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</si>
  <si>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</si>
  <si>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</si>
  <si>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</si>
  <si>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</si>
  <si>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</si>
  <si>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</si>
  <si>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</si>
  <si>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</si>
  <si>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</si>
  <si>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</si>
  <si>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</si>
  <si>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</si>
  <si>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</si>
  <si>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</si>
  <si>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</si>
  <si>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</si>
  <si>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</si>
  <si>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</si>
  <si>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</si>
  <si>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</si>
  <si>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</si>
  <si>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</si>
  <si>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</si>
  <si>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</si>
  <si>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</si>
  <si>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</si>
  <si>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</si>
  <si>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</si>
  <si>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</si>
  <si>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</si>
  <si>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</si>
  <si>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</si>
  <si>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</si>
  <si>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</si>
  <si>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</si>
  <si>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</si>
  <si>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</si>
  <si>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</si>
  <si>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</si>
  <si>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</si>
  <si>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</si>
  <si>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</si>
  <si>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</si>
  <si>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</si>
  <si>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</si>
  <si>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</si>
  <si>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</si>
  <si>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</si>
  <si>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</si>
  <si>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</si>
  <si>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</si>
  <si>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</si>
  <si>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</si>
  <si>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</si>
  <si>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20/11/2025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</si>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</sst>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sz val="12.0"/>
      <color rgb="FFFFFFFF"/>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4">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9" numFmtId="0" xfId="0" applyAlignment="1" applyFont="1">
      <alignment horizontal="center" vertical="center"/>
    </xf>
    <xf borderId="0" fillId="3" fontId="4" numFmtId="164" xfId="0" applyAlignment="1" applyFont="1" applyNumberFormat="1">
      <alignment horizontal="center" readingOrder="0" shrinkToFit="0" wrapText="1"/>
    </xf>
    <xf borderId="0" fillId="0" fontId="10" numFmtId="0" xfId="0" applyAlignment="1" applyFont="1">
      <alignment vertical="top"/>
    </xf>
    <xf borderId="0" fillId="4" fontId="11" numFmtId="0" xfId="0" applyAlignment="1" applyFill="1" applyFont="1">
      <alignment vertical="top"/>
    </xf>
    <xf borderId="0" fillId="4" fontId="10" numFmtId="0" xfId="0" applyAlignment="1" applyFont="1">
      <alignment vertical="top"/>
    </xf>
    <xf borderId="0" fillId="4" fontId="10" numFmtId="164" xfId="0" applyAlignment="1" applyFont="1" applyNumberFormat="1">
      <alignment vertical="top"/>
    </xf>
    <xf borderId="0" fillId="4" fontId="10" numFmtId="0" xfId="0" applyAlignment="1" applyFont="1">
      <alignment vertical="top"/>
    </xf>
    <xf borderId="0" fillId="0" fontId="10"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0"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0"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0" numFmtId="0" xfId="0" applyAlignment="1" applyFont="1">
      <alignment vertical="top"/>
    </xf>
    <xf borderId="0" fillId="5" fontId="10"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0" numFmtId="165" xfId="0" applyAlignment="1" applyFont="1" applyNumberFormat="1">
      <alignment vertical="top"/>
    </xf>
    <xf borderId="0" fillId="4" fontId="10"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0" numFmtId="4" xfId="0" applyAlignment="1" applyFont="1" applyNumberFormat="1">
      <alignment vertical="top"/>
    </xf>
    <xf borderId="0" fillId="5" fontId="10" numFmtId="4" xfId="0" applyAlignment="1" applyFont="1" applyNumberFormat="1">
      <alignment vertical="top"/>
    </xf>
    <xf borderId="0" fillId="7" fontId="13"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1" numFmtId="0" xfId="0" applyAlignment="1" applyFont="1">
      <alignment vertical="top"/>
    </xf>
    <xf borderId="0" fillId="4" fontId="10"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0" numFmtId="165" xfId="0" applyAlignment="1" applyFont="1" applyNumberFormat="1">
      <alignment vertical="top"/>
    </xf>
    <xf borderId="0" fillId="4" fontId="10" numFmtId="0" xfId="0" applyAlignment="1" applyFont="1">
      <alignment vertical="top"/>
    </xf>
    <xf borderId="0" fillId="0" fontId="10"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10" numFmtId="10" xfId="0" applyAlignment="1" applyFont="1" applyNumberFormat="1">
      <alignment vertical="center"/>
    </xf>
    <xf borderId="0" fillId="11" fontId="4" numFmtId="0" xfId="0" applyAlignment="1" applyFill="1" applyFont="1">
      <alignment vertical="top"/>
    </xf>
    <xf borderId="0" fillId="11" fontId="10" numFmtId="0" xfId="0" applyAlignment="1" applyFont="1">
      <alignment vertical="top"/>
    </xf>
    <xf borderId="0" fillId="11" fontId="10" numFmtId="164" xfId="0" applyFont="1" applyNumberFormat="1"/>
    <xf borderId="0" fillId="11" fontId="10" numFmtId="0" xfId="0" applyFont="1"/>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0" numFmtId="0" xfId="0" applyAlignment="1" applyFont="1">
      <alignment vertical="top"/>
    </xf>
    <xf borderId="0" fillId="8" fontId="14" numFmtId="0" xfId="0" applyAlignment="1" applyFont="1">
      <alignment vertical="bottom"/>
    </xf>
    <xf borderId="0" fillId="6" fontId="14" numFmtId="0" xfId="0" applyAlignment="1" applyFont="1">
      <alignment vertical="bottom"/>
    </xf>
    <xf borderId="0" fillId="4" fontId="10" numFmtId="0" xfId="0" applyAlignment="1" applyFont="1">
      <alignment vertical="top"/>
    </xf>
    <xf borderId="0" fillId="4" fontId="10" numFmtId="0" xfId="0" applyAlignment="1" applyFont="1">
      <alignment vertical="top"/>
    </xf>
    <xf borderId="0" fillId="9" fontId="14" numFmtId="0" xfId="0" applyAlignment="1" applyFont="1">
      <alignment vertical="bottom"/>
    </xf>
    <xf borderId="0" fillId="4" fontId="10" numFmtId="10" xfId="0" applyAlignment="1" applyFont="1" applyNumberFormat="1">
      <alignment vertical="top"/>
    </xf>
    <xf borderId="0" fillId="7" fontId="10" numFmtId="0" xfId="0" applyAlignment="1" applyFont="1">
      <alignment vertical="top"/>
    </xf>
    <xf borderId="0" fillId="5" fontId="33" numFmtId="0" xfId="0" applyAlignment="1" applyFont="1">
      <alignment vertical="top"/>
    </xf>
    <xf borderId="0" fillId="5" fontId="10" numFmtId="0" xfId="0" applyAlignment="1" applyFont="1">
      <alignment vertical="top"/>
    </xf>
    <xf borderId="0" fillId="7" fontId="34" numFmtId="0" xfId="0" applyAlignment="1" applyFont="1">
      <alignment vertical="top"/>
    </xf>
    <xf borderId="0" fillId="7" fontId="10" numFmtId="0" xfId="0" applyAlignment="1" applyFont="1">
      <alignment vertical="top"/>
    </xf>
    <xf borderId="0" fillId="11" fontId="10" numFmtId="0" xfId="0" applyAlignment="1" applyFont="1">
      <alignment vertical="top"/>
    </xf>
    <xf borderId="0" fillId="11" fontId="10" numFmtId="10" xfId="0" applyFont="1" applyNumberFormat="1"/>
    <xf borderId="0" fillId="6" fontId="14" numFmtId="10" xfId="0" applyAlignment="1" applyFont="1" applyNumberFormat="1">
      <alignment vertical="bottom"/>
    </xf>
    <xf borderId="0" fillId="5" fontId="14" numFmtId="0" xfId="0" applyAlignment="1" applyFont="1">
      <alignment vertical="top"/>
    </xf>
    <xf borderId="0" fillId="8" fontId="14" numFmtId="164" xfId="0" applyAlignment="1" applyFont="1" applyNumberFormat="1">
      <alignment vertical="bottom"/>
    </xf>
    <xf borderId="0" fillId="5" fontId="10" numFmtId="0" xfId="0" applyAlignment="1" applyFont="1">
      <alignment vertical="bottom"/>
    </xf>
    <xf borderId="0" fillId="5" fontId="10" numFmtId="4" xfId="0" applyAlignment="1" applyFont="1" applyNumberFormat="1">
      <alignment vertical="bottom"/>
    </xf>
    <xf borderId="0" fillId="0" fontId="10" numFmtId="0" xfId="0" applyAlignment="1" applyFont="1">
      <alignment vertical="bottom"/>
    </xf>
    <xf borderId="0" fillId="5" fontId="10" numFmtId="164" xfId="0" applyAlignment="1" applyFont="1" applyNumberFormat="1">
      <alignment vertical="bottom"/>
    </xf>
    <xf borderId="0" fillId="0" fontId="10" numFmtId="0" xfId="0" applyAlignment="1" applyFont="1">
      <alignment vertical="top"/>
    </xf>
    <xf borderId="0" fillId="0" fontId="10"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10"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0" numFmtId="164" xfId="0" applyAlignment="1" applyFont="1" applyNumberFormat="1">
      <alignment vertical="top"/>
    </xf>
    <xf borderId="0" fillId="3" fontId="4" numFmtId="0" xfId="0" applyAlignment="1" applyFont="1">
      <alignment horizontal="center" shrinkToFit="0" vertical="center" wrapText="1"/>
    </xf>
    <xf borderId="0" fillId="0" fontId="10" numFmtId="0" xfId="0" applyAlignment="1" applyFont="1">
      <alignment vertical="bottom"/>
    </xf>
    <xf borderId="0" fillId="0" fontId="10" numFmtId="0" xfId="0" applyAlignment="1" applyFont="1">
      <alignment vertical="top"/>
    </xf>
    <xf borderId="0" fillId="5" fontId="12" numFmtId="0" xfId="0" applyAlignment="1" applyFont="1">
      <alignment shrinkToFit="0" vertical="top" wrapText="1"/>
    </xf>
    <xf borderId="0" fillId="5" fontId="14" numFmtId="0" xfId="0" applyAlignment="1" applyFont="1">
      <alignment horizontal="right" vertical="top"/>
    </xf>
    <xf borderId="0" fillId="7" fontId="12" numFmtId="0" xfId="0" applyAlignment="1" applyFont="1">
      <alignment shrinkToFit="0" vertical="top" wrapText="1"/>
    </xf>
    <xf borderId="0" fillId="7"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4" numFmtId="0" xfId="0" applyAlignment="1" applyFont="1">
      <alignment horizontal="center" readingOrder="0" vertical="center"/>
    </xf>
    <xf borderId="0" fillId="5" fontId="16" numFmtId="10" xfId="0" applyAlignment="1" applyFont="1" applyNumberFormat="1">
      <alignment horizontal="right" vertical="top"/>
    </xf>
    <xf borderId="0" fillId="4" fontId="10" numFmtId="165" xfId="0" applyAlignment="1" applyFont="1" applyNumberFormat="1">
      <alignment vertical="top"/>
    </xf>
    <xf borderId="0" fillId="5" fontId="16" numFmtId="10" xfId="0" applyAlignment="1" applyFont="1" applyNumberFormat="1">
      <alignment horizontal="right" readingOrder="0" vertical="top"/>
    </xf>
    <xf borderId="0" fillId="5" fontId="10" numFmtId="0" xfId="0" applyAlignment="1" applyFont="1">
      <alignment vertical="top"/>
    </xf>
    <xf borderId="0" fillId="7" fontId="10" numFmtId="0" xfId="0" applyAlignment="1" applyFont="1">
      <alignment vertical="top"/>
    </xf>
    <xf borderId="0" fillId="6" fontId="10" numFmtId="0" xfId="0" applyAlignment="1" applyFont="1">
      <alignment vertical="top"/>
    </xf>
    <xf borderId="0" fillId="7" fontId="10" numFmtId="164" xfId="0" applyAlignment="1" applyFont="1" applyNumberFormat="1">
      <alignment vertical="top"/>
    </xf>
    <xf borderId="0" fillId="7" fontId="10"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6"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7"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8" numFmtId="0" xfId="0" applyAlignment="1" applyFont="1">
      <alignment vertical="bottom"/>
    </xf>
    <xf borderId="0" fillId="5" fontId="39" numFmtId="0" xfId="0" applyAlignment="1" applyFont="1">
      <alignment vertical="bottom"/>
    </xf>
    <xf borderId="0" fillId="7" fontId="40" numFmtId="0" xfId="0" applyAlignment="1" applyFont="1">
      <alignment vertical="bottom"/>
    </xf>
    <xf borderId="0" fillId="7" fontId="14" numFmtId="10" xfId="0" applyAlignment="1" applyFont="1" applyNumberFormat="1">
      <alignment horizontal="right" vertical="bottom"/>
    </xf>
    <xf borderId="0" fillId="4" fontId="10"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0" numFmtId="2" xfId="0" applyAlignment="1" applyFont="1" applyNumberFormat="1">
      <alignment vertical="top"/>
    </xf>
    <xf borderId="0" fillId="4" fontId="10" numFmtId="2" xfId="0" applyAlignment="1" applyFont="1" applyNumberFormat="1">
      <alignment vertical="top"/>
    </xf>
    <xf borderId="0" fillId="5" fontId="41" numFmtId="0" xfId="0" applyAlignment="1" applyFont="1">
      <alignment readingOrder="0" vertical="bottom"/>
    </xf>
    <xf borderId="0" fillId="7" fontId="42" numFmtId="0" xfId="0" applyAlignment="1" applyFont="1">
      <alignment readingOrder="0" vertical="bottom"/>
    </xf>
    <xf borderId="0" fillId="5" fontId="43" numFmtId="0" xfId="0" applyAlignment="1" applyFont="1">
      <alignment vertical="bottom"/>
    </xf>
    <xf borderId="0" fillId="9" fontId="14" numFmtId="2" xfId="0" applyAlignment="1" applyFont="1" applyNumberFormat="1">
      <alignment horizontal="center" vertical="top"/>
    </xf>
    <xf borderId="0" fillId="5" fontId="44" numFmtId="0" xfId="0" applyAlignment="1" applyFont="1">
      <alignment horizontal="right" vertical="bottom"/>
    </xf>
    <xf borderId="0" fillId="0" fontId="10" numFmtId="4" xfId="0" applyAlignment="1" applyFont="1" applyNumberFormat="1">
      <alignment vertical="bottom"/>
    </xf>
    <xf borderId="0" fillId="0" fontId="10" numFmtId="2" xfId="0" applyAlignment="1" applyFont="1" applyNumberFormat="1">
      <alignment vertical="bottom"/>
    </xf>
    <xf borderId="0" fillId="0" fontId="10" numFmtId="164" xfId="0" applyAlignment="1" applyFont="1" applyNumberFormat="1">
      <alignment vertical="bottom"/>
    </xf>
    <xf borderId="0" fillId="0" fontId="10" numFmtId="10" xfId="0" applyAlignment="1" applyFont="1" applyNumberFormat="1">
      <alignment vertical="bottom"/>
    </xf>
    <xf borderId="0" fillId="7" fontId="10" numFmtId="0" xfId="0" applyAlignment="1" applyFont="1">
      <alignment vertical="bottom"/>
    </xf>
    <xf borderId="0" fillId="7" fontId="10" numFmtId="4" xfId="0" applyAlignment="1" applyFont="1" applyNumberFormat="1">
      <alignment vertical="bottom"/>
    </xf>
    <xf borderId="0" fillId="6" fontId="10" numFmtId="164" xfId="0" applyAlignment="1" applyFont="1" applyNumberFormat="1">
      <alignment vertical="top"/>
    </xf>
    <xf borderId="0" fillId="6" fontId="10" numFmtId="10" xfId="0" applyAlignment="1" applyFont="1" applyNumberFormat="1">
      <alignment vertical="top"/>
    </xf>
    <xf borderId="0" fillId="6" fontId="10" numFmtId="0" xfId="0" applyAlignment="1" applyFont="1">
      <alignment vertical="top"/>
    </xf>
    <xf borderId="0" fillId="3" fontId="9" numFmtId="0" xfId="0" applyAlignment="1" applyFont="1">
      <alignment horizontal="center" vertical="center"/>
    </xf>
    <xf borderId="0" fillId="11" fontId="4" numFmtId="0" xfId="0" applyFont="1"/>
    <xf borderId="0" fillId="11" fontId="10" numFmtId="0" xfId="0" applyFont="1"/>
    <xf borderId="0" fillId="7" fontId="12" numFmtId="0" xfId="0" applyAlignment="1" applyFont="1">
      <alignment vertical="bottom"/>
    </xf>
    <xf borderId="0" fillId="7" fontId="45"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6" numFmtId="0" xfId="0" applyAlignment="1" applyFont="1">
      <alignment vertical="bottom"/>
    </xf>
    <xf borderId="0" fillId="5" fontId="13" numFmtId="0" xfId="0" applyAlignment="1" applyFont="1">
      <alignment vertical="bottom"/>
    </xf>
    <xf borderId="0" fillId="3" fontId="4" numFmtId="164" xfId="0" applyAlignment="1" applyFont="1" applyNumberFormat="1">
      <alignment horizontal="center" shrinkToFit="0" vertical="center" wrapText="1"/>
    </xf>
    <xf borderId="0" fillId="4" fontId="10" numFmtId="10" xfId="0" applyAlignment="1" applyFont="1" applyNumberFormat="1">
      <alignment vertical="top"/>
    </xf>
    <xf borderId="0" fillId="7" fontId="47" numFmtId="0" xfId="0" applyAlignment="1" applyFont="1">
      <alignment shrinkToFit="0" vertical="top" wrapText="0"/>
    </xf>
    <xf borderId="0" fillId="5" fontId="47" numFmtId="0" xfId="0" applyAlignment="1" applyFont="1">
      <alignment shrinkToFit="0" vertical="top" wrapText="0"/>
    </xf>
    <xf borderId="0" fillId="5" fontId="12" numFmtId="0" xfId="0" applyAlignment="1" applyFont="1">
      <alignment shrinkToFit="0" vertical="top" wrapText="0"/>
    </xf>
    <xf borderId="0" fillId="7" fontId="47" numFmtId="0" xfId="0" applyAlignment="1" applyFont="1">
      <alignment readingOrder="0" shrinkToFit="0" vertical="top" wrapText="0"/>
    </xf>
    <xf borderId="0" fillId="5" fontId="13" numFmtId="0" xfId="0" applyAlignment="1" applyFont="1">
      <alignment shrinkToFit="0" vertical="top" wrapText="0"/>
    </xf>
    <xf borderId="0" fillId="7" fontId="47" numFmtId="0" xfId="0" applyAlignment="1" applyFont="1">
      <alignment shrinkToFit="0" vertical="top" wrapText="0"/>
    </xf>
    <xf borderId="0" fillId="5" fontId="10" numFmtId="10" xfId="0" applyAlignment="1" applyFont="1" applyNumberFormat="1">
      <alignment vertical="top"/>
    </xf>
    <xf borderId="0" fillId="7" fontId="48" numFmtId="0" xfId="0" applyAlignment="1" applyFont="1">
      <alignment horizontal="left" readingOrder="0" shrinkToFit="0" vertical="top" wrapText="0"/>
    </xf>
    <xf borderId="0" fillId="7" fontId="10" numFmtId="0" xfId="0" applyAlignment="1" applyFont="1">
      <alignment vertical="top"/>
    </xf>
    <xf borderId="0" fillId="5" fontId="10"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7" numFmtId="0" xfId="0" applyAlignment="1" applyFont="1">
      <alignment shrinkToFit="0" vertical="top" wrapText="0"/>
    </xf>
    <xf borderId="0" fillId="5" fontId="47" numFmtId="0" xfId="0" applyAlignment="1" applyFont="1">
      <alignment vertical="top"/>
    </xf>
    <xf borderId="0" fillId="7" fontId="47" numFmtId="0" xfId="0" applyAlignment="1" applyFont="1">
      <alignment vertical="top"/>
    </xf>
    <xf borderId="0" fillId="7" fontId="10" numFmtId="10" xfId="0" applyAlignment="1" applyFont="1" applyNumberFormat="1">
      <alignment vertical="top"/>
    </xf>
    <xf borderId="0" fillId="7" fontId="47" numFmtId="0" xfId="0" applyAlignment="1" applyFont="1">
      <alignment vertical="top"/>
    </xf>
    <xf borderId="0" fillId="5" fontId="47" numFmtId="0" xfId="0" applyAlignment="1" applyFont="1">
      <alignment readingOrder="0" shrinkToFit="0" vertical="top" wrapText="0"/>
    </xf>
    <xf borderId="0" fillId="5" fontId="13" numFmtId="4" xfId="0" applyAlignment="1" applyFont="1" applyNumberFormat="1">
      <alignment shrinkToFit="0" vertical="top" wrapText="0"/>
    </xf>
    <xf borderId="0" fillId="3" fontId="10"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10" numFmtId="0" xfId="0" applyAlignment="1" applyFont="1">
      <alignment vertical="bottom"/>
    </xf>
    <xf borderId="0" fillId="11" fontId="10" numFmtId="164" xfId="0" applyAlignment="1" applyFont="1" applyNumberFormat="1">
      <alignment vertical="bottom"/>
    </xf>
    <xf borderId="0" fillId="11" fontId="10" numFmtId="10" xfId="0" applyAlignment="1" applyFont="1" applyNumberFormat="1">
      <alignment vertical="bottom"/>
    </xf>
    <xf borderId="0" fillId="4" fontId="11" numFmtId="0" xfId="0" applyAlignment="1" applyFont="1">
      <alignment vertical="bottom"/>
    </xf>
    <xf borderId="0" fillId="4" fontId="10" numFmtId="0" xfId="0" applyAlignment="1" applyFont="1">
      <alignment vertical="bottom"/>
    </xf>
    <xf borderId="0" fillId="4" fontId="10" numFmtId="164" xfId="0" applyAlignment="1" applyFont="1" applyNumberFormat="1">
      <alignment vertical="bottom"/>
    </xf>
    <xf borderId="0" fillId="4" fontId="10"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0" numFmtId="164" xfId="0" applyAlignment="1" applyFont="1" applyNumberFormat="1">
      <alignment vertical="bottom"/>
    </xf>
    <xf borderId="0" fillId="7" fontId="10" numFmtId="10" xfId="0" applyAlignment="1" applyFont="1" applyNumberFormat="1">
      <alignment vertical="bottom"/>
    </xf>
    <xf borderId="0" fillId="0" fontId="10" numFmtId="4" xfId="0" applyAlignment="1" applyFont="1" applyNumberFormat="1">
      <alignment vertical="bottom"/>
    </xf>
    <xf borderId="0" fillId="2" fontId="10" numFmtId="0" xfId="0" applyAlignment="1" applyFont="1">
      <alignment vertical="bottom"/>
    </xf>
    <xf borderId="0" fillId="2" fontId="10" numFmtId="10" xfId="0" applyAlignment="1" applyFont="1" applyNumberFormat="1">
      <alignment vertical="bottom"/>
    </xf>
    <xf borderId="16" fillId="11" fontId="4" numFmtId="0" xfId="0" applyAlignment="1" applyBorder="1" applyFont="1">
      <alignment vertical="top"/>
    </xf>
    <xf borderId="17" fillId="11" fontId="10" numFmtId="0" xfId="0" applyAlignment="1" applyBorder="1" applyFont="1">
      <alignment vertical="top"/>
    </xf>
    <xf borderId="17" fillId="11" fontId="10" numFmtId="164" xfId="0" applyBorder="1" applyFont="1" applyNumberFormat="1"/>
    <xf borderId="17" fillId="11" fontId="10" numFmtId="165" xfId="0" applyBorder="1" applyFont="1" applyNumberFormat="1"/>
    <xf borderId="17" fillId="11" fontId="10" numFmtId="10" xfId="0" applyAlignment="1" applyBorder="1" applyFont="1" applyNumberFormat="1">
      <alignment vertical="top"/>
    </xf>
    <xf borderId="18" fillId="11" fontId="10"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4" numFmtId="0" xfId="0" applyAlignment="1" applyFont="1">
      <alignment vertical="top"/>
    </xf>
    <xf borderId="0" fillId="11" fontId="10" numFmtId="0" xfId="0" applyAlignment="1" applyFont="1">
      <alignment vertical="top"/>
    </xf>
    <xf borderId="0" fillId="11" fontId="10" numFmtId="165" xfId="0" applyFont="1" applyNumberFormat="1"/>
    <xf borderId="0" fillId="11" fontId="10" numFmtId="10" xfId="0" applyAlignment="1" applyFont="1" applyNumberFormat="1">
      <alignment vertical="top"/>
    </xf>
    <xf borderId="18" fillId="11" fontId="10"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2" numFmtId="164" xfId="0" applyAlignment="1" applyFont="1" applyNumberFormat="1">
      <alignment horizontal="right" readingOrder="0" vertical="top"/>
    </xf>
    <xf borderId="17" fillId="11" fontId="10"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6" fillId="11" fontId="52" numFmtId="0" xfId="0" applyBorder="1" applyFont="1"/>
    <xf borderId="17" fillId="0" fontId="2" numFmtId="0" xfId="0" applyBorder="1" applyFont="1"/>
    <xf borderId="0" fillId="9" fontId="14" numFmtId="0" xfId="0" applyAlignment="1" applyFont="1">
      <alignment horizontal="center" vertical="center"/>
    </xf>
    <xf borderId="0" fillId="0" fontId="10" numFmtId="0" xfId="0" applyAlignment="1" applyFont="1">
      <alignment vertical="top"/>
    </xf>
    <xf borderId="0" fillId="0" fontId="10" numFmtId="164" xfId="0" applyAlignment="1" applyFont="1" applyNumberFormat="1">
      <alignment vertical="bottom"/>
    </xf>
    <xf borderId="0" fillId="0" fontId="10" numFmtId="165" xfId="0" applyAlignment="1" applyFont="1" applyNumberFormat="1">
      <alignment vertical="bottom"/>
    </xf>
    <xf borderId="0" fillId="0" fontId="10" numFmtId="10" xfId="0" applyAlignment="1" applyFont="1" applyNumberFormat="1">
      <alignment vertical="top"/>
    </xf>
    <xf borderId="0" fillId="0" fontId="10" numFmtId="0" xfId="0" applyAlignment="1" applyFont="1">
      <alignment horizontal="center" vertical="top"/>
    </xf>
    <xf borderId="0" fillId="4" fontId="11" numFmtId="0" xfId="0" applyAlignment="1" applyFont="1">
      <alignment vertical="center"/>
    </xf>
    <xf borderId="0" fillId="4" fontId="10" numFmtId="0" xfId="0" applyAlignment="1" applyFont="1">
      <alignment vertical="center"/>
    </xf>
    <xf borderId="0" fillId="7" fontId="12" numFmtId="0" xfId="0" applyAlignment="1" applyFont="1">
      <alignment vertical="center"/>
    </xf>
    <xf borderId="0" fillId="7" fontId="53"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4" numFmtId="0" xfId="0" applyAlignment="1" applyFont="1">
      <alignment vertical="center"/>
    </xf>
    <xf borderId="0" fillId="5" fontId="14" numFmtId="10" xfId="0" applyAlignment="1" applyFont="1" applyNumberFormat="1">
      <alignment horizontal="right" vertical="center"/>
    </xf>
    <xf borderId="0" fillId="7" fontId="10" numFmtId="0" xfId="0" applyAlignment="1" applyFont="1">
      <alignment vertical="center"/>
    </xf>
    <xf borderId="0" fillId="5" fontId="10" numFmtId="10" xfId="0" applyAlignment="1" applyFont="1" applyNumberFormat="1">
      <alignment vertical="center"/>
    </xf>
    <xf borderId="0" fillId="6" fontId="10" numFmtId="0" xfId="0" applyAlignment="1" applyFont="1">
      <alignment vertical="top"/>
    </xf>
    <xf borderId="0" fillId="7" fontId="55" numFmtId="0" xfId="0" applyAlignment="1" applyFont="1">
      <alignment vertical="center"/>
    </xf>
    <xf borderId="0" fillId="4" fontId="10" numFmtId="164" xfId="0" applyAlignment="1" applyFont="1" applyNumberFormat="1">
      <alignment vertical="center"/>
    </xf>
    <xf borderId="0" fillId="0" fontId="10" numFmtId="0" xfId="0" applyAlignment="1" applyFont="1">
      <alignment vertical="center"/>
    </xf>
    <xf borderId="0" fillId="0" fontId="10" numFmtId="2" xfId="0" applyAlignment="1" applyFont="1" applyNumberFormat="1">
      <alignment vertical="bottom"/>
    </xf>
    <xf borderId="0" fillId="0" fontId="10" numFmtId="2" xfId="0" applyAlignment="1" applyFont="1" applyNumberFormat="1">
      <alignment vertical="center"/>
    </xf>
    <xf borderId="0" fillId="0" fontId="10" numFmtId="164" xfId="0" applyAlignment="1" applyFont="1" applyNumberFormat="1">
      <alignment vertical="center"/>
    </xf>
    <xf borderId="0" fillId="0" fontId="10" numFmtId="4" xfId="0" applyAlignment="1" applyFont="1" applyNumberFormat="1">
      <alignment vertical="center"/>
    </xf>
    <xf borderId="0" fillId="3" fontId="9" numFmtId="3" xfId="0" applyAlignment="1" applyFont="1" applyNumberFormat="1">
      <alignment horizontal="center" readingOrder="0" vertical="center"/>
    </xf>
    <xf borderId="0" fillId="7" fontId="10"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0" numFmtId="4" xfId="0" applyAlignment="1" applyFont="1" applyNumberFormat="1">
      <alignment vertical="top"/>
    </xf>
    <xf borderId="0" fillId="0" fontId="14" numFmtId="0" xfId="0" applyAlignment="1" applyFont="1">
      <alignment horizontal="center" vertical="top"/>
    </xf>
    <xf borderId="0" fillId="4" fontId="10" numFmtId="0" xfId="0" applyAlignment="1" applyFont="1">
      <alignment readingOrder="0" vertical="top"/>
    </xf>
    <xf borderId="0" fillId="5" fontId="12" numFmtId="4" xfId="0" applyAlignment="1" applyFont="1" applyNumberFormat="1">
      <alignment readingOrder="0" vertical="bottom"/>
    </xf>
    <xf borderId="0" fillId="5" fontId="56" numFmtId="0" xfId="0" applyAlignment="1" applyFont="1">
      <alignment readingOrder="0" vertical="bottom"/>
    </xf>
    <xf borderId="0" fillId="7" fontId="10"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3" fontId="4" numFmtId="10" xfId="0" applyAlignment="1" applyFont="1" applyNumberFormat="1">
      <alignment horizontal="center"/>
    </xf>
    <xf borderId="0" fillId="5" fontId="16" numFmtId="10" xfId="0" applyAlignment="1" applyFont="1" applyNumberFormat="1">
      <alignment horizontal="right" vertical="bottom"/>
    </xf>
    <xf borderId="0" fillId="7" fontId="10" numFmtId="10" xfId="0" applyAlignment="1" applyFont="1" applyNumberFormat="1">
      <alignment vertical="bottom"/>
    </xf>
    <xf borderId="0" fillId="7" fontId="12" numFmtId="0" xfId="0" applyAlignment="1" applyFont="1">
      <alignment readingOrder="0" vertical="top"/>
    </xf>
    <xf borderId="0" fillId="7" fontId="14" numFmtId="10" xfId="0" applyAlignment="1" applyFont="1" applyNumberFormat="1">
      <alignment horizontal="right" readingOrder="0" vertical="top"/>
    </xf>
    <xf borderId="0" fillId="5" fontId="14" numFmtId="10" xfId="0" applyAlignment="1" applyFont="1" applyNumberFormat="1">
      <alignment horizontal="right" readingOrder="0" vertical="top"/>
    </xf>
    <xf borderId="0" fillId="0" fontId="10"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10" numFmtId="4" xfId="0" applyAlignment="1" applyFont="1" applyNumberFormat="1">
      <alignment vertical="top"/>
    </xf>
    <xf borderId="0" fillId="9" fontId="14" numFmtId="0" xfId="0" applyAlignment="1" applyFont="1">
      <alignment horizontal="center" vertical="top"/>
    </xf>
    <xf borderId="0" fillId="8" fontId="14" numFmtId="0" xfId="0" applyAlignment="1" applyFont="1">
      <alignment horizontal="center" vertical="top"/>
    </xf>
    <xf borderId="0" fillId="5" fontId="10" numFmtId="4" xfId="0" applyAlignment="1" applyFont="1" applyNumberFormat="1">
      <alignment vertical="top"/>
    </xf>
    <xf borderId="0" fillId="11" fontId="10" numFmtId="10" xfId="0" applyAlignment="1" applyFont="1" applyNumberFormat="1">
      <alignment vertical="top"/>
    </xf>
    <xf borderId="0" fillId="4" fontId="57" numFmtId="0" xfId="0" applyAlignment="1" applyFont="1">
      <alignment vertical="top"/>
    </xf>
    <xf borderId="0" fillId="7" fontId="12" numFmtId="4" xfId="0" applyAlignment="1" applyFont="1" applyNumberFormat="1">
      <alignment vertical="top"/>
    </xf>
    <xf borderId="0" fillId="5" fontId="10" numFmtId="4" xfId="0" applyAlignment="1" applyFont="1" applyNumberFormat="1">
      <alignment vertical="top"/>
    </xf>
    <xf borderId="0" fillId="5" fontId="10" numFmtId="0" xfId="0" applyAlignment="1" applyFont="1">
      <alignment vertical="top"/>
    </xf>
    <xf borderId="0" fillId="5" fontId="10" numFmtId="10" xfId="0" applyAlignment="1" applyFont="1" applyNumberFormat="1">
      <alignment vertical="top"/>
    </xf>
    <xf borderId="0" fillId="9" fontId="10" numFmtId="0" xfId="0" applyAlignment="1" applyFont="1">
      <alignment vertical="top"/>
    </xf>
    <xf borderId="0" fillId="9" fontId="10" numFmtId="164" xfId="0" applyAlignment="1" applyFont="1" applyNumberFormat="1">
      <alignment vertical="top"/>
    </xf>
    <xf borderId="0" fillId="9" fontId="10" numFmtId="2" xfId="0" applyAlignment="1" applyFont="1" applyNumberFormat="1">
      <alignment vertical="top"/>
    </xf>
    <xf borderId="0" fillId="7" fontId="10" numFmtId="164" xfId="0" applyAlignment="1" applyFont="1" applyNumberFormat="1">
      <alignment vertical="bottom"/>
    </xf>
    <xf borderId="0" fillId="0" fontId="10" numFmtId="0" xfId="0" applyAlignment="1" applyFont="1">
      <alignment vertical="center"/>
    </xf>
    <xf borderId="19" fillId="11" fontId="4" numFmtId="0" xfId="0" applyAlignment="1" applyBorder="1" applyFont="1">
      <alignment shrinkToFit="0" vertical="top" wrapText="0"/>
    </xf>
    <xf borderId="19" fillId="11" fontId="10" numFmtId="0" xfId="0" applyAlignment="1" applyBorder="1" applyFont="1">
      <alignment vertical="top"/>
    </xf>
    <xf borderId="0" fillId="0" fontId="10" numFmtId="166" xfId="0" applyAlignment="1" applyFont="1" applyNumberFormat="1">
      <alignment vertical="top"/>
    </xf>
    <xf borderId="16" fillId="4" fontId="11" numFmtId="0" xfId="0" applyAlignment="1" applyBorder="1" applyFont="1">
      <alignment vertical="top"/>
    </xf>
    <xf borderId="17" fillId="4" fontId="10" numFmtId="0" xfId="0" applyAlignment="1" applyBorder="1" applyFont="1">
      <alignment vertical="top"/>
    </xf>
    <xf borderId="17" fillId="4" fontId="10" numFmtId="0" xfId="0" applyAlignment="1" applyBorder="1" applyFont="1">
      <alignment vertical="top"/>
    </xf>
    <xf borderId="18" fillId="4" fontId="10" numFmtId="0" xfId="0" applyAlignment="1" applyBorder="1" applyFont="1">
      <alignment vertical="top"/>
    </xf>
    <xf borderId="0" fillId="7" fontId="13" numFmtId="0" xfId="0" applyAlignment="1" applyFont="1">
      <alignment vertical="bottom"/>
    </xf>
    <xf borderId="0" fillId="9" fontId="14" numFmtId="0" xfId="0" applyAlignment="1" applyFont="1">
      <alignment vertical="top"/>
    </xf>
    <xf borderId="20" fillId="4" fontId="11" numFmtId="0" xfId="0" applyAlignment="1" applyBorder="1" applyFont="1">
      <alignment vertical="top"/>
    </xf>
    <xf borderId="19" fillId="4" fontId="10" numFmtId="0" xfId="0" applyAlignment="1" applyBorder="1" applyFont="1">
      <alignment vertical="top"/>
    </xf>
    <xf borderId="21" fillId="4" fontId="10" numFmtId="0" xfId="0" applyAlignment="1" applyBorder="1" applyFont="1">
      <alignment vertical="top"/>
    </xf>
    <xf borderId="0" fillId="2" fontId="10" numFmtId="0" xfId="0" applyAlignment="1" applyFont="1">
      <alignment vertical="top"/>
    </xf>
    <xf borderId="0" fillId="2" fontId="10" numFmtId="166" xfId="0" applyAlignment="1" applyFont="1" applyNumberFormat="1">
      <alignment vertical="top"/>
    </xf>
    <xf borderId="0" fillId="8" fontId="14" numFmtId="0" xfId="0" applyAlignment="1" applyFont="1">
      <alignment vertical="top"/>
    </xf>
    <xf borderId="0" fillId="11" fontId="10" numFmtId="0" xfId="0" applyAlignment="1" applyFont="1">
      <alignment vertical="top"/>
    </xf>
    <xf borderId="0" fillId="4" fontId="11" numFmtId="0" xfId="0" applyAlignment="1" applyFont="1">
      <alignment readingOrder="0" vertical="top"/>
    </xf>
    <xf borderId="0" fillId="6" fontId="14" numFmtId="0" xfId="0" applyAlignment="1" applyFont="1">
      <alignment vertical="top"/>
    </xf>
    <xf borderId="0" fillId="11" fontId="4" numFmtId="0" xfId="0" applyAlignment="1" applyFont="1">
      <alignment shrinkToFit="0" vertical="top" wrapText="0"/>
    </xf>
    <xf borderId="0" fillId="12" fontId="10"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3"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20/11/2025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26" t="s">
        <v>24</v>
      </c>
      <c r="C1" s="8" t="s">
        <v>25</v>
      </c>
      <c r="D1" s="27" t="s">
        <v>26</v>
      </c>
      <c r="E1" s="27" t="s">
        <v>27</v>
      </c>
      <c r="F1" s="8" t="s">
        <v>28</v>
      </c>
      <c r="G1" s="8" t="s">
        <v>29</v>
      </c>
      <c r="H1" s="28"/>
      <c r="I1" s="28"/>
      <c r="J1" s="28"/>
      <c r="K1" s="28"/>
      <c r="L1" s="28"/>
      <c r="M1" s="28"/>
      <c r="N1" s="28"/>
      <c r="O1" s="28"/>
      <c r="P1" s="28"/>
      <c r="Q1" s="28"/>
      <c r="R1" s="28"/>
      <c r="S1" s="28"/>
    </row>
    <row r="2" ht="15.75" customHeight="1">
      <c r="A2" s="29" t="s">
        <v>30</v>
      </c>
      <c r="C2" s="30"/>
      <c r="D2" s="31"/>
      <c r="E2" s="32"/>
      <c r="F2" s="30"/>
      <c r="G2" s="30"/>
      <c r="H2" s="33"/>
      <c r="I2" s="28"/>
      <c r="J2" s="33"/>
      <c r="K2" s="28"/>
      <c r="L2" s="33"/>
      <c r="M2" s="28"/>
      <c r="N2" s="28"/>
      <c r="O2" s="28"/>
      <c r="P2" s="28"/>
      <c r="Q2" s="28"/>
      <c r="R2" s="28"/>
      <c r="S2" s="28"/>
    </row>
    <row r="3" ht="15.75" customHeight="1">
      <c r="A3" s="34" t="s">
        <v>31</v>
      </c>
      <c r="B3" s="34" t="s">
        <v>32</v>
      </c>
      <c r="C3" s="35" t="s">
        <v>33</v>
      </c>
      <c r="D3" s="36" t="s">
        <v>34</v>
      </c>
      <c r="E3" s="37" t="s">
        <v>35</v>
      </c>
      <c r="F3" s="38">
        <v>0.21</v>
      </c>
      <c r="G3" s="39" t="str">
        <f>IFERROR(VLOOKUP("HD206",STOCK!$B$1:$Q$5647,3,FALSE),"SIN STOCK")</f>
        <v>SIN STOCK</v>
      </c>
      <c r="H3" s="28"/>
      <c r="I3" s="28"/>
      <c r="J3" s="40"/>
      <c r="K3" s="40"/>
      <c r="L3" s="40"/>
      <c r="M3" s="28"/>
      <c r="N3" s="28"/>
      <c r="O3" s="28"/>
      <c r="P3" s="28"/>
      <c r="Q3" s="28"/>
      <c r="R3" s="28"/>
      <c r="S3" s="28"/>
    </row>
    <row r="4" ht="15.75" customHeight="1">
      <c r="A4" s="41" t="s">
        <v>31</v>
      </c>
      <c r="B4" s="42" t="s">
        <v>36</v>
      </c>
      <c r="C4" s="43" t="s">
        <v>37</v>
      </c>
      <c r="D4" s="44" t="s">
        <v>38</v>
      </c>
      <c r="E4" s="44" t="s">
        <v>39</v>
      </c>
      <c r="F4" s="45">
        <v>0.21</v>
      </c>
      <c r="G4" s="39" t="str">
        <f>IFERROR(VLOOKUP("HD 200 PRO",STOCK!$B$1:$Q$5647,3,FALSE),"SIN STOCK")</f>
        <v>Mayor a 5</v>
      </c>
      <c r="H4" s="46"/>
      <c r="I4" s="28"/>
      <c r="J4" s="40"/>
      <c r="K4" s="40"/>
      <c r="L4" s="40"/>
      <c r="M4" s="28"/>
      <c r="N4" s="28"/>
      <c r="O4" s="28"/>
      <c r="P4" s="28"/>
      <c r="Q4" s="28"/>
      <c r="R4" s="28"/>
      <c r="S4" s="28"/>
    </row>
    <row r="5" ht="15.75" customHeight="1">
      <c r="A5" s="47" t="s">
        <v>31</v>
      </c>
      <c r="B5" s="48" t="s">
        <v>40</v>
      </c>
      <c r="C5" s="49" t="s">
        <v>41</v>
      </c>
      <c r="D5" s="37" t="s">
        <v>42</v>
      </c>
      <c r="E5" s="37" t="s">
        <v>43</v>
      </c>
      <c r="F5" s="38">
        <v>0.21</v>
      </c>
      <c r="G5" s="39" t="str">
        <f>IFERROR(VLOOKUP("HD 25",STOCK!B2:Q3692,3,FALSE),"SIN STOCK")</f>
        <v>Mayor a 5</v>
      </c>
      <c r="H5" s="28"/>
      <c r="I5" s="28"/>
      <c r="J5" s="40"/>
      <c r="K5" s="40"/>
      <c r="L5" s="40"/>
      <c r="M5" s="28"/>
      <c r="N5" s="28"/>
      <c r="O5" s="28"/>
      <c r="P5" s="28"/>
      <c r="Q5" s="28"/>
      <c r="R5" s="28"/>
      <c r="S5" s="28"/>
    </row>
    <row r="6" ht="15.75" customHeight="1">
      <c r="A6" s="41" t="s">
        <v>31</v>
      </c>
      <c r="B6" s="42" t="s">
        <v>44</v>
      </c>
      <c r="C6" s="43" t="s">
        <v>45</v>
      </c>
      <c r="D6" s="44" t="s">
        <v>46</v>
      </c>
      <c r="E6" s="44" t="s">
        <v>47</v>
      </c>
      <c r="F6" s="45">
        <v>0.21</v>
      </c>
      <c r="G6" s="50" t="str">
        <f>IFERROR(VLOOKUP("HD 25 LIGHT",STOCK!B2:Q3692,3,FALSE),"SIN STOCK")</f>
        <v>SIN STOCK</v>
      </c>
      <c r="H6" s="28"/>
      <c r="I6" s="28"/>
      <c r="J6" s="40"/>
      <c r="K6" s="40"/>
      <c r="L6" s="40"/>
      <c r="M6" s="28"/>
      <c r="N6" s="28"/>
      <c r="O6" s="28"/>
      <c r="P6" s="28"/>
      <c r="Q6" s="28"/>
      <c r="R6" s="28"/>
      <c r="S6" s="28"/>
    </row>
    <row r="7" ht="15.75" customHeight="1">
      <c r="A7" s="47" t="s">
        <v>31</v>
      </c>
      <c r="B7" s="48" t="s">
        <v>48</v>
      </c>
      <c r="C7" s="49" t="s">
        <v>49</v>
      </c>
      <c r="D7" s="37" t="s">
        <v>50</v>
      </c>
      <c r="E7" s="37" t="s">
        <v>51</v>
      </c>
      <c r="F7" s="38">
        <v>0.21</v>
      </c>
      <c r="G7" s="39" t="str">
        <f>IFERROR(VLOOKUP("HD 25 PLUS",STOCK!B2:Q3692,3,FALSE),"SIN STOCK")</f>
        <v>Mayor a 5</v>
      </c>
      <c r="H7" s="51"/>
      <c r="I7" s="28"/>
      <c r="J7" s="40"/>
      <c r="K7" s="40"/>
      <c r="L7" s="40"/>
      <c r="M7" s="28"/>
      <c r="N7" s="28"/>
      <c r="O7" s="28"/>
      <c r="P7" s="28"/>
      <c r="Q7" s="28"/>
      <c r="R7" s="28"/>
      <c r="S7" s="28"/>
    </row>
    <row r="8" ht="15.75" customHeight="1">
      <c r="A8" s="41" t="s">
        <v>31</v>
      </c>
      <c r="B8" s="42" t="s">
        <v>52</v>
      </c>
      <c r="C8" s="52" t="s">
        <v>53</v>
      </c>
      <c r="D8" s="44" t="s">
        <v>46</v>
      </c>
      <c r="E8" s="44" t="s">
        <v>47</v>
      </c>
      <c r="F8" s="45">
        <v>0.21</v>
      </c>
      <c r="G8" s="39" t="str">
        <f>IFERROR(VLOOKUP("HD 280 PRO",STOCK!B2:Q3692,3,FALSE),"SIN STOCK")</f>
        <v>Mayor a 5</v>
      </c>
      <c r="H8" s="28"/>
      <c r="I8" s="28"/>
      <c r="J8" s="40"/>
      <c r="K8" s="40"/>
      <c r="L8" s="40"/>
      <c r="M8" s="28"/>
      <c r="N8" s="28"/>
      <c r="O8" s="28"/>
      <c r="P8" s="28"/>
      <c r="Q8" s="28"/>
      <c r="R8" s="28"/>
      <c r="S8" s="28"/>
    </row>
    <row r="9" ht="15.75" customHeight="1">
      <c r="A9" s="47" t="s">
        <v>31</v>
      </c>
      <c r="B9" s="48" t="s">
        <v>54</v>
      </c>
      <c r="C9" s="49" t="s">
        <v>55</v>
      </c>
      <c r="D9" s="37" t="s">
        <v>50</v>
      </c>
      <c r="E9" s="37" t="s">
        <v>51</v>
      </c>
      <c r="F9" s="38">
        <v>0.21</v>
      </c>
      <c r="G9" s="39" t="str">
        <f>IFERROR(VLOOKUP("HD 300 pro",STOCK!B2:Q3692,3,FALSE),"SIN STOCK")</f>
        <v>SIN STOCK</v>
      </c>
      <c r="H9" s="28"/>
      <c r="I9" s="28"/>
      <c r="J9" s="40"/>
      <c r="K9" s="40"/>
      <c r="L9" s="40"/>
      <c r="M9" s="28"/>
      <c r="N9" s="28"/>
      <c r="O9" s="28"/>
      <c r="P9" s="28"/>
      <c r="Q9" s="28"/>
      <c r="R9" s="28"/>
      <c r="S9" s="28"/>
    </row>
    <row r="10" ht="15.75" customHeight="1">
      <c r="A10" s="41" t="s">
        <v>31</v>
      </c>
      <c r="B10" s="42" t="s">
        <v>56</v>
      </c>
      <c r="C10" s="43" t="s">
        <v>57</v>
      </c>
      <c r="D10" s="44" t="s">
        <v>58</v>
      </c>
      <c r="E10" s="44" t="s">
        <v>59</v>
      </c>
      <c r="F10" s="45">
        <v>0.21</v>
      </c>
      <c r="G10" s="39" t="str">
        <f>IFERROR(VLOOKUP("HD 400 PRO",STOCK!B2:Q3692,3,FALSE),"SIN STOCK")</f>
        <v>Mayor a 5</v>
      </c>
      <c r="H10" s="28"/>
      <c r="I10" s="28"/>
      <c r="J10" s="40"/>
      <c r="K10" s="40"/>
      <c r="L10" s="40"/>
      <c r="M10" s="28"/>
      <c r="N10" s="28"/>
      <c r="O10" s="28"/>
      <c r="P10" s="28"/>
      <c r="Q10" s="28"/>
      <c r="R10" s="28"/>
      <c r="S10" s="28"/>
    </row>
    <row r="11" ht="15.75" hidden="1" customHeight="1">
      <c r="A11" s="47" t="s">
        <v>31</v>
      </c>
      <c r="B11" s="48" t="s">
        <v>60</v>
      </c>
      <c r="C11" s="49" t="s">
        <v>61</v>
      </c>
      <c r="D11" s="37" t="s">
        <v>46</v>
      </c>
      <c r="E11" s="37" t="s">
        <v>47</v>
      </c>
      <c r="F11" s="38">
        <v>0.21</v>
      </c>
      <c r="G11" s="39" t="str">
        <f>IFERROR(VLOOKUP("IE 100 PRO BLACK",STOCK!B2:Q3692,3,FALSE),"SIN STOCK")</f>
        <v>Mayor a 5</v>
      </c>
      <c r="H11" s="28"/>
      <c r="I11" s="28"/>
      <c r="J11" s="40"/>
      <c r="K11" s="40"/>
      <c r="L11" s="40"/>
      <c r="M11" s="28"/>
      <c r="N11" s="28"/>
      <c r="O11" s="28"/>
      <c r="P11" s="28"/>
      <c r="Q11" s="28"/>
      <c r="R11" s="28"/>
      <c r="S11" s="28"/>
    </row>
    <row r="12" ht="15.75" hidden="1" customHeight="1">
      <c r="A12" s="41" t="s">
        <v>31</v>
      </c>
      <c r="B12" s="42" t="s">
        <v>62</v>
      </c>
      <c r="C12" s="43" t="s">
        <v>63</v>
      </c>
      <c r="D12" s="44" t="s">
        <v>46</v>
      </c>
      <c r="E12" s="44" t="s">
        <v>47</v>
      </c>
      <c r="F12" s="45">
        <v>0.21</v>
      </c>
      <c r="G12" s="53" t="str">
        <f>IFERROR(VLOOKUP("IE 100 PRO CLEAR",STOCK!B2:Q3692,3,FALSE),"SIN STOCK")</f>
        <v>SIN STOCK</v>
      </c>
      <c r="H12" s="28"/>
      <c r="I12" s="28"/>
      <c r="J12" s="40"/>
      <c r="K12" s="40"/>
      <c r="L12" s="40"/>
      <c r="M12" s="28"/>
      <c r="N12" s="28"/>
      <c r="O12" s="28"/>
      <c r="P12" s="28"/>
      <c r="Q12" s="28"/>
      <c r="R12" s="28"/>
      <c r="S12" s="28"/>
    </row>
    <row r="13" ht="15.75" hidden="1" customHeight="1">
      <c r="A13" s="47" t="s">
        <v>31</v>
      </c>
      <c r="B13" s="48" t="s">
        <v>64</v>
      </c>
      <c r="C13" s="49" t="s">
        <v>65</v>
      </c>
      <c r="D13" s="37" t="s">
        <v>46</v>
      </c>
      <c r="E13" s="37" t="s">
        <v>47</v>
      </c>
      <c r="F13" s="38">
        <v>0.21</v>
      </c>
      <c r="G13" s="50" t="str">
        <f>IFERROR(VLOOKUP("IE 100 PRO RED",STOCK!B2:Q3692,3,FALSE),"SIN STOCK")</f>
        <v>SIN STOCK</v>
      </c>
      <c r="H13" s="28"/>
      <c r="I13" s="28"/>
      <c r="J13" s="40"/>
      <c r="K13" s="40"/>
      <c r="L13" s="40"/>
      <c r="M13" s="28"/>
      <c r="N13" s="28"/>
      <c r="O13" s="28"/>
      <c r="P13" s="28"/>
      <c r="Q13" s="28"/>
      <c r="R13" s="28"/>
      <c r="S13" s="28"/>
    </row>
    <row r="14" ht="15.75" customHeight="1">
      <c r="A14" s="41" t="s">
        <v>31</v>
      </c>
      <c r="B14" s="41" t="s">
        <v>66</v>
      </c>
      <c r="C14" s="43" t="s">
        <v>67</v>
      </c>
      <c r="D14" s="44" t="s">
        <v>42</v>
      </c>
      <c r="E14" s="44" t="s">
        <v>43</v>
      </c>
      <c r="F14" s="45">
        <v>0.21</v>
      </c>
      <c r="G14" s="39" t="str">
        <f>IFERROR(VLOOKUP("IE 100 PRO WIRELESS BLACK",STOCK!B2:Q3692,3,FALSE),"SIN STOCK")</f>
        <v>SIN STOCK</v>
      </c>
      <c r="H14" s="28"/>
      <c r="I14" s="28"/>
      <c r="J14" s="40"/>
      <c r="K14" s="40"/>
      <c r="L14" s="40"/>
      <c r="M14" s="28"/>
      <c r="N14" s="28"/>
      <c r="O14" s="28"/>
      <c r="P14" s="28"/>
      <c r="Q14" s="28"/>
      <c r="R14" s="28"/>
      <c r="S14" s="28"/>
    </row>
    <row r="15" ht="15.75" customHeight="1">
      <c r="A15" s="47" t="s">
        <v>31</v>
      </c>
      <c r="B15" s="47" t="s">
        <v>68</v>
      </c>
      <c r="C15" s="49" t="s">
        <v>69</v>
      </c>
      <c r="D15" s="37" t="s">
        <v>42</v>
      </c>
      <c r="E15" s="37" t="s">
        <v>43</v>
      </c>
      <c r="F15" s="38">
        <v>0.21</v>
      </c>
      <c r="G15" s="39" t="str">
        <f>IFERROR(VLOOKUP("IE 100 PRO WIRELESS CLEAR",STOCK!B2:Q3692,3,FALSE),"SIN STOCK")</f>
        <v>Mayor a 5</v>
      </c>
      <c r="H15" s="28"/>
      <c r="I15" s="28"/>
      <c r="J15" s="40"/>
      <c r="K15" s="40"/>
      <c r="L15" s="40"/>
      <c r="M15" s="28"/>
      <c r="N15" s="28"/>
      <c r="O15" s="28"/>
      <c r="P15" s="28"/>
      <c r="Q15" s="28"/>
      <c r="R15" s="28"/>
      <c r="S15" s="28"/>
    </row>
    <row r="16" ht="15.75" customHeight="1">
      <c r="A16" s="41" t="s">
        <v>31</v>
      </c>
      <c r="B16" s="41" t="s">
        <v>70</v>
      </c>
      <c r="C16" s="43" t="s">
        <v>71</v>
      </c>
      <c r="D16" s="44" t="s">
        <v>42</v>
      </c>
      <c r="E16" s="44" t="s">
        <v>43</v>
      </c>
      <c r="F16" s="45">
        <v>0.21</v>
      </c>
      <c r="G16" s="50" t="str">
        <f>IFERROR(VLOOKUP("IE 100 PRO WIRELESS RED",STOCK!B2:Q3692,3,FALSE),"SIN STOCK")</f>
        <v>SIN STOCK</v>
      </c>
      <c r="H16" s="28"/>
      <c r="I16" s="28"/>
      <c r="J16" s="40"/>
      <c r="K16" s="40"/>
      <c r="L16" s="40"/>
      <c r="M16" s="28"/>
      <c r="N16" s="28"/>
      <c r="O16" s="28"/>
      <c r="P16" s="28"/>
      <c r="Q16" s="28"/>
      <c r="R16" s="28"/>
      <c r="S16" s="28"/>
    </row>
    <row r="17" ht="15.75" customHeight="1">
      <c r="A17" s="47" t="s">
        <v>31</v>
      </c>
      <c r="B17" s="48" t="s">
        <v>72</v>
      </c>
      <c r="C17" s="49" t="s">
        <v>73</v>
      </c>
      <c r="D17" s="37" t="s">
        <v>74</v>
      </c>
      <c r="E17" s="37" t="s">
        <v>75</v>
      </c>
      <c r="F17" s="38">
        <v>0.21</v>
      </c>
      <c r="G17" s="39" t="str">
        <f>IFERROR(VLOOKUP("IE 4",STOCK!B2:Q3692,3,FALSE),"SIN STOCK")</f>
        <v>Mayor a 5</v>
      </c>
      <c r="H17" s="28"/>
      <c r="I17" s="28"/>
      <c r="J17" s="40"/>
      <c r="K17" s="40"/>
      <c r="L17" s="40"/>
      <c r="M17" s="28"/>
      <c r="N17" s="28"/>
      <c r="O17" s="28"/>
      <c r="P17" s="28"/>
      <c r="Q17" s="28"/>
      <c r="R17" s="28"/>
      <c r="S17" s="28"/>
    </row>
    <row r="18" ht="15.75" customHeight="1">
      <c r="A18" s="41" t="s">
        <v>31</v>
      </c>
      <c r="B18" s="54" t="s">
        <v>76</v>
      </c>
      <c r="C18" s="43" t="s">
        <v>77</v>
      </c>
      <c r="D18" s="44" t="s">
        <v>78</v>
      </c>
      <c r="E18" s="44" t="s">
        <v>79</v>
      </c>
      <c r="F18" s="45">
        <v>0.21</v>
      </c>
      <c r="G18" s="50" t="str">
        <f>IFERROR(VLOOKUP("IE 400 PRO CLEAR",STOCK!B2:Q3692,3,FALSE),"SIN STOCK")</f>
        <v>SIN STOCK</v>
      </c>
      <c r="H18" s="28"/>
      <c r="I18" s="28"/>
      <c r="J18" s="40"/>
      <c r="K18" s="40"/>
      <c r="L18" s="40"/>
      <c r="M18" s="28"/>
      <c r="N18" s="28"/>
      <c r="O18" s="28"/>
      <c r="P18" s="28"/>
      <c r="Q18" s="28"/>
      <c r="R18" s="28"/>
      <c r="S18" s="28"/>
    </row>
    <row r="19" ht="15.75" customHeight="1">
      <c r="A19" s="47" t="s">
        <v>31</v>
      </c>
      <c r="B19" s="48" t="s">
        <v>80</v>
      </c>
      <c r="C19" s="49" t="s">
        <v>81</v>
      </c>
      <c r="D19" s="37" t="s">
        <v>78</v>
      </c>
      <c r="E19" s="37" t="s">
        <v>79</v>
      </c>
      <c r="F19" s="38">
        <v>0.21</v>
      </c>
      <c r="G19" s="50" t="str">
        <f>IFERROR(VLOOKUP("IE 400 PRO SMOKY BLACK",STOCK!B2:Q3692,3,FALSE),"SIN STOCK")</f>
        <v>SIN STOCK</v>
      </c>
      <c r="H19" s="28"/>
      <c r="I19" s="28"/>
      <c r="J19" s="40"/>
      <c r="K19" s="40"/>
      <c r="L19" s="40"/>
      <c r="M19" s="28"/>
      <c r="N19" s="28"/>
      <c r="O19" s="28"/>
      <c r="P19" s="28"/>
      <c r="Q19" s="28"/>
      <c r="R19" s="28"/>
      <c r="S19" s="28"/>
    </row>
    <row r="20">
      <c r="A20" s="41" t="s">
        <v>31</v>
      </c>
      <c r="B20" s="42" t="s">
        <v>82</v>
      </c>
      <c r="C20" s="43" t="s">
        <v>83</v>
      </c>
      <c r="D20" s="44" t="s">
        <v>84</v>
      </c>
      <c r="E20" s="44" t="s">
        <v>85</v>
      </c>
      <c r="F20" s="45">
        <v>0.21</v>
      </c>
      <c r="G20" s="50" t="str">
        <f>IFERROR(VLOOKUP("IE 500 PRO CLEAR",STOCK!B4:Q3694,3,FALSE),"SIN STOCK")</f>
        <v>SIN STOCK</v>
      </c>
      <c r="H20" s="28"/>
      <c r="I20" s="28"/>
      <c r="J20" s="40"/>
      <c r="K20" s="40"/>
      <c r="L20" s="40"/>
      <c r="M20" s="28"/>
      <c r="N20" s="28"/>
      <c r="O20" s="28"/>
      <c r="P20" s="28"/>
      <c r="Q20" s="28"/>
      <c r="R20" s="28"/>
      <c r="S20" s="28"/>
    </row>
    <row r="21" ht="15.75" customHeight="1">
      <c r="A21" s="29" t="s">
        <v>86</v>
      </c>
      <c r="C21" s="30"/>
      <c r="D21" s="55"/>
      <c r="E21" s="32"/>
      <c r="F21" s="30"/>
      <c r="G21" s="30"/>
      <c r="H21" s="28"/>
      <c r="I21" s="28"/>
      <c r="J21" s="28"/>
      <c r="K21" s="28"/>
      <c r="L21" s="28"/>
      <c r="M21" s="28"/>
      <c r="N21" s="28"/>
      <c r="O21" s="28"/>
      <c r="P21" s="28"/>
      <c r="Q21" s="28"/>
      <c r="R21" s="28"/>
      <c r="S21" s="28"/>
    </row>
    <row r="22" ht="15.75" customHeight="1">
      <c r="A22" s="41" t="s">
        <v>31</v>
      </c>
      <c r="B22" s="42" t="s">
        <v>87</v>
      </c>
      <c r="C22" s="43" t="s">
        <v>88</v>
      </c>
      <c r="D22" s="44" t="s">
        <v>89</v>
      </c>
      <c r="E22" s="44" t="s">
        <v>90</v>
      </c>
      <c r="F22" s="45">
        <v>0.21</v>
      </c>
      <c r="G22" s="39" t="str">
        <f>IFERROR(VLOOKUP("XS 1",STOCK!B2:Q3692,3,FALSE),"SIN STOCK")</f>
        <v>Mayor a 5</v>
      </c>
      <c r="H22" s="28"/>
      <c r="I22" s="28"/>
      <c r="J22" s="28"/>
      <c r="K22" s="28"/>
      <c r="L22" s="28"/>
      <c r="M22" s="28"/>
      <c r="N22" s="28"/>
      <c r="O22" s="28"/>
      <c r="P22" s="28"/>
      <c r="Q22" s="28"/>
      <c r="R22" s="28"/>
      <c r="S22" s="28"/>
    </row>
    <row r="23" ht="15.75" customHeight="1">
      <c r="A23" s="47" t="s">
        <v>31</v>
      </c>
      <c r="B23" s="56" t="s">
        <v>91</v>
      </c>
      <c r="C23" s="49" t="s">
        <v>92</v>
      </c>
      <c r="D23" s="37" t="s">
        <v>93</v>
      </c>
      <c r="E23" s="37" t="s">
        <v>94</v>
      </c>
      <c r="F23" s="38">
        <v>0.21</v>
      </c>
      <c r="G23" s="39" t="str">
        <f>IFERROR(VLOOKUP("E 600 SERIES DRUM PACK III",STOCK!B2:Q3692,3,FALSE),"SIN STOCK")</f>
        <v>SIN STOCK</v>
      </c>
      <c r="H23" s="28"/>
      <c r="I23" s="28"/>
      <c r="J23" s="28"/>
      <c r="K23" s="28"/>
      <c r="L23" s="28"/>
      <c r="M23" s="28"/>
      <c r="N23" s="28"/>
      <c r="O23" s="28"/>
      <c r="P23" s="28"/>
      <c r="Q23" s="28"/>
      <c r="R23" s="28"/>
      <c r="S23" s="28"/>
    </row>
    <row r="24" ht="15.75" customHeight="1">
      <c r="A24" s="41" t="s">
        <v>31</v>
      </c>
      <c r="B24" s="42" t="s">
        <v>95</v>
      </c>
      <c r="C24" s="43" t="s">
        <v>96</v>
      </c>
      <c r="D24" s="44" t="s">
        <v>42</v>
      </c>
      <c r="E24" s="44" t="s">
        <v>43</v>
      </c>
      <c r="F24" s="45">
        <v>0.21</v>
      </c>
      <c r="G24" s="39" t="str">
        <f>IFERROR(VLOOKUP("E 602 II",STOCK!B2:Q3692,3,FALSE),"SIN STOCK")</f>
        <v>Mayor a 5</v>
      </c>
      <c r="H24" s="28"/>
      <c r="I24" s="28"/>
      <c r="J24" s="28"/>
      <c r="K24" s="28"/>
      <c r="L24" s="28"/>
      <c r="M24" s="28"/>
      <c r="N24" s="28"/>
      <c r="O24" s="28"/>
      <c r="P24" s="28"/>
      <c r="Q24" s="28"/>
      <c r="R24" s="28"/>
      <c r="S24" s="28"/>
    </row>
    <row r="25" ht="15.75" customHeight="1">
      <c r="A25" s="47" t="s">
        <v>31</v>
      </c>
      <c r="B25" s="48" t="s">
        <v>97</v>
      </c>
      <c r="C25" s="49" t="s">
        <v>98</v>
      </c>
      <c r="D25" s="37" t="s">
        <v>42</v>
      </c>
      <c r="E25" s="37" t="s">
        <v>43</v>
      </c>
      <c r="F25" s="38">
        <v>0.21</v>
      </c>
      <c r="G25" s="39" t="str">
        <f>IFERROR(VLOOKUP("E 604",STOCK!B2:Q3692,3,FALSE),"SIN STOCK")</f>
        <v>Mayor a 5</v>
      </c>
      <c r="H25" s="28"/>
      <c r="I25" s="28"/>
      <c r="J25" s="28"/>
      <c r="K25" s="28"/>
      <c r="L25" s="28"/>
      <c r="M25" s="28"/>
      <c r="N25" s="28"/>
      <c r="O25" s="28"/>
      <c r="P25" s="28"/>
      <c r="Q25" s="28"/>
      <c r="R25" s="28"/>
      <c r="S25" s="28"/>
    </row>
    <row r="26" ht="15.75" customHeight="1">
      <c r="A26" s="41" t="s">
        <v>31</v>
      </c>
      <c r="B26" s="42" t="s">
        <v>99</v>
      </c>
      <c r="C26" s="43" t="s">
        <v>100</v>
      </c>
      <c r="D26" s="44" t="s">
        <v>101</v>
      </c>
      <c r="E26" s="44" t="s">
        <v>102</v>
      </c>
      <c r="F26" s="45">
        <v>0.21</v>
      </c>
      <c r="G26" s="39" t="str">
        <f>IFERROR(VLOOKUP("E 608",STOCK!B2:Q3692,3,FALSE),"SIN STOCK")</f>
        <v>Mayor a 5</v>
      </c>
      <c r="H26" s="28"/>
      <c r="I26" s="28"/>
      <c r="J26" s="28"/>
      <c r="K26" s="28"/>
      <c r="L26" s="28"/>
      <c r="M26" s="28"/>
      <c r="N26" s="28"/>
      <c r="O26" s="28"/>
      <c r="P26" s="28"/>
      <c r="Q26" s="28"/>
      <c r="R26" s="28"/>
      <c r="S26" s="28"/>
    </row>
    <row r="27" ht="15.75" customHeight="1">
      <c r="A27" s="47" t="s">
        <v>31</v>
      </c>
      <c r="B27" s="48" t="s">
        <v>103</v>
      </c>
      <c r="C27" s="49" t="s">
        <v>104</v>
      </c>
      <c r="D27" s="37" t="s">
        <v>46</v>
      </c>
      <c r="E27" s="37" t="s">
        <v>47</v>
      </c>
      <c r="F27" s="38">
        <v>0.21</v>
      </c>
      <c r="G27" s="39" t="str">
        <f>IFERROR(VLOOKUP("E 609 SILVER",STOCK!B2:Q3692,3,FALSE),"SIN STOCK")</f>
        <v>Mayor a 5</v>
      </c>
      <c r="H27" s="28"/>
      <c r="I27" s="28"/>
      <c r="J27" s="28"/>
      <c r="K27" s="28"/>
      <c r="L27" s="28"/>
      <c r="M27" s="28"/>
      <c r="N27" s="28"/>
      <c r="O27" s="28"/>
      <c r="P27" s="28"/>
      <c r="Q27" s="28"/>
      <c r="R27" s="28"/>
      <c r="S27" s="28"/>
    </row>
    <row r="28" ht="15.75" customHeight="1">
      <c r="A28" s="41" t="s">
        <v>31</v>
      </c>
      <c r="B28" s="42" t="s">
        <v>105</v>
      </c>
      <c r="C28" s="43" t="s">
        <v>106</v>
      </c>
      <c r="D28" s="44" t="s">
        <v>50</v>
      </c>
      <c r="E28" s="44" t="s">
        <v>51</v>
      </c>
      <c r="F28" s="45">
        <v>0.21</v>
      </c>
      <c r="G28" s="39" t="str">
        <f>IFERROR(VLOOKUP("E 614",STOCK!B2:Q3692,3,FALSE),"SIN STOCK")</f>
        <v>SIN STOCK</v>
      </c>
      <c r="H28" s="28"/>
      <c r="I28" s="28"/>
      <c r="J28" s="28"/>
      <c r="K28" s="28"/>
      <c r="L28" s="28"/>
      <c r="M28" s="28"/>
      <c r="N28" s="28"/>
      <c r="O28" s="28"/>
      <c r="P28" s="28"/>
      <c r="Q28" s="28"/>
      <c r="R28" s="28"/>
      <c r="S28" s="28"/>
    </row>
    <row r="29" ht="15.75" customHeight="1">
      <c r="A29" s="47" t="s">
        <v>31</v>
      </c>
      <c r="B29" s="48" t="s">
        <v>107</v>
      </c>
      <c r="C29" s="43" t="s">
        <v>106</v>
      </c>
      <c r="D29" s="37" t="s">
        <v>74</v>
      </c>
      <c r="E29" s="37" t="s">
        <v>75</v>
      </c>
      <c r="F29" s="38">
        <v>0.21</v>
      </c>
      <c r="G29" s="39" t="str">
        <f>IFERROR(VLOOKUP("E 825-S",STOCK!B2:Q3692,3,FALSE),"SIN STOCK")</f>
        <v>Mayor a 5</v>
      </c>
      <c r="H29" s="28"/>
      <c r="I29" s="28"/>
      <c r="J29" s="28"/>
      <c r="K29" s="28"/>
      <c r="L29" s="28"/>
      <c r="M29" s="28"/>
      <c r="N29" s="28"/>
      <c r="O29" s="28"/>
      <c r="P29" s="28"/>
      <c r="Q29" s="28"/>
      <c r="R29" s="28"/>
      <c r="S29" s="28"/>
    </row>
    <row r="30" ht="15.75" customHeight="1">
      <c r="A30" s="41" t="s">
        <v>31</v>
      </c>
      <c r="B30" s="42" t="s">
        <v>108</v>
      </c>
      <c r="C30" s="43" t="s">
        <v>109</v>
      </c>
      <c r="D30" s="44" t="s">
        <v>46</v>
      </c>
      <c r="E30" s="44" t="s">
        <v>47</v>
      </c>
      <c r="F30" s="45">
        <v>0.21</v>
      </c>
      <c r="G30" s="39" t="str">
        <f>IFERROR(VLOOKUP("E 835",STOCK!B2:Q3692,3,FALSE),"SIN STOCK")</f>
        <v>Mayor a 5</v>
      </c>
      <c r="H30" s="28"/>
      <c r="I30" s="28"/>
      <c r="J30" s="28"/>
      <c r="K30" s="28"/>
      <c r="L30" s="28"/>
      <c r="M30" s="28"/>
      <c r="N30" s="28"/>
      <c r="O30" s="28"/>
      <c r="P30" s="28"/>
      <c r="Q30" s="28"/>
      <c r="R30" s="28"/>
      <c r="S30" s="28"/>
    </row>
    <row r="31" ht="15.75" customHeight="1">
      <c r="A31" s="47" t="s">
        <v>31</v>
      </c>
      <c r="B31" s="48" t="s">
        <v>110</v>
      </c>
      <c r="C31" s="49" t="s">
        <v>111</v>
      </c>
      <c r="D31" s="37" t="s">
        <v>46</v>
      </c>
      <c r="E31" s="37" t="s">
        <v>47</v>
      </c>
      <c r="F31" s="38">
        <v>0.21</v>
      </c>
      <c r="G31" s="50" t="str">
        <f>IFERROR(VLOOKUP("E 835-S",STOCK!B2:Q3692,3,FALSE),"SIN STOCK")</f>
        <v>Menor a 5</v>
      </c>
      <c r="H31" s="28"/>
      <c r="I31" s="28"/>
      <c r="J31" s="28"/>
      <c r="K31" s="28"/>
      <c r="L31" s="28"/>
      <c r="M31" s="28"/>
      <c r="N31" s="28"/>
      <c r="O31" s="28"/>
      <c r="P31" s="28"/>
      <c r="Q31" s="28"/>
      <c r="R31" s="28"/>
      <c r="S31" s="28"/>
    </row>
    <row r="32" ht="15.75" customHeight="1">
      <c r="A32" s="41" t="s">
        <v>31</v>
      </c>
      <c r="B32" s="42" t="s">
        <v>112</v>
      </c>
      <c r="C32" s="43" t="s">
        <v>113</v>
      </c>
      <c r="D32" s="44" t="s">
        <v>46</v>
      </c>
      <c r="E32" s="44" t="s">
        <v>47</v>
      </c>
      <c r="F32" s="45">
        <v>0.21</v>
      </c>
      <c r="G32" s="39" t="str">
        <f>IFERROR(VLOOKUP("E 845",STOCK!B2:Q3692,3,FALSE),"SIN STOCK")</f>
        <v>SIN STOCK</v>
      </c>
      <c r="H32" s="28"/>
      <c r="I32" s="28"/>
      <c r="J32" s="28"/>
      <c r="K32" s="28"/>
      <c r="L32" s="28"/>
      <c r="M32" s="28"/>
      <c r="N32" s="28"/>
      <c r="O32" s="28"/>
      <c r="P32" s="28"/>
      <c r="Q32" s="28"/>
      <c r="R32" s="28"/>
      <c r="S32" s="28"/>
    </row>
    <row r="33" ht="15.75" customHeight="1">
      <c r="A33" s="47" t="s">
        <v>31</v>
      </c>
      <c r="B33" s="48" t="s">
        <v>114</v>
      </c>
      <c r="C33" s="49" t="s">
        <v>115</v>
      </c>
      <c r="D33" s="37" t="s">
        <v>46</v>
      </c>
      <c r="E33" s="37" t="s">
        <v>47</v>
      </c>
      <c r="F33" s="38">
        <v>0.21</v>
      </c>
      <c r="G33" s="39" t="str">
        <f>IFERROR(VLOOKUP("E 845-S",STOCK!B2:Q3692,3,FALSE),"SIN STOCK")</f>
        <v>SIN STOCK</v>
      </c>
      <c r="H33" s="28"/>
      <c r="I33" s="28"/>
      <c r="J33" s="28"/>
      <c r="K33" s="28"/>
      <c r="L33" s="28"/>
      <c r="M33" s="28"/>
      <c r="N33" s="28"/>
      <c r="O33" s="28"/>
      <c r="P33" s="28"/>
      <c r="Q33" s="28"/>
      <c r="R33" s="28"/>
      <c r="S33" s="28"/>
    </row>
    <row r="34" ht="15.75" customHeight="1">
      <c r="A34" s="41" t="s">
        <v>31</v>
      </c>
      <c r="B34" s="57" t="s">
        <v>116</v>
      </c>
      <c r="C34" s="43" t="s">
        <v>117</v>
      </c>
      <c r="D34" s="44" t="s">
        <v>118</v>
      </c>
      <c r="E34" s="44" t="s">
        <v>119</v>
      </c>
      <c r="F34" s="45">
        <v>0.21</v>
      </c>
      <c r="G34" s="39" t="str">
        <f>IFERROR(VLOOKUP("E 865",STOCK!B2:Q3692,3,FALSE),"SIN STOCK")</f>
        <v>Mayor a 5</v>
      </c>
      <c r="H34" s="28"/>
      <c r="I34" s="28"/>
      <c r="J34" s="28"/>
      <c r="K34" s="28"/>
      <c r="L34" s="28"/>
      <c r="M34" s="28"/>
      <c r="N34" s="28"/>
      <c r="O34" s="28"/>
      <c r="P34" s="28"/>
      <c r="Q34" s="28"/>
      <c r="R34" s="28"/>
      <c r="S34" s="28"/>
    </row>
    <row r="35" ht="15.75" customHeight="1">
      <c r="A35" s="47" t="s">
        <v>31</v>
      </c>
      <c r="B35" s="48" t="s">
        <v>120</v>
      </c>
      <c r="C35" s="49" t="s">
        <v>121</v>
      </c>
      <c r="D35" s="37" t="s">
        <v>118</v>
      </c>
      <c r="E35" s="37" t="s">
        <v>119</v>
      </c>
      <c r="F35" s="38">
        <v>0.21</v>
      </c>
      <c r="G35" s="50" t="str">
        <f>IFERROR(VLOOKUP("E 865-S",STOCK!B2:Q3692,3,FALSE),"SIN STOCK")</f>
        <v>SIN STOCK</v>
      </c>
      <c r="H35" s="28"/>
      <c r="I35" s="28"/>
      <c r="J35" s="28"/>
      <c r="K35" s="28"/>
      <c r="L35" s="28"/>
      <c r="M35" s="28"/>
      <c r="N35" s="28"/>
      <c r="O35" s="28"/>
      <c r="P35" s="28"/>
      <c r="Q35" s="28"/>
      <c r="R35" s="28"/>
      <c r="S35" s="28"/>
    </row>
    <row r="36" ht="15.75" customHeight="1">
      <c r="A36" s="41" t="s">
        <v>31</v>
      </c>
      <c r="B36" s="42" t="s">
        <v>122</v>
      </c>
      <c r="C36" s="43" t="s">
        <v>123</v>
      </c>
      <c r="D36" s="44" t="s">
        <v>118</v>
      </c>
      <c r="E36" s="44" t="s">
        <v>119</v>
      </c>
      <c r="F36" s="45">
        <v>0.21</v>
      </c>
      <c r="G36" s="39" t="str">
        <f>IFERROR(VLOOKUP("E 901",STOCK!B2:Q3692,3,FALSE),"SIN STOCK")</f>
        <v>Menor a 5</v>
      </c>
      <c r="H36" s="28"/>
      <c r="I36" s="28"/>
      <c r="J36" s="28"/>
      <c r="K36" s="28"/>
      <c r="L36" s="28"/>
      <c r="M36" s="28"/>
      <c r="N36" s="28"/>
      <c r="O36" s="28"/>
      <c r="P36" s="28"/>
      <c r="Q36" s="28"/>
      <c r="R36" s="28"/>
      <c r="S36" s="28"/>
    </row>
    <row r="37" ht="15.75" customHeight="1">
      <c r="A37" s="47" t="s">
        <v>31</v>
      </c>
      <c r="B37" s="56" t="s">
        <v>124</v>
      </c>
      <c r="C37" s="49" t="s">
        <v>125</v>
      </c>
      <c r="D37" s="37" t="s">
        <v>50</v>
      </c>
      <c r="E37" s="37" t="s">
        <v>51</v>
      </c>
      <c r="F37" s="38">
        <v>0.21</v>
      </c>
      <c r="G37" s="39" t="str">
        <f>IFERROR(VLOOKUP("E 902",STOCK!B2:Q3692,3,FALSE),"SIN STOCK")</f>
        <v>Mayor a 5</v>
      </c>
      <c r="H37" s="28"/>
      <c r="I37" s="28"/>
      <c r="J37" s="28"/>
      <c r="K37" s="28"/>
      <c r="L37" s="28"/>
      <c r="M37" s="28"/>
      <c r="N37" s="28"/>
      <c r="O37" s="28"/>
      <c r="P37" s="28"/>
      <c r="Q37" s="28"/>
      <c r="R37" s="28"/>
      <c r="S37" s="28"/>
    </row>
    <row r="38" ht="15.75" customHeight="1">
      <c r="A38" s="41" t="s">
        <v>31</v>
      </c>
      <c r="B38" s="42" t="s">
        <v>126</v>
      </c>
      <c r="C38" s="43" t="s">
        <v>127</v>
      </c>
      <c r="D38" s="44" t="s">
        <v>101</v>
      </c>
      <c r="E38" s="44" t="s">
        <v>102</v>
      </c>
      <c r="F38" s="45">
        <v>0.21</v>
      </c>
      <c r="G38" s="39" t="str">
        <f>IFERROR(VLOOKUP("E 904",STOCK!B2:Q3692,3,FALSE),"SIN STOCK")</f>
        <v>Mayor a 5</v>
      </c>
      <c r="H38" s="28"/>
      <c r="I38" s="28"/>
      <c r="J38" s="28"/>
      <c r="K38" s="28"/>
      <c r="L38" s="28"/>
      <c r="M38" s="28"/>
      <c r="N38" s="28"/>
      <c r="O38" s="28"/>
      <c r="P38" s="28"/>
      <c r="Q38" s="28"/>
      <c r="R38" s="28"/>
      <c r="S38" s="28"/>
    </row>
    <row r="39" ht="15.75" customHeight="1">
      <c r="A39" s="47" t="s">
        <v>31</v>
      </c>
      <c r="B39" s="48" t="s">
        <v>128</v>
      </c>
      <c r="C39" s="49" t="s">
        <v>129</v>
      </c>
      <c r="D39" s="37" t="s">
        <v>50</v>
      </c>
      <c r="E39" s="37" t="s">
        <v>51</v>
      </c>
      <c r="F39" s="38">
        <v>0.21</v>
      </c>
      <c r="G39" s="39" t="str">
        <f>IFERROR(VLOOKUP("E 906",STOCK!B2:Q3692,3,FALSE),"SIN STOCK")</f>
        <v>Mayor a 5</v>
      </c>
      <c r="H39" s="28"/>
      <c r="I39" s="28"/>
      <c r="J39" s="28"/>
      <c r="K39" s="28"/>
      <c r="L39" s="28"/>
      <c r="M39" s="28"/>
      <c r="N39" s="28"/>
      <c r="O39" s="28"/>
      <c r="P39" s="28"/>
      <c r="Q39" s="28"/>
      <c r="R39" s="28"/>
      <c r="S39" s="28"/>
    </row>
    <row r="40" ht="15.75" customHeight="1">
      <c r="A40" s="41" t="s">
        <v>31</v>
      </c>
      <c r="B40" s="42" t="s">
        <v>130</v>
      </c>
      <c r="C40" s="43" t="s">
        <v>131</v>
      </c>
      <c r="D40" s="44" t="s">
        <v>132</v>
      </c>
      <c r="E40" s="44" t="s">
        <v>133</v>
      </c>
      <c r="F40" s="45">
        <v>0.21</v>
      </c>
      <c r="G40" s="39" t="str">
        <f>IFERROR(VLOOKUP("E 908 B",STOCK!B2:Q3692,3,FALSE),"SIN STOCK")</f>
        <v>Menor a 5</v>
      </c>
      <c r="H40" s="28"/>
      <c r="I40" s="28"/>
      <c r="J40" s="28"/>
      <c r="K40" s="28"/>
      <c r="L40" s="28"/>
      <c r="M40" s="28"/>
      <c r="N40" s="28"/>
      <c r="O40" s="28"/>
      <c r="P40" s="28"/>
      <c r="Q40" s="28"/>
      <c r="R40" s="28"/>
      <c r="S40" s="28"/>
    </row>
    <row r="41" ht="15.75" customHeight="1">
      <c r="A41" s="47" t="s">
        <v>31</v>
      </c>
      <c r="B41" s="56" t="s">
        <v>134</v>
      </c>
      <c r="C41" s="49" t="s">
        <v>135</v>
      </c>
      <c r="D41" s="37" t="s">
        <v>101</v>
      </c>
      <c r="E41" s="37" t="s">
        <v>102</v>
      </c>
      <c r="F41" s="38">
        <v>0.21</v>
      </c>
      <c r="G41" s="39" t="str">
        <f>IFERROR(VLOOKUP("E 908 B-EW",STOCK!B2:Q3692,3,FALSE),"SIN STOCK")</f>
        <v>Mayor a 5</v>
      </c>
      <c r="H41" s="28"/>
      <c r="I41" s="28"/>
      <c r="J41" s="28"/>
      <c r="K41" s="28"/>
      <c r="L41" s="28"/>
      <c r="M41" s="28"/>
      <c r="N41" s="28"/>
      <c r="O41" s="28"/>
      <c r="P41" s="28"/>
      <c r="Q41" s="28"/>
      <c r="R41" s="28"/>
      <c r="S41" s="28"/>
    </row>
    <row r="42" ht="15.75" customHeight="1">
      <c r="A42" s="41" t="s">
        <v>31</v>
      </c>
      <c r="B42" s="42" t="s">
        <v>136</v>
      </c>
      <c r="C42" s="43" t="s">
        <v>137</v>
      </c>
      <c r="D42" s="44" t="s">
        <v>78</v>
      </c>
      <c r="E42" s="44" t="s">
        <v>79</v>
      </c>
      <c r="F42" s="45">
        <v>0.21</v>
      </c>
      <c r="G42" s="39" t="str">
        <f>IFERROR(VLOOKUP("E 914",STOCK!B2:Q3692,3,FALSE),"SIN STOCK")</f>
        <v>SIN STOCK</v>
      </c>
      <c r="H42" s="28"/>
      <c r="I42" s="28"/>
      <c r="J42" s="28"/>
      <c r="K42" s="28"/>
      <c r="L42" s="28"/>
      <c r="M42" s="28"/>
      <c r="N42" s="28"/>
      <c r="O42" s="28"/>
      <c r="P42" s="28"/>
      <c r="Q42" s="28"/>
      <c r="R42" s="28"/>
      <c r="S42" s="28"/>
    </row>
    <row r="43" ht="15.75" customHeight="1">
      <c r="A43" s="47" t="s">
        <v>31</v>
      </c>
      <c r="B43" s="48" t="s">
        <v>138</v>
      </c>
      <c r="C43" s="49" t="s">
        <v>109</v>
      </c>
      <c r="D43" s="37" t="s">
        <v>50</v>
      </c>
      <c r="E43" s="37" t="s">
        <v>51</v>
      </c>
      <c r="F43" s="38">
        <v>0.21</v>
      </c>
      <c r="G43" s="39" t="str">
        <f>IFERROR(VLOOKUP("E 935",STOCK!B2:Q3692,3,FALSE),"SIN STOCK")</f>
        <v>Mayor a 5</v>
      </c>
      <c r="H43" s="28"/>
      <c r="I43" s="28"/>
      <c r="J43" s="28"/>
      <c r="K43" s="28"/>
      <c r="L43" s="28"/>
      <c r="M43" s="28"/>
      <c r="N43" s="28"/>
      <c r="O43" s="28"/>
      <c r="P43" s="28"/>
      <c r="Q43" s="28"/>
      <c r="R43" s="28"/>
      <c r="S43" s="28"/>
    </row>
    <row r="44" ht="15.75" customHeight="1">
      <c r="A44" s="41" t="s">
        <v>31</v>
      </c>
      <c r="B44" s="42" t="s">
        <v>139</v>
      </c>
      <c r="C44" s="43" t="s">
        <v>140</v>
      </c>
      <c r="D44" s="44" t="s">
        <v>50</v>
      </c>
      <c r="E44" s="44" t="s">
        <v>51</v>
      </c>
      <c r="F44" s="45">
        <v>0.21</v>
      </c>
      <c r="G44" s="39" t="str">
        <f>IFERROR(VLOOKUP("E 945",STOCK!B2:Q3692,3,FALSE),"SIN STOCK")</f>
        <v>SIN STOCK</v>
      </c>
      <c r="H44" s="28"/>
      <c r="I44" s="28"/>
      <c r="J44" s="28"/>
      <c r="K44" s="28"/>
      <c r="L44" s="28"/>
      <c r="M44" s="28"/>
      <c r="N44" s="28"/>
      <c r="O44" s="28"/>
      <c r="P44" s="28"/>
      <c r="Q44" s="28"/>
      <c r="R44" s="28"/>
      <c r="S44" s="28"/>
    </row>
    <row r="45" ht="15.75" customHeight="1">
      <c r="A45" s="47" t="s">
        <v>31</v>
      </c>
      <c r="B45" s="48" t="s">
        <v>141</v>
      </c>
      <c r="C45" s="49" t="s">
        <v>142</v>
      </c>
      <c r="D45" s="37" t="s">
        <v>143</v>
      </c>
      <c r="E45" s="37" t="s">
        <v>144</v>
      </c>
      <c r="F45" s="38">
        <v>0.21</v>
      </c>
      <c r="G45" s="50" t="str">
        <f>IFERROR(VLOOKUP("E 965",STOCK!B2:Q3692,3,FALSE),"SIN STOCK")</f>
        <v>SIN STOCK</v>
      </c>
      <c r="H45" s="28"/>
      <c r="I45" s="28"/>
      <c r="J45" s="28"/>
      <c r="K45" s="28"/>
      <c r="L45" s="28"/>
      <c r="M45" s="28"/>
      <c r="N45" s="28"/>
      <c r="O45" s="28"/>
      <c r="P45" s="28"/>
      <c r="Q45" s="28"/>
      <c r="R45" s="28"/>
      <c r="S45" s="28"/>
    </row>
    <row r="46" ht="15.75" customHeight="1">
      <c r="A46" s="41" t="s">
        <v>31</v>
      </c>
      <c r="B46" s="42" t="s">
        <v>145</v>
      </c>
      <c r="C46" s="43" t="s">
        <v>146</v>
      </c>
      <c r="D46" s="44" t="s">
        <v>147</v>
      </c>
      <c r="E46" s="44" t="s">
        <v>148</v>
      </c>
      <c r="F46" s="45">
        <v>0.21</v>
      </c>
      <c r="G46" s="50" t="str">
        <f>IFERROR(VLOOKUP("MD 21 U",STOCK!B2:Q3692,3,FALSE),"SIN STOCK")</f>
        <v>SIN STOCK</v>
      </c>
      <c r="H46" s="28"/>
      <c r="I46" s="28"/>
      <c r="J46" s="28"/>
      <c r="K46" s="28"/>
      <c r="L46" s="28"/>
      <c r="M46" s="28"/>
      <c r="N46" s="28"/>
      <c r="O46" s="28"/>
      <c r="P46" s="28"/>
      <c r="Q46" s="28"/>
      <c r="R46" s="28"/>
      <c r="S46" s="28"/>
    </row>
    <row r="47" ht="15.75" customHeight="1">
      <c r="A47" s="47" t="s">
        <v>31</v>
      </c>
      <c r="B47" s="48" t="s">
        <v>149</v>
      </c>
      <c r="C47" s="49" t="s">
        <v>150</v>
      </c>
      <c r="D47" s="37" t="s">
        <v>151</v>
      </c>
      <c r="E47" s="37" t="s">
        <v>152</v>
      </c>
      <c r="F47" s="38">
        <v>0.21</v>
      </c>
      <c r="G47" s="39" t="str">
        <f>IFERROR(VLOOKUP("MD 421-II",STOCK!B2:Q3692,3,FALSE),"SIN STOCK")</f>
        <v>Mayor a 5</v>
      </c>
      <c r="H47" s="28"/>
      <c r="I47" s="28"/>
      <c r="J47" s="28"/>
      <c r="K47" s="28"/>
      <c r="L47" s="28"/>
      <c r="M47" s="28"/>
      <c r="N47" s="28"/>
      <c r="O47" s="28"/>
      <c r="P47" s="28"/>
      <c r="Q47" s="28"/>
      <c r="R47" s="28"/>
      <c r="S47" s="28"/>
    </row>
    <row r="48" ht="15.75" customHeight="1">
      <c r="A48" s="41" t="s">
        <v>31</v>
      </c>
      <c r="B48" s="42" t="s">
        <v>153</v>
      </c>
      <c r="C48" s="43" t="s">
        <v>154</v>
      </c>
      <c r="D48" s="44" t="s">
        <v>155</v>
      </c>
      <c r="E48" s="44" t="s">
        <v>156</v>
      </c>
      <c r="F48" s="45">
        <v>0.21</v>
      </c>
      <c r="G48" s="50" t="str">
        <f>IFERROR(VLOOKUP("MD 431-II",STOCK!B2:Q3692,3,FALSE),"SIN STOCK")</f>
        <v>SIN STOCK</v>
      </c>
      <c r="H48" s="28"/>
      <c r="I48" s="28"/>
      <c r="J48" s="28"/>
      <c r="K48" s="28"/>
      <c r="L48" s="28"/>
      <c r="M48" s="28"/>
      <c r="N48" s="28"/>
      <c r="O48" s="28"/>
      <c r="P48" s="28"/>
      <c r="Q48" s="28"/>
      <c r="R48" s="28"/>
      <c r="S48" s="28"/>
    </row>
    <row r="49" ht="15.75" customHeight="1">
      <c r="A49" s="47" t="s">
        <v>31</v>
      </c>
      <c r="B49" s="48" t="s">
        <v>157</v>
      </c>
      <c r="C49" s="49" t="s">
        <v>158</v>
      </c>
      <c r="D49" s="37" t="s">
        <v>93</v>
      </c>
      <c r="E49" s="37" t="s">
        <v>94</v>
      </c>
      <c r="F49" s="38">
        <v>0.21</v>
      </c>
      <c r="G49" s="50" t="str">
        <f>IFERROR(VLOOKUP("MD 441 U",STOCK!B2:Q3692,3,FALSE),"SIN STOCK")</f>
        <v>Menor a 5</v>
      </c>
      <c r="H49" s="28"/>
      <c r="I49" s="28"/>
      <c r="J49" s="28"/>
      <c r="K49" s="28"/>
      <c r="L49" s="28"/>
      <c r="M49" s="28"/>
      <c r="N49" s="28"/>
      <c r="O49" s="28"/>
      <c r="P49" s="28"/>
      <c r="Q49" s="28"/>
      <c r="R49" s="28"/>
      <c r="S49" s="28"/>
    </row>
    <row r="50" ht="15.75" customHeight="1">
      <c r="A50" s="58" t="s">
        <v>159</v>
      </c>
      <c r="B50" s="30"/>
      <c r="C50" s="30"/>
      <c r="D50" s="55"/>
      <c r="E50" s="32"/>
      <c r="F50" s="30"/>
      <c r="G50" s="30"/>
      <c r="H50" s="28"/>
      <c r="I50" s="28"/>
      <c r="J50" s="28"/>
      <c r="K50" s="28"/>
      <c r="L50" s="28"/>
      <c r="M50" s="28"/>
      <c r="N50" s="28"/>
      <c r="O50" s="28"/>
      <c r="P50" s="28"/>
      <c r="Q50" s="28"/>
      <c r="R50" s="28"/>
      <c r="S50" s="28"/>
    </row>
    <row r="51" ht="15.75" hidden="1" customHeight="1">
      <c r="A51" s="41" t="s">
        <v>31</v>
      </c>
      <c r="B51" s="42" t="s">
        <v>160</v>
      </c>
      <c r="C51" s="43" t="s">
        <v>161</v>
      </c>
      <c r="D51" s="44" t="s">
        <v>162</v>
      </c>
      <c r="E51" s="44" t="s">
        <v>163</v>
      </c>
      <c r="F51" s="45">
        <v>0.21</v>
      </c>
      <c r="G51" s="39" t="str">
        <f>IFERROR(VLOOKUP("MK 4",STOCK!B2:Q3692,3,FALSE),"SIN STOCK")</f>
        <v>Mayor a 5</v>
      </c>
      <c r="H51" s="28"/>
      <c r="I51" s="28"/>
      <c r="J51" s="28"/>
      <c r="K51" s="28"/>
      <c r="L51" s="28"/>
      <c r="M51" s="28"/>
      <c r="N51" s="28"/>
      <c r="O51" s="28"/>
      <c r="P51" s="28"/>
      <c r="Q51" s="28"/>
      <c r="R51" s="28"/>
      <c r="S51" s="28"/>
    </row>
    <row r="52" ht="15.75" hidden="1" customHeight="1">
      <c r="A52" s="47" t="s">
        <v>31</v>
      </c>
      <c r="B52" s="48" t="s">
        <v>164</v>
      </c>
      <c r="C52" s="49" t="s">
        <v>165</v>
      </c>
      <c r="D52" s="37" t="s">
        <v>166</v>
      </c>
      <c r="E52" s="37" t="s">
        <v>167</v>
      </c>
      <c r="F52" s="38">
        <v>0.21</v>
      </c>
      <c r="G52" s="39" t="str">
        <f>IFERROR(VLOOKUP("MK 8",STOCK!B2:Q3692,3,FALSE),"SIN STOCK")</f>
        <v>SIN STOCK</v>
      </c>
      <c r="H52" s="28"/>
      <c r="I52" s="28"/>
      <c r="J52" s="28"/>
      <c r="K52" s="28"/>
      <c r="L52" s="28"/>
      <c r="M52" s="28"/>
      <c r="N52" s="28"/>
      <c r="O52" s="28"/>
      <c r="P52" s="28"/>
      <c r="Q52" s="28"/>
      <c r="R52" s="28"/>
      <c r="S52" s="28"/>
    </row>
    <row r="53" ht="15.75" hidden="1" customHeight="1">
      <c r="A53" s="41" t="s">
        <v>31</v>
      </c>
      <c r="B53" s="41" t="s">
        <v>168</v>
      </c>
      <c r="C53" s="43" t="s">
        <v>169</v>
      </c>
      <c r="D53" s="44" t="s">
        <v>170</v>
      </c>
      <c r="E53" s="44" t="s">
        <v>171</v>
      </c>
      <c r="F53" s="45">
        <v>0.21</v>
      </c>
      <c r="G53" s="53" t="str">
        <f>IFERROR(VLOOKUP("MK4 SET",STOCK!B2:Q3692,3,FALSE),"SIN STOCK")</f>
        <v>Menor a 5</v>
      </c>
      <c r="H53" s="28"/>
      <c r="I53" s="28"/>
      <c r="J53" s="28"/>
      <c r="K53" s="28"/>
      <c r="L53" s="28"/>
      <c r="M53" s="28"/>
      <c r="N53" s="28"/>
      <c r="O53" s="28"/>
      <c r="P53" s="28"/>
      <c r="Q53" s="28"/>
      <c r="R53" s="28"/>
      <c r="S53" s="28"/>
    </row>
    <row r="54" ht="15.75" customHeight="1">
      <c r="A54" s="47" t="s">
        <v>31</v>
      </c>
      <c r="B54" s="48" t="s">
        <v>172</v>
      </c>
      <c r="C54" s="49" t="s">
        <v>173</v>
      </c>
      <c r="D54" s="37" t="s">
        <v>46</v>
      </c>
      <c r="E54" s="37" t="s">
        <v>47</v>
      </c>
      <c r="F54" s="38">
        <v>0.21</v>
      </c>
      <c r="G54" s="39" t="str">
        <f>IFERROR(VLOOKUP("MKS 4",STOCK!B2:Q3692,3,FALSE),"SIN STOCK")</f>
        <v>Mayor a 5</v>
      </c>
      <c r="H54" s="28"/>
      <c r="I54" s="28"/>
      <c r="J54" s="28"/>
      <c r="K54" s="28"/>
      <c r="L54" s="28"/>
      <c r="M54" s="28"/>
      <c r="N54" s="28"/>
      <c r="O54" s="28"/>
      <c r="P54" s="28"/>
      <c r="Q54" s="28"/>
      <c r="R54" s="28"/>
      <c r="S54" s="28"/>
    </row>
    <row r="55" ht="15.75" customHeight="1">
      <c r="A55" s="41" t="s">
        <v>31</v>
      </c>
      <c r="B55" s="42" t="s">
        <v>174</v>
      </c>
      <c r="C55" s="43" t="s">
        <v>175</v>
      </c>
      <c r="D55" s="44" t="s">
        <v>176</v>
      </c>
      <c r="E55" s="44" t="s">
        <v>177</v>
      </c>
      <c r="F55" s="45">
        <v>0.21</v>
      </c>
      <c r="G55" s="50" t="str">
        <f>IFERROR(VLOOKUP("MKW 4",STOCK!B2:Q3692,3,FALSE),"SIN STOCK")</f>
        <v>SIN STOCK</v>
      </c>
      <c r="H55" s="28"/>
      <c r="I55" s="28"/>
      <c r="J55" s="28"/>
      <c r="K55" s="28"/>
      <c r="L55" s="28"/>
      <c r="M55" s="28"/>
      <c r="N55" s="28"/>
      <c r="O55" s="28"/>
      <c r="P55" s="28"/>
      <c r="Q55" s="28"/>
      <c r="R55" s="28"/>
      <c r="S55" s="28"/>
    </row>
    <row r="56" ht="15.75" customHeight="1">
      <c r="A56" s="47" t="s">
        <v>31</v>
      </c>
      <c r="B56" s="48" t="s">
        <v>178</v>
      </c>
      <c r="C56" s="49" t="s">
        <v>179</v>
      </c>
      <c r="D56" s="37" t="s">
        <v>180</v>
      </c>
      <c r="E56" s="37" t="s">
        <v>181</v>
      </c>
      <c r="F56" s="38">
        <v>0.21</v>
      </c>
      <c r="G56" s="53" t="str">
        <f>IFERROR(VLOOKUP("MZA 900 P",STOCK!B2:Q3692,3,FALSE),"SIN STOCK")</f>
        <v>Mayor a 5</v>
      </c>
      <c r="H56" s="28"/>
      <c r="I56" s="28"/>
      <c r="J56" s="28"/>
      <c r="K56" s="28"/>
      <c r="L56" s="28"/>
      <c r="M56" s="28"/>
      <c r="N56" s="28"/>
      <c r="O56" s="28"/>
      <c r="P56" s="28"/>
      <c r="Q56" s="28"/>
      <c r="R56" s="28"/>
      <c r="S56" s="28"/>
    </row>
    <row r="57" ht="15.75" customHeight="1">
      <c r="A57" s="41" t="s">
        <v>31</v>
      </c>
      <c r="B57" s="42" t="s">
        <v>182</v>
      </c>
      <c r="C57" s="43" t="s">
        <v>183</v>
      </c>
      <c r="D57" s="44" t="s">
        <v>180</v>
      </c>
      <c r="E57" s="44" t="s">
        <v>181</v>
      </c>
      <c r="F57" s="45">
        <v>0.21</v>
      </c>
      <c r="G57" s="50" t="str">
        <f>IFERROR(VLOOKUP("MZA 900 P-4",STOCK!B2:Q3692,3,FALSE),"SIN STOCK")</f>
        <v>Menor a 5</v>
      </c>
      <c r="H57" s="28"/>
      <c r="I57" s="28"/>
      <c r="J57" s="28"/>
      <c r="K57" s="28"/>
      <c r="L57" s="28"/>
      <c r="M57" s="28"/>
      <c r="N57" s="28"/>
      <c r="O57" s="28"/>
      <c r="P57" s="28"/>
      <c r="Q57" s="28"/>
      <c r="R57" s="28"/>
      <c r="S57" s="28"/>
    </row>
    <row r="58" ht="15.75" customHeight="1">
      <c r="A58" s="47" t="s">
        <v>31</v>
      </c>
      <c r="B58" s="48" t="s">
        <v>184</v>
      </c>
      <c r="C58" s="49" t="s">
        <v>185</v>
      </c>
      <c r="D58" s="37" t="s">
        <v>176</v>
      </c>
      <c r="E58" s="37" t="s">
        <v>177</v>
      </c>
      <c r="F58" s="38">
        <v>0.21</v>
      </c>
      <c r="G58" s="50" t="str">
        <f>IFERROR(VLOOKUP("MZH 604",STOCK!B2:Q3692,3,FALSE),"SIN STOCK")</f>
        <v>SIN STOCK</v>
      </c>
      <c r="H58" s="28"/>
      <c r="I58" s="28"/>
      <c r="J58" s="28"/>
      <c r="K58" s="28"/>
      <c r="L58" s="28"/>
      <c r="M58" s="28"/>
      <c r="N58" s="28"/>
      <c r="O58" s="28"/>
      <c r="P58" s="28"/>
      <c r="Q58" s="28"/>
      <c r="R58" s="28"/>
      <c r="S58" s="28"/>
    </row>
    <row r="59" ht="15.75" customHeight="1">
      <c r="A59" s="41" t="s">
        <v>31</v>
      </c>
      <c r="B59" s="42" t="s">
        <v>186</v>
      </c>
      <c r="C59" s="43" t="s">
        <v>187</v>
      </c>
      <c r="D59" s="44" t="s">
        <v>176</v>
      </c>
      <c r="E59" s="44" t="s">
        <v>177</v>
      </c>
      <c r="F59" s="45">
        <v>0.21</v>
      </c>
      <c r="G59" s="50" t="str">
        <f>IFERROR(VLOOKUP("MZH 908 B",STOCK!B2:Q3692,3,FALSE),"SIN STOCK")</f>
        <v>SIN STOCK</v>
      </c>
      <c r="H59" s="28"/>
      <c r="I59" s="28"/>
      <c r="J59" s="28"/>
      <c r="K59" s="28"/>
      <c r="L59" s="28"/>
      <c r="M59" s="28"/>
      <c r="N59" s="28"/>
      <c r="O59" s="28"/>
      <c r="P59" s="28"/>
      <c r="Q59" s="28"/>
      <c r="R59" s="28"/>
      <c r="S59" s="28"/>
    </row>
    <row r="60" ht="15.75" customHeight="1">
      <c r="A60" s="47" t="s">
        <v>31</v>
      </c>
      <c r="B60" s="48" t="s">
        <v>188</v>
      </c>
      <c r="C60" s="49" t="s">
        <v>189</v>
      </c>
      <c r="D60" s="37" t="s">
        <v>176</v>
      </c>
      <c r="E60" s="37" t="s">
        <v>177</v>
      </c>
      <c r="F60" s="38">
        <v>0.21</v>
      </c>
      <c r="G60" s="39" t="str">
        <f>IFERROR(VLOOKUP("MZH 908 D",STOCK!B2:Q3692,3,FALSE),"SIN STOCK")</f>
        <v>Mayor a 5</v>
      </c>
      <c r="H60" s="28"/>
      <c r="I60" s="28"/>
      <c r="J60" s="28"/>
      <c r="K60" s="28"/>
      <c r="L60" s="28"/>
      <c r="M60" s="28"/>
      <c r="N60" s="28"/>
      <c r="O60" s="28"/>
      <c r="P60" s="28"/>
      <c r="Q60" s="28"/>
      <c r="R60" s="28"/>
      <c r="S60" s="28"/>
    </row>
    <row r="61" ht="15.75" customHeight="1">
      <c r="A61" s="41" t="s">
        <v>31</v>
      </c>
      <c r="B61" s="42" t="s">
        <v>190</v>
      </c>
      <c r="C61" s="43" t="s">
        <v>191</v>
      </c>
      <c r="D61" s="44" t="s">
        <v>89</v>
      </c>
      <c r="E61" s="44" t="s">
        <v>90</v>
      </c>
      <c r="F61" s="45">
        <v>0.21</v>
      </c>
      <c r="G61" s="50" t="str">
        <f>IFERROR(VLOOKUP("MZQ 441",STOCK!B2:Q3692,3,FALSE),"SIN STOCK")</f>
        <v>SIN STOCK</v>
      </c>
      <c r="H61" s="28"/>
      <c r="I61" s="28"/>
      <c r="J61" s="28"/>
      <c r="K61" s="28"/>
      <c r="L61" s="28"/>
      <c r="M61" s="28"/>
      <c r="N61" s="28"/>
      <c r="O61" s="28"/>
      <c r="P61" s="28"/>
      <c r="Q61" s="28"/>
      <c r="R61" s="28"/>
      <c r="S61" s="28"/>
    </row>
    <row r="62" ht="15.75" customHeight="1">
      <c r="A62" s="47" t="s">
        <v>31</v>
      </c>
      <c r="B62" s="48" t="s">
        <v>192</v>
      </c>
      <c r="C62" s="49" t="s">
        <v>193</v>
      </c>
      <c r="D62" s="37" t="s">
        <v>194</v>
      </c>
      <c r="E62" s="37" t="s">
        <v>195</v>
      </c>
      <c r="F62" s="38">
        <v>0.21</v>
      </c>
      <c r="G62" s="39" t="str">
        <f>IFERROR(VLOOKUP("MZQ 800",STOCK!B2:Q3692,3,FALSE),"SIN STOCK")</f>
        <v>Mayor a 5</v>
      </c>
      <c r="H62" s="28"/>
      <c r="I62" s="28"/>
      <c r="J62" s="28"/>
      <c r="K62" s="28"/>
      <c r="L62" s="28"/>
      <c r="M62" s="28"/>
      <c r="N62" s="28"/>
      <c r="O62" s="28"/>
      <c r="P62" s="28"/>
      <c r="Q62" s="28"/>
      <c r="R62" s="28"/>
      <c r="S62" s="28"/>
    </row>
    <row r="63" ht="15.75" customHeight="1">
      <c r="A63" s="41" t="s">
        <v>31</v>
      </c>
      <c r="B63" s="41" t="s">
        <v>196</v>
      </c>
      <c r="C63" s="43" t="s">
        <v>197</v>
      </c>
      <c r="D63" s="44" t="s">
        <v>198</v>
      </c>
      <c r="E63" s="44" t="s">
        <v>199</v>
      </c>
      <c r="F63" s="45">
        <v>0.21</v>
      </c>
      <c r="G63" s="50" t="str">
        <f>IFERROR(VLOOKUP("MZS421",STOCK!B2:Q3692,3,FALSE),"SIN STOCK")</f>
        <v>SIN STOCK</v>
      </c>
      <c r="H63" s="28"/>
      <c r="I63" s="28"/>
      <c r="J63" s="28"/>
      <c r="K63" s="28"/>
      <c r="L63" s="28"/>
      <c r="M63" s="28"/>
      <c r="N63" s="28"/>
      <c r="O63" s="28"/>
      <c r="P63" s="28"/>
      <c r="Q63" s="28"/>
      <c r="R63" s="28"/>
      <c r="S63" s="28"/>
    </row>
    <row r="64" ht="15.75" customHeight="1">
      <c r="A64" s="47" t="s">
        <v>31</v>
      </c>
      <c r="B64" s="48" t="s">
        <v>200</v>
      </c>
      <c r="C64" s="49" t="s">
        <v>201</v>
      </c>
      <c r="D64" s="37" t="s">
        <v>176</v>
      </c>
      <c r="E64" s="37" t="s">
        <v>177</v>
      </c>
      <c r="F64" s="38">
        <v>0.21</v>
      </c>
      <c r="G64" s="50" t="str">
        <f>IFERROR(VLOOKUP("MZW 4032 A",STOCK!B2:Q3692,3,FALSE),"SIN STOCK")</f>
        <v>SIN STOCK</v>
      </c>
      <c r="H64" s="28"/>
      <c r="I64" s="28"/>
      <c r="J64" s="28"/>
      <c r="K64" s="28"/>
      <c r="L64" s="28"/>
      <c r="M64" s="28"/>
      <c r="N64" s="28"/>
      <c r="O64" s="28"/>
      <c r="P64" s="28"/>
      <c r="Q64" s="28"/>
      <c r="R64" s="28"/>
      <c r="S64" s="28"/>
    </row>
    <row r="65" ht="15.75" customHeight="1">
      <c r="A65" s="41" t="s">
        <v>31</v>
      </c>
      <c r="B65" s="42" t="s">
        <v>202</v>
      </c>
      <c r="C65" s="43" t="s">
        <v>203</v>
      </c>
      <c r="D65" s="44" t="s">
        <v>176</v>
      </c>
      <c r="E65" s="44" t="s">
        <v>177</v>
      </c>
      <c r="F65" s="45">
        <v>0.21</v>
      </c>
      <c r="G65" s="50" t="str">
        <f>IFERROR(VLOOKUP("MZW 421 A",STOCK!B2:Q3692,3,FALSE),"SIN STOCK")</f>
        <v>SIN STOCK</v>
      </c>
      <c r="H65" s="28"/>
      <c r="I65" s="28"/>
      <c r="J65" s="28"/>
      <c r="K65" s="28"/>
      <c r="L65" s="28"/>
      <c r="M65" s="28"/>
      <c r="N65" s="28"/>
      <c r="O65" s="28"/>
      <c r="P65" s="28"/>
      <c r="Q65" s="28"/>
      <c r="R65" s="28"/>
      <c r="S65" s="28"/>
    </row>
    <row r="66" ht="15.75" customHeight="1">
      <c r="A66" s="47" t="s">
        <v>31</v>
      </c>
      <c r="B66" s="47" t="s">
        <v>204</v>
      </c>
      <c r="C66" s="49" t="s">
        <v>205</v>
      </c>
      <c r="D66" s="37" t="s">
        <v>176</v>
      </c>
      <c r="E66" s="37" t="s">
        <v>177</v>
      </c>
      <c r="F66" s="38">
        <v>0.21</v>
      </c>
      <c r="G66" s="50" t="str">
        <f>IFERROR(VLOOKUP("MZW 441 A",STOCK!B2:Q3692,3,FALSE),"SIN STOCK")</f>
        <v>SIN STOCK</v>
      </c>
      <c r="H66" s="28"/>
      <c r="I66" s="28"/>
      <c r="J66" s="28"/>
      <c r="K66" s="28"/>
      <c r="L66" s="28"/>
      <c r="M66" s="28"/>
      <c r="N66" s="28"/>
      <c r="O66" s="28"/>
      <c r="P66" s="28"/>
      <c r="Q66" s="28"/>
      <c r="R66" s="28"/>
      <c r="S66" s="28"/>
    </row>
    <row r="67" ht="15.75" customHeight="1">
      <c r="A67" s="58" t="s">
        <v>206</v>
      </c>
      <c r="B67" s="30"/>
      <c r="C67" s="30"/>
      <c r="D67" s="55"/>
      <c r="E67" s="32"/>
      <c r="F67" s="30"/>
      <c r="G67" s="30"/>
      <c r="H67" s="28"/>
      <c r="I67" s="28"/>
      <c r="J67" s="28"/>
      <c r="K67" s="28"/>
      <c r="L67" s="28"/>
      <c r="M67" s="28"/>
      <c r="N67" s="28"/>
      <c r="O67" s="28"/>
      <c r="P67" s="28"/>
      <c r="Q67" s="28"/>
      <c r="R67" s="28"/>
      <c r="S67" s="28"/>
    </row>
    <row r="68" ht="15.75" customHeight="1">
      <c r="A68" s="41" t="s">
        <v>31</v>
      </c>
      <c r="B68" s="59" t="s">
        <v>207</v>
      </c>
      <c r="C68" s="43" t="s">
        <v>208</v>
      </c>
      <c r="D68" s="44" t="s">
        <v>209</v>
      </c>
      <c r="E68" s="44" t="s">
        <v>210</v>
      </c>
      <c r="F68" s="45">
        <v>0.21</v>
      </c>
      <c r="G68" s="39" t="str">
        <f>IFERROR(VLOOKUP("EW-D 835-S SET (Q1-6)",STOCK!B2:Q3692,3,FALSE),"SIN STOCK")</f>
        <v>Mayor a 5</v>
      </c>
      <c r="H68" s="28"/>
      <c r="I68" s="28"/>
      <c r="J68" s="28"/>
      <c r="K68" s="28"/>
      <c r="L68" s="28"/>
      <c r="M68" s="28"/>
      <c r="N68" s="28"/>
      <c r="O68" s="28"/>
      <c r="P68" s="28"/>
      <c r="Q68" s="28"/>
      <c r="R68" s="28"/>
      <c r="S68" s="28"/>
    </row>
    <row r="69" ht="15.75" customHeight="1">
      <c r="A69" s="47" t="s">
        <v>31</v>
      </c>
      <c r="B69" s="48" t="s">
        <v>211</v>
      </c>
      <c r="C69" s="49" t="s">
        <v>212</v>
      </c>
      <c r="D69" s="37" t="s">
        <v>209</v>
      </c>
      <c r="E69" s="37" t="s">
        <v>210</v>
      </c>
      <c r="F69" s="38">
        <v>0.21</v>
      </c>
      <c r="G69" s="39" t="str">
        <f>IFERROR(VLOOKUP("EW-D ME2 SET (Q1-6)",STOCK!B2:Q3692,3,FALSE),"SIN STOCK")</f>
        <v>Mayor a 5</v>
      </c>
      <c r="H69" s="28"/>
      <c r="I69" s="28"/>
      <c r="J69" s="28"/>
      <c r="K69" s="28"/>
      <c r="L69" s="28"/>
      <c r="M69" s="28"/>
      <c r="N69" s="28"/>
      <c r="O69" s="28"/>
      <c r="P69" s="28"/>
      <c r="Q69" s="28"/>
      <c r="R69" s="28"/>
      <c r="S69" s="28"/>
    </row>
    <row r="70" ht="15.75" customHeight="1">
      <c r="A70" s="41" t="s">
        <v>31</v>
      </c>
      <c r="B70" s="42" t="s">
        <v>213</v>
      </c>
      <c r="C70" s="43" t="s">
        <v>214</v>
      </c>
      <c r="D70" s="44" t="s">
        <v>166</v>
      </c>
      <c r="E70" s="44" t="s">
        <v>167</v>
      </c>
      <c r="F70" s="45">
        <v>0.21</v>
      </c>
      <c r="G70" s="50" t="str">
        <f>IFERROR(VLOOKUP("EW-D ME3 SET (Q1-6)",STOCK!B2:Q3692,3,FALSE),"SIN STOCK")</f>
        <v>SIN STOCK</v>
      </c>
      <c r="H70" s="28"/>
      <c r="I70" s="28"/>
      <c r="J70" s="28"/>
      <c r="K70" s="28"/>
      <c r="L70" s="28"/>
      <c r="M70" s="28"/>
      <c r="N70" s="28"/>
      <c r="O70" s="28"/>
      <c r="P70" s="28"/>
      <c r="Q70" s="28"/>
      <c r="R70" s="28"/>
      <c r="S70" s="28"/>
    </row>
    <row r="71" ht="15.75" customHeight="1">
      <c r="A71" s="47" t="s">
        <v>31</v>
      </c>
      <c r="B71" s="48" t="s">
        <v>215</v>
      </c>
      <c r="C71" s="49" t="s">
        <v>216</v>
      </c>
      <c r="D71" s="37" t="s">
        <v>209</v>
      </c>
      <c r="E71" s="37" t="s">
        <v>210</v>
      </c>
      <c r="F71" s="38">
        <v>0.21</v>
      </c>
      <c r="G71" s="50" t="str">
        <f>IFERROR(VLOOKUP("EW-D ME4 SET (Q1-6)",STOCK!B2:Q3692,3,FALSE),"SIN STOCK")</f>
        <v>SIN STOCK</v>
      </c>
      <c r="H71" s="28"/>
      <c r="I71" s="28"/>
      <c r="J71" s="28"/>
      <c r="K71" s="28"/>
      <c r="L71" s="28"/>
      <c r="M71" s="28"/>
      <c r="N71" s="28"/>
      <c r="O71" s="28"/>
      <c r="P71" s="28"/>
      <c r="Q71" s="28"/>
      <c r="R71" s="28"/>
      <c r="S71" s="28"/>
    </row>
    <row r="72" ht="15.75" customHeight="1">
      <c r="A72" s="41" t="s">
        <v>31</v>
      </c>
      <c r="B72" s="42" t="s">
        <v>217</v>
      </c>
      <c r="C72" s="43" t="s">
        <v>218</v>
      </c>
      <c r="D72" s="44" t="s">
        <v>219</v>
      </c>
      <c r="E72" s="44" t="s">
        <v>220</v>
      </c>
      <c r="F72" s="45">
        <v>0.21</v>
      </c>
      <c r="G72" s="50" t="str">
        <f>IFERROR(VLOOKUP("EW-D CI1 SET (Q1-6)",STOCK!B2:Q3692,3,FALSE),"SIN STOCK")</f>
        <v>Menor a 5</v>
      </c>
      <c r="H72" s="28"/>
      <c r="I72" s="28"/>
      <c r="J72" s="28"/>
      <c r="K72" s="28"/>
      <c r="L72" s="28"/>
      <c r="M72" s="28"/>
      <c r="N72" s="28"/>
      <c r="O72" s="28"/>
      <c r="P72" s="28"/>
      <c r="Q72" s="28"/>
      <c r="R72" s="28"/>
      <c r="S72" s="28"/>
    </row>
    <row r="73" ht="15.75" customHeight="1">
      <c r="A73" s="47" t="s">
        <v>31</v>
      </c>
      <c r="B73" s="48" t="s">
        <v>221</v>
      </c>
      <c r="C73" s="49" t="s">
        <v>222</v>
      </c>
      <c r="D73" s="37" t="s">
        <v>223</v>
      </c>
      <c r="E73" s="37" t="s">
        <v>224</v>
      </c>
      <c r="F73" s="38">
        <v>0.21</v>
      </c>
      <c r="G73" s="50" t="str">
        <f>IFERROR(VLOOKUP("EW-D ME2/835-S SET (Q1-6)",STOCK!B2:Q3692,3,FALSE),"SIN STOCK")</f>
        <v>Mayor a 5</v>
      </c>
      <c r="H73" s="28"/>
      <c r="I73" s="28"/>
      <c r="J73" s="28"/>
      <c r="K73" s="28"/>
      <c r="L73" s="28"/>
      <c r="M73" s="28"/>
      <c r="N73" s="28"/>
      <c r="O73" s="28"/>
      <c r="P73" s="28"/>
      <c r="Q73" s="28"/>
      <c r="R73" s="28"/>
      <c r="S73" s="28"/>
    </row>
    <row r="74" ht="15.75" customHeight="1">
      <c r="A74" s="41" t="s">
        <v>31</v>
      </c>
      <c r="B74" s="57" t="s">
        <v>225</v>
      </c>
      <c r="C74" s="43" t="s">
        <v>226</v>
      </c>
      <c r="D74" s="44" t="s">
        <v>227</v>
      </c>
      <c r="E74" s="44" t="s">
        <v>228</v>
      </c>
      <c r="F74" s="45">
        <v>0.21</v>
      </c>
      <c r="G74" s="50" t="str">
        <f>IFERROR(VLOOKUP("EW-D SKM-S BASE SET (Q1-6)",STOCK!B2:Q3692,3,FALSE),"SIN STOCK")</f>
        <v>SIN STOCK</v>
      </c>
      <c r="H74" s="28"/>
      <c r="I74" s="28"/>
      <c r="J74" s="28"/>
      <c r="K74" s="28"/>
      <c r="L74" s="28"/>
      <c r="M74" s="28"/>
      <c r="N74" s="28"/>
      <c r="O74" s="28"/>
      <c r="P74" s="28"/>
      <c r="Q74" s="28"/>
      <c r="R74" s="28"/>
      <c r="S74" s="28"/>
    </row>
    <row r="75" ht="15.75" customHeight="1">
      <c r="A75" s="47" t="s">
        <v>31</v>
      </c>
      <c r="B75" s="48" t="s">
        <v>229</v>
      </c>
      <c r="C75" s="49" t="s">
        <v>230</v>
      </c>
      <c r="D75" s="37" t="s">
        <v>227</v>
      </c>
      <c r="E75" s="37" t="s">
        <v>228</v>
      </c>
      <c r="F75" s="38">
        <v>0.21</v>
      </c>
      <c r="G75" s="50" t="str">
        <f>IFERROR(VLOOKUP("EW-D SK BASE SET (Q1-6)",STOCK!B2:Q3692,3,FALSE),"SIN STOCK")</f>
        <v>SIN STOCK</v>
      </c>
      <c r="H75" s="28"/>
      <c r="I75" s="28"/>
      <c r="J75" s="28"/>
      <c r="K75" s="28"/>
      <c r="L75" s="28"/>
      <c r="M75" s="28"/>
      <c r="N75" s="28"/>
      <c r="O75" s="28"/>
      <c r="P75" s="28"/>
      <c r="Q75" s="28"/>
      <c r="R75" s="28"/>
      <c r="S75" s="28"/>
    </row>
    <row r="76" ht="15.75" customHeight="1">
      <c r="A76" s="58" t="s">
        <v>231</v>
      </c>
      <c r="B76" s="30"/>
      <c r="C76" s="30"/>
      <c r="D76" s="55"/>
      <c r="E76" s="32"/>
      <c r="F76" s="30"/>
      <c r="G76" s="30"/>
      <c r="H76" s="28"/>
      <c r="I76" s="28"/>
      <c r="J76" s="28"/>
      <c r="K76" s="28"/>
      <c r="L76" s="28"/>
      <c r="M76" s="28"/>
      <c r="N76" s="28"/>
      <c r="O76" s="28"/>
      <c r="P76" s="28"/>
      <c r="Q76" s="28"/>
      <c r="R76" s="28"/>
      <c r="S76" s="28"/>
    </row>
    <row r="77" ht="15.75" customHeight="1">
      <c r="A77" s="41" t="s">
        <v>31</v>
      </c>
      <c r="B77" s="57" t="s">
        <v>232</v>
      </c>
      <c r="C77" s="43" t="s">
        <v>233</v>
      </c>
      <c r="D77" s="44" t="s">
        <v>234</v>
      </c>
      <c r="E77" s="44" t="s">
        <v>235</v>
      </c>
      <c r="F77" s="45">
        <v>0.21</v>
      </c>
      <c r="G77" s="39" t="str">
        <f>IFERROR(VLOOKUP("EW-D SK (Q1-6)",STOCK!B2:Q3692,3,FALSE),"SIN STOCK")</f>
        <v>Mayor a 5</v>
      </c>
      <c r="H77" s="28"/>
      <c r="I77" s="28"/>
      <c r="J77" s="28"/>
      <c r="K77" s="28"/>
      <c r="L77" s="28"/>
      <c r="M77" s="28"/>
      <c r="N77" s="28"/>
      <c r="O77" s="28"/>
      <c r="P77" s="28"/>
      <c r="Q77" s="28"/>
      <c r="R77" s="28"/>
      <c r="S77" s="28"/>
    </row>
    <row r="78" ht="15.75" customHeight="1">
      <c r="A78" s="47" t="s">
        <v>31</v>
      </c>
      <c r="B78" s="60" t="s">
        <v>236</v>
      </c>
      <c r="C78" s="49" t="s">
        <v>237</v>
      </c>
      <c r="D78" s="37" t="s">
        <v>234</v>
      </c>
      <c r="E78" s="37" t="s">
        <v>235</v>
      </c>
      <c r="F78" s="38">
        <v>0.21</v>
      </c>
      <c r="G78" s="39" t="str">
        <f>IFERROR(VLOOKUP("EW-D SKM-S (Q1-6)",STOCK!B2:Q3692,3,FALSE),"SIN STOCK")</f>
        <v>Mayor a 5</v>
      </c>
      <c r="H78" s="28"/>
      <c r="I78" s="28"/>
      <c r="J78" s="28"/>
      <c r="K78" s="28"/>
      <c r="L78" s="28"/>
      <c r="M78" s="28"/>
      <c r="N78" s="28"/>
      <c r="O78" s="28"/>
      <c r="P78" s="28"/>
      <c r="Q78" s="28"/>
      <c r="R78" s="28"/>
      <c r="S78" s="28"/>
    </row>
    <row r="79" ht="15.75" customHeight="1">
      <c r="A79" s="41" t="s">
        <v>31</v>
      </c>
      <c r="B79" s="57" t="s">
        <v>238</v>
      </c>
      <c r="C79" s="43" t="s">
        <v>239</v>
      </c>
      <c r="D79" s="44" t="s">
        <v>234</v>
      </c>
      <c r="E79" s="44" t="s">
        <v>235</v>
      </c>
      <c r="F79" s="45">
        <v>0.21</v>
      </c>
      <c r="G79" s="50" t="str">
        <f>IFERROR(VLOOKUP("EW-D EM (Q1-6)",STOCK!B2:Q3692,3,FALSE),"SIN STOCK")</f>
        <v>SIN STOCK</v>
      </c>
      <c r="H79" s="28"/>
      <c r="I79" s="28"/>
      <c r="J79" s="28"/>
      <c r="K79" s="28"/>
      <c r="L79" s="28"/>
      <c r="M79" s="28"/>
      <c r="N79" s="28"/>
      <c r="O79" s="28"/>
      <c r="P79" s="28"/>
      <c r="Q79" s="28"/>
      <c r="R79" s="28"/>
      <c r="S79" s="28"/>
    </row>
    <row r="80" ht="15.75" customHeight="1">
      <c r="A80" s="29" t="s">
        <v>240</v>
      </c>
      <c r="C80" s="30"/>
      <c r="D80" s="55"/>
      <c r="E80" s="32"/>
      <c r="F80" s="30"/>
      <c r="G80" s="30"/>
      <c r="H80" s="28"/>
      <c r="I80" s="28"/>
      <c r="J80" s="28"/>
      <c r="K80" s="28"/>
      <c r="L80" s="28"/>
      <c r="M80" s="28"/>
      <c r="N80" s="28"/>
      <c r="O80" s="28"/>
      <c r="P80" s="28"/>
      <c r="Q80" s="28"/>
      <c r="R80" s="28"/>
      <c r="S80" s="28"/>
    </row>
    <row r="81" ht="15.75" customHeight="1">
      <c r="A81" s="41" t="s">
        <v>31</v>
      </c>
      <c r="B81" s="42" t="s">
        <v>241</v>
      </c>
      <c r="C81" s="43" t="s">
        <v>242</v>
      </c>
      <c r="D81" s="44" t="s">
        <v>243</v>
      </c>
      <c r="E81" s="44" t="s">
        <v>244</v>
      </c>
      <c r="F81" s="45">
        <v>0.21</v>
      </c>
      <c r="G81" s="39" t="str">
        <f>IFERROR(VLOOKUP("EW-DX 835-S SET (Q1-9)",STOCK!B2:Q3692,3,FALSE),"SIN STOCK")</f>
        <v>Mayor a 5</v>
      </c>
      <c r="H81" s="28"/>
      <c r="I81" s="28"/>
      <c r="J81" s="28"/>
      <c r="K81" s="28"/>
      <c r="L81" s="28"/>
      <c r="M81" s="28"/>
      <c r="N81" s="28"/>
      <c r="O81" s="28"/>
      <c r="P81" s="28"/>
      <c r="Q81" s="28"/>
      <c r="R81" s="28"/>
      <c r="S81" s="28"/>
    </row>
    <row r="82" ht="15.75" customHeight="1">
      <c r="A82" s="47" t="s">
        <v>31</v>
      </c>
      <c r="B82" s="48" t="s">
        <v>245</v>
      </c>
      <c r="C82" s="49" t="s">
        <v>246</v>
      </c>
      <c r="D82" s="37" t="s">
        <v>247</v>
      </c>
      <c r="E82" s="37" t="s">
        <v>248</v>
      </c>
      <c r="F82" s="38">
        <v>0.21</v>
      </c>
      <c r="G82" s="39" t="str">
        <f>IFERROR(VLOOKUP("EW-DX MKE 2 SET (Q1-9)",STOCK!B2:Q3692,3,FALSE),"SIN STOCK")</f>
        <v>Mayor a 5</v>
      </c>
      <c r="H82" s="28"/>
      <c r="I82" s="28"/>
      <c r="J82" s="28"/>
      <c r="K82" s="28"/>
      <c r="L82" s="28"/>
      <c r="M82" s="28"/>
      <c r="N82" s="28"/>
      <c r="O82" s="28"/>
      <c r="P82" s="28"/>
      <c r="Q82" s="28"/>
      <c r="R82" s="28"/>
      <c r="S82" s="28"/>
    </row>
    <row r="83" ht="15.75" customHeight="1">
      <c r="A83" s="41" t="s">
        <v>31</v>
      </c>
      <c r="B83" s="42" t="s">
        <v>249</v>
      </c>
      <c r="C83" s="43" t="s">
        <v>250</v>
      </c>
      <c r="D83" s="44" t="s">
        <v>251</v>
      </c>
      <c r="E83" s="44" t="s">
        <v>252</v>
      </c>
      <c r="F83" s="45">
        <v>0.21</v>
      </c>
      <c r="G83" s="50" t="str">
        <f>IFERROR(VLOOKUP("EW-DX MKE 2-835-S SET (Q1-9)",STOCK!B2:Q3692,3,FALSE),"SIN STOCK")</f>
        <v>SIN STOCK</v>
      </c>
      <c r="H83" s="28"/>
      <c r="I83" s="28"/>
      <c r="J83" s="28"/>
      <c r="K83" s="28"/>
      <c r="L83" s="28"/>
      <c r="M83" s="28"/>
      <c r="N83" s="28"/>
      <c r="O83" s="28"/>
      <c r="P83" s="28"/>
      <c r="Q83" s="28"/>
      <c r="R83" s="28"/>
      <c r="S83" s="28"/>
    </row>
    <row r="84" ht="15.75" customHeight="1">
      <c r="A84" s="47" t="s">
        <v>31</v>
      </c>
      <c r="B84" s="61" t="s">
        <v>253</v>
      </c>
      <c r="C84" s="62"/>
      <c r="D84" s="63"/>
      <c r="E84" s="37" t="s">
        <v>252</v>
      </c>
      <c r="F84" s="38">
        <v>0.21</v>
      </c>
      <c r="G84" s="39" t="str">
        <f>IFERROR(VLOOKUP("EW-DX MKE 2 / 835-S SET (Q1-9)",STOCK!B2:Q3692,3,FALSE),"SIN STOCK")</f>
        <v>Mayor a 5</v>
      </c>
      <c r="H84" s="28"/>
      <c r="I84" s="28"/>
      <c r="J84" s="28"/>
      <c r="K84" s="28"/>
      <c r="L84" s="28"/>
      <c r="M84" s="28"/>
      <c r="N84" s="28"/>
      <c r="O84" s="28"/>
      <c r="P84" s="28"/>
      <c r="Q84" s="28"/>
      <c r="R84" s="28"/>
      <c r="S84" s="28"/>
    </row>
    <row r="85" ht="15.75" customHeight="1">
      <c r="A85" s="41" t="s">
        <v>31</v>
      </c>
      <c r="B85" s="42" t="s">
        <v>254</v>
      </c>
      <c r="C85" s="43" t="s">
        <v>255</v>
      </c>
      <c r="D85" s="44" t="s">
        <v>256</v>
      </c>
      <c r="E85" s="44" t="s">
        <v>257</v>
      </c>
      <c r="F85" s="45">
        <v>0.21</v>
      </c>
      <c r="G85" s="50" t="str">
        <f>IFERROR(VLOOKUP("EW-DX SK-SKM-S BASE SET (Q1-9)",STOCK!B2:Q3692,3,FALSE),"SIN STOCK")</f>
        <v>SIN STOCK</v>
      </c>
      <c r="H85" s="28"/>
      <c r="I85" s="28"/>
      <c r="J85" s="28"/>
      <c r="K85" s="28"/>
      <c r="L85" s="28"/>
      <c r="M85" s="28"/>
      <c r="N85" s="28"/>
      <c r="O85" s="28"/>
      <c r="P85" s="28"/>
      <c r="Q85" s="28"/>
      <c r="R85" s="28"/>
      <c r="S85" s="28"/>
    </row>
    <row r="86" ht="15.75" customHeight="1">
      <c r="A86" s="58" t="s">
        <v>258</v>
      </c>
      <c r="B86" s="30"/>
      <c r="C86" s="30"/>
      <c r="D86" s="55"/>
      <c r="E86" s="32"/>
      <c r="F86" s="30"/>
      <c r="G86" s="30"/>
      <c r="H86" s="28"/>
      <c r="I86" s="28"/>
      <c r="J86" s="28"/>
      <c r="K86" s="28"/>
      <c r="L86" s="28"/>
      <c r="M86" s="28"/>
      <c r="N86" s="28"/>
      <c r="O86" s="28"/>
      <c r="P86" s="28"/>
      <c r="Q86" s="28"/>
      <c r="R86" s="28"/>
      <c r="S86" s="28"/>
    </row>
    <row r="87" ht="15.75" customHeight="1">
      <c r="A87" s="47" t="s">
        <v>31</v>
      </c>
      <c r="B87" s="48" t="s">
        <v>259</v>
      </c>
      <c r="C87" s="49" t="s">
        <v>260</v>
      </c>
      <c r="D87" s="37" t="s">
        <v>166</v>
      </c>
      <c r="E87" s="37" t="s">
        <v>167</v>
      </c>
      <c r="F87" s="38">
        <v>0.21</v>
      </c>
      <c r="G87" s="50" t="str">
        <f>IFERROR(VLOOKUP("EW-DX SK 3-PIN",STOCK!B2:Q3692,3,FALSE),"SIN STOCK")</f>
        <v>SIN STOCK</v>
      </c>
      <c r="H87" s="28"/>
      <c r="I87" s="28"/>
      <c r="J87" s="28"/>
      <c r="K87" s="28"/>
      <c r="L87" s="28"/>
      <c r="M87" s="28"/>
      <c r="N87" s="28"/>
      <c r="O87" s="28"/>
      <c r="P87" s="28"/>
      <c r="Q87" s="28"/>
      <c r="R87" s="28"/>
      <c r="S87" s="28"/>
    </row>
    <row r="88" ht="15.75" customHeight="1">
      <c r="A88" s="41" t="s">
        <v>31</v>
      </c>
      <c r="B88" s="42" t="s">
        <v>261</v>
      </c>
      <c r="C88" s="43" t="s">
        <v>262</v>
      </c>
      <c r="D88" s="44" t="s">
        <v>263</v>
      </c>
      <c r="E88" s="44" t="s">
        <v>264</v>
      </c>
      <c r="F88" s="45">
        <v>0.21</v>
      </c>
      <c r="G88" s="50" t="str">
        <f>IFERROR(VLOOKUP("EW-DX SK (Q1-9)",STOCK!B2:Q3692,3,FALSE),"SIN STOCK")</f>
        <v>Mayor a 5</v>
      </c>
      <c r="H88" s="28"/>
      <c r="I88" s="28"/>
      <c r="J88" s="28"/>
      <c r="K88" s="28"/>
      <c r="L88" s="28"/>
      <c r="M88" s="28"/>
      <c r="N88" s="28"/>
      <c r="O88" s="28"/>
      <c r="P88" s="28"/>
      <c r="Q88" s="28"/>
      <c r="R88" s="28"/>
      <c r="S88" s="28"/>
    </row>
    <row r="89" ht="15.75" customHeight="1">
      <c r="A89" s="47" t="s">
        <v>31</v>
      </c>
      <c r="B89" s="48" t="s">
        <v>265</v>
      </c>
      <c r="C89" s="49" t="s">
        <v>266</v>
      </c>
      <c r="D89" s="37" t="s">
        <v>143</v>
      </c>
      <c r="E89" s="37" t="s">
        <v>144</v>
      </c>
      <c r="F89" s="38">
        <v>0.21</v>
      </c>
      <c r="G89" s="39" t="str">
        <f>IFERROR(VLOOKUP("EW-DX SK 3-PIN (Q1-9)",STOCK!B2:Q3692,3,FALSE),"SIN STOCK")</f>
        <v>Mayor a 5</v>
      </c>
      <c r="H89" s="28"/>
      <c r="I89" s="28"/>
      <c r="J89" s="28"/>
      <c r="K89" s="28"/>
      <c r="L89" s="28"/>
      <c r="M89" s="28"/>
      <c r="N89" s="28"/>
      <c r="O89" s="28"/>
      <c r="P89" s="28"/>
      <c r="Q89" s="28"/>
      <c r="R89" s="28"/>
      <c r="S89" s="28"/>
    </row>
    <row r="90" ht="15.75" customHeight="1">
      <c r="A90" s="41" t="s">
        <v>31</v>
      </c>
      <c r="B90" s="42" t="s">
        <v>267</v>
      </c>
      <c r="C90" s="43" t="s">
        <v>268</v>
      </c>
      <c r="D90" s="44" t="s">
        <v>263</v>
      </c>
      <c r="E90" s="44" t="s">
        <v>264</v>
      </c>
      <c r="F90" s="45">
        <v>0.21</v>
      </c>
      <c r="G90" s="50" t="str">
        <f>IFERROR(VLOOKUP("EW-DX SKM (Q1-9)",STOCK!B2:Q3692,3,FALSE),"SIN STOCK")</f>
        <v>Mayor a 5</v>
      </c>
      <c r="H90" s="28"/>
      <c r="I90" s="28"/>
      <c r="J90" s="28"/>
      <c r="K90" s="28"/>
      <c r="L90" s="28"/>
      <c r="M90" s="28"/>
      <c r="N90" s="28"/>
      <c r="O90" s="28"/>
      <c r="P90" s="28"/>
      <c r="Q90" s="28"/>
      <c r="R90" s="28"/>
      <c r="S90" s="28"/>
    </row>
    <row r="91" ht="15.75" customHeight="1">
      <c r="A91" s="47" t="s">
        <v>31</v>
      </c>
      <c r="B91" s="48" t="s">
        <v>269</v>
      </c>
      <c r="C91" s="49" t="s">
        <v>270</v>
      </c>
      <c r="D91" s="37" t="s">
        <v>263</v>
      </c>
      <c r="E91" s="37" t="s">
        <v>264</v>
      </c>
      <c r="F91" s="38">
        <v>0.21</v>
      </c>
      <c r="G91" s="50" t="str">
        <f>IFERROR(VLOOKUP("EW-DX SKM-S (Q1-9)",STOCK!B2:Q3692,3,FALSE),"SIN STOCK")</f>
        <v>SIN STOCK</v>
      </c>
      <c r="H91" s="28"/>
      <c r="I91" s="28"/>
      <c r="J91" s="28"/>
      <c r="K91" s="28"/>
      <c r="L91" s="28"/>
      <c r="M91" s="28"/>
      <c r="N91" s="28"/>
      <c r="O91" s="28"/>
      <c r="P91" s="28"/>
      <c r="Q91" s="28"/>
      <c r="R91" s="28"/>
      <c r="S91" s="28"/>
    </row>
    <row r="92" ht="15.75" customHeight="1">
      <c r="A92" s="41" t="s">
        <v>31</v>
      </c>
      <c r="B92" s="42" t="s">
        <v>271</v>
      </c>
      <c r="C92" s="43" t="s">
        <v>272</v>
      </c>
      <c r="D92" s="44" t="s">
        <v>273</v>
      </c>
      <c r="E92" s="44" t="s">
        <v>274</v>
      </c>
      <c r="F92" s="45">
        <v>0.21</v>
      </c>
      <c r="G92" s="50" t="str">
        <f>IFERROR(VLOOKUP("EW-DX EM 2 (Q1-9)",STOCK!B2:Q3692,3,FALSE),"SIN STOCK")</f>
        <v>SIN STOCK</v>
      </c>
      <c r="H92" s="28"/>
      <c r="I92" s="28"/>
      <c r="J92" s="28"/>
      <c r="K92" s="28"/>
      <c r="L92" s="28"/>
      <c r="M92" s="28"/>
      <c r="N92" s="28"/>
      <c r="O92" s="28"/>
      <c r="P92" s="28"/>
      <c r="Q92" s="28"/>
      <c r="R92" s="28"/>
      <c r="S92" s="28"/>
    </row>
    <row r="93" ht="15.75" customHeight="1">
      <c r="A93" s="47" t="s">
        <v>31</v>
      </c>
      <c r="B93" s="48" t="s">
        <v>275</v>
      </c>
      <c r="C93" s="49" t="s">
        <v>276</v>
      </c>
      <c r="D93" s="37" t="s">
        <v>277</v>
      </c>
      <c r="E93" s="37" t="s">
        <v>278</v>
      </c>
      <c r="F93" s="38">
        <v>0.21</v>
      </c>
      <c r="G93" s="50" t="str">
        <f>IFERROR(VLOOKUP("EW-DX EM 2 DANTE",STOCK!B2:Q3692,3,FALSE),"SIN STOCK")</f>
        <v>Mayor a 5</v>
      </c>
      <c r="H93" s="28"/>
      <c r="I93" s="28"/>
      <c r="J93" s="28"/>
      <c r="K93" s="28"/>
      <c r="L93" s="28"/>
      <c r="M93" s="28"/>
      <c r="N93" s="28"/>
      <c r="O93" s="28"/>
      <c r="P93" s="28"/>
      <c r="Q93" s="28"/>
      <c r="R93" s="28"/>
      <c r="S93" s="28"/>
    </row>
    <row r="94" ht="15.75" customHeight="1">
      <c r="A94" s="47" t="s">
        <v>31</v>
      </c>
      <c r="B94" s="48" t="s">
        <v>279</v>
      </c>
      <c r="C94" s="49" t="s">
        <v>280</v>
      </c>
      <c r="D94" s="37" t="s">
        <v>281</v>
      </c>
      <c r="E94" s="37" t="s">
        <v>282</v>
      </c>
      <c r="F94" s="38">
        <v>0.21</v>
      </c>
      <c r="G94" s="50" t="str">
        <f>IFERROR(VLOOKUP("EW-DX EM 4 DANTE",STOCK!B3:Q3693,3,FALSE),"SIN STOCK")</f>
        <v>Mayor a 5</v>
      </c>
      <c r="H94" s="28"/>
      <c r="I94" s="28"/>
      <c r="J94" s="28"/>
      <c r="K94" s="28"/>
      <c r="L94" s="28"/>
      <c r="M94" s="28"/>
      <c r="N94" s="28"/>
      <c r="O94" s="28"/>
      <c r="P94" s="28"/>
      <c r="Q94" s="28"/>
      <c r="R94" s="28"/>
      <c r="S94" s="28"/>
    </row>
    <row r="95" ht="15.75" customHeight="1">
      <c r="A95" s="58" t="s">
        <v>283</v>
      </c>
      <c r="B95" s="30"/>
      <c r="C95" s="30"/>
      <c r="D95" s="55"/>
      <c r="E95" s="32"/>
      <c r="F95" s="30"/>
      <c r="G95" s="30"/>
      <c r="H95" s="28"/>
      <c r="I95" s="28"/>
      <c r="J95" s="28"/>
      <c r="K95" s="28"/>
      <c r="L95" s="28"/>
      <c r="M95" s="28"/>
      <c r="N95" s="28"/>
      <c r="O95" s="28"/>
      <c r="P95" s="28"/>
      <c r="Q95" s="28"/>
      <c r="R95" s="28"/>
      <c r="S95" s="28"/>
    </row>
    <row r="96" ht="15.75" customHeight="1">
      <c r="A96" s="41" t="s">
        <v>31</v>
      </c>
      <c r="B96" s="41" t="s">
        <v>284</v>
      </c>
      <c r="C96" s="43" t="s">
        <v>285</v>
      </c>
      <c r="D96" s="44" t="s">
        <v>132</v>
      </c>
      <c r="E96" s="44" t="s">
        <v>133</v>
      </c>
      <c r="F96" s="45">
        <v>0.21</v>
      </c>
      <c r="G96" s="39" t="str">
        <f>IFERROR(VLOOKUP("CHG 70N",STOCK!B2:Q3692,3,FALSE),"SIN STOCK")</f>
        <v>Mayor a 5</v>
      </c>
      <c r="H96" s="28"/>
      <c r="I96" s="28"/>
      <c r="J96" s="28"/>
      <c r="K96" s="28"/>
      <c r="L96" s="28"/>
      <c r="M96" s="28"/>
      <c r="N96" s="28"/>
      <c r="O96" s="28"/>
      <c r="P96" s="28"/>
      <c r="Q96" s="28"/>
      <c r="R96" s="28"/>
      <c r="S96" s="28"/>
    </row>
    <row r="97" ht="15.75" customHeight="1">
      <c r="A97" s="47" t="s">
        <v>31</v>
      </c>
      <c r="B97" s="48" t="s">
        <v>286</v>
      </c>
      <c r="C97" s="62"/>
      <c r="D97" s="37" t="s">
        <v>78</v>
      </c>
      <c r="E97" s="37" t="s">
        <v>79</v>
      </c>
      <c r="F97" s="38">
        <v>0.21</v>
      </c>
      <c r="G97" s="50" t="str">
        <f>IFERROR(VLOOKUP("CHG 70N + PSU KIT",STOCK!B2:Q3692,3,FALSE),"SIN STOCK")</f>
        <v>SIN STOCK</v>
      </c>
      <c r="H97" s="28"/>
      <c r="I97" s="28"/>
      <c r="J97" s="28"/>
      <c r="K97" s="28"/>
      <c r="L97" s="28"/>
      <c r="M97" s="28"/>
      <c r="N97" s="28"/>
      <c r="O97" s="28"/>
      <c r="P97" s="28"/>
      <c r="Q97" s="28"/>
      <c r="R97" s="28"/>
      <c r="S97" s="28"/>
    </row>
    <row r="98" ht="15.75" customHeight="1">
      <c r="A98" s="41" t="s">
        <v>31</v>
      </c>
      <c r="B98" s="42" t="s">
        <v>287</v>
      </c>
      <c r="C98" s="43" t="s">
        <v>288</v>
      </c>
      <c r="D98" s="44" t="s">
        <v>42</v>
      </c>
      <c r="E98" s="44" t="s">
        <v>43</v>
      </c>
      <c r="F98" s="45">
        <v>0.21</v>
      </c>
      <c r="G98" s="50" t="str">
        <f>IFERROR(VLOOKUP("EW-D CHARGING SET",STOCK!B2:Q3692,3,FALSE),"SIN STOCK")</f>
        <v>Mayor a 5</v>
      </c>
      <c r="H98" s="28"/>
      <c r="I98" s="28"/>
      <c r="J98" s="28"/>
      <c r="K98" s="28"/>
      <c r="L98" s="28"/>
      <c r="M98" s="28"/>
      <c r="N98" s="28"/>
      <c r="O98" s="28"/>
      <c r="P98" s="28"/>
      <c r="Q98" s="28"/>
      <c r="R98" s="28"/>
      <c r="S98" s="28"/>
    </row>
    <row r="99" ht="15.75" customHeight="1">
      <c r="A99" s="47" t="s">
        <v>31</v>
      </c>
      <c r="B99" s="48" t="s">
        <v>289</v>
      </c>
      <c r="C99" s="49" t="s">
        <v>290</v>
      </c>
      <c r="D99" s="37" t="s">
        <v>198</v>
      </c>
      <c r="E99" s="37" t="s">
        <v>199</v>
      </c>
      <c r="F99" s="38">
        <v>0.21</v>
      </c>
      <c r="G99" s="53" t="str">
        <f>IFERROR(VLOOKUP("L 70 USB",STOCK!B2:Q3692,3,FALSE),"SIN STOCK")</f>
        <v>SIN STOCK</v>
      </c>
      <c r="H99" s="28"/>
      <c r="I99" s="28"/>
      <c r="J99" s="28"/>
      <c r="K99" s="28"/>
      <c r="L99" s="28"/>
      <c r="M99" s="28"/>
      <c r="N99" s="28"/>
      <c r="O99" s="28"/>
      <c r="P99" s="28"/>
      <c r="Q99" s="28"/>
      <c r="R99" s="28"/>
      <c r="S99" s="28"/>
    </row>
    <row r="100" ht="15.75" customHeight="1">
      <c r="A100" s="41" t="s">
        <v>31</v>
      </c>
      <c r="B100" s="42" t="s">
        <v>291</v>
      </c>
      <c r="C100" s="43" t="s">
        <v>292</v>
      </c>
      <c r="D100" s="44" t="s">
        <v>89</v>
      </c>
      <c r="E100" s="44" t="s">
        <v>90</v>
      </c>
      <c r="F100" s="45">
        <v>0.21</v>
      </c>
      <c r="G100" s="50" t="str">
        <f>IFERROR(VLOOKUP("BA 70",STOCK!B2:Q3692,3,FALSE),"SIN STOCK")</f>
        <v>Mayor a 5</v>
      </c>
      <c r="H100" s="28"/>
      <c r="I100" s="28"/>
      <c r="J100" s="28"/>
      <c r="K100" s="28"/>
      <c r="L100" s="28"/>
      <c r="M100" s="28"/>
      <c r="N100" s="28"/>
      <c r="O100" s="28"/>
      <c r="P100" s="28"/>
      <c r="Q100" s="28"/>
      <c r="R100" s="28"/>
      <c r="S100" s="28"/>
    </row>
    <row r="101" ht="15.75" customHeight="1">
      <c r="A101" s="47" t="s">
        <v>31</v>
      </c>
      <c r="B101" s="48" t="s">
        <v>293</v>
      </c>
      <c r="C101" s="49" t="s">
        <v>294</v>
      </c>
      <c r="D101" s="37" t="s">
        <v>295</v>
      </c>
      <c r="E101" s="37" t="s">
        <v>296</v>
      </c>
      <c r="F101" s="38">
        <v>0.21</v>
      </c>
      <c r="G101" s="50" t="str">
        <f>IFERROR(VLOOKUP("NT 5-20 UCW",STOCK!B2:Q3692,3,FALSE),"SIN STOCK")</f>
        <v>SIN STOCK</v>
      </c>
      <c r="H101" s="28"/>
      <c r="I101" s="28"/>
      <c r="J101" s="28"/>
      <c r="K101" s="28"/>
      <c r="L101" s="28"/>
      <c r="M101" s="28"/>
      <c r="N101" s="28"/>
      <c r="O101" s="28"/>
      <c r="P101" s="28"/>
      <c r="Q101" s="28"/>
      <c r="R101" s="28"/>
      <c r="S101" s="28"/>
    </row>
    <row r="102" ht="15.75" customHeight="1">
      <c r="A102" s="41" t="s">
        <v>31</v>
      </c>
      <c r="B102" s="42" t="s">
        <v>297</v>
      </c>
      <c r="C102" s="43" t="s">
        <v>298</v>
      </c>
      <c r="D102" s="44" t="s">
        <v>89</v>
      </c>
      <c r="E102" s="44" t="s">
        <v>90</v>
      </c>
      <c r="F102" s="45">
        <v>0.21</v>
      </c>
      <c r="G102" s="50" t="str">
        <f>IFERROR(VLOOKUP("NT 12-35 CS",STOCK!B2:Q3692,3,FALSE),"SIN STOCK")</f>
        <v>SIN STOCK</v>
      </c>
      <c r="H102" s="28"/>
      <c r="I102" s="28"/>
      <c r="J102" s="28"/>
      <c r="K102" s="28"/>
      <c r="L102" s="28"/>
      <c r="M102" s="28"/>
      <c r="N102" s="28"/>
      <c r="O102" s="28"/>
      <c r="P102" s="28"/>
      <c r="Q102" s="28"/>
      <c r="R102" s="28"/>
      <c r="S102" s="28"/>
    </row>
    <row r="103" ht="15.75" customHeight="1">
      <c r="A103" s="47" t="s">
        <v>31</v>
      </c>
      <c r="B103" s="48" t="s">
        <v>299</v>
      </c>
      <c r="C103" s="49" t="s">
        <v>300</v>
      </c>
      <c r="D103" s="37" t="s">
        <v>295</v>
      </c>
      <c r="E103" s="37" t="s">
        <v>296</v>
      </c>
      <c r="F103" s="38">
        <v>0.21</v>
      </c>
      <c r="G103" s="50" t="str">
        <f>IFERROR(VLOOKUP("EW-D POWER SUPPLY",STOCK!B2:Q3692,3,FALSE),"SIN STOCK")</f>
        <v>SIN STOCK</v>
      </c>
      <c r="H103" s="28"/>
      <c r="I103" s="28"/>
      <c r="J103" s="28"/>
      <c r="K103" s="28"/>
      <c r="L103" s="28"/>
      <c r="M103" s="28"/>
      <c r="N103" s="28"/>
      <c r="O103" s="28"/>
      <c r="P103" s="28"/>
      <c r="Q103" s="28"/>
      <c r="R103" s="28"/>
      <c r="S103" s="28"/>
    </row>
    <row r="104" ht="15.75" customHeight="1">
      <c r="A104" s="41" t="s">
        <v>31</v>
      </c>
      <c r="B104" s="42" t="s">
        <v>301</v>
      </c>
      <c r="C104" s="43" t="s">
        <v>302</v>
      </c>
      <c r="D104" s="44" t="s">
        <v>295</v>
      </c>
      <c r="E104" s="44" t="s">
        <v>296</v>
      </c>
      <c r="F104" s="45">
        <v>0.21</v>
      </c>
      <c r="G104" s="50" t="str">
        <f>IFERROR(VLOOKUP("EW-D POWER DISTRIBUTION CABLE",STOCK!B2:Q3692,3,FALSE),"SIN STOCK")</f>
        <v>Mayor a 5</v>
      </c>
      <c r="H104" s="28"/>
      <c r="I104" s="28"/>
      <c r="J104" s="28"/>
      <c r="K104" s="28"/>
      <c r="L104" s="28"/>
      <c r="M104" s="28"/>
      <c r="N104" s="28"/>
      <c r="O104" s="28"/>
      <c r="P104" s="28"/>
      <c r="Q104" s="28"/>
      <c r="R104" s="28"/>
      <c r="S104" s="28"/>
    </row>
    <row r="105" ht="15.75" customHeight="1">
      <c r="A105" s="58" t="s">
        <v>303</v>
      </c>
      <c r="B105" s="30"/>
      <c r="C105" s="30"/>
      <c r="D105" s="55"/>
      <c r="E105" s="32"/>
      <c r="F105" s="30"/>
      <c r="G105" s="30"/>
      <c r="H105" s="28"/>
      <c r="I105" s="28"/>
      <c r="J105" s="28"/>
      <c r="K105" s="28"/>
      <c r="L105" s="28"/>
      <c r="M105" s="28"/>
      <c r="N105" s="28"/>
      <c r="O105" s="28"/>
      <c r="P105" s="28"/>
      <c r="Q105" s="28"/>
      <c r="R105" s="28"/>
      <c r="S105" s="28"/>
    </row>
    <row r="106" ht="15.75" customHeight="1">
      <c r="A106" s="41" t="s">
        <v>31</v>
      </c>
      <c r="B106" s="42" t="s">
        <v>304</v>
      </c>
      <c r="C106" s="43" t="s">
        <v>305</v>
      </c>
      <c r="D106" s="44" t="s">
        <v>209</v>
      </c>
      <c r="E106" s="44" t="s">
        <v>210</v>
      </c>
      <c r="F106" s="45">
        <v>0.21</v>
      </c>
      <c r="G106" s="39" t="str">
        <f>IFERROR(VLOOKUP("EW-DP 835 SET (Q1-6)",STOCK!B2:Q3692,3,FALSE),"SIN STOCK")</f>
        <v>Mayor a 5</v>
      </c>
      <c r="H106" s="28"/>
      <c r="I106" s="28"/>
      <c r="J106" s="28"/>
      <c r="K106" s="28"/>
      <c r="L106" s="28"/>
      <c r="M106" s="28"/>
      <c r="N106" s="28"/>
      <c r="O106" s="28"/>
      <c r="P106" s="28"/>
      <c r="Q106" s="28"/>
      <c r="R106" s="28"/>
      <c r="S106" s="28"/>
    </row>
    <row r="107" ht="15.75" customHeight="1">
      <c r="A107" s="47" t="s">
        <v>31</v>
      </c>
      <c r="B107" s="48" t="s">
        <v>306</v>
      </c>
      <c r="C107" s="49" t="s">
        <v>307</v>
      </c>
      <c r="D107" s="37" t="s">
        <v>209</v>
      </c>
      <c r="E107" s="37" t="s">
        <v>210</v>
      </c>
      <c r="F107" s="38">
        <v>0.21</v>
      </c>
      <c r="G107" s="39" t="str">
        <f>IFERROR(VLOOKUP("EW-DP ME2 SET (Q1-6)",STOCK!B2:Q3692,3,FALSE),"SIN STOCK")</f>
        <v>Mayor a 5</v>
      </c>
      <c r="H107" s="28"/>
      <c r="I107" s="28"/>
      <c r="J107" s="28"/>
      <c r="K107" s="28"/>
      <c r="L107" s="28"/>
      <c r="M107" s="28"/>
      <c r="N107" s="28"/>
      <c r="O107" s="28"/>
      <c r="P107" s="28"/>
      <c r="Q107" s="28"/>
      <c r="R107" s="28"/>
      <c r="S107" s="28"/>
    </row>
    <row r="108" ht="15.75" customHeight="1">
      <c r="A108" s="41" t="s">
        <v>31</v>
      </c>
      <c r="B108" s="42" t="s">
        <v>308</v>
      </c>
      <c r="C108" s="43" t="s">
        <v>309</v>
      </c>
      <c r="D108" s="44" t="s">
        <v>209</v>
      </c>
      <c r="E108" s="44" t="s">
        <v>210</v>
      </c>
      <c r="F108" s="45">
        <v>0.21</v>
      </c>
      <c r="G108" s="50" t="str">
        <f>IFERROR(VLOOKUP("EW-DP ME4 SET (Q1-6)",STOCK!B2:Q3692,3,FALSE),"SIN STOCK")</f>
        <v>SIN STOCK</v>
      </c>
      <c r="H108" s="28"/>
      <c r="I108" s="28"/>
      <c r="J108" s="28"/>
      <c r="K108" s="28"/>
      <c r="L108" s="28"/>
      <c r="M108" s="28"/>
      <c r="N108" s="28"/>
      <c r="O108" s="28"/>
      <c r="P108" s="28"/>
      <c r="Q108" s="28"/>
      <c r="R108" s="28"/>
      <c r="S108" s="28"/>
    </row>
    <row r="109" ht="15.75" customHeight="1">
      <c r="A109" s="47" t="s">
        <v>31</v>
      </c>
      <c r="B109" s="48" t="s">
        <v>310</v>
      </c>
      <c r="C109" s="49" t="s">
        <v>311</v>
      </c>
      <c r="D109" s="37" t="s">
        <v>312</v>
      </c>
      <c r="E109" s="37" t="s">
        <v>313</v>
      </c>
      <c r="F109" s="38">
        <v>0.21</v>
      </c>
      <c r="G109" s="39" t="str">
        <f>IFERROR(VLOOKUP("EW-DP ENG SET (Q1-6)",STOCK!B2:Q3692,3,FALSE),"SIN STOCK")</f>
        <v>Mayor a 5</v>
      </c>
      <c r="H109" s="28"/>
      <c r="I109" s="28"/>
      <c r="J109" s="28"/>
      <c r="K109" s="28"/>
      <c r="L109" s="28"/>
      <c r="M109" s="28"/>
      <c r="N109" s="28"/>
      <c r="O109" s="28"/>
      <c r="P109" s="28"/>
      <c r="Q109" s="28"/>
      <c r="R109" s="28"/>
      <c r="S109" s="28"/>
    </row>
    <row r="110" ht="15.75" customHeight="1">
      <c r="A110" s="41" t="s">
        <v>31</v>
      </c>
      <c r="B110" s="42" t="s">
        <v>314</v>
      </c>
      <c r="C110" s="43" t="s">
        <v>315</v>
      </c>
      <c r="D110" s="44" t="s">
        <v>316</v>
      </c>
      <c r="E110" s="44" t="s">
        <v>317</v>
      </c>
      <c r="F110" s="45">
        <v>0.21</v>
      </c>
      <c r="G110" s="50" t="str">
        <f>IFERROR(VLOOKUP("EW-DP MOUNTING PLATE",STOCK!B2:Q3692,3,FALSE),"SIN STOCK")</f>
        <v>SIN STOCK</v>
      </c>
      <c r="H110" s="28"/>
      <c r="I110" s="28"/>
      <c r="J110" s="28"/>
      <c r="K110" s="28"/>
      <c r="L110" s="28"/>
      <c r="M110" s="28"/>
      <c r="N110" s="28"/>
      <c r="O110" s="28"/>
      <c r="P110" s="28"/>
      <c r="Q110" s="28"/>
      <c r="R110" s="28"/>
      <c r="S110" s="28"/>
    </row>
    <row r="111" ht="15.75" customHeight="1">
      <c r="A111" s="47" t="s">
        <v>31</v>
      </c>
      <c r="B111" s="48" t="s">
        <v>318</v>
      </c>
      <c r="C111" s="49" t="s">
        <v>319</v>
      </c>
      <c r="D111" s="37" t="s">
        <v>162</v>
      </c>
      <c r="E111" s="37" t="s">
        <v>163</v>
      </c>
      <c r="F111" s="38">
        <v>0.21</v>
      </c>
      <c r="G111" s="50" t="str">
        <f>IFERROR(VLOOKUP("EW-DP SKP (Q1-6)",STOCK!B2:Q3692,3,FALSE),"SIN STOCK")</f>
        <v>SIN STOCK</v>
      </c>
      <c r="H111" s="28"/>
      <c r="I111" s="28"/>
      <c r="J111" s="28"/>
      <c r="K111" s="28"/>
      <c r="L111" s="28"/>
      <c r="M111" s="28"/>
      <c r="N111" s="28"/>
      <c r="O111" s="28"/>
      <c r="P111" s="28"/>
      <c r="Q111" s="28"/>
      <c r="R111" s="28"/>
      <c r="S111" s="28"/>
    </row>
    <row r="112" ht="15.75" customHeight="1">
      <c r="A112" s="41" t="s">
        <v>31</v>
      </c>
      <c r="B112" s="42" t="s">
        <v>320</v>
      </c>
      <c r="C112" s="43" t="s">
        <v>321</v>
      </c>
      <c r="D112" s="44" t="s">
        <v>162</v>
      </c>
      <c r="E112" s="44" t="s">
        <v>163</v>
      </c>
      <c r="F112" s="45">
        <v>0.21</v>
      </c>
      <c r="G112" s="50" t="str">
        <f>IFERROR(VLOOKUP("EW-DP EK (Q1-6)",STOCK!B2:Q3692,3,FALSE),"SIN STOCK")</f>
        <v>SIN STOCK</v>
      </c>
      <c r="H112" s="28"/>
      <c r="I112" s="28"/>
      <c r="J112" s="28"/>
      <c r="K112" s="28"/>
      <c r="L112" s="28"/>
      <c r="M112" s="28"/>
      <c r="N112" s="28"/>
      <c r="O112" s="28"/>
      <c r="P112" s="28"/>
      <c r="Q112" s="28"/>
      <c r="R112" s="28"/>
      <c r="S112" s="28"/>
    </row>
    <row r="113" ht="15.75" customHeight="1">
      <c r="A113" s="47" t="s">
        <v>31</v>
      </c>
      <c r="B113" s="48" t="s">
        <v>322</v>
      </c>
      <c r="C113" s="49" t="s">
        <v>323</v>
      </c>
      <c r="D113" s="37" t="s">
        <v>316</v>
      </c>
      <c r="E113" s="37" t="s">
        <v>317</v>
      </c>
      <c r="F113" s="38">
        <v>0.21</v>
      </c>
      <c r="G113" s="50" t="str">
        <f>IFERROR(VLOOKUP("CL35-Y",STOCK!B2:Q3692,3,FALSE),"SIN STOCK")</f>
        <v>SIN STOCK</v>
      </c>
      <c r="H113" s="28"/>
      <c r="I113" s="28"/>
      <c r="J113" s="28"/>
      <c r="K113" s="28"/>
      <c r="L113" s="28"/>
      <c r="M113" s="28"/>
      <c r="N113" s="28"/>
      <c r="O113" s="28"/>
      <c r="P113" s="28"/>
      <c r="Q113" s="28"/>
      <c r="R113" s="28"/>
      <c r="S113" s="28"/>
    </row>
    <row r="114" ht="15.75" customHeight="1">
      <c r="A114" s="58" t="s">
        <v>324</v>
      </c>
      <c r="B114" s="30"/>
      <c r="C114" s="30"/>
      <c r="D114" s="55"/>
      <c r="E114" s="32"/>
      <c r="F114" s="30"/>
      <c r="G114" s="30"/>
      <c r="H114" s="28"/>
      <c r="I114" s="28"/>
      <c r="J114" s="28"/>
      <c r="K114" s="28"/>
      <c r="L114" s="28"/>
      <c r="M114" s="28"/>
      <c r="N114" s="28"/>
      <c r="O114" s="28"/>
      <c r="P114" s="28"/>
      <c r="Q114" s="28"/>
      <c r="R114" s="28"/>
      <c r="S114" s="28"/>
    </row>
    <row r="115" ht="15.75" customHeight="1">
      <c r="A115" s="41" t="s">
        <v>31</v>
      </c>
      <c r="B115" s="42" t="s">
        <v>325</v>
      </c>
      <c r="C115" s="43" t="s">
        <v>326</v>
      </c>
      <c r="D115" s="44" t="s">
        <v>166</v>
      </c>
      <c r="E115" s="44" t="s">
        <v>167</v>
      </c>
      <c r="F115" s="45">
        <v>0.21</v>
      </c>
      <c r="G115" s="39" t="str">
        <f>IFERROR(VLOOKUP("ew 100 G4-835-S-A1",STOCK!B2:Q3692,3,FALSE),"SIN STOCK")</f>
        <v>SIN STOCK</v>
      </c>
      <c r="H115" s="28"/>
      <c r="I115" s="28"/>
      <c r="J115" s="28"/>
      <c r="K115" s="28"/>
      <c r="L115" s="28"/>
      <c r="M115" s="28"/>
      <c r="N115" s="28"/>
      <c r="O115" s="28"/>
      <c r="P115" s="28"/>
      <c r="Q115" s="28"/>
      <c r="R115" s="28"/>
      <c r="S115" s="28"/>
    </row>
    <row r="116" ht="15.75" customHeight="1">
      <c r="A116" s="47" t="s">
        <v>31</v>
      </c>
      <c r="B116" s="48" t="s">
        <v>327</v>
      </c>
      <c r="C116" s="49" t="s">
        <v>328</v>
      </c>
      <c r="D116" s="37" t="s">
        <v>166</v>
      </c>
      <c r="E116" s="37" t="s">
        <v>167</v>
      </c>
      <c r="F116" s="38">
        <v>0.21</v>
      </c>
      <c r="G116" s="39" t="str">
        <f>IFERROR(VLOOKUP("ew 100 G4-835-S-B",STOCK!B2:Q3692,3,FALSE),"SIN STOCK")</f>
        <v>SIN STOCK</v>
      </c>
      <c r="H116" s="28"/>
      <c r="I116" s="28"/>
      <c r="J116" s="28"/>
      <c r="K116" s="28"/>
      <c r="L116" s="28"/>
      <c r="M116" s="28"/>
      <c r="N116" s="28"/>
      <c r="O116" s="28"/>
      <c r="P116" s="28"/>
      <c r="Q116" s="28"/>
      <c r="R116" s="28"/>
      <c r="S116" s="28"/>
    </row>
    <row r="117" ht="15.75" customHeight="1">
      <c r="A117" s="41" t="s">
        <v>31</v>
      </c>
      <c r="B117" s="42" t="s">
        <v>329</v>
      </c>
      <c r="C117" s="43" t="s">
        <v>330</v>
      </c>
      <c r="D117" s="44" t="s">
        <v>166</v>
      </c>
      <c r="E117" s="44" t="s">
        <v>167</v>
      </c>
      <c r="F117" s="45">
        <v>0.21</v>
      </c>
      <c r="G117" s="39" t="str">
        <f>IFERROR(VLOOKUP("ew 100 G4-835-S-G",STOCK!B2:Q3692,3,FALSE),"SIN STOCK")</f>
        <v>SIN STOCK</v>
      </c>
      <c r="H117" s="28"/>
      <c r="I117" s="28"/>
      <c r="J117" s="28"/>
      <c r="K117" s="28"/>
      <c r="L117" s="28"/>
      <c r="M117" s="28"/>
      <c r="N117" s="28"/>
      <c r="O117" s="28"/>
      <c r="P117" s="28"/>
      <c r="Q117" s="28"/>
      <c r="R117" s="28"/>
      <c r="S117" s="28"/>
    </row>
    <row r="118" ht="15.75" customHeight="1">
      <c r="A118" s="47" t="s">
        <v>31</v>
      </c>
      <c r="B118" s="48" t="s">
        <v>331</v>
      </c>
      <c r="C118" s="49" t="s">
        <v>332</v>
      </c>
      <c r="D118" s="37" t="s">
        <v>166</v>
      </c>
      <c r="E118" s="37" t="s">
        <v>167</v>
      </c>
      <c r="F118" s="38">
        <v>0.21</v>
      </c>
      <c r="G118" s="50" t="str">
        <f>IFERROR(VLOOKUP("EW 100 G4-845-S-A1",STOCK!B2:Q3692,3,FALSE),"SIN STOCK")</f>
        <v>SIN STOCK</v>
      </c>
      <c r="H118" s="28"/>
      <c r="I118" s="28"/>
      <c r="J118" s="28"/>
      <c r="K118" s="28"/>
      <c r="L118" s="28"/>
      <c r="M118" s="28"/>
      <c r="N118" s="28"/>
      <c r="O118" s="28"/>
      <c r="P118" s="28"/>
      <c r="Q118" s="28"/>
      <c r="R118" s="28"/>
      <c r="S118" s="28"/>
    </row>
    <row r="119" ht="15.75" customHeight="1">
      <c r="A119" s="41" t="s">
        <v>31</v>
      </c>
      <c r="B119" s="42" t="s">
        <v>333</v>
      </c>
      <c r="C119" s="43" t="s">
        <v>328</v>
      </c>
      <c r="D119" s="44" t="s">
        <v>166</v>
      </c>
      <c r="E119" s="44" t="s">
        <v>167</v>
      </c>
      <c r="F119" s="45">
        <v>0.21</v>
      </c>
      <c r="G119" s="50" t="str">
        <f>IFERROR(VLOOKUP("EW 100 G4-845-S-B",STOCK!B2:Q3692,3,FALSE),"SIN STOCK")</f>
        <v>SIN STOCK</v>
      </c>
      <c r="H119" s="28"/>
      <c r="I119" s="28"/>
      <c r="J119" s="28"/>
      <c r="K119" s="28"/>
      <c r="L119" s="28"/>
      <c r="M119" s="28"/>
      <c r="N119" s="28"/>
      <c r="O119" s="28"/>
      <c r="P119" s="28"/>
      <c r="Q119" s="28"/>
      <c r="R119" s="28"/>
      <c r="S119" s="28"/>
    </row>
    <row r="120" ht="15.75" customHeight="1">
      <c r="A120" s="47" t="s">
        <v>31</v>
      </c>
      <c r="B120" s="48" t="s">
        <v>334</v>
      </c>
      <c r="C120" s="49" t="s">
        <v>335</v>
      </c>
      <c r="D120" s="37" t="s">
        <v>312</v>
      </c>
      <c r="E120" s="37" t="s">
        <v>313</v>
      </c>
      <c r="F120" s="38">
        <v>0.21</v>
      </c>
      <c r="G120" s="50" t="str">
        <f>IFERROR(VLOOKUP("EW 100 G4-865-S-A1",STOCK!B2:Q3692,3,FALSE),"SIN STOCK")</f>
        <v>SIN STOCK</v>
      </c>
      <c r="H120" s="28"/>
      <c r="I120" s="28"/>
      <c r="J120" s="28"/>
      <c r="K120" s="28"/>
      <c r="L120" s="28"/>
      <c r="M120" s="28"/>
      <c r="N120" s="28"/>
      <c r="O120" s="28"/>
      <c r="P120" s="28"/>
      <c r="Q120" s="28"/>
      <c r="R120" s="28"/>
      <c r="S120" s="28"/>
    </row>
    <row r="121" ht="15.75" customHeight="1">
      <c r="A121" s="41" t="s">
        <v>31</v>
      </c>
      <c r="B121" s="42" t="s">
        <v>336</v>
      </c>
      <c r="C121" s="43" t="s">
        <v>328</v>
      </c>
      <c r="D121" s="44" t="s">
        <v>312</v>
      </c>
      <c r="E121" s="44" t="s">
        <v>313</v>
      </c>
      <c r="F121" s="45">
        <v>0.21</v>
      </c>
      <c r="G121" s="50" t="str">
        <f>IFERROR(VLOOKUP("EW 100 G4-865-S-B",STOCK!B2:Q3692,3,FALSE),"SIN STOCK")</f>
        <v>SIN STOCK</v>
      </c>
      <c r="H121" s="28"/>
      <c r="I121" s="28"/>
      <c r="J121" s="28"/>
      <c r="K121" s="28"/>
      <c r="L121" s="28"/>
      <c r="M121" s="28"/>
      <c r="N121" s="28"/>
      <c r="O121" s="28"/>
      <c r="P121" s="28"/>
      <c r="Q121" s="28"/>
      <c r="R121" s="28"/>
      <c r="S121" s="28"/>
    </row>
    <row r="122" ht="15.75" customHeight="1">
      <c r="A122" s="47" t="s">
        <v>31</v>
      </c>
      <c r="B122" s="48" t="s">
        <v>337</v>
      </c>
      <c r="C122" s="49" t="s">
        <v>338</v>
      </c>
      <c r="D122" s="37" t="s">
        <v>339</v>
      </c>
      <c r="E122" s="37" t="s">
        <v>340</v>
      </c>
      <c r="F122" s="38">
        <v>0.21</v>
      </c>
      <c r="G122" s="50" t="str">
        <f>IFERROR(VLOOKUP("EW 100 G4-935-S-A1",STOCK!B2:Q3692,3,FALSE),"SIN STOCK")</f>
        <v>SIN STOCK</v>
      </c>
      <c r="H122" s="28"/>
      <c r="I122" s="28"/>
      <c r="J122" s="28"/>
      <c r="K122" s="28"/>
      <c r="L122" s="28"/>
      <c r="M122" s="28"/>
      <c r="N122" s="28"/>
      <c r="O122" s="28"/>
      <c r="P122" s="28"/>
      <c r="Q122" s="28"/>
      <c r="R122" s="28"/>
      <c r="S122" s="28"/>
    </row>
    <row r="123" ht="15.75" customHeight="1">
      <c r="A123" s="41" t="s">
        <v>31</v>
      </c>
      <c r="B123" s="42" t="s">
        <v>341</v>
      </c>
      <c r="C123" s="43" t="s">
        <v>328</v>
      </c>
      <c r="D123" s="44" t="s">
        <v>339</v>
      </c>
      <c r="E123" s="44" t="s">
        <v>340</v>
      </c>
      <c r="F123" s="45">
        <v>0.21</v>
      </c>
      <c r="G123" s="50" t="str">
        <f>IFERROR(VLOOKUP("EW 100 G4-935-S-B",STOCK!B2:Q3692,3,FALSE),"SIN STOCK")</f>
        <v>SIN STOCK</v>
      </c>
      <c r="H123" s="28"/>
      <c r="I123" s="28"/>
      <c r="J123" s="28"/>
      <c r="K123" s="28"/>
      <c r="L123" s="28"/>
      <c r="M123" s="28"/>
      <c r="N123" s="28"/>
      <c r="O123" s="28"/>
      <c r="P123" s="28"/>
      <c r="Q123" s="28"/>
      <c r="R123" s="28"/>
      <c r="S123" s="28"/>
    </row>
    <row r="124" ht="15.75" customHeight="1">
      <c r="A124" s="47" t="s">
        <v>31</v>
      </c>
      <c r="B124" s="48" t="s">
        <v>342</v>
      </c>
      <c r="C124" s="49" t="s">
        <v>343</v>
      </c>
      <c r="D124" s="37" t="s">
        <v>339</v>
      </c>
      <c r="E124" s="37" t="s">
        <v>340</v>
      </c>
      <c r="F124" s="38">
        <v>0.21</v>
      </c>
      <c r="G124" s="50" t="str">
        <f>IFERROR(VLOOKUP("EW 100 G4-945-S-A1",STOCK!B2:Q3692,3,FALSE),"SIN STOCK")</f>
        <v>SIN STOCK</v>
      </c>
      <c r="H124" s="28"/>
      <c r="I124" s="28"/>
      <c r="J124" s="28"/>
      <c r="K124" s="28"/>
      <c r="L124" s="28"/>
      <c r="M124" s="28"/>
      <c r="N124" s="28"/>
      <c r="O124" s="28"/>
      <c r="P124" s="28"/>
      <c r="Q124" s="28"/>
      <c r="R124" s="28"/>
      <c r="S124" s="28"/>
    </row>
    <row r="125" ht="15.75" customHeight="1">
      <c r="A125" s="41" t="s">
        <v>31</v>
      </c>
      <c r="B125" s="42" t="s">
        <v>344</v>
      </c>
      <c r="C125" s="43" t="s">
        <v>328</v>
      </c>
      <c r="D125" s="44" t="s">
        <v>339</v>
      </c>
      <c r="E125" s="44" t="s">
        <v>340</v>
      </c>
      <c r="F125" s="45">
        <v>0.21</v>
      </c>
      <c r="G125" s="50" t="str">
        <f>IFERROR(VLOOKUP("EW 100 G4-945-S-B",STOCK!B2:Q3692,3,FALSE),"SIN STOCK")</f>
        <v>SIN STOCK</v>
      </c>
      <c r="H125" s="28"/>
      <c r="I125" s="28"/>
      <c r="J125" s="28"/>
      <c r="K125" s="28"/>
      <c r="L125" s="28"/>
      <c r="M125" s="28"/>
      <c r="N125" s="28"/>
      <c r="O125" s="28"/>
      <c r="P125" s="28"/>
      <c r="Q125" s="28"/>
      <c r="R125" s="28"/>
      <c r="S125" s="28"/>
    </row>
    <row r="126" ht="15.75" customHeight="1">
      <c r="A126" s="47" t="s">
        <v>31</v>
      </c>
      <c r="B126" s="48" t="s">
        <v>345</v>
      </c>
      <c r="C126" s="49" t="s">
        <v>346</v>
      </c>
      <c r="D126" s="37" t="s">
        <v>347</v>
      </c>
      <c r="E126" s="37" t="s">
        <v>348</v>
      </c>
      <c r="F126" s="38">
        <v>0.21</v>
      </c>
      <c r="G126" s="50" t="str">
        <f>IFERROR(VLOOKUP("EW 100 G4-CI1-A1",STOCK!B2:Q3692,3,FALSE),"SIN STOCK")</f>
        <v>SIN STOCK</v>
      </c>
      <c r="H126" s="28"/>
      <c r="I126" s="28"/>
      <c r="J126" s="28"/>
      <c r="K126" s="28"/>
      <c r="L126" s="28"/>
      <c r="M126" s="28"/>
      <c r="N126" s="28"/>
      <c r="O126" s="28"/>
      <c r="P126" s="28"/>
      <c r="Q126" s="28"/>
      <c r="R126" s="28"/>
      <c r="S126" s="28"/>
    </row>
    <row r="127" ht="15.75" customHeight="1">
      <c r="A127" s="41" t="s">
        <v>31</v>
      </c>
      <c r="B127" s="42" t="s">
        <v>349</v>
      </c>
      <c r="C127" s="43" t="s">
        <v>328</v>
      </c>
      <c r="D127" s="44" t="s">
        <v>347</v>
      </c>
      <c r="E127" s="44" t="s">
        <v>348</v>
      </c>
      <c r="F127" s="45">
        <v>0.21</v>
      </c>
      <c r="G127" s="50" t="str">
        <f>IFERROR(VLOOKUP("EW 100 G4-CI1-B",STOCK!B2:Q3692,3,FALSE),"SIN STOCK")</f>
        <v>SIN STOCK</v>
      </c>
      <c r="H127" s="28"/>
      <c r="I127" s="28"/>
      <c r="J127" s="28"/>
      <c r="K127" s="28"/>
      <c r="L127" s="28"/>
      <c r="M127" s="28"/>
      <c r="N127" s="28"/>
      <c r="O127" s="28"/>
      <c r="P127" s="28"/>
      <c r="Q127" s="28"/>
      <c r="R127" s="28"/>
      <c r="S127" s="28"/>
    </row>
    <row r="128" ht="15.75" customHeight="1">
      <c r="A128" s="47" t="s">
        <v>31</v>
      </c>
      <c r="B128" s="48" t="s">
        <v>350</v>
      </c>
      <c r="C128" s="49" t="s">
        <v>351</v>
      </c>
      <c r="D128" s="37" t="s">
        <v>273</v>
      </c>
      <c r="E128" s="37" t="s">
        <v>274</v>
      </c>
      <c r="F128" s="38">
        <v>0.21</v>
      </c>
      <c r="G128" s="39" t="str">
        <f>IFERROR(VLOOKUP("EW 100 G4-ME2/835-S-A1",STOCK!B2:Q3692,3,FALSE),"SIN STOCK")</f>
        <v>SIN STOCK</v>
      </c>
      <c r="H128" s="28"/>
      <c r="I128" s="28"/>
      <c r="J128" s="28"/>
      <c r="K128" s="28"/>
      <c r="L128" s="28"/>
      <c r="M128" s="28"/>
      <c r="N128" s="28"/>
      <c r="O128" s="28"/>
      <c r="P128" s="28"/>
      <c r="Q128" s="28"/>
      <c r="R128" s="28"/>
      <c r="S128" s="28"/>
    </row>
    <row r="129" ht="15.75" customHeight="1">
      <c r="A129" s="41" t="s">
        <v>31</v>
      </c>
      <c r="B129" s="42" t="s">
        <v>352</v>
      </c>
      <c r="C129" s="43" t="s">
        <v>328</v>
      </c>
      <c r="D129" s="44" t="s">
        <v>273</v>
      </c>
      <c r="E129" s="44" t="s">
        <v>274</v>
      </c>
      <c r="F129" s="45">
        <v>0.21</v>
      </c>
      <c r="G129" s="53" t="str">
        <f>IFERROR(VLOOKUP("EW 100 G4-ME2/835-S-B",STOCK!B2:Q3692,3,FALSE),"SIN STOCK")</f>
        <v>SIN STOCK</v>
      </c>
      <c r="H129" s="28"/>
      <c r="I129" s="28"/>
      <c r="J129" s="28"/>
      <c r="K129" s="28"/>
      <c r="L129" s="28"/>
      <c r="M129" s="28"/>
      <c r="N129" s="28"/>
      <c r="O129" s="28"/>
      <c r="P129" s="28"/>
      <c r="Q129" s="28"/>
      <c r="R129" s="28"/>
      <c r="S129" s="28"/>
    </row>
    <row r="130" ht="15.75" customHeight="1">
      <c r="A130" s="47" t="s">
        <v>31</v>
      </c>
      <c r="B130" s="48" t="s">
        <v>353</v>
      </c>
      <c r="C130" s="49" t="s">
        <v>354</v>
      </c>
      <c r="D130" s="37" t="s">
        <v>166</v>
      </c>
      <c r="E130" s="37" t="s">
        <v>167</v>
      </c>
      <c r="F130" s="38">
        <v>0.21</v>
      </c>
      <c r="G130" s="50" t="str">
        <f>IFERROR(VLOOKUP("EW 100 G4-ME2-A1",STOCK!B2:Q3692,3,FALSE),"SIN STOCK")</f>
        <v>SIN STOCK</v>
      </c>
      <c r="H130" s="28"/>
      <c r="I130" s="28"/>
      <c r="J130" s="28"/>
      <c r="K130" s="28"/>
      <c r="L130" s="28"/>
      <c r="M130" s="28"/>
      <c r="N130" s="28"/>
      <c r="O130" s="28"/>
      <c r="P130" s="28"/>
      <c r="Q130" s="28"/>
      <c r="R130" s="28"/>
      <c r="S130" s="28"/>
    </row>
    <row r="131" ht="15.75" customHeight="1">
      <c r="A131" s="41" t="s">
        <v>31</v>
      </c>
      <c r="B131" s="42" t="s">
        <v>355</v>
      </c>
      <c r="C131" s="43" t="s">
        <v>328</v>
      </c>
      <c r="D131" s="44" t="s">
        <v>166</v>
      </c>
      <c r="E131" s="44" t="s">
        <v>167</v>
      </c>
      <c r="F131" s="45">
        <v>0.21</v>
      </c>
      <c r="G131" s="50" t="str">
        <f>IFERROR(VLOOKUP("EW 100 G4-ME2-B",STOCK!B2:Q3692,3,FALSE),"SIN STOCK")</f>
        <v>SIN STOCK</v>
      </c>
      <c r="H131" s="28"/>
      <c r="I131" s="28"/>
      <c r="J131" s="28"/>
      <c r="K131" s="28"/>
      <c r="L131" s="28"/>
      <c r="M131" s="28"/>
      <c r="N131" s="28"/>
      <c r="O131" s="28"/>
      <c r="P131" s="28"/>
      <c r="Q131" s="28"/>
      <c r="R131" s="28"/>
      <c r="S131" s="28"/>
    </row>
    <row r="132" ht="15.75" customHeight="1">
      <c r="A132" s="47" t="s">
        <v>31</v>
      </c>
      <c r="B132" s="48" t="s">
        <v>356</v>
      </c>
      <c r="C132" s="49" t="s">
        <v>357</v>
      </c>
      <c r="D132" s="37" t="s">
        <v>358</v>
      </c>
      <c r="E132" s="37" t="s">
        <v>359</v>
      </c>
      <c r="F132" s="38">
        <v>0.21</v>
      </c>
      <c r="G132" s="50" t="str">
        <f>IFERROR(VLOOKUP("EW 100 G4-ME3-A1",STOCK!B2:Q3692,3,FALSE),"SIN STOCK")</f>
        <v>SIN STOCK</v>
      </c>
      <c r="H132" s="28"/>
      <c r="I132" s="28"/>
      <c r="J132" s="28"/>
      <c r="K132" s="28"/>
      <c r="L132" s="28"/>
      <c r="M132" s="28"/>
      <c r="N132" s="28"/>
      <c r="O132" s="28"/>
      <c r="P132" s="28"/>
      <c r="Q132" s="28"/>
      <c r="R132" s="28"/>
      <c r="S132" s="28"/>
    </row>
    <row r="133" ht="15.75" customHeight="1">
      <c r="A133" s="41" t="s">
        <v>31</v>
      </c>
      <c r="B133" s="42" t="s">
        <v>360</v>
      </c>
      <c r="C133" s="43" t="s">
        <v>328</v>
      </c>
      <c r="D133" s="44" t="s">
        <v>358</v>
      </c>
      <c r="E133" s="44" t="s">
        <v>359</v>
      </c>
      <c r="F133" s="45">
        <v>0.21</v>
      </c>
      <c r="G133" s="50" t="str">
        <f>IFERROR(VLOOKUP("EW 100 G4-ME3-B",STOCK!B2:Q3692,3,FALSE),"SIN STOCK")</f>
        <v>SIN STOCK</v>
      </c>
      <c r="H133" s="28"/>
      <c r="I133" s="28"/>
      <c r="J133" s="28"/>
      <c r="K133" s="28"/>
      <c r="L133" s="28"/>
      <c r="M133" s="28"/>
      <c r="N133" s="28"/>
      <c r="O133" s="28"/>
      <c r="P133" s="28"/>
      <c r="Q133" s="28"/>
      <c r="R133" s="28"/>
      <c r="S133" s="28"/>
    </row>
    <row r="134" ht="15.75" customHeight="1">
      <c r="A134" s="47" t="s">
        <v>31</v>
      </c>
      <c r="B134" s="48" t="s">
        <v>361</v>
      </c>
      <c r="C134" s="49" t="s">
        <v>362</v>
      </c>
      <c r="D134" s="37" t="s">
        <v>166</v>
      </c>
      <c r="E134" s="37" t="s">
        <v>167</v>
      </c>
      <c r="F134" s="38">
        <v>0.21</v>
      </c>
      <c r="G134" s="50" t="str">
        <f>IFERROR(VLOOKUP("EW 100 G4-ME4-A1",STOCK!B2:Q3692,3,FALSE),"SIN STOCK")</f>
        <v>SIN STOCK</v>
      </c>
      <c r="H134" s="28"/>
      <c r="I134" s="28"/>
      <c r="J134" s="28"/>
      <c r="K134" s="28"/>
      <c r="L134" s="28"/>
      <c r="M134" s="28"/>
      <c r="N134" s="28"/>
      <c r="O134" s="28"/>
      <c r="P134" s="28"/>
      <c r="Q134" s="28"/>
      <c r="R134" s="28"/>
      <c r="S134" s="28"/>
    </row>
    <row r="135" ht="15.75" customHeight="1">
      <c r="A135" s="41" t="s">
        <v>31</v>
      </c>
      <c r="B135" s="42" t="s">
        <v>363</v>
      </c>
      <c r="C135" s="43" t="s">
        <v>328</v>
      </c>
      <c r="D135" s="44" t="s">
        <v>166</v>
      </c>
      <c r="E135" s="44" t="s">
        <v>167</v>
      </c>
      <c r="F135" s="45">
        <v>0.21</v>
      </c>
      <c r="G135" s="50" t="str">
        <f>IFERROR(VLOOKUP("EW 100 G4-ME4-B",STOCK!B2:Q3692,3,FALSE),"SIN STOCK")</f>
        <v>SIN STOCK</v>
      </c>
      <c r="H135" s="28"/>
      <c r="I135" s="28"/>
      <c r="J135" s="28"/>
      <c r="K135" s="28"/>
      <c r="L135" s="28"/>
      <c r="M135" s="28"/>
      <c r="N135" s="28"/>
      <c r="O135" s="28"/>
      <c r="P135" s="28"/>
      <c r="Q135" s="28"/>
      <c r="R135" s="28"/>
      <c r="S135" s="28"/>
    </row>
    <row r="136" ht="15.75" customHeight="1">
      <c r="A136" s="29" t="s">
        <v>364</v>
      </c>
      <c r="C136" s="30"/>
      <c r="D136" s="55"/>
      <c r="E136" s="32"/>
      <c r="F136" s="30"/>
      <c r="G136" s="30"/>
      <c r="H136" s="28"/>
      <c r="I136" s="28"/>
      <c r="J136" s="28"/>
      <c r="K136" s="28"/>
      <c r="L136" s="28"/>
      <c r="M136" s="28"/>
      <c r="N136" s="28"/>
      <c r="O136" s="28"/>
      <c r="P136" s="28"/>
      <c r="Q136" s="28"/>
      <c r="R136" s="28"/>
      <c r="S136" s="28"/>
    </row>
    <row r="137" ht="15.75" customHeight="1">
      <c r="A137" s="41" t="s">
        <v>31</v>
      </c>
      <c r="B137" s="42" t="s">
        <v>365</v>
      </c>
      <c r="C137" s="43" t="s">
        <v>366</v>
      </c>
      <c r="D137" s="44" t="s">
        <v>223</v>
      </c>
      <c r="E137" s="44" t="s">
        <v>224</v>
      </c>
      <c r="F137" s="45">
        <v>0.21</v>
      </c>
      <c r="G137" s="39" t="str">
        <f>IFERROR(VLOOKUP("ew 500 G4-935-Aw+",STOCK!B2:Q3692,3,FALSE),"SIN STOCK")</f>
        <v>SIN STOCK</v>
      </c>
      <c r="H137" s="28"/>
      <c r="I137" s="28"/>
      <c r="J137" s="28"/>
      <c r="K137" s="28"/>
      <c r="L137" s="28"/>
      <c r="M137" s="28"/>
      <c r="N137" s="28"/>
      <c r="O137" s="28"/>
      <c r="P137" s="28"/>
      <c r="Q137" s="28"/>
      <c r="R137" s="28"/>
      <c r="S137" s="28"/>
    </row>
    <row r="138" ht="15.75" customHeight="1">
      <c r="A138" s="47" t="s">
        <v>31</v>
      </c>
      <c r="B138" s="48" t="s">
        <v>367</v>
      </c>
      <c r="C138" s="49" t="s">
        <v>328</v>
      </c>
      <c r="D138" s="37" t="s">
        <v>223</v>
      </c>
      <c r="E138" s="37" t="s">
        <v>224</v>
      </c>
      <c r="F138" s="38">
        <v>0.21</v>
      </c>
      <c r="G138" s="50" t="str">
        <f>IFERROR(VLOOKUP("EW 500 G4-935-BW",STOCK!B2:Q3692,3,FALSE),"SIN STOCK")</f>
        <v>SIN STOCK</v>
      </c>
      <c r="H138" s="28"/>
      <c r="I138" s="28"/>
      <c r="J138" s="28"/>
      <c r="K138" s="28"/>
      <c r="L138" s="28"/>
      <c r="M138" s="28"/>
      <c r="N138" s="28"/>
      <c r="O138" s="28"/>
      <c r="P138" s="28"/>
      <c r="Q138" s="28"/>
      <c r="R138" s="28"/>
      <c r="S138" s="28"/>
    </row>
    <row r="139" ht="15.75" customHeight="1">
      <c r="A139" s="41" t="s">
        <v>31</v>
      </c>
      <c r="B139" s="42" t="s">
        <v>368</v>
      </c>
      <c r="C139" s="43" t="s">
        <v>369</v>
      </c>
      <c r="D139" s="44" t="s">
        <v>93</v>
      </c>
      <c r="E139" s="44" t="s">
        <v>94</v>
      </c>
      <c r="F139" s="45">
        <v>0.21</v>
      </c>
      <c r="G139" s="50" t="str">
        <f>IFERROR(VLOOKUP("EW 500 G4-945-AW+",STOCK!B2:Q3692,3,FALSE),"SIN STOCK")</f>
        <v>SIN STOCK</v>
      </c>
      <c r="H139" s="28"/>
      <c r="I139" s="28"/>
      <c r="J139" s="28"/>
      <c r="K139" s="28"/>
      <c r="L139" s="28"/>
      <c r="M139" s="28"/>
      <c r="N139" s="28"/>
      <c r="O139" s="28"/>
      <c r="P139" s="28"/>
      <c r="Q139" s="28"/>
      <c r="R139" s="28"/>
      <c r="S139" s="28"/>
    </row>
    <row r="140" ht="15.75" customHeight="1">
      <c r="A140" s="47" t="s">
        <v>31</v>
      </c>
      <c r="B140" s="48" t="s">
        <v>370</v>
      </c>
      <c r="C140" s="49" t="s">
        <v>328</v>
      </c>
      <c r="D140" s="37" t="s">
        <v>93</v>
      </c>
      <c r="E140" s="37" t="s">
        <v>94</v>
      </c>
      <c r="F140" s="38">
        <v>0.21</v>
      </c>
      <c r="G140" s="50" t="str">
        <f>IFERROR(VLOOKUP("EW 500 G4-945-BW",STOCK!B2:Q3692,3,FALSE),"SIN STOCK")</f>
        <v>SIN STOCK</v>
      </c>
      <c r="H140" s="28"/>
      <c r="I140" s="28"/>
      <c r="J140" s="28"/>
      <c r="K140" s="28"/>
      <c r="L140" s="28"/>
      <c r="M140" s="28"/>
      <c r="N140" s="28"/>
      <c r="O140" s="28"/>
      <c r="P140" s="28"/>
      <c r="Q140" s="28"/>
      <c r="R140" s="28"/>
      <c r="S140" s="28"/>
    </row>
    <row r="141" ht="15.75" customHeight="1">
      <c r="A141" s="41" t="s">
        <v>31</v>
      </c>
      <c r="B141" s="42" t="s">
        <v>371</v>
      </c>
      <c r="C141" s="43" t="s">
        <v>372</v>
      </c>
      <c r="D141" s="44" t="s">
        <v>277</v>
      </c>
      <c r="E141" s="44" t="s">
        <v>278</v>
      </c>
      <c r="F141" s="45">
        <v>0.21</v>
      </c>
      <c r="G141" s="50" t="str">
        <f>IFERROR(VLOOKUP("EW 500 G4-965-AW+",STOCK!B2:Q3692,3,FALSE),"SIN STOCK")</f>
        <v>SIN STOCK</v>
      </c>
      <c r="H141" s="28"/>
      <c r="I141" s="28"/>
      <c r="J141" s="28"/>
      <c r="K141" s="28"/>
      <c r="L141" s="28"/>
      <c r="M141" s="28"/>
      <c r="N141" s="28"/>
      <c r="O141" s="28"/>
      <c r="P141" s="28"/>
      <c r="Q141" s="28"/>
      <c r="R141" s="28"/>
      <c r="S141" s="28"/>
    </row>
    <row r="142" ht="15.75" customHeight="1">
      <c r="A142" s="47" t="s">
        <v>31</v>
      </c>
      <c r="B142" s="48" t="s">
        <v>373</v>
      </c>
      <c r="C142" s="49" t="s">
        <v>374</v>
      </c>
      <c r="D142" s="37" t="s">
        <v>312</v>
      </c>
      <c r="E142" s="37" t="s">
        <v>313</v>
      </c>
      <c r="F142" s="38">
        <v>0.21</v>
      </c>
      <c r="G142" s="50" t="str">
        <f>IFERROR(VLOOKUP("EW 500 G4-CI1-AW+",STOCK!B2:Q3692,3,FALSE),"SIN STOCK")</f>
        <v>SIN STOCK</v>
      </c>
      <c r="H142" s="28"/>
      <c r="I142" s="28"/>
      <c r="J142" s="28"/>
      <c r="K142" s="28"/>
      <c r="L142" s="28"/>
      <c r="M142" s="28"/>
      <c r="N142" s="28"/>
      <c r="O142" s="28"/>
      <c r="P142" s="28"/>
      <c r="Q142" s="28"/>
      <c r="R142" s="28"/>
      <c r="S142" s="28"/>
    </row>
    <row r="143" ht="15.75" customHeight="1">
      <c r="A143" s="41" t="s">
        <v>31</v>
      </c>
      <c r="B143" s="42" t="s">
        <v>375</v>
      </c>
      <c r="C143" s="43" t="s">
        <v>328</v>
      </c>
      <c r="D143" s="44" t="s">
        <v>312</v>
      </c>
      <c r="E143" s="44" t="s">
        <v>313</v>
      </c>
      <c r="F143" s="45">
        <v>0.21</v>
      </c>
      <c r="G143" s="50" t="str">
        <f>IFERROR(VLOOKUP("EW 500 G4-CI1-BW",STOCK!B2:Q3692,3,FALSE),"SIN STOCK")</f>
        <v>SIN STOCK</v>
      </c>
      <c r="H143" s="28"/>
      <c r="I143" s="28"/>
      <c r="J143" s="28"/>
      <c r="K143" s="28"/>
      <c r="L143" s="28"/>
      <c r="M143" s="28"/>
      <c r="N143" s="28"/>
      <c r="O143" s="28"/>
      <c r="P143" s="28"/>
      <c r="Q143" s="28"/>
      <c r="R143" s="28"/>
      <c r="S143" s="28"/>
    </row>
    <row r="144" ht="15.75" customHeight="1">
      <c r="A144" s="47" t="s">
        <v>31</v>
      </c>
      <c r="B144" s="48" t="s">
        <v>376</v>
      </c>
      <c r="C144" s="49" t="s">
        <v>377</v>
      </c>
      <c r="D144" s="37" t="s">
        <v>378</v>
      </c>
      <c r="E144" s="37" t="s">
        <v>379</v>
      </c>
      <c r="F144" s="38">
        <v>0.21</v>
      </c>
      <c r="G144" s="39" t="str">
        <f>IFERROR(VLOOKUP("ew 500 G4-935-Aw+",STOCK!B2:Q3692,3,FALSE),"SIN STOCK")</f>
        <v>SIN STOCK</v>
      </c>
      <c r="H144" s="28"/>
      <c r="I144" s="28"/>
      <c r="J144" s="28"/>
      <c r="K144" s="28"/>
      <c r="L144" s="28"/>
      <c r="M144" s="28"/>
      <c r="N144" s="28"/>
      <c r="O144" s="28"/>
      <c r="P144" s="28"/>
      <c r="Q144" s="28"/>
      <c r="R144" s="28"/>
      <c r="S144" s="28"/>
    </row>
    <row r="145" ht="15.75" customHeight="1">
      <c r="A145" s="41" t="s">
        <v>31</v>
      </c>
      <c r="B145" s="42" t="s">
        <v>380</v>
      </c>
      <c r="C145" s="43" t="s">
        <v>328</v>
      </c>
      <c r="D145" s="44" t="s">
        <v>273</v>
      </c>
      <c r="E145" s="44" t="s">
        <v>274</v>
      </c>
      <c r="F145" s="45">
        <v>0.21</v>
      </c>
      <c r="G145" s="53" t="str">
        <f>IFERROR(VLOOKUP("ew 500 G4-MKE2-BW",STOCK!B2:Q3692,3,FALSE),"SIN STOCK")</f>
        <v>Menor a 5</v>
      </c>
      <c r="H145" s="28"/>
      <c r="I145" s="28"/>
      <c r="J145" s="28"/>
      <c r="K145" s="28"/>
      <c r="L145" s="28"/>
      <c r="M145" s="28"/>
      <c r="N145" s="28"/>
      <c r="O145" s="28"/>
      <c r="P145" s="28"/>
      <c r="Q145" s="28"/>
      <c r="R145" s="28"/>
      <c r="S145" s="28"/>
    </row>
    <row r="146" ht="15.75" customHeight="1">
      <c r="A146" s="47" t="s">
        <v>31</v>
      </c>
      <c r="B146" s="48" t="s">
        <v>381</v>
      </c>
      <c r="C146" s="49" t="s">
        <v>328</v>
      </c>
      <c r="D146" s="37" t="s">
        <v>273</v>
      </c>
      <c r="E146" s="37" t="s">
        <v>274</v>
      </c>
      <c r="F146" s="38">
        <v>0.21</v>
      </c>
      <c r="G146" s="53" t="str">
        <f>IFERROR(VLOOKUP("ew 500 G4-MKE2-CW",STOCK!B2:Q3692,3,FALSE),"SIN STOCK")</f>
        <v>Menor a 5</v>
      </c>
      <c r="H146" s="28"/>
      <c r="I146" s="28"/>
      <c r="J146" s="28"/>
      <c r="K146" s="28"/>
      <c r="L146" s="28"/>
      <c r="M146" s="28"/>
      <c r="N146" s="28"/>
      <c r="O146" s="28"/>
      <c r="P146" s="28"/>
      <c r="Q146" s="28"/>
      <c r="R146" s="28"/>
      <c r="S146" s="28"/>
    </row>
    <row r="147" ht="15.75" customHeight="1">
      <c r="A147" s="58" t="s">
        <v>382</v>
      </c>
      <c r="B147" s="30"/>
      <c r="C147" s="30"/>
      <c r="D147" s="55"/>
      <c r="E147" s="32"/>
      <c r="F147" s="30"/>
      <c r="G147" s="30"/>
      <c r="H147" s="28"/>
      <c r="I147" s="28"/>
      <c r="J147" s="28"/>
      <c r="K147" s="28"/>
      <c r="L147" s="28"/>
      <c r="M147" s="28"/>
      <c r="N147" s="28"/>
      <c r="O147" s="28"/>
      <c r="P147" s="28"/>
      <c r="Q147" s="28"/>
      <c r="R147" s="28"/>
      <c r="S147" s="28"/>
    </row>
    <row r="148" ht="15.75" hidden="1" customHeight="1">
      <c r="A148" s="41" t="s">
        <v>31</v>
      </c>
      <c r="B148" s="42" t="s">
        <v>383</v>
      </c>
      <c r="C148" s="43" t="s">
        <v>384</v>
      </c>
      <c r="D148" s="44" t="s">
        <v>312</v>
      </c>
      <c r="E148" s="44" t="s">
        <v>313</v>
      </c>
      <c r="F148" s="45">
        <v>0.21</v>
      </c>
      <c r="G148" s="39" t="str">
        <f>IFERROR(VLOOKUP("ew 100 ENG G4-A1",STOCK!B2:Q3692,3,FALSE),"SIN STOCK")</f>
        <v>SIN STOCK</v>
      </c>
      <c r="H148" s="28"/>
      <c r="I148" s="28"/>
      <c r="J148" s="28"/>
      <c r="K148" s="28"/>
      <c r="L148" s="28"/>
      <c r="M148" s="28"/>
      <c r="N148" s="28"/>
      <c r="O148" s="28"/>
      <c r="P148" s="28"/>
      <c r="Q148" s="28"/>
      <c r="R148" s="28"/>
      <c r="S148" s="28"/>
    </row>
    <row r="149" ht="15.75" hidden="1" customHeight="1">
      <c r="A149" s="47" t="s">
        <v>31</v>
      </c>
      <c r="B149" s="48" t="s">
        <v>385</v>
      </c>
      <c r="C149" s="49" t="s">
        <v>328</v>
      </c>
      <c r="D149" s="37" t="s">
        <v>312</v>
      </c>
      <c r="E149" s="37" t="s">
        <v>313</v>
      </c>
      <c r="F149" s="38">
        <v>0.21</v>
      </c>
      <c r="G149" s="53" t="str">
        <f>IFERROR(VLOOKUP("ew 100 ENG G4-B",STOCK!B2:Q3692,3,FALSE),"SIN STOCK")</f>
        <v>SIN STOCK</v>
      </c>
      <c r="H149" s="28"/>
      <c r="I149" s="28"/>
      <c r="J149" s="28"/>
      <c r="K149" s="28"/>
      <c r="L149" s="28"/>
      <c r="M149" s="28"/>
      <c r="N149" s="28"/>
      <c r="O149" s="28"/>
      <c r="P149" s="28"/>
      <c r="Q149" s="28"/>
      <c r="R149" s="28"/>
      <c r="S149" s="28"/>
    </row>
    <row r="150" ht="15.75" hidden="1" customHeight="1">
      <c r="A150" s="41" t="s">
        <v>31</v>
      </c>
      <c r="B150" s="42" t="s">
        <v>386</v>
      </c>
      <c r="C150" s="43" t="s">
        <v>387</v>
      </c>
      <c r="D150" s="44" t="s">
        <v>388</v>
      </c>
      <c r="E150" s="44" t="s">
        <v>389</v>
      </c>
      <c r="F150" s="45">
        <v>0.21</v>
      </c>
      <c r="G150" s="39" t="str">
        <f>IFERROR(VLOOKUP("ew 112P G4-A1",STOCK!B2:Q3692,3,FALSE),"SIN STOCK")</f>
        <v>SIN STOCK</v>
      </c>
      <c r="H150" s="28"/>
      <c r="I150" s="28"/>
      <c r="J150" s="28"/>
      <c r="K150" s="28"/>
      <c r="L150" s="28"/>
      <c r="M150" s="28"/>
      <c r="N150" s="28"/>
      <c r="O150" s="28"/>
      <c r="P150" s="28"/>
      <c r="Q150" s="28"/>
      <c r="R150" s="28"/>
      <c r="S150" s="28"/>
    </row>
    <row r="151" ht="15.75" hidden="1" customHeight="1">
      <c r="A151" s="47" t="s">
        <v>31</v>
      </c>
      <c r="B151" s="48" t="s">
        <v>390</v>
      </c>
      <c r="C151" s="49" t="s">
        <v>328</v>
      </c>
      <c r="D151" s="37" t="s">
        <v>388</v>
      </c>
      <c r="E151" s="37" t="s">
        <v>389</v>
      </c>
      <c r="F151" s="38">
        <v>0.21</v>
      </c>
      <c r="G151" s="39" t="str">
        <f>IFERROR(VLOOKUP("ew 112P G4-B",STOCK!B2:Q3692,3,FALSE),"SIN STOCK")</f>
        <v>Mayor a 5</v>
      </c>
      <c r="H151" s="28"/>
      <c r="I151" s="28"/>
      <c r="J151" s="28"/>
      <c r="K151" s="28"/>
      <c r="L151" s="28"/>
      <c r="M151" s="28"/>
      <c r="N151" s="28"/>
      <c r="O151" s="28"/>
      <c r="P151" s="28"/>
      <c r="Q151" s="28"/>
      <c r="R151" s="28"/>
      <c r="S151" s="28"/>
    </row>
    <row r="152" ht="15.75" hidden="1" customHeight="1">
      <c r="A152" s="41" t="s">
        <v>31</v>
      </c>
      <c r="B152" s="57" t="s">
        <v>391</v>
      </c>
      <c r="C152" s="43" t="s">
        <v>392</v>
      </c>
      <c r="D152" s="44" t="s">
        <v>209</v>
      </c>
      <c r="E152" s="44" t="s">
        <v>210</v>
      </c>
      <c r="F152" s="45">
        <v>0.21</v>
      </c>
      <c r="G152" s="50" t="str">
        <f>IFERROR(VLOOKUP("EW 122P G4-A1",STOCK!B2:Q3692,3,FALSE),"SIN STOCK")</f>
        <v>SIN STOCK</v>
      </c>
      <c r="H152" s="28"/>
      <c r="I152" s="28"/>
      <c r="J152" s="28"/>
      <c r="K152" s="28"/>
      <c r="L152" s="28"/>
      <c r="M152" s="28"/>
      <c r="N152" s="28"/>
      <c r="O152" s="28"/>
      <c r="P152" s="28"/>
      <c r="Q152" s="28"/>
      <c r="R152" s="28"/>
      <c r="S152" s="28"/>
    </row>
    <row r="153" ht="15.75" hidden="1" customHeight="1">
      <c r="A153" s="47" t="s">
        <v>31</v>
      </c>
      <c r="B153" s="48" t="s">
        <v>393</v>
      </c>
      <c r="C153" s="49" t="s">
        <v>328</v>
      </c>
      <c r="D153" s="37" t="s">
        <v>209</v>
      </c>
      <c r="E153" s="37" t="s">
        <v>210</v>
      </c>
      <c r="F153" s="38">
        <v>0.21</v>
      </c>
      <c r="G153" s="50" t="str">
        <f>IFERROR(VLOOKUP("EW 122P G4-B",STOCK!B2:Q3692,3,FALSE),"SIN STOCK")</f>
        <v>SIN STOCK</v>
      </c>
      <c r="H153" s="28"/>
      <c r="I153" s="28"/>
      <c r="J153" s="28"/>
      <c r="K153" s="28"/>
      <c r="L153" s="28"/>
      <c r="M153" s="28"/>
      <c r="N153" s="28"/>
      <c r="O153" s="28"/>
      <c r="P153" s="28"/>
      <c r="Q153" s="28"/>
      <c r="R153" s="28"/>
      <c r="S153" s="28"/>
    </row>
    <row r="154" ht="15.75" hidden="1" customHeight="1">
      <c r="A154" s="41" t="s">
        <v>31</v>
      </c>
      <c r="B154" s="42" t="s">
        <v>394</v>
      </c>
      <c r="C154" s="43" t="s">
        <v>395</v>
      </c>
      <c r="D154" s="44" t="s">
        <v>209</v>
      </c>
      <c r="E154" s="44" t="s">
        <v>210</v>
      </c>
      <c r="F154" s="45">
        <v>0.21</v>
      </c>
      <c r="G154" s="39" t="str">
        <f>IFERROR(VLOOKUP("ew 135P G4-A1",STOCK!B2:Q3692,3,FALSE),"SIN STOCK")</f>
        <v>Mayor a 5</v>
      </c>
      <c r="H154" s="28"/>
      <c r="I154" s="28"/>
      <c r="J154" s="28"/>
      <c r="K154" s="28"/>
      <c r="L154" s="28"/>
      <c r="M154" s="28"/>
      <c r="N154" s="28"/>
      <c r="O154" s="28"/>
      <c r="P154" s="28"/>
      <c r="Q154" s="28"/>
      <c r="R154" s="28"/>
      <c r="S154" s="28"/>
    </row>
    <row r="155" ht="15.75" hidden="1" customHeight="1">
      <c r="A155" s="47" t="s">
        <v>31</v>
      </c>
      <c r="B155" s="48" t="s">
        <v>396</v>
      </c>
      <c r="C155" s="49" t="s">
        <v>328</v>
      </c>
      <c r="D155" s="37" t="s">
        <v>209</v>
      </c>
      <c r="E155" s="37" t="s">
        <v>210</v>
      </c>
      <c r="F155" s="38">
        <v>0.21</v>
      </c>
      <c r="G155" s="53" t="str">
        <f>IFERROR(VLOOKUP("EW 135P G4-B",STOCK!B2:Q3692,3,FALSE),"SIN STOCK")</f>
        <v>SIN STOCK</v>
      </c>
      <c r="H155" s="28"/>
      <c r="I155" s="28"/>
      <c r="J155" s="28"/>
      <c r="K155" s="28"/>
      <c r="L155" s="28"/>
      <c r="M155" s="28"/>
      <c r="N155" s="28"/>
      <c r="O155" s="28"/>
      <c r="P155" s="28"/>
      <c r="Q155" s="28"/>
      <c r="R155" s="28"/>
      <c r="S155" s="28"/>
    </row>
    <row r="156" ht="15.75" hidden="1" customHeight="1">
      <c r="A156" s="41" t="s">
        <v>31</v>
      </c>
      <c r="B156" s="42" t="s">
        <v>397</v>
      </c>
      <c r="C156" s="43" t="s">
        <v>398</v>
      </c>
      <c r="D156" s="44" t="s">
        <v>399</v>
      </c>
      <c r="E156" s="44" t="s">
        <v>400</v>
      </c>
      <c r="F156" s="45">
        <v>0.21</v>
      </c>
      <c r="G156" s="53" t="str">
        <f>IFERROR(VLOOKUP("EW500FILMG4AW",STOCK!B2:Q3692,3,FALSE),"SIN STOCK")</f>
        <v>SIN STOCK</v>
      </c>
      <c r="H156" s="28"/>
      <c r="I156" s="28"/>
      <c r="J156" s="28"/>
      <c r="K156" s="28"/>
      <c r="L156" s="28"/>
      <c r="M156" s="28"/>
      <c r="N156" s="28"/>
      <c r="O156" s="28"/>
      <c r="P156" s="28"/>
      <c r="Q156" s="28"/>
      <c r="R156" s="28"/>
      <c r="S156" s="28"/>
    </row>
    <row r="157" ht="15.75" hidden="1" customHeight="1">
      <c r="A157" s="47" t="s">
        <v>31</v>
      </c>
      <c r="B157" s="48" t="s">
        <v>401</v>
      </c>
      <c r="C157" s="49" t="s">
        <v>328</v>
      </c>
      <c r="D157" s="37" t="s">
        <v>399</v>
      </c>
      <c r="E157" s="37" t="s">
        <v>400</v>
      </c>
      <c r="F157" s="38">
        <v>0.21</v>
      </c>
      <c r="G157" s="50" t="str">
        <f>IFERROR(VLOOKUP("EW 500 FILM G4-BW",STOCK!B2:Q3692,3,FALSE),"SIN STOCK")</f>
        <v>SIN STOCK</v>
      </c>
      <c r="H157" s="28"/>
      <c r="I157" s="28"/>
      <c r="J157" s="28"/>
      <c r="K157" s="28"/>
      <c r="L157" s="28"/>
      <c r="M157" s="28"/>
      <c r="N157" s="28"/>
      <c r="O157" s="28"/>
      <c r="P157" s="28"/>
      <c r="Q157" s="28"/>
      <c r="R157" s="28"/>
      <c r="S157" s="28"/>
    </row>
    <row r="158" ht="15.75" hidden="1" customHeight="1">
      <c r="A158" s="41" t="s">
        <v>31</v>
      </c>
      <c r="B158" s="42" t="s">
        <v>402</v>
      </c>
      <c r="C158" s="43" t="s">
        <v>403</v>
      </c>
      <c r="D158" s="44" t="s">
        <v>223</v>
      </c>
      <c r="E158" s="44" t="s">
        <v>224</v>
      </c>
      <c r="F158" s="45">
        <v>0.21</v>
      </c>
      <c r="G158" s="39" t="str">
        <f>IFERROR(VLOOKUP("ew 512P G4-Aw+",STOCK!B2:Q3692,3,FALSE),"SIN STOCK")</f>
        <v>SIN STOCK</v>
      </c>
      <c r="H158" s="28"/>
      <c r="I158" s="28"/>
      <c r="J158" s="28"/>
      <c r="K158" s="28"/>
      <c r="L158" s="28"/>
      <c r="M158" s="28"/>
      <c r="N158" s="28"/>
      <c r="O158" s="28"/>
      <c r="P158" s="28"/>
      <c r="Q158" s="28"/>
      <c r="R158" s="28"/>
      <c r="S158" s="28"/>
    </row>
    <row r="159" ht="15.75" hidden="1" customHeight="1">
      <c r="A159" s="47" t="s">
        <v>31</v>
      </c>
      <c r="B159" s="48" t="s">
        <v>404</v>
      </c>
      <c r="C159" s="49" t="s">
        <v>328</v>
      </c>
      <c r="D159" s="37" t="s">
        <v>223</v>
      </c>
      <c r="E159" s="37" t="s">
        <v>224</v>
      </c>
      <c r="F159" s="38">
        <v>0.21</v>
      </c>
      <c r="G159" s="39" t="str">
        <f>IFERROR(VLOOKUP("ew 512P G4-BW",STOCK!B2:Q3692,3,FALSE),"SIN STOCK")</f>
        <v>Mayor a 5</v>
      </c>
      <c r="H159" s="28"/>
      <c r="I159" s="28"/>
      <c r="J159" s="28"/>
      <c r="K159" s="28"/>
      <c r="L159" s="28"/>
      <c r="M159" s="28"/>
      <c r="N159" s="28"/>
      <c r="O159" s="28"/>
      <c r="P159" s="28"/>
      <c r="Q159" s="28"/>
      <c r="R159" s="28"/>
      <c r="S159" s="28"/>
    </row>
    <row r="160" ht="15.75" customHeight="1">
      <c r="A160" s="58" t="s">
        <v>405</v>
      </c>
      <c r="B160" s="30"/>
      <c r="C160" s="30"/>
      <c r="D160" s="55"/>
      <c r="E160" s="32"/>
      <c r="F160" s="30"/>
      <c r="G160" s="30"/>
      <c r="H160" s="28"/>
      <c r="I160" s="28"/>
      <c r="J160" s="28"/>
      <c r="K160" s="28"/>
      <c r="L160" s="28"/>
      <c r="M160" s="28"/>
      <c r="N160" s="28"/>
      <c r="O160" s="28"/>
      <c r="P160" s="28"/>
      <c r="Q160" s="28"/>
      <c r="R160" s="28"/>
      <c r="S160" s="28"/>
    </row>
    <row r="161" ht="15.75" customHeight="1">
      <c r="A161" s="41" t="s">
        <v>31</v>
      </c>
      <c r="B161" s="42" t="s">
        <v>406</v>
      </c>
      <c r="C161" s="43" t="s">
        <v>407</v>
      </c>
      <c r="D161" s="44" t="s">
        <v>234</v>
      </c>
      <c r="E161" s="44" t="s">
        <v>235</v>
      </c>
      <c r="F161" s="45">
        <v>0.21</v>
      </c>
      <c r="G161" s="39" t="str">
        <f>IFERROR(VLOOKUP("SK 100 G4-A1",STOCK!B2:Q3692,3,FALSE),"SIN STOCK")</f>
        <v>SIN STOCK</v>
      </c>
      <c r="H161" s="28"/>
      <c r="I161" s="28"/>
      <c r="J161" s="28"/>
      <c r="K161" s="28"/>
      <c r="L161" s="28"/>
      <c r="M161" s="28"/>
      <c r="N161" s="28"/>
      <c r="O161" s="28"/>
      <c r="P161" s="28"/>
      <c r="Q161" s="28"/>
      <c r="R161" s="28"/>
      <c r="S161" s="28"/>
    </row>
    <row r="162" ht="15.75" customHeight="1">
      <c r="A162" s="47" t="s">
        <v>31</v>
      </c>
      <c r="B162" s="48" t="s">
        <v>408</v>
      </c>
      <c r="C162" s="49" t="s">
        <v>328</v>
      </c>
      <c r="D162" s="37" t="s">
        <v>234</v>
      </c>
      <c r="E162" s="37" t="s">
        <v>235</v>
      </c>
      <c r="F162" s="38">
        <v>0.21</v>
      </c>
      <c r="G162" s="39" t="str">
        <f>IFERROR(VLOOKUP("SK 100 G4-B",STOCK!B2:Q3692,3,FALSE),"SIN STOCK")</f>
        <v>Mayor a 5</v>
      </c>
      <c r="H162" s="28"/>
      <c r="I162" s="28"/>
      <c r="J162" s="28"/>
      <c r="K162" s="28"/>
      <c r="L162" s="28"/>
      <c r="M162" s="28"/>
      <c r="N162" s="28"/>
      <c r="O162" s="28"/>
      <c r="P162" s="28"/>
      <c r="Q162" s="28"/>
      <c r="R162" s="28"/>
      <c r="S162" s="28"/>
    </row>
    <row r="163" ht="15.75" customHeight="1">
      <c r="A163" s="41" t="s">
        <v>31</v>
      </c>
      <c r="B163" s="42" t="s">
        <v>409</v>
      </c>
      <c r="C163" s="43" t="s">
        <v>410</v>
      </c>
      <c r="D163" s="44" t="s">
        <v>411</v>
      </c>
      <c r="E163" s="44" t="s">
        <v>412</v>
      </c>
      <c r="F163" s="45">
        <v>0.21</v>
      </c>
      <c r="G163" s="39" t="str">
        <f>IFERROR(VLOOKUP("SK 500 G4-Aw+",STOCK!B2:Q3692,3,FALSE),"SIN STOCK")</f>
        <v>Mayor a 5</v>
      </c>
      <c r="H163" s="28"/>
      <c r="I163" s="28"/>
      <c r="J163" s="28"/>
      <c r="K163" s="28"/>
      <c r="L163" s="28"/>
      <c r="M163" s="28"/>
      <c r="N163" s="28"/>
      <c r="O163" s="28"/>
      <c r="P163" s="28"/>
      <c r="Q163" s="28"/>
      <c r="R163" s="28"/>
      <c r="S163" s="28"/>
    </row>
    <row r="164" ht="15.75" customHeight="1">
      <c r="A164" s="47" t="s">
        <v>31</v>
      </c>
      <c r="B164" s="48" t="s">
        <v>413</v>
      </c>
      <c r="C164" s="49" t="s">
        <v>328</v>
      </c>
      <c r="D164" s="37" t="s">
        <v>411</v>
      </c>
      <c r="E164" s="37" t="s">
        <v>412</v>
      </c>
      <c r="F164" s="38">
        <v>0.21</v>
      </c>
      <c r="G164" s="53" t="str">
        <f>IFERROR(VLOOKUP("SK 500 G4-Bw",STOCK!B2:Q3692,3,FALSE),"SIN STOCK")</f>
        <v>SIN STOCK</v>
      </c>
      <c r="H164" s="28"/>
      <c r="I164" s="28"/>
      <c r="J164" s="28"/>
      <c r="K164" s="28"/>
      <c r="L164" s="28"/>
      <c r="M164" s="28"/>
      <c r="N164" s="28"/>
      <c r="O164" s="28"/>
      <c r="P164" s="28"/>
      <c r="Q164" s="28"/>
      <c r="R164" s="28"/>
      <c r="S164" s="28"/>
    </row>
    <row r="165" ht="15.75" customHeight="1">
      <c r="A165" s="41" t="s">
        <v>31</v>
      </c>
      <c r="B165" s="42" t="s">
        <v>414</v>
      </c>
      <c r="C165" s="43" t="s">
        <v>415</v>
      </c>
      <c r="D165" s="44" t="s">
        <v>234</v>
      </c>
      <c r="E165" s="44" t="s">
        <v>235</v>
      </c>
      <c r="F165" s="45">
        <v>0.21</v>
      </c>
      <c r="G165" s="50" t="str">
        <f>IFERROR(VLOOKUP("SKM 100 G4-A1",STOCK!B2:Q3692,3,FALSE),"SIN STOCK")</f>
        <v>SIN STOCK</v>
      </c>
      <c r="H165" s="28"/>
      <c r="I165" s="28"/>
      <c r="J165" s="28"/>
      <c r="K165" s="28"/>
      <c r="L165" s="28"/>
      <c r="M165" s="28"/>
      <c r="N165" s="28"/>
      <c r="O165" s="28"/>
      <c r="P165" s="28"/>
      <c r="Q165" s="28"/>
      <c r="R165" s="28"/>
      <c r="S165" s="28"/>
    </row>
    <row r="166" ht="15.75" customHeight="1">
      <c r="A166" s="47" t="s">
        <v>31</v>
      </c>
      <c r="B166" s="48" t="s">
        <v>416</v>
      </c>
      <c r="C166" s="49" t="s">
        <v>328</v>
      </c>
      <c r="D166" s="37" t="s">
        <v>234</v>
      </c>
      <c r="E166" s="37" t="s">
        <v>235</v>
      </c>
      <c r="F166" s="38">
        <v>0.21</v>
      </c>
      <c r="G166" s="53" t="str">
        <f>IFERROR(VLOOKUP("SKM 100 G4-B",STOCK!B2:Q3692,3,FALSE),"SIN STOCK")</f>
        <v>Menor a 5</v>
      </c>
      <c r="H166" s="28"/>
      <c r="I166" s="28"/>
      <c r="J166" s="28"/>
      <c r="K166" s="28"/>
      <c r="L166" s="28"/>
      <c r="M166" s="28"/>
      <c r="N166" s="28"/>
      <c r="O166" s="28"/>
      <c r="P166" s="28"/>
      <c r="Q166" s="28"/>
      <c r="R166" s="28"/>
      <c r="S166" s="28"/>
    </row>
    <row r="167" ht="15.75" customHeight="1">
      <c r="A167" s="41" t="s">
        <v>31</v>
      </c>
      <c r="B167" s="42" t="s">
        <v>417</v>
      </c>
      <c r="C167" s="43" t="s">
        <v>418</v>
      </c>
      <c r="D167" s="44" t="s">
        <v>234</v>
      </c>
      <c r="E167" s="44" t="s">
        <v>235</v>
      </c>
      <c r="F167" s="45">
        <v>0.21</v>
      </c>
      <c r="G167" s="50" t="str">
        <f>IFERROR(VLOOKUP("SKM 100 G4-S-A1",STOCK!B2:Q3692,3,FALSE),"SIN STOCK")</f>
        <v>SIN STOCK</v>
      </c>
      <c r="H167" s="28"/>
      <c r="I167" s="28"/>
      <c r="J167" s="28"/>
      <c r="K167" s="28"/>
      <c r="L167" s="28"/>
      <c r="M167" s="28"/>
      <c r="N167" s="28"/>
      <c r="O167" s="28"/>
      <c r="P167" s="28"/>
      <c r="Q167" s="28"/>
      <c r="R167" s="28"/>
      <c r="S167" s="28"/>
    </row>
    <row r="168" ht="15.75" customHeight="1">
      <c r="A168" s="47" t="s">
        <v>31</v>
      </c>
      <c r="B168" s="48" t="s">
        <v>419</v>
      </c>
      <c r="C168" s="49" t="s">
        <v>328</v>
      </c>
      <c r="D168" s="37" t="s">
        <v>234</v>
      </c>
      <c r="E168" s="37" t="s">
        <v>235</v>
      </c>
      <c r="F168" s="38">
        <v>0.21</v>
      </c>
      <c r="G168" s="39" t="str">
        <f>IFERROR(VLOOKUP("SKM 100 G4-S-B",STOCK!B2:Q3692,3,FALSE),"SIN STOCK")</f>
        <v>SIN STOCK</v>
      </c>
      <c r="H168" s="28"/>
      <c r="I168" s="28"/>
      <c r="J168" s="28"/>
      <c r="K168" s="28"/>
      <c r="L168" s="28"/>
      <c r="M168" s="28"/>
      <c r="N168" s="28"/>
      <c r="O168" s="28"/>
      <c r="P168" s="28"/>
      <c r="Q168" s="28"/>
      <c r="R168" s="28"/>
      <c r="S168" s="28"/>
    </row>
    <row r="169" ht="15.75" customHeight="1">
      <c r="A169" s="41" t="s">
        <v>31</v>
      </c>
      <c r="B169" s="42" t="s">
        <v>420</v>
      </c>
      <c r="C169" s="43" t="s">
        <v>421</v>
      </c>
      <c r="D169" s="44" t="s">
        <v>411</v>
      </c>
      <c r="E169" s="44" t="s">
        <v>412</v>
      </c>
      <c r="F169" s="45">
        <v>0.21</v>
      </c>
      <c r="G169" s="39" t="str">
        <f>IFERROR(VLOOKUP("SKM 500 G4-Aw+",STOCK!B2:Q3692,3,FALSE),"SIN STOCK")</f>
        <v>SIN STOCK</v>
      </c>
      <c r="H169" s="28"/>
      <c r="I169" s="28"/>
      <c r="J169" s="28"/>
      <c r="K169" s="28"/>
      <c r="L169" s="28"/>
      <c r="M169" s="28"/>
      <c r="N169" s="28"/>
      <c r="O169" s="28"/>
      <c r="P169" s="28"/>
      <c r="Q169" s="28"/>
      <c r="R169" s="28"/>
      <c r="S169" s="28"/>
    </row>
    <row r="170" ht="15.75" customHeight="1">
      <c r="A170" s="47" t="s">
        <v>31</v>
      </c>
      <c r="B170" s="48" t="s">
        <v>422</v>
      </c>
      <c r="C170" s="49" t="s">
        <v>328</v>
      </c>
      <c r="D170" s="37" t="s">
        <v>411</v>
      </c>
      <c r="E170" s="37" t="s">
        <v>412</v>
      </c>
      <c r="F170" s="38">
        <v>0.21</v>
      </c>
      <c r="G170" s="50" t="str">
        <f>IFERROR(VLOOKUP("SKM 500 G4-BW",STOCK!B2:Q3692,3,FALSE),"SIN STOCK")</f>
        <v>SIN STOCK</v>
      </c>
      <c r="H170" s="28"/>
      <c r="I170" s="28"/>
      <c r="J170" s="28"/>
      <c r="K170" s="28"/>
      <c r="L170" s="28"/>
      <c r="M170" s="28"/>
      <c r="N170" s="28"/>
      <c r="O170" s="28"/>
      <c r="P170" s="28"/>
      <c r="Q170" s="28"/>
      <c r="R170" s="28"/>
      <c r="S170" s="28"/>
    </row>
    <row r="171" ht="15.75" customHeight="1">
      <c r="A171" s="41" t="s">
        <v>31</v>
      </c>
      <c r="B171" s="42" t="s">
        <v>423</v>
      </c>
      <c r="C171" s="43" t="s">
        <v>328</v>
      </c>
      <c r="D171" s="44" t="s">
        <v>411</v>
      </c>
      <c r="E171" s="44" t="s">
        <v>412</v>
      </c>
      <c r="F171" s="45">
        <v>0.21</v>
      </c>
      <c r="G171" s="50" t="str">
        <f>IFERROR(VLOOKUP("SKM 500 G4-GW1",STOCK!B2:Q3692,3,FALSE),"SIN STOCK")</f>
        <v>SIN STOCK</v>
      </c>
      <c r="H171" s="28"/>
      <c r="I171" s="28"/>
      <c r="J171" s="28"/>
      <c r="K171" s="28"/>
      <c r="L171" s="28"/>
      <c r="M171" s="28"/>
      <c r="N171" s="28"/>
      <c r="O171" s="28"/>
      <c r="P171" s="28"/>
      <c r="Q171" s="28"/>
      <c r="R171" s="28"/>
      <c r="S171" s="28"/>
    </row>
    <row r="172" ht="15.75" customHeight="1">
      <c r="A172" s="47" t="s">
        <v>31</v>
      </c>
      <c r="B172" s="48" t="s">
        <v>424</v>
      </c>
      <c r="C172" s="49" t="s">
        <v>425</v>
      </c>
      <c r="D172" s="37" t="s">
        <v>234</v>
      </c>
      <c r="E172" s="37" t="s">
        <v>235</v>
      </c>
      <c r="F172" s="38">
        <v>0.21</v>
      </c>
      <c r="G172" s="53" t="str">
        <f>IFERROR(VLOOKUP("SKP 100 G4-A1",STOCK!B2:Q3692,3,FALSE),"SIN STOCK")</f>
        <v>SIN STOCK</v>
      </c>
      <c r="H172" s="28"/>
      <c r="I172" s="28"/>
      <c r="J172" s="28"/>
      <c r="K172" s="28"/>
      <c r="L172" s="28"/>
      <c r="M172" s="28"/>
      <c r="N172" s="28"/>
      <c r="O172" s="28"/>
      <c r="P172" s="28"/>
      <c r="Q172" s="28"/>
      <c r="R172" s="28"/>
      <c r="S172" s="28"/>
    </row>
    <row r="173" ht="15.75" customHeight="1">
      <c r="A173" s="41" t="s">
        <v>31</v>
      </c>
      <c r="B173" s="42" t="s">
        <v>426</v>
      </c>
      <c r="C173" s="43" t="s">
        <v>328</v>
      </c>
      <c r="D173" s="44" t="s">
        <v>234</v>
      </c>
      <c r="E173" s="44" t="s">
        <v>235</v>
      </c>
      <c r="F173" s="45">
        <v>0.21</v>
      </c>
      <c r="G173" s="53" t="str">
        <f>IFERROR(VLOOKUP("SKP 100 G4-B",STOCK!B2:Q3692,3,FALSE),"SIN STOCK")</f>
        <v>SIN STOCK</v>
      </c>
      <c r="H173" s="28"/>
      <c r="I173" s="28"/>
      <c r="J173" s="28"/>
      <c r="K173" s="28"/>
      <c r="L173" s="28"/>
      <c r="M173" s="28"/>
      <c r="N173" s="28"/>
      <c r="O173" s="28"/>
      <c r="P173" s="28"/>
      <c r="Q173" s="28"/>
      <c r="R173" s="28"/>
      <c r="S173" s="28"/>
    </row>
    <row r="174" ht="15.75" customHeight="1">
      <c r="A174" s="47" t="s">
        <v>31</v>
      </c>
      <c r="B174" s="48" t="s">
        <v>427</v>
      </c>
      <c r="C174" s="49" t="s">
        <v>428</v>
      </c>
      <c r="D174" s="37" t="s">
        <v>429</v>
      </c>
      <c r="E174" s="37" t="s">
        <v>430</v>
      </c>
      <c r="F174" s="38">
        <v>0.21</v>
      </c>
      <c r="G174" s="50" t="str">
        <f>IFERROR(VLOOKUP("SKP 500 G4-Aw+",STOCK!B2:Q3692,3,FALSE),"SIN STOCK")</f>
        <v>SIN STOCK</v>
      </c>
      <c r="H174" s="28"/>
      <c r="I174" s="28"/>
      <c r="J174" s="28"/>
      <c r="K174" s="28"/>
      <c r="L174" s="28"/>
      <c r="M174" s="28"/>
      <c r="N174" s="28"/>
      <c r="O174" s="28"/>
      <c r="P174" s="28"/>
      <c r="Q174" s="28"/>
      <c r="R174" s="28"/>
      <c r="S174" s="28"/>
    </row>
    <row r="175" ht="15.75" customHeight="1">
      <c r="A175" s="41" t="s">
        <v>31</v>
      </c>
      <c r="B175" s="42" t="s">
        <v>431</v>
      </c>
      <c r="C175" s="43" t="s">
        <v>328</v>
      </c>
      <c r="D175" s="44" t="s">
        <v>429</v>
      </c>
      <c r="E175" s="44" t="s">
        <v>430</v>
      </c>
      <c r="F175" s="45">
        <v>0.21</v>
      </c>
      <c r="G175" s="50" t="str">
        <f>IFERROR(VLOOKUP("SKP 500 G4-BW",STOCK!B2:Q3692,3,FALSE),"SIN STOCK")</f>
        <v>SIN STOCK</v>
      </c>
      <c r="H175" s="28"/>
      <c r="I175" s="28"/>
      <c r="J175" s="28"/>
      <c r="K175" s="28"/>
      <c r="L175" s="28"/>
      <c r="M175" s="28"/>
      <c r="N175" s="28"/>
      <c r="O175" s="28"/>
      <c r="P175" s="28"/>
      <c r="Q175" s="28"/>
      <c r="R175" s="28"/>
      <c r="S175" s="28"/>
    </row>
    <row r="176" ht="15.75" customHeight="1">
      <c r="A176" s="47" t="s">
        <v>31</v>
      </c>
      <c r="B176" s="48" t="s">
        <v>432</v>
      </c>
      <c r="C176" s="49" t="s">
        <v>433</v>
      </c>
      <c r="D176" s="37" t="s">
        <v>434</v>
      </c>
      <c r="E176" s="37" t="s">
        <v>435</v>
      </c>
      <c r="F176" s="38">
        <v>0.21</v>
      </c>
      <c r="G176" s="39" t="str">
        <f>IFERROR(VLOOKUP("EK 100 G4-A1",STOCK!B2:Q3692,3,FALSE),"SIN STOCK")</f>
        <v>SIN STOCK</v>
      </c>
      <c r="H176" s="28"/>
      <c r="I176" s="28"/>
      <c r="J176" s="28"/>
      <c r="K176" s="28"/>
      <c r="L176" s="28"/>
      <c r="M176" s="28"/>
      <c r="N176" s="28"/>
      <c r="O176" s="28"/>
      <c r="P176" s="28"/>
      <c r="Q176" s="28"/>
      <c r="R176" s="28"/>
      <c r="S176" s="28"/>
    </row>
    <row r="177" ht="15.75" customHeight="1">
      <c r="A177" s="41" t="s">
        <v>31</v>
      </c>
      <c r="B177" s="42" t="s">
        <v>436</v>
      </c>
      <c r="C177" s="43" t="s">
        <v>328</v>
      </c>
      <c r="D177" s="44" t="s">
        <v>434</v>
      </c>
      <c r="E177" s="44" t="s">
        <v>435</v>
      </c>
      <c r="F177" s="45">
        <v>0.21</v>
      </c>
      <c r="G177" s="50" t="str">
        <f>IFERROR(VLOOKUP("EK 100 G4-B",STOCK!B2:Q3692,3,FALSE),"SIN STOCK")</f>
        <v>SIN STOCK</v>
      </c>
      <c r="H177" s="28"/>
      <c r="I177" s="28"/>
      <c r="J177" s="28"/>
      <c r="K177" s="28"/>
      <c r="L177" s="28"/>
      <c r="M177" s="28"/>
      <c r="N177" s="28"/>
      <c r="O177" s="28"/>
      <c r="P177" s="28"/>
      <c r="Q177" s="28"/>
      <c r="R177" s="28"/>
      <c r="S177" s="28"/>
    </row>
    <row r="178" ht="15.75" customHeight="1">
      <c r="A178" s="47" t="s">
        <v>31</v>
      </c>
      <c r="B178" s="48" t="s">
        <v>437</v>
      </c>
      <c r="C178" s="49" t="s">
        <v>438</v>
      </c>
      <c r="D178" s="37" t="s">
        <v>439</v>
      </c>
      <c r="E178" s="37" t="s">
        <v>440</v>
      </c>
      <c r="F178" s="38">
        <v>0.21</v>
      </c>
      <c r="G178" s="50" t="str">
        <f>IFERROR(VLOOKUP("EK 500 G4-Aw+",STOCK!B2:Q3692,3,FALSE),"SIN STOCK")</f>
        <v>SIN STOCK</v>
      </c>
      <c r="H178" s="28"/>
      <c r="I178" s="28"/>
      <c r="J178" s="28"/>
      <c r="K178" s="28"/>
      <c r="L178" s="28"/>
      <c r="M178" s="28"/>
      <c r="N178" s="28"/>
      <c r="O178" s="28"/>
      <c r="P178" s="28"/>
      <c r="Q178" s="28"/>
      <c r="R178" s="28"/>
      <c r="S178" s="28"/>
    </row>
    <row r="179" ht="15.75" customHeight="1">
      <c r="A179" s="41" t="s">
        <v>31</v>
      </c>
      <c r="B179" s="42" t="s">
        <v>441</v>
      </c>
      <c r="C179" s="43" t="s">
        <v>328</v>
      </c>
      <c r="D179" s="44" t="s">
        <v>439</v>
      </c>
      <c r="E179" s="44" t="s">
        <v>440</v>
      </c>
      <c r="F179" s="45">
        <v>0.21</v>
      </c>
      <c r="G179" s="39" t="str">
        <f>IFERROR(VLOOKUP("EK 500 G4-Bw",STOCK!B2:Q3692,3,FALSE),"SIN STOCK")</f>
        <v>Mayor a 5</v>
      </c>
      <c r="H179" s="28"/>
      <c r="I179" s="28"/>
      <c r="J179" s="28"/>
      <c r="K179" s="28"/>
      <c r="L179" s="28"/>
      <c r="M179" s="28"/>
      <c r="N179" s="28"/>
      <c r="O179" s="28"/>
      <c r="P179" s="28"/>
      <c r="Q179" s="28"/>
      <c r="R179" s="28"/>
      <c r="S179" s="28"/>
    </row>
    <row r="180" ht="15.75" customHeight="1">
      <c r="A180" s="47" t="s">
        <v>31</v>
      </c>
      <c r="B180" s="48" t="s">
        <v>442</v>
      </c>
      <c r="C180" s="49" t="s">
        <v>443</v>
      </c>
      <c r="D180" s="37" t="s">
        <v>170</v>
      </c>
      <c r="E180" s="37" t="s">
        <v>171</v>
      </c>
      <c r="F180" s="38">
        <v>0.21</v>
      </c>
      <c r="G180" s="50" t="str">
        <f>IFERROR(VLOOKUP("EM 100 G4-A1",STOCK!B2:Q3692,3,FALSE),"SIN STOCK")</f>
        <v>SIN STOCK</v>
      </c>
      <c r="H180" s="28"/>
      <c r="I180" s="28"/>
      <c r="J180" s="28"/>
      <c r="K180" s="28"/>
      <c r="L180" s="28"/>
      <c r="M180" s="28"/>
      <c r="N180" s="28"/>
      <c r="O180" s="28"/>
      <c r="P180" s="28"/>
      <c r="Q180" s="28"/>
      <c r="R180" s="28"/>
      <c r="S180" s="28"/>
    </row>
    <row r="181" ht="15.75" customHeight="1">
      <c r="A181" s="41" t="s">
        <v>31</v>
      </c>
      <c r="B181" s="42" t="s">
        <v>444</v>
      </c>
      <c r="C181" s="43" t="s">
        <v>328</v>
      </c>
      <c r="D181" s="44" t="s">
        <v>170</v>
      </c>
      <c r="E181" s="44" t="s">
        <v>171</v>
      </c>
      <c r="F181" s="45">
        <v>0.21</v>
      </c>
      <c r="G181" s="39" t="str">
        <f>IFERROR(VLOOKUP("EM 100 G4-B",STOCK!B2:Q3692,3,FALSE),"SIN STOCK")</f>
        <v>SIN STOCK</v>
      </c>
      <c r="H181" s="28"/>
      <c r="I181" s="28"/>
      <c r="J181" s="28"/>
      <c r="K181" s="28"/>
      <c r="L181" s="28"/>
      <c r="M181" s="28"/>
      <c r="N181" s="28"/>
      <c r="O181" s="28"/>
      <c r="P181" s="28"/>
      <c r="Q181" s="28"/>
      <c r="R181" s="28"/>
      <c r="S181" s="28"/>
    </row>
    <row r="182" ht="15.75" customHeight="1">
      <c r="A182" s="47" t="s">
        <v>31</v>
      </c>
      <c r="B182" s="48" t="s">
        <v>445</v>
      </c>
      <c r="C182" s="49" t="s">
        <v>446</v>
      </c>
      <c r="D182" s="37" t="s">
        <v>227</v>
      </c>
      <c r="E182" s="37" t="s">
        <v>228</v>
      </c>
      <c r="F182" s="38">
        <v>0.21</v>
      </c>
      <c r="G182" s="39" t="str">
        <f>IFERROR(VLOOKUP("EM 300-500 G4-AW+",STOCK!B2:Q3692,3,FALSE),"SIN STOCK")</f>
        <v>SIN STOCK</v>
      </c>
      <c r="H182" s="28"/>
      <c r="I182" s="28"/>
      <c r="J182" s="28"/>
      <c r="K182" s="28"/>
      <c r="L182" s="28"/>
      <c r="M182" s="28"/>
      <c r="N182" s="28"/>
      <c r="O182" s="28"/>
      <c r="P182" s="28"/>
      <c r="Q182" s="28"/>
      <c r="R182" s="28"/>
      <c r="S182" s="28"/>
    </row>
    <row r="183" ht="15.75" customHeight="1">
      <c r="A183" s="41" t="s">
        <v>31</v>
      </c>
      <c r="B183" s="42" t="s">
        <v>447</v>
      </c>
      <c r="C183" s="43" t="s">
        <v>328</v>
      </c>
      <c r="D183" s="44" t="s">
        <v>448</v>
      </c>
      <c r="E183" s="44" t="s">
        <v>449</v>
      </c>
      <c r="F183" s="45">
        <v>0.21</v>
      </c>
      <c r="G183" s="53" t="str">
        <f>IFERROR(VLOOKUP("EM 300-500 G4-BW",STOCK!B2:Q3692,3,FALSE),"SIN STOCK")</f>
        <v>SIN STOCK</v>
      </c>
      <c r="H183" s="28"/>
      <c r="I183" s="28"/>
      <c r="J183" s="28"/>
      <c r="K183" s="28"/>
      <c r="L183" s="28"/>
      <c r="M183" s="28"/>
      <c r="N183" s="28"/>
      <c r="O183" s="28"/>
      <c r="P183" s="28"/>
      <c r="Q183" s="28"/>
      <c r="R183" s="28"/>
      <c r="S183" s="28"/>
    </row>
    <row r="184" ht="15.75" customHeight="1">
      <c r="A184" s="29" t="s">
        <v>450</v>
      </c>
      <c r="C184" s="30"/>
      <c r="D184" s="55"/>
      <c r="E184" s="32"/>
      <c r="F184" s="30"/>
      <c r="G184" s="30"/>
      <c r="H184" s="28"/>
      <c r="I184" s="28"/>
      <c r="J184" s="28"/>
      <c r="K184" s="28"/>
      <c r="L184" s="28"/>
      <c r="M184" s="28"/>
      <c r="N184" s="28"/>
      <c r="O184" s="28"/>
      <c r="P184" s="28"/>
      <c r="Q184" s="28"/>
      <c r="R184" s="28"/>
      <c r="S184" s="28"/>
    </row>
    <row r="185" ht="15.75" customHeight="1">
      <c r="A185" s="41" t="s">
        <v>31</v>
      </c>
      <c r="B185" s="42" t="s">
        <v>451</v>
      </c>
      <c r="C185" s="43" t="s">
        <v>452</v>
      </c>
      <c r="D185" s="44" t="s">
        <v>273</v>
      </c>
      <c r="E185" s="44" t="s">
        <v>274</v>
      </c>
      <c r="F185" s="45">
        <v>0.21</v>
      </c>
      <c r="G185" s="50" t="str">
        <f>IFERROR(VLOOKUP("EW IEM G4-A1",STOCK!B2:Q3692,3,FALSE),"SIN STOCK")</f>
        <v>Mayor a 5</v>
      </c>
      <c r="H185" s="28"/>
      <c r="I185" s="28"/>
      <c r="J185" s="28"/>
      <c r="K185" s="28"/>
      <c r="L185" s="28"/>
      <c r="M185" s="28"/>
      <c r="N185" s="28"/>
      <c r="O185" s="28"/>
      <c r="P185" s="28"/>
      <c r="Q185" s="28"/>
      <c r="R185" s="28"/>
      <c r="S185" s="28"/>
    </row>
    <row r="186" ht="15.75" customHeight="1">
      <c r="A186" s="47" t="s">
        <v>31</v>
      </c>
      <c r="B186" s="64" t="s">
        <v>453</v>
      </c>
      <c r="C186" s="49" t="s">
        <v>328</v>
      </c>
      <c r="D186" s="37" t="s">
        <v>273</v>
      </c>
      <c r="E186" s="37" t="s">
        <v>274</v>
      </c>
      <c r="F186" s="38">
        <v>0.21</v>
      </c>
      <c r="G186" s="50" t="str">
        <f>IFERROR(VLOOKUP("EW IEM G4-B",STOCK!B2:Q3692,3,FALSE),"SIN STOCK")</f>
        <v>SIN STOCK</v>
      </c>
      <c r="H186" s="28"/>
      <c r="I186" s="28"/>
      <c r="J186" s="28"/>
      <c r="K186" s="28"/>
      <c r="L186" s="28"/>
      <c r="M186" s="28"/>
      <c r="N186" s="28"/>
      <c r="O186" s="28"/>
      <c r="P186" s="28"/>
      <c r="Q186" s="28"/>
      <c r="R186" s="28"/>
      <c r="S186" s="28"/>
    </row>
    <row r="187" ht="15.75" customHeight="1">
      <c r="A187" s="41" t="s">
        <v>31</v>
      </c>
      <c r="B187" s="42" t="s">
        <v>454</v>
      </c>
      <c r="C187" s="43" t="s">
        <v>455</v>
      </c>
      <c r="D187" s="44" t="s">
        <v>456</v>
      </c>
      <c r="E187" s="44" t="s">
        <v>457</v>
      </c>
      <c r="F187" s="45">
        <v>0.21</v>
      </c>
      <c r="G187" s="39" t="str">
        <f>IFERROR(VLOOKUP("EW IEM G4-TWIN-A1",STOCK!B2:Q3692,3,FALSE),"SIN STOCK")</f>
        <v>Mayor a 5</v>
      </c>
      <c r="H187" s="28"/>
      <c r="I187" s="28"/>
      <c r="J187" s="28"/>
      <c r="K187" s="28"/>
      <c r="L187" s="28"/>
      <c r="M187" s="28"/>
      <c r="N187" s="28"/>
      <c r="O187" s="28"/>
      <c r="P187" s="28"/>
      <c r="Q187" s="28"/>
      <c r="R187" s="28"/>
      <c r="S187" s="28"/>
    </row>
    <row r="188" ht="15.75" customHeight="1">
      <c r="A188" s="47" t="s">
        <v>31</v>
      </c>
      <c r="B188" s="64" t="s">
        <v>458</v>
      </c>
      <c r="C188" s="49" t="s">
        <v>328</v>
      </c>
      <c r="D188" s="37" t="s">
        <v>456</v>
      </c>
      <c r="E188" s="37" t="s">
        <v>457</v>
      </c>
      <c r="F188" s="38">
        <v>0.21</v>
      </c>
      <c r="G188" s="50" t="str">
        <f>IFERROR(VLOOKUP("EW IEM G4-TWIN-B",STOCK!B2:Q3692,3,FALSE),"SIN STOCK")</f>
        <v>SIN STOCK</v>
      </c>
      <c r="H188" s="28"/>
      <c r="I188" s="28"/>
      <c r="J188" s="28"/>
      <c r="K188" s="28"/>
      <c r="L188" s="28"/>
      <c r="M188" s="28"/>
      <c r="N188" s="28"/>
      <c r="O188" s="28"/>
      <c r="P188" s="28"/>
      <c r="Q188" s="28"/>
      <c r="R188" s="28"/>
      <c r="S188" s="28"/>
    </row>
    <row r="189" ht="15.75" customHeight="1">
      <c r="A189" s="58" t="s">
        <v>459</v>
      </c>
      <c r="B189" s="30"/>
      <c r="C189" s="30"/>
      <c r="D189" s="55"/>
      <c r="E189" s="32"/>
      <c r="F189" s="30"/>
      <c r="G189" s="30"/>
      <c r="H189" s="28"/>
      <c r="I189" s="28"/>
      <c r="J189" s="28"/>
      <c r="K189" s="28"/>
      <c r="L189" s="28"/>
      <c r="M189" s="28"/>
      <c r="N189" s="28"/>
      <c r="O189" s="28"/>
      <c r="P189" s="28"/>
      <c r="Q189" s="28"/>
      <c r="R189" s="28"/>
      <c r="S189" s="28"/>
    </row>
    <row r="190" ht="15.75" customHeight="1">
      <c r="A190" s="41" t="s">
        <v>31</v>
      </c>
      <c r="B190" s="42" t="s">
        <v>460</v>
      </c>
      <c r="C190" s="43" t="s">
        <v>461</v>
      </c>
      <c r="D190" s="44" t="s">
        <v>429</v>
      </c>
      <c r="E190" s="44" t="s">
        <v>430</v>
      </c>
      <c r="F190" s="45">
        <v>0.21</v>
      </c>
      <c r="G190" s="39" t="str">
        <f>IFERROR(VLOOKUP("EK IEM G4-A1",STOCK!B2:Q3692,3,FALSE),"SIN STOCK")</f>
        <v>SIN STOCK</v>
      </c>
      <c r="H190" s="28"/>
      <c r="I190" s="28"/>
      <c r="J190" s="28"/>
      <c r="K190" s="28"/>
      <c r="L190" s="28"/>
      <c r="M190" s="28"/>
      <c r="N190" s="28"/>
      <c r="O190" s="28"/>
      <c r="P190" s="28"/>
      <c r="Q190" s="28"/>
      <c r="R190" s="28"/>
      <c r="S190" s="28"/>
    </row>
    <row r="191" ht="15.75" customHeight="1">
      <c r="A191" s="47" t="s">
        <v>31</v>
      </c>
      <c r="B191" s="48" t="s">
        <v>462</v>
      </c>
      <c r="C191" s="49" t="s">
        <v>328</v>
      </c>
      <c r="D191" s="37" t="s">
        <v>429</v>
      </c>
      <c r="E191" s="37" t="s">
        <v>430</v>
      </c>
      <c r="F191" s="38">
        <v>0.21</v>
      </c>
      <c r="G191" s="39" t="str">
        <f>IFERROR(VLOOKUP("EK IEM G4-B",STOCK!B2:Q3692,3,FALSE),"SIN STOCK")</f>
        <v>SIN STOCK</v>
      </c>
      <c r="H191" s="28"/>
      <c r="I191" s="28"/>
      <c r="J191" s="28"/>
      <c r="K191" s="28"/>
      <c r="L191" s="28"/>
      <c r="M191" s="28"/>
      <c r="N191" s="28"/>
      <c r="O191" s="28"/>
      <c r="P191" s="28"/>
      <c r="Q191" s="28"/>
      <c r="R191" s="28"/>
      <c r="S191" s="28"/>
    </row>
    <row r="192" ht="15.75" customHeight="1">
      <c r="A192" s="41" t="s">
        <v>31</v>
      </c>
      <c r="B192" s="42" t="s">
        <v>463</v>
      </c>
      <c r="C192" s="43" t="s">
        <v>464</v>
      </c>
      <c r="D192" s="44" t="s">
        <v>227</v>
      </c>
      <c r="E192" s="44" t="s">
        <v>228</v>
      </c>
      <c r="F192" s="45">
        <v>0.21</v>
      </c>
      <c r="G192" s="50" t="str">
        <f>IFERROR(VLOOKUP("SR IEM G4-A1",STOCK!B2:Q3692,3,FALSE),"SIN STOCK")</f>
        <v>SIN STOCK</v>
      </c>
      <c r="H192" s="28"/>
      <c r="I192" s="28"/>
      <c r="J192" s="28"/>
      <c r="K192" s="28"/>
      <c r="L192" s="28"/>
      <c r="M192" s="28"/>
      <c r="N192" s="28"/>
      <c r="O192" s="28"/>
      <c r="P192" s="28"/>
      <c r="Q192" s="28"/>
      <c r="R192" s="28"/>
      <c r="S192" s="28"/>
    </row>
    <row r="193" ht="15.75" customHeight="1">
      <c r="A193" s="47" t="s">
        <v>31</v>
      </c>
      <c r="B193" s="48" t="s">
        <v>465</v>
      </c>
      <c r="C193" s="49" t="s">
        <v>328</v>
      </c>
      <c r="D193" s="37" t="s">
        <v>227</v>
      </c>
      <c r="E193" s="37" t="s">
        <v>228</v>
      </c>
      <c r="F193" s="38">
        <v>0.21</v>
      </c>
      <c r="G193" s="53" t="str">
        <f>IFERROR(VLOOKUP("SR IEM G4-B",STOCK!B2:Q3692,3,FALSE),"SIN STOCK")</f>
        <v>Menor a 5</v>
      </c>
      <c r="H193" s="28"/>
      <c r="I193" s="28"/>
      <c r="J193" s="28"/>
      <c r="K193" s="28"/>
      <c r="L193" s="28"/>
      <c r="M193" s="28"/>
      <c r="N193" s="28"/>
      <c r="O193" s="28"/>
      <c r="P193" s="28"/>
      <c r="Q193" s="28"/>
      <c r="R193" s="28"/>
      <c r="S193" s="28"/>
    </row>
    <row r="194" ht="15.75" customHeight="1">
      <c r="A194" s="58" t="s">
        <v>466</v>
      </c>
      <c r="B194" s="30"/>
      <c r="C194" s="30"/>
      <c r="D194" s="55"/>
      <c r="E194" s="32"/>
      <c r="F194" s="30"/>
      <c r="G194" s="30"/>
      <c r="H194" s="28"/>
      <c r="I194" s="28"/>
      <c r="J194" s="28"/>
      <c r="K194" s="28"/>
      <c r="L194" s="28"/>
      <c r="M194" s="28"/>
      <c r="N194" s="28"/>
      <c r="O194" s="28"/>
      <c r="P194" s="28"/>
      <c r="Q194" s="28"/>
      <c r="R194" s="28"/>
      <c r="S194" s="28"/>
    </row>
    <row r="195" ht="15.75" customHeight="1">
      <c r="A195" s="41" t="s">
        <v>31</v>
      </c>
      <c r="B195" s="42" t="s">
        <v>467</v>
      </c>
      <c r="C195" s="43" t="s">
        <v>468</v>
      </c>
      <c r="D195" s="44" t="s">
        <v>469</v>
      </c>
      <c r="E195" s="44" t="s">
        <v>470</v>
      </c>
      <c r="F195" s="45">
        <v>0.21</v>
      </c>
      <c r="G195" s="50" t="str">
        <f>IFERROR(VLOOKUP("A 1031-U",STOCK!B2:Q3692,3,FALSE),"SIN STOCK")</f>
        <v>Mayor a 5</v>
      </c>
      <c r="H195" s="28"/>
      <c r="I195" s="28"/>
      <c r="J195" s="28"/>
      <c r="K195" s="28"/>
      <c r="L195" s="28"/>
      <c r="M195" s="28"/>
      <c r="N195" s="28"/>
      <c r="O195" s="28"/>
      <c r="P195" s="28"/>
      <c r="Q195" s="28"/>
      <c r="R195" s="28"/>
      <c r="S195" s="28"/>
    </row>
    <row r="196" ht="15.75" customHeight="1">
      <c r="A196" s="47" t="s">
        <v>31</v>
      </c>
      <c r="B196" s="48" t="s">
        <v>471</v>
      </c>
      <c r="C196" s="49" t="s">
        <v>472</v>
      </c>
      <c r="D196" s="37" t="s">
        <v>162</v>
      </c>
      <c r="E196" s="37" t="s">
        <v>163</v>
      </c>
      <c r="F196" s="38">
        <v>0.21</v>
      </c>
      <c r="G196" s="39" t="str">
        <f>IFERROR(VLOOKUP("ADP UHF (470 - 1075 MHZ)",STOCK!B2:Q3692,3,FALSE),"SIN STOCK")</f>
        <v>Mayor a 5</v>
      </c>
      <c r="H196" s="28"/>
      <c r="I196" s="28"/>
      <c r="J196" s="28"/>
      <c r="K196" s="28"/>
      <c r="L196" s="28"/>
      <c r="M196" s="28"/>
      <c r="N196" s="28"/>
      <c r="O196" s="28"/>
      <c r="P196" s="28"/>
      <c r="Q196" s="28"/>
      <c r="R196" s="28"/>
      <c r="S196" s="28"/>
    </row>
    <row r="197" ht="15.75" customHeight="1">
      <c r="A197" s="41" t="s">
        <v>31</v>
      </c>
      <c r="B197" s="42" t="s">
        <v>473</v>
      </c>
      <c r="C197" s="43" t="s">
        <v>474</v>
      </c>
      <c r="D197" s="44" t="s">
        <v>475</v>
      </c>
      <c r="E197" s="44" t="s">
        <v>476</v>
      </c>
      <c r="F197" s="45">
        <v>0.21</v>
      </c>
      <c r="G197" s="39" t="str">
        <f>IFERROR(VLOOKUP("A 3700",STOCK!B2:Q3692,3,FALSE),"SIN STOCK")</f>
        <v>Mayor a 5</v>
      </c>
      <c r="H197" s="28"/>
      <c r="I197" s="28"/>
      <c r="J197" s="28"/>
      <c r="K197" s="28"/>
      <c r="L197" s="28"/>
      <c r="M197" s="28"/>
      <c r="N197" s="28"/>
      <c r="O197" s="28"/>
      <c r="P197" s="28"/>
      <c r="Q197" s="28"/>
      <c r="R197" s="28"/>
      <c r="S197" s="28"/>
    </row>
    <row r="198" ht="15.75" customHeight="1">
      <c r="A198" s="47" t="s">
        <v>31</v>
      </c>
      <c r="B198" s="48" t="s">
        <v>477</v>
      </c>
      <c r="C198" s="49" t="s">
        <v>478</v>
      </c>
      <c r="D198" s="37" t="s">
        <v>223</v>
      </c>
      <c r="E198" s="37" t="s">
        <v>224</v>
      </c>
      <c r="F198" s="38">
        <v>0.21</v>
      </c>
      <c r="G198" s="39" t="str">
        <f>IFERROR(VLOOKUP("AD 3700",STOCK!B2:Q3692,3,FALSE),"SIN STOCK")</f>
        <v>Mayor a 5</v>
      </c>
      <c r="H198" s="28"/>
      <c r="I198" s="28"/>
      <c r="J198" s="28"/>
      <c r="K198" s="28"/>
      <c r="L198" s="28"/>
      <c r="M198" s="28"/>
      <c r="N198" s="28"/>
      <c r="O198" s="28"/>
      <c r="P198" s="28"/>
      <c r="Q198" s="28"/>
      <c r="R198" s="28"/>
      <c r="S198" s="28"/>
    </row>
    <row r="199" ht="15.75" customHeight="1">
      <c r="A199" s="41" t="s">
        <v>31</v>
      </c>
      <c r="B199" s="42" t="s">
        <v>479</v>
      </c>
      <c r="C199" s="43" t="s">
        <v>480</v>
      </c>
      <c r="D199" s="44" t="s">
        <v>223</v>
      </c>
      <c r="E199" s="44" t="s">
        <v>224</v>
      </c>
      <c r="F199" s="45">
        <v>0.21</v>
      </c>
      <c r="G199" s="53" t="str">
        <f>IFERROR(VLOOKUP("A 5000 CP",STOCK!B2:Q3692,3,FALSE),"SIN STOCK")</f>
        <v>Menor a 5</v>
      </c>
      <c r="H199" s="28"/>
      <c r="I199" s="28"/>
      <c r="J199" s="28"/>
      <c r="K199" s="28"/>
      <c r="L199" s="28"/>
      <c r="M199" s="28"/>
      <c r="N199" s="28"/>
      <c r="O199" s="28"/>
      <c r="P199" s="28"/>
      <c r="Q199" s="28"/>
      <c r="R199" s="28"/>
      <c r="S199" s="28"/>
    </row>
    <row r="200" ht="15.75" customHeight="1">
      <c r="A200" s="47" t="s">
        <v>31</v>
      </c>
      <c r="B200" s="48" t="s">
        <v>481</v>
      </c>
      <c r="C200" s="49" t="s">
        <v>482</v>
      </c>
      <c r="D200" s="37" t="s">
        <v>483</v>
      </c>
      <c r="E200" s="37" t="s">
        <v>484</v>
      </c>
      <c r="F200" s="38">
        <v>0.21</v>
      </c>
      <c r="G200" s="39" t="str">
        <f>IFERROR(VLOOKUP("EW-D AB (Q)",STOCK!B2:Q3692,3,FALSE),"SIN STOCK")</f>
        <v>Mayor a 5</v>
      </c>
      <c r="H200" s="28"/>
      <c r="I200" s="28"/>
      <c r="J200" s="28"/>
      <c r="K200" s="28"/>
      <c r="L200" s="28"/>
      <c r="M200" s="28"/>
      <c r="N200" s="28"/>
      <c r="O200" s="28"/>
      <c r="P200" s="28"/>
      <c r="Q200" s="28"/>
      <c r="R200" s="28"/>
      <c r="S200" s="28"/>
    </row>
    <row r="201" ht="15.75" customHeight="1">
      <c r="A201" s="41" t="s">
        <v>31</v>
      </c>
      <c r="B201" s="42" t="s">
        <v>485</v>
      </c>
      <c r="C201" s="43" t="s">
        <v>486</v>
      </c>
      <c r="D201" s="44" t="s">
        <v>483</v>
      </c>
      <c r="E201" s="44" t="s">
        <v>484</v>
      </c>
      <c r="F201" s="45">
        <v>0.21</v>
      </c>
      <c r="G201" s="39" t="str">
        <f>IFERROR(VLOOKUP("AB 4-AW+",STOCK!B2:Q3692,3,FALSE),"SIN STOCK")</f>
        <v>SIN STOCK</v>
      </c>
      <c r="H201" s="28"/>
      <c r="I201" s="28"/>
      <c r="J201" s="28"/>
      <c r="K201" s="28"/>
      <c r="L201" s="28"/>
      <c r="M201" s="28"/>
      <c r="N201" s="28"/>
      <c r="O201" s="28"/>
      <c r="P201" s="28"/>
      <c r="Q201" s="28"/>
      <c r="R201" s="28"/>
      <c r="S201" s="28"/>
    </row>
    <row r="202" ht="15.75" customHeight="1">
      <c r="A202" s="47" t="s">
        <v>31</v>
      </c>
      <c r="B202" s="48" t="s">
        <v>487</v>
      </c>
      <c r="C202" s="49" t="s">
        <v>328</v>
      </c>
      <c r="D202" s="37" t="s">
        <v>483</v>
      </c>
      <c r="E202" s="37" t="s">
        <v>484</v>
      </c>
      <c r="F202" s="38">
        <v>0.21</v>
      </c>
      <c r="G202" s="53" t="str">
        <f>IFERROR(VLOOKUP("AB 4-BW",STOCK!B2:Q3692,3,FALSE),"SIN STOCK")</f>
        <v>Menor a 5</v>
      </c>
      <c r="H202" s="28"/>
      <c r="I202" s="28"/>
      <c r="J202" s="28"/>
      <c r="K202" s="28"/>
      <c r="L202" s="28"/>
      <c r="M202" s="28"/>
      <c r="N202" s="28"/>
      <c r="O202" s="28"/>
      <c r="P202" s="28"/>
      <c r="Q202" s="28"/>
      <c r="R202" s="28"/>
      <c r="S202" s="28"/>
    </row>
    <row r="203" ht="15.75" customHeight="1">
      <c r="A203" s="41" t="s">
        <v>31</v>
      </c>
      <c r="B203" s="42" t="s">
        <v>488</v>
      </c>
      <c r="C203" s="43" t="s">
        <v>489</v>
      </c>
      <c r="D203" s="44" t="s">
        <v>448</v>
      </c>
      <c r="E203" s="44" t="s">
        <v>449</v>
      </c>
      <c r="F203" s="45">
        <v>0.21</v>
      </c>
      <c r="G203" s="53" t="str">
        <f>IFERROR(VLOOKUP("AB 3700",STOCK!B2:Q3692,3,FALSE),"SIN STOCK")</f>
        <v>SIN STOCK</v>
      </c>
      <c r="H203" s="28"/>
      <c r="I203" s="28"/>
      <c r="J203" s="28"/>
      <c r="K203" s="28"/>
      <c r="L203" s="28"/>
      <c r="M203" s="28"/>
      <c r="N203" s="28"/>
      <c r="O203" s="28"/>
      <c r="P203" s="28"/>
      <c r="Q203" s="28"/>
      <c r="R203" s="28"/>
      <c r="S203" s="28"/>
    </row>
    <row r="204" ht="15.75" customHeight="1">
      <c r="A204" s="47" t="s">
        <v>31</v>
      </c>
      <c r="B204" s="48" t="s">
        <v>490</v>
      </c>
      <c r="C204" s="49" t="s">
        <v>491</v>
      </c>
      <c r="D204" s="37" t="s">
        <v>492</v>
      </c>
      <c r="E204" s="37" t="s">
        <v>493</v>
      </c>
      <c r="F204" s="38">
        <v>0.21</v>
      </c>
      <c r="G204" s="50" t="str">
        <f>IFERROR(VLOOKUP("AC 3200-II",STOCK!B2:Q3692,3,FALSE),"SIN STOCK")</f>
        <v>Menor a 5</v>
      </c>
      <c r="H204" s="28"/>
      <c r="I204" s="28"/>
      <c r="J204" s="28"/>
      <c r="K204" s="28"/>
      <c r="L204" s="28"/>
      <c r="M204" s="28"/>
      <c r="N204" s="28"/>
      <c r="O204" s="28"/>
      <c r="P204" s="28"/>
      <c r="Q204" s="28"/>
      <c r="R204" s="28"/>
      <c r="S204" s="28"/>
    </row>
    <row r="205" ht="15.75" customHeight="1">
      <c r="A205" s="41" t="s">
        <v>31</v>
      </c>
      <c r="B205" s="42" t="s">
        <v>494</v>
      </c>
      <c r="C205" s="43" t="s">
        <v>495</v>
      </c>
      <c r="D205" s="44" t="s">
        <v>492</v>
      </c>
      <c r="E205" s="44" t="s">
        <v>493</v>
      </c>
      <c r="F205" s="45">
        <v>0.21</v>
      </c>
      <c r="G205" s="50" t="str">
        <f>IFERROR(VLOOKUP("ACA 3",STOCK!B2:Q3692,3,FALSE),"SIN STOCK")</f>
        <v>Menor a 5</v>
      </c>
      <c r="H205" s="28"/>
      <c r="I205" s="28"/>
      <c r="J205" s="28"/>
      <c r="K205" s="28"/>
      <c r="L205" s="28"/>
      <c r="M205" s="28"/>
      <c r="N205" s="28"/>
      <c r="O205" s="28"/>
      <c r="P205" s="28"/>
      <c r="Q205" s="28"/>
      <c r="R205" s="28"/>
      <c r="S205" s="28"/>
    </row>
    <row r="206" ht="15.75" customHeight="1">
      <c r="A206" s="47" t="s">
        <v>31</v>
      </c>
      <c r="B206" s="48" t="s">
        <v>496</v>
      </c>
      <c r="C206" s="49" t="s">
        <v>497</v>
      </c>
      <c r="D206" s="37" t="s">
        <v>234</v>
      </c>
      <c r="E206" s="37" t="s">
        <v>235</v>
      </c>
      <c r="F206" s="38">
        <v>0.21</v>
      </c>
      <c r="G206" s="53" t="str">
        <f>IFERROR(VLOOKUP("ASP 113",STOCK!B2:Q3692,3,FALSE),"SIN STOCK")</f>
        <v>Menor a 5</v>
      </c>
      <c r="H206" s="28"/>
      <c r="I206" s="28"/>
      <c r="J206" s="28"/>
      <c r="K206" s="28"/>
      <c r="L206" s="28"/>
      <c r="M206" s="28"/>
      <c r="N206" s="28"/>
      <c r="O206" s="28"/>
      <c r="P206" s="28"/>
      <c r="Q206" s="28"/>
      <c r="R206" s="28"/>
      <c r="S206" s="28"/>
    </row>
    <row r="207" ht="15.75" customHeight="1">
      <c r="A207" s="41" t="s">
        <v>31</v>
      </c>
      <c r="B207" s="42" t="s">
        <v>498</v>
      </c>
      <c r="C207" s="43" t="s">
        <v>499</v>
      </c>
      <c r="D207" s="44" t="s">
        <v>234</v>
      </c>
      <c r="E207" s="44" t="s">
        <v>235</v>
      </c>
      <c r="F207" s="45">
        <v>0.21</v>
      </c>
      <c r="G207" s="39" t="str">
        <f>IFERROR(VLOOKUP("ASP 114",STOCK!B2:Q3692,3,FALSE),"SIN STOCK")</f>
        <v>Mayor a 5</v>
      </c>
      <c r="H207" s="28"/>
      <c r="I207" s="28"/>
      <c r="J207" s="28"/>
      <c r="K207" s="28"/>
      <c r="L207" s="28"/>
      <c r="M207" s="28"/>
      <c r="N207" s="28"/>
      <c r="O207" s="28"/>
      <c r="P207" s="28"/>
      <c r="Q207" s="28"/>
      <c r="R207" s="28"/>
      <c r="S207" s="28"/>
    </row>
    <row r="208" ht="15.75" customHeight="1">
      <c r="A208" s="47" t="s">
        <v>31</v>
      </c>
      <c r="B208" s="48" t="s">
        <v>500</v>
      </c>
      <c r="C208" s="49" t="s">
        <v>501</v>
      </c>
      <c r="D208" s="37" t="s">
        <v>234</v>
      </c>
      <c r="E208" s="37" t="s">
        <v>235</v>
      </c>
      <c r="F208" s="38">
        <v>0.21</v>
      </c>
      <c r="G208" s="39" t="str">
        <f>IFERROR(VLOOKUP("ASP 212",STOCK!B2:Q3692,3,FALSE),"SIN STOCK")</f>
        <v>Menor a 5</v>
      </c>
      <c r="H208" s="28"/>
      <c r="I208" s="28"/>
      <c r="J208" s="28"/>
      <c r="K208" s="28"/>
      <c r="L208" s="28"/>
      <c r="M208" s="28"/>
      <c r="N208" s="28"/>
      <c r="O208" s="28"/>
      <c r="P208" s="28"/>
      <c r="Q208" s="28"/>
      <c r="R208" s="28"/>
      <c r="S208" s="28"/>
    </row>
    <row r="209" ht="15.75" customHeight="1">
      <c r="A209" s="41" t="s">
        <v>31</v>
      </c>
      <c r="B209" s="42" t="s">
        <v>502</v>
      </c>
      <c r="C209" s="43" t="s">
        <v>503</v>
      </c>
      <c r="D209" s="44" t="s">
        <v>358</v>
      </c>
      <c r="E209" s="44" t="s">
        <v>359</v>
      </c>
      <c r="F209" s="45">
        <v>0.21</v>
      </c>
      <c r="G209" s="39" t="str">
        <f>IFERROR(VLOOKUP("AC 41-US",STOCK!B2:Q3692,3,FALSE),"SIN STOCK")</f>
        <v>Mayor a 5</v>
      </c>
      <c r="H209" s="28"/>
      <c r="I209" s="28"/>
      <c r="J209" s="28"/>
      <c r="K209" s="28"/>
      <c r="L209" s="28"/>
      <c r="M209" s="28"/>
      <c r="N209" s="28"/>
      <c r="O209" s="28"/>
      <c r="P209" s="28"/>
      <c r="Q209" s="28"/>
      <c r="R209" s="28"/>
      <c r="S209" s="28"/>
    </row>
    <row r="210" ht="15.75" customHeight="1">
      <c r="A210" s="47" t="s">
        <v>31</v>
      </c>
      <c r="B210" s="48" t="s">
        <v>504</v>
      </c>
      <c r="C210" s="49"/>
      <c r="D210" s="37" t="s">
        <v>505</v>
      </c>
      <c r="E210" s="37" t="s">
        <v>506</v>
      </c>
      <c r="F210" s="38">
        <v>0.21</v>
      </c>
      <c r="G210" s="50" t="str">
        <f>IFERROR(VLOOKUP("ASA 3000-US",STOCK!B2:Q3692,3,FALSE),"SIN STOCK")</f>
        <v>SIN STOCK</v>
      </c>
      <c r="H210" s="28"/>
      <c r="I210" s="28"/>
      <c r="J210" s="28"/>
      <c r="K210" s="28"/>
      <c r="L210" s="28"/>
      <c r="M210" s="28"/>
      <c r="N210" s="28"/>
      <c r="O210" s="28"/>
      <c r="P210" s="28"/>
      <c r="Q210" s="28"/>
      <c r="R210" s="28"/>
      <c r="S210" s="28"/>
    </row>
    <row r="211" ht="15.75" customHeight="1">
      <c r="A211" s="41" t="s">
        <v>31</v>
      </c>
      <c r="B211" s="59" t="s">
        <v>507</v>
      </c>
      <c r="C211" s="43" t="s">
        <v>508</v>
      </c>
      <c r="D211" s="44" t="s">
        <v>509</v>
      </c>
      <c r="E211" s="44" t="s">
        <v>510</v>
      </c>
      <c r="F211" s="45">
        <v>0.21</v>
      </c>
      <c r="G211" s="39" t="str">
        <f>IFERROR(VLOOKUP("EW-D ASA (Q-R-S)",STOCK!B2:Q3692,3,FALSE),"SIN STOCK")</f>
        <v>Mayor a 5</v>
      </c>
      <c r="H211" s="28"/>
      <c r="I211" s="28"/>
      <c r="J211" s="28"/>
      <c r="K211" s="28"/>
      <c r="L211" s="28"/>
      <c r="M211" s="28"/>
      <c r="N211" s="28"/>
      <c r="O211" s="28"/>
      <c r="P211" s="28"/>
      <c r="Q211" s="28"/>
      <c r="R211" s="28"/>
      <c r="S211" s="28"/>
    </row>
    <row r="212" ht="15.75" customHeight="1">
      <c r="A212" s="47" t="s">
        <v>31</v>
      </c>
      <c r="B212" s="48" t="s">
        <v>511</v>
      </c>
      <c r="C212" s="49" t="s">
        <v>512</v>
      </c>
      <c r="D212" s="37" t="s">
        <v>89</v>
      </c>
      <c r="E212" s="37" t="s">
        <v>90</v>
      </c>
      <c r="F212" s="38">
        <v>0.21</v>
      </c>
      <c r="G212" s="39" t="str">
        <f>IFERROR(VLOOKUP("AM 2",STOCK!B2:Q3692,3,FALSE),"SIN STOCK")</f>
        <v>Mayor a 5</v>
      </c>
      <c r="H212" s="28"/>
      <c r="I212" s="28"/>
      <c r="J212" s="28"/>
      <c r="K212" s="28"/>
      <c r="L212" s="28"/>
      <c r="M212" s="28"/>
      <c r="N212" s="28"/>
      <c r="O212" s="28"/>
      <c r="P212" s="28"/>
      <c r="Q212" s="28"/>
      <c r="R212" s="28"/>
      <c r="S212" s="28"/>
    </row>
    <row r="213" ht="15.75" customHeight="1">
      <c r="A213" s="41" t="s">
        <v>31</v>
      </c>
      <c r="B213" s="42" t="s">
        <v>513</v>
      </c>
      <c r="C213" s="43" t="s">
        <v>514</v>
      </c>
      <c r="D213" s="44" t="s">
        <v>515</v>
      </c>
      <c r="E213" s="44" t="s">
        <v>516</v>
      </c>
      <c r="F213" s="45">
        <v>0.21</v>
      </c>
      <c r="G213" s="65" t="s">
        <v>517</v>
      </c>
      <c r="H213" s="28"/>
      <c r="I213" s="28"/>
      <c r="J213" s="28"/>
      <c r="K213" s="28"/>
      <c r="L213" s="28"/>
      <c r="M213" s="28"/>
      <c r="N213" s="28"/>
      <c r="O213" s="28"/>
      <c r="P213" s="28"/>
      <c r="Q213" s="28"/>
      <c r="R213" s="28"/>
      <c r="S213" s="28"/>
    </row>
    <row r="214" ht="15.75" customHeight="1">
      <c r="A214" s="47" t="s">
        <v>31</v>
      </c>
      <c r="B214" s="48" t="s">
        <v>518</v>
      </c>
      <c r="C214" s="49" t="s">
        <v>519</v>
      </c>
      <c r="D214" s="37" t="s">
        <v>520</v>
      </c>
      <c r="E214" s="37" t="s">
        <v>521</v>
      </c>
      <c r="F214" s="38">
        <v>0.21</v>
      </c>
      <c r="G214" s="39" t="str">
        <f>IFERROR(VLOOKUP("BB1",STOCK!B2:Q3692,3,FALSE),"SIN STOCK")</f>
        <v>Mayor a 5</v>
      </c>
      <c r="H214" s="28"/>
      <c r="I214" s="28"/>
      <c r="J214" s="28"/>
      <c r="K214" s="28"/>
      <c r="L214" s="28"/>
      <c r="M214" s="28"/>
      <c r="N214" s="28"/>
      <c r="O214" s="28"/>
      <c r="P214" s="28"/>
      <c r="Q214" s="28"/>
      <c r="R214" s="28"/>
      <c r="S214" s="28"/>
    </row>
    <row r="215" ht="15.75" customHeight="1">
      <c r="A215" s="41" t="s">
        <v>31</v>
      </c>
      <c r="B215" s="57" t="s">
        <v>522</v>
      </c>
      <c r="C215" s="43" t="s">
        <v>523</v>
      </c>
      <c r="D215" s="44" t="s">
        <v>524</v>
      </c>
      <c r="E215" s="44" t="s">
        <v>525</v>
      </c>
      <c r="F215" s="45">
        <v>0.21</v>
      </c>
      <c r="G215" s="39" t="str">
        <f>IFERROR(VLOOKUP("BB100",STOCK!B2:Q3692,3,FALSE),"SIN STOCK")</f>
        <v>Mayor a 5</v>
      </c>
      <c r="H215" s="28"/>
      <c r="I215" s="28"/>
      <c r="J215" s="28"/>
      <c r="K215" s="28"/>
      <c r="L215" s="28"/>
      <c r="M215" s="28"/>
      <c r="N215" s="28"/>
      <c r="O215" s="28"/>
      <c r="P215" s="28"/>
      <c r="Q215" s="28"/>
      <c r="R215" s="28"/>
      <c r="S215" s="28"/>
    </row>
    <row r="216" ht="15.75" customHeight="1">
      <c r="A216" s="47" t="s">
        <v>31</v>
      </c>
      <c r="B216" s="48" t="s">
        <v>526</v>
      </c>
      <c r="C216" s="49" t="s">
        <v>527</v>
      </c>
      <c r="D216" s="37" t="s">
        <v>528</v>
      </c>
      <c r="E216" s="37" t="s">
        <v>529</v>
      </c>
      <c r="F216" s="38">
        <v>0.21</v>
      </c>
      <c r="G216" s="39" t="str">
        <f>IFERROR(VLOOKUP("BB25",STOCK!B2:Q3692,3,FALSE),"SIN STOCK")</f>
        <v>Mayor a 5</v>
      </c>
      <c r="H216" s="28"/>
      <c r="I216" s="28"/>
      <c r="J216" s="28"/>
      <c r="K216" s="28"/>
      <c r="L216" s="28"/>
      <c r="M216" s="28"/>
      <c r="N216" s="28"/>
      <c r="O216" s="28"/>
      <c r="P216" s="28"/>
      <c r="Q216" s="28"/>
      <c r="R216" s="28"/>
      <c r="S216" s="28"/>
    </row>
    <row r="217" ht="15.75" customHeight="1">
      <c r="A217" s="41" t="s">
        <v>31</v>
      </c>
      <c r="B217" s="42" t="s">
        <v>530</v>
      </c>
      <c r="C217" s="43" t="s">
        <v>531</v>
      </c>
      <c r="D217" s="44" t="s">
        <v>532</v>
      </c>
      <c r="E217" s="44" t="s">
        <v>533</v>
      </c>
      <c r="F217" s="45">
        <v>0.21</v>
      </c>
      <c r="G217" s="50" t="str">
        <f>IFERROR(VLOOKUP("BB25KIT",STOCK!B2:Q3692,3,FALSE),"SIN STOCK")</f>
        <v>SIN STOCK</v>
      </c>
      <c r="H217" s="28"/>
      <c r="I217" s="28"/>
      <c r="J217" s="28"/>
      <c r="K217" s="28"/>
      <c r="L217" s="28"/>
      <c r="M217" s="28"/>
      <c r="N217" s="28"/>
      <c r="O217" s="28"/>
      <c r="P217" s="28"/>
      <c r="Q217" s="28"/>
      <c r="R217" s="28"/>
      <c r="S217" s="28"/>
    </row>
    <row r="218" ht="15.75" customHeight="1">
      <c r="A218" s="47" t="s">
        <v>31</v>
      </c>
      <c r="B218" s="48" t="s">
        <v>534</v>
      </c>
      <c r="C218" s="49" t="s">
        <v>535</v>
      </c>
      <c r="D218" s="37" t="s">
        <v>536</v>
      </c>
      <c r="E218" s="37" t="s">
        <v>537</v>
      </c>
      <c r="F218" s="38">
        <v>0.21</v>
      </c>
      <c r="G218" s="39" t="str">
        <f>IFERROR(VLOOKUP("BB3",STOCK!B2:Q3692,3,FALSE),"SIN STOCK")</f>
        <v>Mayor a 5</v>
      </c>
      <c r="H218" s="28"/>
      <c r="I218" s="28"/>
      <c r="J218" s="28"/>
      <c r="K218" s="28"/>
      <c r="L218" s="28"/>
      <c r="M218" s="28"/>
      <c r="N218" s="28"/>
      <c r="O218" s="28"/>
      <c r="P218" s="28"/>
      <c r="Q218" s="28"/>
      <c r="R218" s="28"/>
      <c r="S218" s="28"/>
    </row>
    <row r="219" ht="15.75" customHeight="1">
      <c r="A219" s="41" t="s">
        <v>31</v>
      </c>
      <c r="B219" s="41" t="s">
        <v>538</v>
      </c>
      <c r="C219" s="43" t="s">
        <v>539</v>
      </c>
      <c r="D219" s="44" t="s">
        <v>540</v>
      </c>
      <c r="E219" s="44" t="s">
        <v>541</v>
      </c>
      <c r="F219" s="45">
        <v>0.21</v>
      </c>
      <c r="G219" s="50" t="str">
        <f>IFERROR(VLOOKUP("BB3 KIT",STOCK!B2:Q3692,3,FALSE),"SIN STOCK")</f>
        <v>SIN STOCK</v>
      </c>
      <c r="H219" s="28"/>
      <c r="I219" s="28"/>
      <c r="J219" s="28"/>
      <c r="K219" s="28"/>
      <c r="L219" s="28"/>
      <c r="M219" s="28"/>
      <c r="N219" s="28"/>
      <c r="O219" s="28"/>
      <c r="P219" s="28"/>
      <c r="Q219" s="28"/>
      <c r="R219" s="28"/>
      <c r="S219" s="28"/>
    </row>
    <row r="220" ht="15.75" customHeight="1">
      <c r="A220" s="47" t="s">
        <v>31</v>
      </c>
      <c r="B220" s="47" t="s">
        <v>542</v>
      </c>
      <c r="C220" s="49" t="s">
        <v>543</v>
      </c>
      <c r="D220" s="37" t="s">
        <v>544</v>
      </c>
      <c r="E220" s="37" t="s">
        <v>545</v>
      </c>
      <c r="F220" s="38">
        <v>0.21</v>
      </c>
      <c r="G220" s="39" t="str">
        <f>IFERROR(VLOOKUP("BB6",STOCK!B2:Q3692,3,FALSE),"SIN STOCK")</f>
        <v>Mayor a 5</v>
      </c>
      <c r="H220" s="28"/>
      <c r="I220" s="28"/>
      <c r="J220" s="28"/>
      <c r="K220" s="28"/>
      <c r="L220" s="28"/>
      <c r="M220" s="28"/>
      <c r="N220" s="28"/>
      <c r="O220" s="28"/>
      <c r="P220" s="28"/>
      <c r="Q220" s="28"/>
      <c r="R220" s="28"/>
      <c r="S220" s="28"/>
    </row>
    <row r="221" ht="15.75" customHeight="1">
      <c r="A221" s="41" t="s">
        <v>31</v>
      </c>
      <c r="B221" s="41" t="s">
        <v>546</v>
      </c>
      <c r="C221" s="43" t="s">
        <v>547</v>
      </c>
      <c r="D221" s="44" t="s">
        <v>548</v>
      </c>
      <c r="E221" s="44" t="s">
        <v>549</v>
      </c>
      <c r="F221" s="45">
        <v>0.21</v>
      </c>
      <c r="G221" s="50" t="str">
        <f>IFERROR(VLOOKUP("BFBF",STOCK!B2:Q3692,3,FALSE),"SIN STOCK")</f>
        <v>SIN STOCK</v>
      </c>
      <c r="H221" s="28"/>
      <c r="I221" s="28"/>
      <c r="J221" s="28"/>
      <c r="K221" s="28"/>
      <c r="L221" s="28"/>
      <c r="M221" s="28"/>
      <c r="N221" s="28"/>
      <c r="O221" s="28"/>
      <c r="P221" s="28"/>
      <c r="Q221" s="28"/>
      <c r="R221" s="28"/>
      <c r="S221" s="28"/>
    </row>
    <row r="222" ht="15.75" customHeight="1">
      <c r="A222" s="47" t="s">
        <v>31</v>
      </c>
      <c r="B222" s="48" t="s">
        <v>550</v>
      </c>
      <c r="C222" s="49" t="s">
        <v>551</v>
      </c>
      <c r="D222" s="37" t="s">
        <v>295</v>
      </c>
      <c r="E222" s="37" t="s">
        <v>296</v>
      </c>
      <c r="F222" s="38">
        <v>0.21</v>
      </c>
      <c r="G222" s="50" t="str">
        <f>IFERROR(VLOOKUP("GZL RG 58 - 0.25M",STOCK!B2:Q3692,3,FALSE),"SIN STOCK")</f>
        <v>SIN STOCK</v>
      </c>
      <c r="H222" s="28"/>
      <c r="I222" s="28"/>
      <c r="J222" s="28"/>
      <c r="K222" s="28"/>
      <c r="L222" s="28"/>
      <c r="M222" s="28"/>
      <c r="N222" s="28"/>
      <c r="O222" s="28"/>
      <c r="P222" s="28"/>
      <c r="Q222" s="28"/>
      <c r="R222" s="28"/>
      <c r="S222" s="28"/>
    </row>
    <row r="223" ht="15.75" customHeight="1">
      <c r="A223" s="41" t="s">
        <v>31</v>
      </c>
      <c r="B223" s="42" t="s">
        <v>552</v>
      </c>
      <c r="C223" s="43" t="s">
        <v>553</v>
      </c>
      <c r="D223" s="44" t="s">
        <v>554</v>
      </c>
      <c r="E223" s="44" t="s">
        <v>555</v>
      </c>
      <c r="F223" s="45">
        <v>0.21</v>
      </c>
      <c r="G223" s="50" t="str">
        <f>IFERROR(VLOOKUP("GZL RG 58 - 0.5M",STOCK!B2:Q3692,3,FALSE),"SIN STOCK")</f>
        <v>SIN STOCK</v>
      </c>
      <c r="H223" s="28"/>
      <c r="I223" s="28"/>
      <c r="J223" s="28"/>
      <c r="K223" s="28"/>
      <c r="L223" s="28"/>
      <c r="M223" s="28"/>
      <c r="N223" s="28"/>
      <c r="O223" s="28"/>
      <c r="P223" s="28"/>
      <c r="Q223" s="28"/>
      <c r="R223" s="28"/>
      <c r="S223" s="28"/>
    </row>
    <row r="224" ht="15.75" customHeight="1">
      <c r="A224" s="47" t="s">
        <v>31</v>
      </c>
      <c r="B224" s="48" t="s">
        <v>556</v>
      </c>
      <c r="C224" s="49" t="s">
        <v>557</v>
      </c>
      <c r="D224" s="37" t="s">
        <v>89</v>
      </c>
      <c r="E224" s="37" t="s">
        <v>90</v>
      </c>
      <c r="F224" s="38">
        <v>0.21</v>
      </c>
      <c r="G224" s="50" t="str">
        <f>IFERROR(VLOOKUP("GZL RG 58 - 10M",STOCK!B2:Q3692,3,FALSE),"SIN STOCK")</f>
        <v>Menor a 5</v>
      </c>
      <c r="H224" s="28"/>
      <c r="I224" s="28"/>
      <c r="J224" s="28"/>
      <c r="K224" s="28"/>
      <c r="L224" s="28"/>
      <c r="M224" s="28"/>
      <c r="N224" s="28"/>
      <c r="O224" s="28"/>
      <c r="P224" s="28"/>
      <c r="Q224" s="28"/>
      <c r="R224" s="28"/>
      <c r="S224" s="28"/>
    </row>
    <row r="225" ht="15.75" customHeight="1">
      <c r="A225" s="41" t="s">
        <v>31</v>
      </c>
      <c r="B225" s="42" t="s">
        <v>558</v>
      </c>
      <c r="C225" s="43" t="s">
        <v>559</v>
      </c>
      <c r="D225" s="44" t="s">
        <v>515</v>
      </c>
      <c r="E225" s="44" t="s">
        <v>516</v>
      </c>
      <c r="F225" s="45">
        <v>0.21</v>
      </c>
      <c r="G225" s="50" t="str">
        <f>IFERROR(VLOOKUP("GZL RG 58 - 1M",STOCK!B2:Q3692,3,FALSE),"SIN STOCK")</f>
        <v>SIN STOCK</v>
      </c>
      <c r="H225" s="28"/>
      <c r="I225" s="28"/>
      <c r="J225" s="28"/>
      <c r="K225" s="28"/>
      <c r="L225" s="28"/>
      <c r="M225" s="28"/>
      <c r="N225" s="28"/>
      <c r="O225" s="28"/>
      <c r="P225" s="28"/>
      <c r="Q225" s="28"/>
      <c r="R225" s="28"/>
      <c r="S225" s="28"/>
    </row>
    <row r="226" ht="15.75" customHeight="1">
      <c r="A226" s="47" t="s">
        <v>31</v>
      </c>
      <c r="B226" s="48" t="s">
        <v>560</v>
      </c>
      <c r="C226" s="49" t="s">
        <v>561</v>
      </c>
      <c r="D226" s="37" t="s">
        <v>176</v>
      </c>
      <c r="E226" s="37" t="s">
        <v>177</v>
      </c>
      <c r="F226" s="38">
        <v>0.21</v>
      </c>
      <c r="G226" s="50" t="str">
        <f>IFERROR(VLOOKUP("GZL RG 58 - 5M",STOCK!B2:Q3692,3,FALSE),"SIN STOCK")</f>
        <v>Mayor a 5</v>
      </c>
      <c r="H226" s="28"/>
      <c r="I226" s="28"/>
      <c r="J226" s="28"/>
      <c r="K226" s="28"/>
      <c r="L226" s="28"/>
      <c r="M226" s="28"/>
      <c r="N226" s="28"/>
      <c r="O226" s="28"/>
      <c r="P226" s="28"/>
      <c r="Q226" s="28"/>
      <c r="R226" s="28"/>
      <c r="S226" s="28"/>
    </row>
    <row r="227" ht="15.75" customHeight="1">
      <c r="A227" s="41" t="s">
        <v>31</v>
      </c>
      <c r="B227" s="42" t="s">
        <v>562</v>
      </c>
      <c r="C227" s="43" t="s">
        <v>563</v>
      </c>
      <c r="D227" s="44" t="s">
        <v>564</v>
      </c>
      <c r="E227" s="44" t="s">
        <v>565</v>
      </c>
      <c r="F227" s="45">
        <v>0.21</v>
      </c>
      <c r="G227" s="50" t="str">
        <f>IFERROR(VLOOKUP("GZL RG 8X - 10M",STOCK!B2:Q3692,3,FALSE),"SIN STOCK")</f>
        <v>Menor a 5</v>
      </c>
      <c r="H227" s="28"/>
      <c r="I227" s="28"/>
      <c r="J227" s="28"/>
      <c r="K227" s="28"/>
      <c r="L227" s="28"/>
      <c r="M227" s="28"/>
      <c r="N227" s="28"/>
      <c r="O227" s="28"/>
      <c r="P227" s="28"/>
      <c r="Q227" s="28"/>
      <c r="R227" s="28"/>
      <c r="S227" s="28"/>
    </row>
    <row r="228" ht="15.75" customHeight="1">
      <c r="A228" s="47" t="s">
        <v>31</v>
      </c>
      <c r="B228" s="48" t="s">
        <v>566</v>
      </c>
      <c r="C228" s="49" t="s">
        <v>567</v>
      </c>
      <c r="D228" s="37" t="s">
        <v>46</v>
      </c>
      <c r="E228" s="37" t="s">
        <v>47</v>
      </c>
      <c r="F228" s="38">
        <v>0.21</v>
      </c>
      <c r="G228" s="50" t="str">
        <f>IFERROR(VLOOKUP("GZL RG 8X - 20M",STOCK!B2:Q3692,3,FALSE),"SIN STOCK")</f>
        <v>Menor a 5</v>
      </c>
      <c r="H228" s="28"/>
      <c r="I228" s="28"/>
      <c r="J228" s="28"/>
      <c r="K228" s="28"/>
      <c r="L228" s="28"/>
      <c r="M228" s="28"/>
      <c r="N228" s="28"/>
      <c r="O228" s="28"/>
      <c r="P228" s="28"/>
      <c r="Q228" s="28"/>
      <c r="R228" s="28"/>
      <c r="S228" s="28"/>
    </row>
    <row r="229" ht="15.75" customHeight="1">
      <c r="A229" s="41" t="s">
        <v>31</v>
      </c>
      <c r="B229" s="42" t="s">
        <v>568</v>
      </c>
      <c r="C229" s="43" t="s">
        <v>569</v>
      </c>
      <c r="D229" s="44" t="s">
        <v>89</v>
      </c>
      <c r="E229" s="44" t="s">
        <v>90</v>
      </c>
      <c r="F229" s="45">
        <v>0.21</v>
      </c>
      <c r="G229" s="50" t="str">
        <f>IFERROR(VLOOKUP("GZL RG 8X - 5M",STOCK!B2:Q3692,3,FALSE),"SIN STOCK")</f>
        <v>Menor a 5</v>
      </c>
      <c r="H229" s="28"/>
      <c r="I229" s="28"/>
      <c r="J229" s="28"/>
      <c r="K229" s="28"/>
      <c r="L229" s="28"/>
      <c r="M229" s="28"/>
      <c r="N229" s="28"/>
      <c r="O229" s="28"/>
      <c r="P229" s="28"/>
      <c r="Q229" s="28"/>
      <c r="R229" s="28"/>
      <c r="S229" s="28"/>
    </row>
    <row r="230" ht="15.75" customHeight="1">
      <c r="A230" s="47" t="s">
        <v>31</v>
      </c>
      <c r="B230" s="48" t="s">
        <v>570</v>
      </c>
      <c r="C230" s="49" t="s">
        <v>571</v>
      </c>
      <c r="D230" s="37" t="s">
        <v>434</v>
      </c>
      <c r="E230" s="37" t="s">
        <v>435</v>
      </c>
      <c r="F230" s="38">
        <v>0.21</v>
      </c>
      <c r="G230" s="50" t="str">
        <f>IFERROR(VLOOKUP("RG213100",STOCK!B2:Q3692,3,FALSE),"SIN STOCK")</f>
        <v>SIN STOCK</v>
      </c>
      <c r="H230" s="28"/>
      <c r="I230" s="28"/>
      <c r="J230" s="28"/>
      <c r="K230" s="28"/>
      <c r="L230" s="28"/>
      <c r="M230" s="28"/>
      <c r="N230" s="28"/>
      <c r="O230" s="28"/>
      <c r="P230" s="28"/>
      <c r="Q230" s="28"/>
      <c r="R230" s="28"/>
      <c r="S230" s="28"/>
    </row>
    <row r="231" ht="15.75" customHeight="1">
      <c r="A231" s="41" t="s">
        <v>31</v>
      </c>
      <c r="B231" s="42" t="s">
        <v>572</v>
      </c>
      <c r="C231" s="43" t="s">
        <v>573</v>
      </c>
      <c r="D231" s="44" t="s">
        <v>540</v>
      </c>
      <c r="E231" s="44" t="s">
        <v>541</v>
      </c>
      <c r="F231" s="45">
        <v>0.21</v>
      </c>
      <c r="G231" s="50" t="str">
        <f>IFERROR(VLOOKUP("RG21325",STOCK!B2:Q3692,3,FALSE),"SIN STOCK")</f>
        <v>SIN STOCK</v>
      </c>
      <c r="H231" s="28"/>
      <c r="I231" s="28"/>
      <c r="J231" s="28"/>
      <c r="K231" s="28"/>
      <c r="L231" s="28"/>
      <c r="M231" s="28"/>
      <c r="N231" s="28"/>
      <c r="O231" s="28"/>
      <c r="P231" s="28"/>
      <c r="Q231" s="28"/>
      <c r="R231" s="28"/>
      <c r="S231" s="28"/>
    </row>
    <row r="232" ht="15.75" customHeight="1">
      <c r="A232" s="47" t="s">
        <v>31</v>
      </c>
      <c r="B232" s="48" t="s">
        <v>574</v>
      </c>
      <c r="C232" s="49" t="s">
        <v>575</v>
      </c>
      <c r="D232" s="37" t="s">
        <v>50</v>
      </c>
      <c r="E232" s="37" t="s">
        <v>51</v>
      </c>
      <c r="F232" s="38">
        <v>0.21</v>
      </c>
      <c r="G232" s="50" t="str">
        <f>IFERROR(VLOOKUP("RG21350",STOCK!B2:Q3692,3,FALSE),"SIN STOCK")</f>
        <v>SIN STOCK</v>
      </c>
      <c r="H232" s="28"/>
      <c r="I232" s="28"/>
      <c r="J232" s="28"/>
      <c r="K232" s="28"/>
      <c r="L232" s="28"/>
      <c r="M232" s="28"/>
      <c r="N232" s="28"/>
      <c r="O232" s="28"/>
      <c r="P232" s="28"/>
      <c r="Q232" s="28"/>
      <c r="R232" s="28"/>
      <c r="S232" s="28"/>
    </row>
    <row r="233" ht="15.75" customHeight="1">
      <c r="A233" s="41" t="s">
        <v>31</v>
      </c>
      <c r="B233" s="42" t="s">
        <v>576</v>
      </c>
      <c r="C233" s="43" t="s">
        <v>577</v>
      </c>
      <c r="D233" s="44" t="s">
        <v>578</v>
      </c>
      <c r="E233" s="44" t="s">
        <v>579</v>
      </c>
      <c r="F233" s="45">
        <v>0.21</v>
      </c>
      <c r="G233" s="53" t="str">
        <f>IFERROR(VLOOKUP("RG9913F100",STOCK!B2:Q3692,3,FALSE),"SIN STOCK")</f>
        <v>Menor a 5</v>
      </c>
      <c r="H233" s="28"/>
      <c r="I233" s="28"/>
      <c r="J233" s="28"/>
      <c r="K233" s="28"/>
      <c r="L233" s="28"/>
      <c r="M233" s="28"/>
      <c r="N233" s="28"/>
      <c r="O233" s="28"/>
      <c r="P233" s="28"/>
      <c r="Q233" s="28"/>
      <c r="R233" s="28"/>
      <c r="S233" s="28"/>
    </row>
    <row r="234" ht="15.75" customHeight="1">
      <c r="A234" s="47" t="s">
        <v>31</v>
      </c>
      <c r="B234" s="48" t="s">
        <v>580</v>
      </c>
      <c r="C234" s="49" t="s">
        <v>581</v>
      </c>
      <c r="D234" s="37" t="s">
        <v>582</v>
      </c>
      <c r="E234" s="37" t="s">
        <v>583</v>
      </c>
      <c r="F234" s="38">
        <v>0.21</v>
      </c>
      <c r="G234" s="50" t="str">
        <f>IFERROR(VLOOKUP("RG9913F25",STOCK!B2:Q3692,3,FALSE),"SIN STOCK")</f>
        <v>SIN STOCK</v>
      </c>
      <c r="H234" s="28"/>
      <c r="I234" s="28"/>
      <c r="J234" s="28"/>
      <c r="K234" s="28"/>
      <c r="L234" s="28"/>
      <c r="M234" s="28"/>
      <c r="N234" s="28"/>
      <c r="O234" s="28"/>
      <c r="P234" s="28"/>
      <c r="Q234" s="28"/>
      <c r="R234" s="28"/>
      <c r="S234" s="28"/>
    </row>
    <row r="235" ht="15.75" customHeight="1">
      <c r="A235" s="41" t="s">
        <v>31</v>
      </c>
      <c r="B235" s="42" t="s">
        <v>584</v>
      </c>
      <c r="C235" s="43" t="s">
        <v>585</v>
      </c>
      <c r="D235" s="44" t="s">
        <v>586</v>
      </c>
      <c r="E235" s="44" t="s">
        <v>587</v>
      </c>
      <c r="F235" s="45">
        <v>0.21</v>
      </c>
      <c r="G235" s="53" t="str">
        <f>IFERROR(VLOOKUP("RG9913F50",STOCK!B2:Q3692,3,FALSE),"SIN STOCK")</f>
        <v>Menor a 5</v>
      </c>
      <c r="H235" s="28"/>
      <c r="I235" s="28"/>
      <c r="J235" s="28"/>
      <c r="K235" s="28"/>
      <c r="L235" s="28"/>
      <c r="M235" s="28"/>
      <c r="N235" s="28"/>
      <c r="O235" s="28"/>
      <c r="P235" s="28"/>
      <c r="Q235" s="28"/>
      <c r="R235" s="28"/>
      <c r="S235" s="28"/>
    </row>
    <row r="236" ht="15.75" customHeight="1">
      <c r="A236" s="47" t="s">
        <v>31</v>
      </c>
      <c r="B236" s="64" t="s">
        <v>588</v>
      </c>
      <c r="C236" s="66" t="s">
        <v>581</v>
      </c>
      <c r="D236" s="37" t="s">
        <v>589</v>
      </c>
      <c r="E236" s="37" t="s">
        <v>590</v>
      </c>
      <c r="F236" s="38">
        <v>0.21</v>
      </c>
      <c r="G236" s="50" t="str">
        <f>IFERROR(VLOOKUP("CL 1-N",STOCK!B4:Q3694,3,FALSE),"SIN STOCK")</f>
        <v>SIN STOCK</v>
      </c>
      <c r="H236" s="28"/>
      <c r="I236" s="28"/>
      <c r="J236" s="28"/>
      <c r="K236" s="28"/>
      <c r="L236" s="28"/>
      <c r="M236" s="28"/>
      <c r="N236" s="28"/>
      <c r="O236" s="28"/>
      <c r="P236" s="28"/>
      <c r="Q236" s="28"/>
      <c r="R236" s="28"/>
      <c r="S236" s="28"/>
    </row>
    <row r="237" ht="15.75" customHeight="1">
      <c r="A237" s="29" t="s">
        <v>591</v>
      </c>
      <c r="C237" s="30"/>
      <c r="D237" s="55"/>
      <c r="E237" s="32"/>
      <c r="F237" s="30"/>
      <c r="G237" s="30"/>
      <c r="H237" s="28"/>
      <c r="I237" s="28"/>
      <c r="J237" s="28"/>
      <c r="K237" s="28"/>
      <c r="L237" s="28"/>
      <c r="M237" s="28"/>
      <c r="N237" s="28"/>
      <c r="O237" s="28"/>
      <c r="P237" s="28"/>
      <c r="Q237" s="28"/>
      <c r="R237" s="28"/>
      <c r="S237" s="28"/>
    </row>
    <row r="238" ht="15.75" customHeight="1">
      <c r="A238" s="41" t="s">
        <v>31</v>
      </c>
      <c r="B238" s="42" t="s">
        <v>592</v>
      </c>
      <c r="C238" s="43" t="s">
        <v>593</v>
      </c>
      <c r="D238" s="44" t="s">
        <v>227</v>
      </c>
      <c r="E238" s="44" t="s">
        <v>228</v>
      </c>
      <c r="F238" s="45">
        <v>0.21</v>
      </c>
      <c r="G238" s="39" t="str">
        <f>IFERROR(VLOOKUP("XSW 1-825 DUAL-A",STOCK!B2:Q3692,3,FALSE),"SIN STOCK")</f>
        <v>SIN STOCK</v>
      </c>
      <c r="H238" s="28"/>
      <c r="I238" s="28"/>
      <c r="J238" s="28"/>
      <c r="K238" s="28"/>
      <c r="L238" s="28"/>
      <c r="M238" s="28"/>
      <c r="N238" s="28"/>
      <c r="O238" s="28"/>
      <c r="P238" s="28"/>
      <c r="Q238" s="28"/>
      <c r="R238" s="28"/>
      <c r="S238" s="28"/>
    </row>
    <row r="239" ht="15.75" customHeight="1">
      <c r="A239" s="47" t="s">
        <v>31</v>
      </c>
      <c r="B239" s="48" t="s">
        <v>594</v>
      </c>
      <c r="C239" s="49" t="s">
        <v>328</v>
      </c>
      <c r="D239" s="37" t="s">
        <v>227</v>
      </c>
      <c r="E239" s="37" t="s">
        <v>228</v>
      </c>
      <c r="F239" s="38">
        <v>0.21</v>
      </c>
      <c r="G239" s="50" t="str">
        <f>IFERROR(VLOOKUP("XSW 1-825 DUAL-B",STOCK!B2:Q3692,3,FALSE),"SIN STOCK")</f>
        <v>SIN STOCK</v>
      </c>
      <c r="H239" s="28"/>
      <c r="I239" s="28"/>
      <c r="J239" s="28"/>
      <c r="K239" s="28"/>
      <c r="L239" s="28"/>
      <c r="M239" s="28"/>
      <c r="N239" s="28"/>
      <c r="O239" s="28"/>
      <c r="P239" s="28"/>
      <c r="Q239" s="28"/>
      <c r="R239" s="28"/>
      <c r="S239" s="28"/>
    </row>
    <row r="240" ht="15.75" customHeight="1">
      <c r="A240" s="41" t="s">
        <v>31</v>
      </c>
      <c r="B240" s="57" t="s">
        <v>595</v>
      </c>
      <c r="C240" s="43" t="s">
        <v>596</v>
      </c>
      <c r="D240" s="44" t="s">
        <v>132</v>
      </c>
      <c r="E240" s="44" t="s">
        <v>133</v>
      </c>
      <c r="F240" s="45">
        <v>0.21</v>
      </c>
      <c r="G240" s="39" t="str">
        <f>IFERROR(VLOOKUP("XSW 1-825-A",STOCK!B2:Q3692,3,FALSE),"SIN STOCK")</f>
        <v>SIN STOCK</v>
      </c>
      <c r="H240" s="28"/>
      <c r="I240" s="28"/>
      <c r="J240" s="28"/>
      <c r="K240" s="28"/>
      <c r="L240" s="28"/>
      <c r="M240" s="28"/>
      <c r="N240" s="28"/>
      <c r="O240" s="28"/>
      <c r="P240" s="28"/>
      <c r="Q240" s="28"/>
      <c r="R240" s="28"/>
      <c r="S240" s="28"/>
    </row>
    <row r="241" ht="15.75" customHeight="1">
      <c r="A241" s="47" t="s">
        <v>31</v>
      </c>
      <c r="B241" s="48" t="s">
        <v>597</v>
      </c>
      <c r="C241" s="49" t="s">
        <v>328</v>
      </c>
      <c r="D241" s="37" t="s">
        <v>132</v>
      </c>
      <c r="E241" s="37" t="s">
        <v>133</v>
      </c>
      <c r="F241" s="38">
        <v>0.21</v>
      </c>
      <c r="G241" s="50" t="str">
        <f>IFERROR(VLOOKUP("XSW 1-825-B",STOCK!B2:Q3692,3,FALSE),"SIN STOCK")</f>
        <v>SIN STOCK</v>
      </c>
      <c r="H241" s="28"/>
      <c r="I241" s="28"/>
      <c r="J241" s="28"/>
      <c r="K241" s="28"/>
      <c r="L241" s="28"/>
      <c r="M241" s="28"/>
      <c r="N241" s="28"/>
      <c r="O241" s="28"/>
      <c r="P241" s="28"/>
      <c r="Q241" s="28"/>
      <c r="R241" s="28"/>
      <c r="S241" s="28"/>
    </row>
    <row r="242" ht="15.75" customHeight="1">
      <c r="A242" s="41" t="s">
        <v>31</v>
      </c>
      <c r="B242" s="57" t="s">
        <v>598</v>
      </c>
      <c r="C242" s="43" t="s">
        <v>599</v>
      </c>
      <c r="D242" s="44" t="s">
        <v>209</v>
      </c>
      <c r="E242" s="44" t="s">
        <v>210</v>
      </c>
      <c r="F242" s="45">
        <v>0.21</v>
      </c>
      <c r="G242" s="39" t="str">
        <f>IFERROR(VLOOKUP("XSW 1-835 DUAL-A",STOCK!B2:Q3692,3,FALSE),"SIN STOCK")</f>
        <v>Menor a 5</v>
      </c>
      <c r="H242" s="28"/>
      <c r="I242" s="28"/>
      <c r="J242" s="28"/>
      <c r="K242" s="28"/>
      <c r="L242" s="28"/>
      <c r="M242" s="28"/>
      <c r="N242" s="28"/>
      <c r="O242" s="28"/>
      <c r="P242" s="28"/>
      <c r="Q242" s="28"/>
      <c r="R242" s="28"/>
      <c r="S242" s="28"/>
    </row>
    <row r="243" ht="15.75" customHeight="1">
      <c r="A243" s="47" t="s">
        <v>31</v>
      </c>
      <c r="B243" s="48" t="s">
        <v>600</v>
      </c>
      <c r="C243" s="49" t="s">
        <v>328</v>
      </c>
      <c r="D243" s="37" t="s">
        <v>209</v>
      </c>
      <c r="E243" s="37" t="s">
        <v>210</v>
      </c>
      <c r="F243" s="38">
        <v>0.21</v>
      </c>
      <c r="G243" s="50" t="str">
        <f>IFERROR(VLOOKUP("XSW 1-835 DUAL-B",STOCK!B2:Q3692,3,FALSE),"SIN STOCK")</f>
        <v>SIN STOCK</v>
      </c>
      <c r="H243" s="28"/>
      <c r="I243" s="28"/>
      <c r="J243" s="28"/>
      <c r="K243" s="28"/>
      <c r="L243" s="28"/>
      <c r="M243" s="28"/>
      <c r="N243" s="28"/>
      <c r="O243" s="28"/>
      <c r="P243" s="28"/>
      <c r="Q243" s="28"/>
      <c r="R243" s="28"/>
      <c r="S243" s="28"/>
    </row>
    <row r="244" ht="15.75" customHeight="1">
      <c r="A244" s="41" t="s">
        <v>31</v>
      </c>
      <c r="B244" s="42" t="s">
        <v>601</v>
      </c>
      <c r="C244" s="43" t="s">
        <v>602</v>
      </c>
      <c r="D244" s="44" t="s">
        <v>162</v>
      </c>
      <c r="E244" s="44" t="s">
        <v>163</v>
      </c>
      <c r="F244" s="45">
        <v>0.21</v>
      </c>
      <c r="G244" s="39" t="str">
        <f>IFERROR(VLOOKUP("XSW 1-835-A",STOCK!B2:Q3692,3,FALSE),"SIN STOCK")</f>
        <v>SIN STOCK</v>
      </c>
      <c r="H244" s="28"/>
      <c r="I244" s="28"/>
      <c r="J244" s="28"/>
      <c r="K244" s="28"/>
      <c r="L244" s="28"/>
      <c r="M244" s="28"/>
      <c r="N244" s="28"/>
      <c r="O244" s="28"/>
      <c r="P244" s="28"/>
      <c r="Q244" s="28"/>
      <c r="R244" s="28"/>
      <c r="S244" s="28"/>
    </row>
    <row r="245" ht="15.75" customHeight="1">
      <c r="A245" s="47" t="s">
        <v>31</v>
      </c>
      <c r="B245" s="48" t="s">
        <v>603</v>
      </c>
      <c r="C245" s="49" t="s">
        <v>328</v>
      </c>
      <c r="D245" s="37" t="s">
        <v>162</v>
      </c>
      <c r="E245" s="37" t="s">
        <v>163</v>
      </c>
      <c r="F245" s="38">
        <v>0.21</v>
      </c>
      <c r="G245" s="50" t="str">
        <f>IFERROR(VLOOKUP("XSW 1-835-B",STOCK!B2:Q3692,3,FALSE),"SIN STOCK")</f>
        <v>SIN STOCK</v>
      </c>
      <c r="H245" s="28"/>
      <c r="I245" s="28"/>
      <c r="J245" s="28"/>
      <c r="K245" s="28"/>
      <c r="L245" s="28"/>
      <c r="M245" s="28"/>
      <c r="N245" s="28"/>
      <c r="O245" s="28"/>
      <c r="P245" s="28"/>
      <c r="Q245" s="28"/>
      <c r="R245" s="28"/>
      <c r="S245" s="28"/>
    </row>
    <row r="246" ht="15.75" customHeight="1">
      <c r="A246" s="41" t="s">
        <v>31</v>
      </c>
      <c r="B246" s="42" t="s">
        <v>604</v>
      </c>
      <c r="C246" s="43" t="s">
        <v>328</v>
      </c>
      <c r="D246" s="44" t="s">
        <v>605</v>
      </c>
      <c r="E246" s="44" t="s">
        <v>606</v>
      </c>
      <c r="F246" s="45">
        <v>0.21</v>
      </c>
      <c r="G246" s="65" t="s">
        <v>517</v>
      </c>
      <c r="H246" s="28"/>
      <c r="I246" s="28"/>
      <c r="J246" s="28"/>
      <c r="K246" s="28"/>
      <c r="L246" s="28"/>
      <c r="M246" s="28"/>
      <c r="N246" s="28"/>
      <c r="O246" s="28"/>
      <c r="P246" s="28"/>
      <c r="Q246" s="28"/>
      <c r="R246" s="28"/>
      <c r="S246" s="28"/>
    </row>
    <row r="247" ht="15.75" customHeight="1">
      <c r="A247" s="47" t="s">
        <v>31</v>
      </c>
      <c r="B247" s="48" t="s">
        <v>607</v>
      </c>
      <c r="C247" s="49" t="s">
        <v>328</v>
      </c>
      <c r="D247" s="37" t="s">
        <v>605</v>
      </c>
      <c r="E247" s="37" t="s">
        <v>606</v>
      </c>
      <c r="F247" s="38">
        <v>0.21</v>
      </c>
      <c r="G247" s="65" t="s">
        <v>517</v>
      </c>
      <c r="H247" s="28"/>
      <c r="I247" s="28"/>
      <c r="J247" s="28"/>
      <c r="K247" s="28"/>
      <c r="L247" s="28"/>
      <c r="M247" s="28"/>
      <c r="N247" s="28"/>
      <c r="O247" s="28"/>
      <c r="P247" s="28"/>
      <c r="Q247" s="28"/>
      <c r="R247" s="28"/>
      <c r="S247" s="28"/>
    </row>
    <row r="248" ht="15.75" customHeight="1">
      <c r="A248" s="41" t="s">
        <v>31</v>
      </c>
      <c r="B248" s="42" t="s">
        <v>608</v>
      </c>
      <c r="C248" s="43" t="s">
        <v>609</v>
      </c>
      <c r="D248" s="44" t="s">
        <v>605</v>
      </c>
      <c r="E248" s="44" t="s">
        <v>606</v>
      </c>
      <c r="F248" s="45">
        <v>0.21</v>
      </c>
      <c r="G248" s="39" t="str">
        <f>IFERROR(VLOOKUP("XSW 1-ME2-A",STOCK!B2:Q3692,3,FALSE),"SIN STOCK")</f>
        <v>Mayor a 5</v>
      </c>
      <c r="H248" s="28"/>
      <c r="I248" s="28"/>
      <c r="J248" s="28"/>
      <c r="K248" s="28"/>
      <c r="L248" s="28"/>
      <c r="M248" s="28"/>
      <c r="N248" s="28"/>
      <c r="O248" s="28"/>
      <c r="P248" s="28"/>
      <c r="Q248" s="28"/>
      <c r="R248" s="28"/>
      <c r="S248" s="28"/>
    </row>
    <row r="249" ht="15.75" customHeight="1">
      <c r="A249" s="47" t="s">
        <v>31</v>
      </c>
      <c r="B249" s="48" t="s">
        <v>610</v>
      </c>
      <c r="C249" s="49" t="s">
        <v>328</v>
      </c>
      <c r="D249" s="37" t="s">
        <v>605</v>
      </c>
      <c r="E249" s="37" t="s">
        <v>606</v>
      </c>
      <c r="F249" s="38">
        <v>0.21</v>
      </c>
      <c r="G249" s="50" t="str">
        <f>IFERROR(VLOOKUP("XSW 1-ME2-B",STOCK!B2:Q3692,3,FALSE),"SIN STOCK")</f>
        <v>SIN STOCK</v>
      </c>
      <c r="H249" s="28"/>
      <c r="I249" s="28"/>
      <c r="J249" s="28"/>
      <c r="K249" s="28"/>
      <c r="L249" s="28"/>
      <c r="M249" s="28"/>
      <c r="N249" s="28"/>
      <c r="O249" s="28"/>
      <c r="P249" s="28"/>
      <c r="Q249" s="28"/>
      <c r="R249" s="28"/>
      <c r="S249" s="28"/>
    </row>
    <row r="250" ht="15.75" customHeight="1">
      <c r="A250" s="41" t="s">
        <v>31</v>
      </c>
      <c r="B250" s="57" t="s">
        <v>611</v>
      </c>
      <c r="C250" s="43" t="s">
        <v>612</v>
      </c>
      <c r="D250" s="44" t="s">
        <v>78</v>
      </c>
      <c r="E250" s="44" t="s">
        <v>79</v>
      </c>
      <c r="F250" s="45">
        <v>0.21</v>
      </c>
      <c r="G250" s="65" t="s">
        <v>517</v>
      </c>
      <c r="H250" s="28"/>
      <c r="I250" s="28"/>
      <c r="J250" s="28"/>
      <c r="K250" s="28"/>
      <c r="L250" s="28"/>
      <c r="M250" s="28"/>
      <c r="N250" s="28"/>
      <c r="O250" s="28"/>
      <c r="P250" s="28"/>
      <c r="Q250" s="28"/>
      <c r="R250" s="28"/>
      <c r="S250" s="28"/>
    </row>
    <row r="251" ht="15.75" customHeight="1">
      <c r="A251" s="47" t="s">
        <v>31</v>
      </c>
      <c r="B251" s="48" t="s">
        <v>613</v>
      </c>
      <c r="C251" s="49" t="s">
        <v>328</v>
      </c>
      <c r="D251" s="37" t="s">
        <v>78</v>
      </c>
      <c r="E251" s="37" t="s">
        <v>79</v>
      </c>
      <c r="F251" s="38">
        <v>0.21</v>
      </c>
      <c r="G251" s="65" t="s">
        <v>517</v>
      </c>
      <c r="H251" s="28"/>
      <c r="I251" s="28"/>
      <c r="J251" s="28"/>
      <c r="K251" s="28"/>
      <c r="L251" s="28"/>
      <c r="M251" s="28"/>
      <c r="N251" s="28"/>
      <c r="O251" s="28"/>
      <c r="P251" s="28"/>
      <c r="Q251" s="28"/>
      <c r="R251" s="28"/>
      <c r="S251" s="28"/>
    </row>
    <row r="252" ht="15.75" customHeight="1">
      <c r="A252" s="58" t="s">
        <v>614</v>
      </c>
      <c r="B252" s="30"/>
      <c r="C252" s="30"/>
      <c r="D252" s="55"/>
      <c r="E252" s="32"/>
      <c r="F252" s="30"/>
      <c r="G252" s="30"/>
      <c r="H252" s="28"/>
      <c r="I252" s="28"/>
      <c r="J252" s="28"/>
      <c r="K252" s="28"/>
      <c r="L252" s="28"/>
      <c r="M252" s="28"/>
      <c r="N252" s="28"/>
      <c r="O252" s="28"/>
      <c r="P252" s="28"/>
      <c r="Q252" s="28"/>
      <c r="R252" s="28"/>
      <c r="S252" s="28"/>
    </row>
    <row r="253" ht="15.75" customHeight="1">
      <c r="A253" s="41" t="s">
        <v>31</v>
      </c>
      <c r="B253" s="42" t="s">
        <v>615</v>
      </c>
      <c r="C253" s="43" t="s">
        <v>616</v>
      </c>
      <c r="D253" s="44" t="s">
        <v>411</v>
      </c>
      <c r="E253" s="44" t="s">
        <v>412</v>
      </c>
      <c r="F253" s="45">
        <v>0.21</v>
      </c>
      <c r="G253" s="39" t="str">
        <f>IFERROR(VLOOKUP("XSW 2-835-A",STOCK!B2:Q3692,3,FALSE),"SIN STOCK")</f>
        <v>Menor a 5</v>
      </c>
      <c r="H253" s="28"/>
      <c r="I253" s="28"/>
      <c r="J253" s="28"/>
      <c r="K253" s="28"/>
      <c r="L253" s="28"/>
      <c r="M253" s="28"/>
      <c r="N253" s="28"/>
      <c r="O253" s="28"/>
      <c r="P253" s="28"/>
      <c r="Q253" s="28"/>
      <c r="R253" s="28"/>
      <c r="S253" s="28"/>
    </row>
    <row r="254" ht="15.75" customHeight="1">
      <c r="A254" s="47" t="s">
        <v>31</v>
      </c>
      <c r="B254" s="48" t="s">
        <v>617</v>
      </c>
      <c r="C254" s="49" t="s">
        <v>328</v>
      </c>
      <c r="D254" s="37" t="s">
        <v>411</v>
      </c>
      <c r="E254" s="37" t="s">
        <v>412</v>
      </c>
      <c r="F254" s="38">
        <v>0.21</v>
      </c>
      <c r="G254" s="39" t="str">
        <f>IFERROR(VLOOKUP("XSW 2-835-B",STOCK!B2:Q3692,3,FALSE),"SIN STOCK")</f>
        <v>SIN STOCK</v>
      </c>
      <c r="H254" s="28"/>
      <c r="I254" s="28"/>
      <c r="J254" s="28"/>
      <c r="K254" s="28"/>
      <c r="L254" s="28"/>
      <c r="M254" s="28"/>
      <c r="N254" s="28"/>
      <c r="O254" s="28"/>
      <c r="P254" s="28"/>
      <c r="Q254" s="28"/>
      <c r="R254" s="28"/>
      <c r="S254" s="28"/>
    </row>
    <row r="255" ht="15.75" customHeight="1">
      <c r="A255" s="41" t="s">
        <v>31</v>
      </c>
      <c r="B255" s="42" t="s">
        <v>618</v>
      </c>
      <c r="C255" s="43" t="s">
        <v>619</v>
      </c>
      <c r="D255" s="44" t="s">
        <v>78</v>
      </c>
      <c r="E255" s="44" t="s">
        <v>79</v>
      </c>
      <c r="F255" s="45">
        <v>0.21</v>
      </c>
      <c r="G255" s="65" t="s">
        <v>517</v>
      </c>
      <c r="H255" s="28"/>
      <c r="I255" s="28"/>
      <c r="J255" s="28"/>
      <c r="K255" s="28"/>
      <c r="L255" s="28"/>
      <c r="M255" s="28"/>
      <c r="N255" s="28"/>
      <c r="O255" s="28"/>
      <c r="P255" s="28"/>
      <c r="Q255" s="28"/>
      <c r="R255" s="28"/>
      <c r="S255" s="28"/>
    </row>
    <row r="256" ht="15.75" customHeight="1">
      <c r="A256" s="47" t="s">
        <v>31</v>
      </c>
      <c r="B256" s="48" t="s">
        <v>620</v>
      </c>
      <c r="C256" s="49" t="s">
        <v>328</v>
      </c>
      <c r="D256" s="37" t="s">
        <v>78</v>
      </c>
      <c r="E256" s="37" t="s">
        <v>79</v>
      </c>
      <c r="F256" s="38">
        <v>0.21</v>
      </c>
      <c r="G256" s="65" t="s">
        <v>517</v>
      </c>
      <c r="H256" s="28"/>
      <c r="I256" s="28"/>
      <c r="J256" s="28"/>
      <c r="K256" s="28"/>
      <c r="L256" s="28"/>
      <c r="M256" s="28"/>
      <c r="N256" s="28"/>
      <c r="O256" s="28"/>
      <c r="P256" s="28"/>
      <c r="Q256" s="28"/>
      <c r="R256" s="28"/>
      <c r="S256" s="28"/>
    </row>
    <row r="257" ht="15.75" customHeight="1">
      <c r="A257" s="41" t="s">
        <v>31</v>
      </c>
      <c r="B257" s="57" t="s">
        <v>621</v>
      </c>
      <c r="C257" s="43" t="s">
        <v>622</v>
      </c>
      <c r="D257" s="44" t="s">
        <v>623</v>
      </c>
      <c r="E257" s="44" t="s">
        <v>624</v>
      </c>
      <c r="F257" s="45">
        <v>0.21</v>
      </c>
      <c r="G257" s="39" t="str">
        <f>IFERROR(VLOOKUP("XSW 2-ME2-A",STOCK!B2:Q3692,3,FALSE),"SIN STOCK")</f>
        <v>Mayor a 5</v>
      </c>
      <c r="H257" s="28"/>
      <c r="I257" s="28"/>
      <c r="J257" s="28"/>
      <c r="K257" s="28"/>
      <c r="L257" s="28"/>
      <c r="M257" s="28"/>
      <c r="N257" s="28"/>
      <c r="O257" s="28"/>
      <c r="P257" s="28"/>
      <c r="Q257" s="28"/>
      <c r="R257" s="28"/>
      <c r="S257" s="28"/>
    </row>
    <row r="258" ht="15.75" customHeight="1">
      <c r="A258" s="47" t="s">
        <v>31</v>
      </c>
      <c r="B258" s="48" t="s">
        <v>625</v>
      </c>
      <c r="C258" s="49" t="s">
        <v>328</v>
      </c>
      <c r="D258" s="37" t="s">
        <v>623</v>
      </c>
      <c r="E258" s="37" t="s">
        <v>624</v>
      </c>
      <c r="F258" s="38">
        <v>0.21</v>
      </c>
      <c r="G258" s="50" t="str">
        <f>IFERROR(VLOOKUP("XSW 2-ME2-B",STOCK!B2:Q3692,3,FALSE),"SIN STOCK")</f>
        <v>SIN STOCK</v>
      </c>
      <c r="H258" s="28"/>
      <c r="I258" s="28"/>
      <c r="J258" s="28"/>
      <c r="K258" s="28"/>
      <c r="L258" s="28"/>
      <c r="M258" s="28"/>
      <c r="N258" s="28"/>
      <c r="O258" s="28"/>
      <c r="P258" s="28"/>
      <c r="Q258" s="28"/>
      <c r="R258" s="28"/>
      <c r="S258" s="28"/>
    </row>
    <row r="259" ht="15.75" customHeight="1">
      <c r="A259" s="41" t="s">
        <v>31</v>
      </c>
      <c r="B259" s="42" t="s">
        <v>626</v>
      </c>
      <c r="C259" s="43" t="s">
        <v>627</v>
      </c>
      <c r="D259" s="44" t="s">
        <v>143</v>
      </c>
      <c r="E259" s="44" t="s">
        <v>144</v>
      </c>
      <c r="F259" s="45">
        <v>0.21</v>
      </c>
      <c r="G259" s="50" t="str">
        <f>IFERROR(VLOOKUP("XSW 2-ME3-A",STOCK!B2:Q3692,3,FALSE),"SIN STOCK")</f>
        <v>SIN STOCK</v>
      </c>
      <c r="H259" s="28"/>
      <c r="I259" s="28"/>
      <c r="J259" s="28"/>
      <c r="K259" s="28"/>
      <c r="L259" s="28"/>
      <c r="M259" s="28"/>
      <c r="N259" s="28"/>
      <c r="O259" s="28"/>
      <c r="P259" s="28"/>
      <c r="Q259" s="28"/>
      <c r="R259" s="28"/>
      <c r="S259" s="28"/>
    </row>
    <row r="260" ht="15.75" customHeight="1">
      <c r="A260" s="47" t="s">
        <v>31</v>
      </c>
      <c r="B260" s="48" t="s">
        <v>628</v>
      </c>
      <c r="C260" s="49" t="s">
        <v>328</v>
      </c>
      <c r="D260" s="37" t="s">
        <v>143</v>
      </c>
      <c r="E260" s="37" t="s">
        <v>144</v>
      </c>
      <c r="F260" s="38">
        <v>0.21</v>
      </c>
      <c r="G260" s="50" t="str">
        <f>IFERROR(VLOOKUP("XSW 2-ME3-B",STOCK!B2:Q3692,3,FALSE),"SIN STOCK")</f>
        <v>SIN STOCK</v>
      </c>
      <c r="H260" s="28"/>
      <c r="I260" s="28"/>
      <c r="J260" s="28"/>
      <c r="K260" s="28"/>
      <c r="L260" s="28"/>
      <c r="M260" s="28"/>
      <c r="N260" s="28"/>
      <c r="O260" s="28"/>
      <c r="P260" s="28"/>
      <c r="Q260" s="28"/>
      <c r="R260" s="28"/>
      <c r="S260" s="28"/>
    </row>
    <row r="261" ht="15.75" customHeight="1">
      <c r="A261" s="58" t="s">
        <v>629</v>
      </c>
      <c r="B261" s="30"/>
      <c r="C261" s="30"/>
      <c r="D261" s="55"/>
      <c r="E261" s="32"/>
      <c r="F261" s="30"/>
      <c r="G261" s="30"/>
      <c r="H261" s="28"/>
      <c r="I261" s="28"/>
      <c r="J261" s="28"/>
      <c r="K261" s="28"/>
      <c r="L261" s="28"/>
      <c r="M261" s="28"/>
      <c r="N261" s="28"/>
      <c r="O261" s="28"/>
      <c r="P261" s="28"/>
      <c r="Q261" s="28"/>
      <c r="R261" s="28"/>
      <c r="S261" s="28"/>
    </row>
    <row r="262" ht="15.75" customHeight="1">
      <c r="A262" s="41" t="s">
        <v>31</v>
      </c>
      <c r="B262" s="42" t="s">
        <v>630</v>
      </c>
      <c r="C262" s="43" t="s">
        <v>631</v>
      </c>
      <c r="D262" s="44" t="s">
        <v>515</v>
      </c>
      <c r="E262" s="44" t="s">
        <v>516</v>
      </c>
      <c r="F262" s="45">
        <v>0.21</v>
      </c>
      <c r="G262" s="50" t="str">
        <f>IFERROR(VLOOKUP("XSW FRONT ANTENNA CABLES",STOCK!B2:Q3692,3,FALSE),"SIN STOCK")</f>
        <v>SIN STOCK</v>
      </c>
      <c r="H262" s="28"/>
      <c r="I262" s="28"/>
      <c r="J262" s="28"/>
      <c r="K262" s="28"/>
      <c r="L262" s="28"/>
      <c r="M262" s="28"/>
      <c r="N262" s="28"/>
      <c r="O262" s="28"/>
      <c r="P262" s="28"/>
      <c r="Q262" s="28"/>
      <c r="R262" s="28"/>
      <c r="S262" s="28"/>
    </row>
    <row r="263" ht="15.75" customHeight="1">
      <c r="A263" s="47" t="s">
        <v>31</v>
      </c>
      <c r="B263" s="48" t="s">
        <v>632</v>
      </c>
      <c r="C263" s="49" t="s">
        <v>633</v>
      </c>
      <c r="D263" s="37" t="s">
        <v>89</v>
      </c>
      <c r="E263" s="37" t="s">
        <v>90</v>
      </c>
      <c r="F263" s="38">
        <v>0.21</v>
      </c>
      <c r="G263" s="39" t="str">
        <f>IFERROR(VLOOKUP("XSW RACK MOUNT KIT",STOCK!B2:Q3692,3,FALSE),"SIN STOCK")</f>
        <v>Mayor a 5</v>
      </c>
      <c r="H263" s="28"/>
      <c r="I263" s="28"/>
      <c r="J263" s="28"/>
      <c r="K263" s="28"/>
      <c r="L263" s="28"/>
      <c r="M263" s="28"/>
      <c r="N263" s="28"/>
      <c r="O263" s="28"/>
      <c r="P263" s="28"/>
      <c r="Q263" s="28"/>
      <c r="R263" s="28"/>
      <c r="S263" s="28"/>
    </row>
    <row r="264" ht="15.75" customHeight="1">
      <c r="A264" s="58" t="s">
        <v>634</v>
      </c>
      <c r="B264" s="30"/>
      <c r="C264" s="30"/>
      <c r="D264" s="55"/>
      <c r="E264" s="32"/>
      <c r="F264" s="30"/>
      <c r="G264" s="30"/>
      <c r="H264" s="28"/>
      <c r="I264" s="28"/>
      <c r="J264" s="28"/>
      <c r="K264" s="28"/>
      <c r="L264" s="28"/>
      <c r="M264" s="28"/>
      <c r="N264" s="28"/>
      <c r="O264" s="28"/>
      <c r="P264" s="28"/>
      <c r="Q264" s="28"/>
      <c r="R264" s="28"/>
      <c r="S264" s="28"/>
    </row>
    <row r="265" ht="15.75" customHeight="1">
      <c r="A265" s="41" t="s">
        <v>31</v>
      </c>
      <c r="B265" s="42" t="s">
        <v>635</v>
      </c>
      <c r="C265" s="43" t="s">
        <v>636</v>
      </c>
      <c r="D265" s="44" t="s">
        <v>162</v>
      </c>
      <c r="E265" s="44" t="s">
        <v>163</v>
      </c>
      <c r="F265" s="45">
        <v>0.21</v>
      </c>
      <c r="G265" s="65" t="s">
        <v>517</v>
      </c>
      <c r="H265" s="28"/>
      <c r="I265" s="28"/>
      <c r="J265" s="28"/>
      <c r="K265" s="28"/>
      <c r="L265" s="28"/>
      <c r="M265" s="28"/>
      <c r="N265" s="28"/>
      <c r="O265" s="28"/>
      <c r="P265" s="28"/>
      <c r="Q265" s="28"/>
      <c r="R265" s="28"/>
      <c r="S265" s="28"/>
    </row>
    <row r="266" ht="15.75" customHeight="1">
      <c r="A266" s="47" t="s">
        <v>31</v>
      </c>
      <c r="B266" s="48" t="s">
        <v>637</v>
      </c>
      <c r="C266" s="49" t="s">
        <v>328</v>
      </c>
      <c r="D266" s="37" t="s">
        <v>162</v>
      </c>
      <c r="E266" s="37" t="s">
        <v>163</v>
      </c>
      <c r="F266" s="38">
        <v>0.21</v>
      </c>
      <c r="G266" s="65" t="s">
        <v>517</v>
      </c>
      <c r="H266" s="28"/>
      <c r="I266" s="28"/>
      <c r="J266" s="28"/>
      <c r="K266" s="28"/>
      <c r="L266" s="28"/>
      <c r="M266" s="28"/>
      <c r="N266" s="28"/>
      <c r="O266" s="28"/>
      <c r="P266" s="28"/>
      <c r="Q266" s="28"/>
      <c r="R266" s="28"/>
      <c r="S266" s="28"/>
    </row>
    <row r="267" ht="15.75" customHeight="1">
      <c r="A267" s="41" t="s">
        <v>31</v>
      </c>
      <c r="B267" s="42" t="s">
        <v>638</v>
      </c>
      <c r="C267" s="43" t="s">
        <v>639</v>
      </c>
      <c r="D267" s="44" t="s">
        <v>469</v>
      </c>
      <c r="E267" s="44" t="s">
        <v>470</v>
      </c>
      <c r="F267" s="45">
        <v>0.21</v>
      </c>
      <c r="G267" s="65" t="s">
        <v>517</v>
      </c>
      <c r="H267" s="28"/>
      <c r="I267" s="28"/>
      <c r="J267" s="28"/>
      <c r="K267" s="28"/>
      <c r="L267" s="28"/>
      <c r="M267" s="28"/>
      <c r="N267" s="28"/>
      <c r="O267" s="28"/>
      <c r="P267" s="28"/>
      <c r="Q267" s="28"/>
      <c r="R267" s="28"/>
      <c r="S267" s="28"/>
    </row>
    <row r="268" ht="15.75" customHeight="1">
      <c r="A268" s="47" t="s">
        <v>31</v>
      </c>
      <c r="B268" s="48" t="s">
        <v>640</v>
      </c>
      <c r="C268" s="49" t="s">
        <v>328</v>
      </c>
      <c r="D268" s="37" t="s">
        <v>469</v>
      </c>
      <c r="E268" s="37" t="s">
        <v>470</v>
      </c>
      <c r="F268" s="38">
        <v>0.21</v>
      </c>
      <c r="G268" s="65" t="s">
        <v>517</v>
      </c>
      <c r="H268" s="28"/>
      <c r="I268" s="28"/>
      <c r="J268" s="28"/>
      <c r="K268" s="28"/>
      <c r="L268" s="28"/>
      <c r="M268" s="28"/>
      <c r="N268" s="28"/>
      <c r="O268" s="28"/>
      <c r="P268" s="28"/>
      <c r="Q268" s="28"/>
      <c r="R268" s="28"/>
      <c r="S268" s="28"/>
    </row>
    <row r="269" ht="15.75" customHeight="1">
      <c r="A269" s="41" t="s">
        <v>31</v>
      </c>
      <c r="B269" s="42" t="s">
        <v>641</v>
      </c>
      <c r="C269" s="43" t="s">
        <v>642</v>
      </c>
      <c r="D269" s="44" t="s">
        <v>132</v>
      </c>
      <c r="E269" s="44" t="s">
        <v>133</v>
      </c>
      <c r="F269" s="45">
        <v>0.21</v>
      </c>
      <c r="G269" s="65" t="s">
        <v>517</v>
      </c>
      <c r="H269" s="28"/>
      <c r="I269" s="28"/>
      <c r="J269" s="28"/>
      <c r="K269" s="28"/>
      <c r="L269" s="28"/>
      <c r="M269" s="28"/>
      <c r="N269" s="28"/>
      <c r="O269" s="28"/>
      <c r="P269" s="28"/>
      <c r="Q269" s="28"/>
      <c r="R269" s="28"/>
      <c r="S269" s="28"/>
    </row>
    <row r="270" ht="15.75" customHeight="1">
      <c r="A270" s="47" t="s">
        <v>31</v>
      </c>
      <c r="B270" s="48" t="s">
        <v>643</v>
      </c>
      <c r="C270" s="49" t="s">
        <v>642</v>
      </c>
      <c r="D270" s="37" t="s">
        <v>132</v>
      </c>
      <c r="E270" s="37" t="s">
        <v>133</v>
      </c>
      <c r="F270" s="38">
        <v>0.21</v>
      </c>
      <c r="G270" s="65" t="s">
        <v>517</v>
      </c>
      <c r="H270" s="28"/>
      <c r="I270" s="28"/>
      <c r="J270" s="28"/>
      <c r="K270" s="28"/>
      <c r="L270" s="28"/>
      <c r="M270" s="28"/>
      <c r="N270" s="28"/>
      <c r="O270" s="28"/>
      <c r="P270" s="28"/>
      <c r="Q270" s="28"/>
      <c r="R270" s="28"/>
      <c r="S270" s="28"/>
    </row>
    <row r="271" ht="15.75" customHeight="1">
      <c r="A271" s="41" t="s">
        <v>31</v>
      </c>
      <c r="B271" s="42" t="s">
        <v>644</v>
      </c>
      <c r="C271" s="43" t="s">
        <v>645</v>
      </c>
      <c r="D271" s="44" t="s">
        <v>469</v>
      </c>
      <c r="E271" s="44" t="s">
        <v>470</v>
      </c>
      <c r="F271" s="45">
        <v>0.21</v>
      </c>
      <c r="G271" s="65" t="s">
        <v>517</v>
      </c>
      <c r="H271" s="28"/>
      <c r="I271" s="28"/>
      <c r="J271" s="28"/>
      <c r="K271" s="28"/>
      <c r="L271" s="28"/>
      <c r="M271" s="28"/>
      <c r="N271" s="28"/>
      <c r="O271" s="28"/>
      <c r="P271" s="28"/>
      <c r="Q271" s="28"/>
      <c r="R271" s="28"/>
      <c r="S271" s="28"/>
    </row>
    <row r="272" ht="15.75" customHeight="1">
      <c r="A272" s="47" t="s">
        <v>31</v>
      </c>
      <c r="B272" s="48" t="s">
        <v>646</v>
      </c>
      <c r="C272" s="49" t="s">
        <v>328</v>
      </c>
      <c r="D272" s="37" t="s">
        <v>469</v>
      </c>
      <c r="E272" s="37" t="s">
        <v>470</v>
      </c>
      <c r="F272" s="38">
        <v>0.21</v>
      </c>
      <c r="G272" s="65" t="s">
        <v>517</v>
      </c>
      <c r="H272" s="28"/>
      <c r="I272" s="28"/>
      <c r="J272" s="28"/>
      <c r="K272" s="28"/>
      <c r="L272" s="28"/>
      <c r="M272" s="28"/>
      <c r="N272" s="28"/>
      <c r="O272" s="28"/>
      <c r="P272" s="28"/>
      <c r="Q272" s="28"/>
      <c r="R272" s="28"/>
      <c r="S272" s="28"/>
    </row>
    <row r="273" ht="15.75" customHeight="1">
      <c r="A273" s="41" t="s">
        <v>31</v>
      </c>
      <c r="B273" s="42" t="s">
        <v>647</v>
      </c>
      <c r="C273" s="43" t="s">
        <v>648</v>
      </c>
      <c r="D273" s="44" t="s">
        <v>483</v>
      </c>
      <c r="E273" s="44" t="s">
        <v>484</v>
      </c>
      <c r="F273" s="45">
        <v>0.21</v>
      </c>
      <c r="G273" s="65" t="s">
        <v>517</v>
      </c>
      <c r="H273" s="28"/>
      <c r="I273" s="28"/>
      <c r="J273" s="28"/>
      <c r="K273" s="28"/>
      <c r="L273" s="28"/>
      <c r="M273" s="28"/>
      <c r="N273" s="28"/>
      <c r="O273" s="28"/>
      <c r="P273" s="28"/>
      <c r="Q273" s="28"/>
      <c r="R273" s="28"/>
      <c r="S273" s="28"/>
    </row>
    <row r="274" ht="15.75" customHeight="1">
      <c r="A274" s="47" t="s">
        <v>31</v>
      </c>
      <c r="B274" s="48" t="s">
        <v>649</v>
      </c>
      <c r="C274" s="49" t="s">
        <v>328</v>
      </c>
      <c r="D274" s="37" t="s">
        <v>483</v>
      </c>
      <c r="E274" s="37" t="s">
        <v>484</v>
      </c>
      <c r="F274" s="38">
        <v>0.21</v>
      </c>
      <c r="G274" s="65" t="s">
        <v>517</v>
      </c>
      <c r="H274" s="28"/>
      <c r="I274" s="28"/>
      <c r="J274" s="28"/>
      <c r="K274" s="28"/>
      <c r="L274" s="28"/>
      <c r="M274" s="28"/>
      <c r="N274" s="28"/>
      <c r="O274" s="28"/>
      <c r="P274" s="28"/>
      <c r="Q274" s="28"/>
      <c r="R274" s="28"/>
      <c r="S274" s="28"/>
    </row>
    <row r="275" ht="15.75" customHeight="1">
      <c r="A275" s="58" t="s">
        <v>650</v>
      </c>
      <c r="B275" s="30"/>
      <c r="C275" s="30"/>
      <c r="D275" s="55"/>
      <c r="E275" s="32"/>
      <c r="F275" s="30"/>
      <c r="G275" s="30"/>
      <c r="H275" s="28"/>
      <c r="I275" s="28"/>
      <c r="J275" s="28"/>
      <c r="K275" s="28"/>
      <c r="L275" s="28"/>
      <c r="M275" s="28"/>
      <c r="N275" s="28"/>
      <c r="O275" s="28"/>
      <c r="P275" s="28"/>
      <c r="Q275" s="28"/>
      <c r="R275" s="28"/>
      <c r="S275" s="28"/>
    </row>
    <row r="276" ht="15.75" customHeight="1">
      <c r="A276" s="41" t="s">
        <v>31</v>
      </c>
      <c r="B276" s="42" t="s">
        <v>651</v>
      </c>
      <c r="C276" s="43" t="s">
        <v>652</v>
      </c>
      <c r="D276" s="44" t="s">
        <v>653</v>
      </c>
      <c r="E276" s="44" t="s">
        <v>654</v>
      </c>
      <c r="F276" s="45">
        <v>0.21</v>
      </c>
      <c r="G276" s="39" t="str">
        <f>IFERROR(VLOOKUP("XSW-D INSTRUMENT BASE SET",STOCK!B2:Q3692,3,FALSE),"SIN STOCK")</f>
        <v>Menor a 5</v>
      </c>
      <c r="H276" s="28"/>
      <c r="I276" s="28"/>
      <c r="J276" s="28"/>
      <c r="K276" s="28"/>
      <c r="L276" s="28"/>
      <c r="M276" s="28"/>
      <c r="N276" s="28"/>
      <c r="O276" s="28"/>
      <c r="P276" s="28"/>
      <c r="Q276" s="28"/>
      <c r="R276" s="28"/>
      <c r="S276" s="28"/>
    </row>
    <row r="277" ht="15.75" customHeight="1">
      <c r="A277" s="47" t="s">
        <v>31</v>
      </c>
      <c r="B277" s="48" t="s">
        <v>655</v>
      </c>
      <c r="C277" s="49" t="s">
        <v>656</v>
      </c>
      <c r="D277" s="37" t="s">
        <v>605</v>
      </c>
      <c r="E277" s="37" t="s">
        <v>606</v>
      </c>
      <c r="F277" s="38">
        <v>0.21</v>
      </c>
      <c r="G277" s="53" t="str">
        <f>IFERROR(VLOOKUP("XSW-D LAVALIER SET",STOCK!B2:Q3692,3,FALSE),"SIN STOCK")</f>
        <v>Menor a 5</v>
      </c>
      <c r="H277" s="28"/>
      <c r="I277" s="28"/>
      <c r="J277" s="28"/>
      <c r="K277" s="28"/>
      <c r="L277" s="28"/>
      <c r="M277" s="28"/>
      <c r="N277" s="28"/>
      <c r="O277" s="28"/>
      <c r="P277" s="28"/>
      <c r="Q277" s="28"/>
      <c r="R277" s="28"/>
      <c r="S277" s="28"/>
    </row>
    <row r="278" ht="15.75" customHeight="1">
      <c r="A278" s="41" t="s">
        <v>31</v>
      </c>
      <c r="B278" s="42" t="s">
        <v>657</v>
      </c>
      <c r="C278" s="43" t="s">
        <v>658</v>
      </c>
      <c r="D278" s="44" t="s">
        <v>659</v>
      </c>
      <c r="E278" s="44" t="s">
        <v>660</v>
      </c>
      <c r="F278" s="45">
        <v>0.21</v>
      </c>
      <c r="G278" s="39" t="str">
        <f>IFERROR(VLOOKUP("XSW-D PORTABLE BASE SET",STOCK!B2:Q3692,3,FALSE),"SIN STOCK")</f>
        <v>Mayor a 5</v>
      </c>
      <c r="H278" s="28"/>
      <c r="I278" s="28"/>
      <c r="J278" s="28"/>
      <c r="K278" s="28"/>
      <c r="L278" s="28"/>
      <c r="M278" s="28"/>
      <c r="N278" s="28"/>
      <c r="O278" s="28"/>
      <c r="P278" s="28"/>
      <c r="Q278" s="28"/>
      <c r="R278" s="28"/>
      <c r="S278" s="28"/>
    </row>
    <row r="279" ht="15.75" customHeight="1">
      <c r="A279" s="47" t="s">
        <v>31</v>
      </c>
      <c r="B279" s="48" t="s">
        <v>661</v>
      </c>
      <c r="C279" s="49" t="s">
        <v>662</v>
      </c>
      <c r="D279" s="37" t="s">
        <v>151</v>
      </c>
      <c r="E279" s="37" t="s">
        <v>152</v>
      </c>
      <c r="F279" s="38">
        <v>0.21</v>
      </c>
      <c r="G279" s="53" t="str">
        <f>IFERROR(VLOOKUP("XSW-D PORTABLE ENG SET",STOCK!B2:Q3692,3,FALSE),"SIN STOCK")</f>
        <v>Menor a 5</v>
      </c>
      <c r="H279" s="28"/>
      <c r="I279" s="28"/>
      <c r="J279" s="28"/>
      <c r="K279" s="28"/>
      <c r="L279" s="28"/>
      <c r="M279" s="28"/>
      <c r="N279" s="28"/>
      <c r="O279" s="28"/>
      <c r="P279" s="28"/>
      <c r="Q279" s="28"/>
      <c r="R279" s="28"/>
      <c r="S279" s="28"/>
    </row>
    <row r="280" ht="15.75" customHeight="1">
      <c r="A280" s="41" t="s">
        <v>31</v>
      </c>
      <c r="B280" s="42" t="s">
        <v>663</v>
      </c>
      <c r="C280" s="43" t="s">
        <v>664</v>
      </c>
      <c r="D280" s="44" t="s">
        <v>659</v>
      </c>
      <c r="E280" s="44" t="s">
        <v>660</v>
      </c>
      <c r="F280" s="45">
        <v>0.21</v>
      </c>
      <c r="G280" s="53" t="str">
        <f>IFERROR(VLOOKUP("XSW-D PORTABLE INTERVIEW SET",STOCK!B2:Q3692,3,FALSE),"SIN STOCK")</f>
        <v>Menor a 5</v>
      </c>
      <c r="H280" s="28"/>
      <c r="I280" s="28"/>
      <c r="J280" s="28"/>
      <c r="K280" s="28"/>
      <c r="L280" s="28"/>
      <c r="M280" s="28"/>
      <c r="N280" s="28"/>
      <c r="O280" s="28"/>
      <c r="P280" s="28"/>
      <c r="Q280" s="28"/>
      <c r="R280" s="28"/>
      <c r="S280" s="28"/>
    </row>
    <row r="281" ht="15.75" customHeight="1">
      <c r="A281" s="47" t="s">
        <v>31</v>
      </c>
      <c r="B281" s="48" t="s">
        <v>665</v>
      </c>
      <c r="C281" s="49" t="s">
        <v>666</v>
      </c>
      <c r="D281" s="37" t="s">
        <v>162</v>
      </c>
      <c r="E281" s="37" t="s">
        <v>163</v>
      </c>
      <c r="F281" s="38">
        <v>0.21</v>
      </c>
      <c r="G281" s="50" t="str">
        <f>IFERROR(VLOOKUP("XSW-D PORTABLE LAV MOBILE KIT",STOCK!B2:Q3692,3,FALSE),"SIN STOCK")</f>
        <v>SIN STOCK</v>
      </c>
      <c r="H281" s="28"/>
      <c r="I281" s="28"/>
      <c r="J281" s="28"/>
      <c r="K281" s="28"/>
      <c r="L281" s="28"/>
      <c r="M281" s="28"/>
      <c r="N281" s="28"/>
      <c r="O281" s="28"/>
      <c r="P281" s="28"/>
      <c r="Q281" s="28"/>
      <c r="R281" s="28"/>
      <c r="S281" s="28"/>
    </row>
    <row r="282" ht="15.75" customHeight="1">
      <c r="A282" s="41" t="s">
        <v>31</v>
      </c>
      <c r="B282" s="42" t="s">
        <v>667</v>
      </c>
      <c r="C282" s="43" t="s">
        <v>668</v>
      </c>
      <c r="D282" s="44" t="s">
        <v>653</v>
      </c>
      <c r="E282" s="44" t="s">
        <v>654</v>
      </c>
      <c r="F282" s="45">
        <v>0.21</v>
      </c>
      <c r="G282" s="39" t="str">
        <f>IFERROR(VLOOKUP("XSW-D PORTABLE LAVALIER SET",STOCK!B2:Q3692,3,FALSE),"SIN STOCK")</f>
        <v>Mayor a 5</v>
      </c>
      <c r="H282" s="28"/>
      <c r="I282" s="28"/>
      <c r="J282" s="28"/>
      <c r="K282" s="28"/>
      <c r="L282" s="28"/>
      <c r="M282" s="28"/>
      <c r="N282" s="28"/>
      <c r="O282" s="28"/>
      <c r="P282" s="28"/>
      <c r="Q282" s="28"/>
      <c r="R282" s="28"/>
      <c r="S282" s="28"/>
    </row>
    <row r="283" ht="15.75" customHeight="1">
      <c r="A283" s="47" t="s">
        <v>31</v>
      </c>
      <c r="B283" s="48" t="s">
        <v>669</v>
      </c>
      <c r="C283" s="49" t="s">
        <v>670</v>
      </c>
      <c r="D283" s="37" t="s">
        <v>653</v>
      </c>
      <c r="E283" s="37" t="s">
        <v>654</v>
      </c>
      <c r="F283" s="38">
        <v>0.21</v>
      </c>
      <c r="G283" s="39" t="str">
        <f>IFERROR(VLOOKUP("XSW-D PRESENTATION BASE SET",STOCK!B2:Q3692,3,FALSE),"SIN STOCK")</f>
        <v>Menor a 5</v>
      </c>
      <c r="H283" s="28"/>
      <c r="I283" s="28"/>
      <c r="J283" s="28"/>
      <c r="K283" s="28"/>
      <c r="L283" s="28"/>
      <c r="M283" s="28"/>
      <c r="N283" s="28"/>
      <c r="O283" s="28"/>
      <c r="P283" s="28"/>
      <c r="Q283" s="28"/>
      <c r="R283" s="28"/>
      <c r="S283" s="28"/>
    </row>
    <row r="284" ht="15.75" customHeight="1">
      <c r="A284" s="41" t="s">
        <v>31</v>
      </c>
      <c r="B284" s="42" t="s">
        <v>671</v>
      </c>
      <c r="C284" s="43" t="s">
        <v>672</v>
      </c>
      <c r="D284" s="44" t="s">
        <v>605</v>
      </c>
      <c r="E284" s="44" t="s">
        <v>606</v>
      </c>
      <c r="F284" s="45">
        <v>0.21</v>
      </c>
      <c r="G284" s="39" t="str">
        <f>IFERROR(VLOOKUP("XSW-D VOCAL SET",STOCK!B2:Q3692,3,FALSE),"SIN STOCK")</f>
        <v>Mayor a 5</v>
      </c>
      <c r="H284" s="28"/>
      <c r="I284" s="28"/>
      <c r="J284" s="28"/>
      <c r="K284" s="28"/>
      <c r="L284" s="28"/>
      <c r="M284" s="28"/>
      <c r="N284" s="28"/>
      <c r="O284" s="28"/>
      <c r="P284" s="28"/>
      <c r="Q284" s="28"/>
      <c r="R284" s="28"/>
      <c r="S284" s="28"/>
    </row>
    <row r="285" ht="15.75" customHeight="1">
      <c r="A285" s="47" t="s">
        <v>31</v>
      </c>
      <c r="B285" s="48" t="s">
        <v>673</v>
      </c>
      <c r="C285" s="49" t="s">
        <v>674</v>
      </c>
      <c r="D285" s="37" t="s">
        <v>653</v>
      </c>
      <c r="E285" s="37" t="s">
        <v>654</v>
      </c>
      <c r="F285" s="38">
        <v>0.21</v>
      </c>
      <c r="G285" s="53" t="str">
        <f>IFERROR(VLOOKUP("XSW-D XLR BASE SET",STOCK!B2:Q3692,3,FALSE),"SIN STOCK")</f>
        <v>SIN STOCK</v>
      </c>
      <c r="H285" s="28"/>
      <c r="I285" s="28"/>
      <c r="J285" s="28"/>
      <c r="K285" s="28"/>
      <c r="L285" s="28"/>
      <c r="M285" s="28"/>
      <c r="N285" s="28"/>
      <c r="O285" s="28"/>
      <c r="P285" s="28"/>
      <c r="Q285" s="28"/>
      <c r="R285" s="28"/>
      <c r="S285" s="28"/>
    </row>
    <row r="286" ht="15.75" customHeight="1">
      <c r="A286" s="41" t="s">
        <v>31</v>
      </c>
      <c r="B286" s="42" t="s">
        <v>675</v>
      </c>
      <c r="C286" s="43" t="s">
        <v>676</v>
      </c>
      <c r="D286" s="44" t="s">
        <v>605</v>
      </c>
      <c r="E286" s="44" t="s">
        <v>606</v>
      </c>
      <c r="F286" s="45">
        <v>0.21</v>
      </c>
      <c r="G286" s="39" t="str">
        <f>IFERROR(VLOOKUP("XSW-D PEDALBOARD SET",STOCK!B2:Q3692,3,FALSE),"SIN STOCK")</f>
        <v>Menor a 5</v>
      </c>
      <c r="H286" s="28"/>
      <c r="I286" s="28"/>
      <c r="J286" s="28"/>
      <c r="K286" s="28"/>
      <c r="L286" s="28"/>
      <c r="M286" s="28"/>
      <c r="N286" s="28"/>
      <c r="O286" s="28"/>
      <c r="P286" s="28"/>
      <c r="Q286" s="28"/>
      <c r="R286" s="28"/>
      <c r="S286" s="28"/>
    </row>
    <row r="287" ht="15.75" customHeight="1">
      <c r="A287" s="58" t="s">
        <v>677</v>
      </c>
      <c r="B287" s="30"/>
      <c r="C287" s="30"/>
      <c r="D287" s="55"/>
      <c r="E287" s="32"/>
      <c r="F287" s="30"/>
      <c r="G287" s="30"/>
      <c r="H287" s="28"/>
      <c r="I287" s="28"/>
      <c r="J287" s="28"/>
      <c r="K287" s="28"/>
      <c r="L287" s="28"/>
      <c r="M287" s="28"/>
      <c r="N287" s="28"/>
      <c r="O287" s="28"/>
      <c r="P287" s="28"/>
      <c r="Q287" s="28"/>
      <c r="R287" s="28"/>
      <c r="S287" s="28"/>
    </row>
    <row r="288" ht="15.75" customHeight="1">
      <c r="A288" s="41" t="s">
        <v>31</v>
      </c>
      <c r="B288" s="42" t="s">
        <v>678</v>
      </c>
      <c r="C288" s="43" t="s">
        <v>679</v>
      </c>
      <c r="D288" s="44" t="s">
        <v>180</v>
      </c>
      <c r="E288" s="44" t="s">
        <v>181</v>
      </c>
      <c r="F288" s="45">
        <v>0.21</v>
      </c>
      <c r="G288" s="50" t="str">
        <f>IFERROR(VLOOKUP("XSW-D MINI JACK RX",STOCK!B2:Q3692,3,FALSE),"SIN STOCK")</f>
        <v>SIN STOCK</v>
      </c>
      <c r="H288" s="28"/>
      <c r="I288" s="28"/>
      <c r="J288" s="28"/>
      <c r="K288" s="28"/>
      <c r="L288" s="28"/>
      <c r="M288" s="28"/>
      <c r="N288" s="28"/>
      <c r="O288" s="28"/>
      <c r="P288" s="28"/>
      <c r="Q288" s="28"/>
      <c r="R288" s="28"/>
      <c r="S288" s="28"/>
    </row>
    <row r="289" ht="15.75" customHeight="1">
      <c r="A289" s="47" t="s">
        <v>31</v>
      </c>
      <c r="B289" s="48" t="s">
        <v>680</v>
      </c>
      <c r="C289" s="49" t="s">
        <v>681</v>
      </c>
      <c r="D289" s="37" t="s">
        <v>180</v>
      </c>
      <c r="E289" s="37" t="s">
        <v>181</v>
      </c>
      <c r="F289" s="38">
        <v>0.21</v>
      </c>
      <c r="G289" s="50" t="str">
        <f>IFERROR(VLOOKUP("XSW-D MINI JACK TX",STOCK!B2:Q3692,3,FALSE),"SIN STOCK")</f>
        <v>SIN STOCK</v>
      </c>
      <c r="H289" s="28"/>
      <c r="I289" s="28"/>
      <c r="J289" s="28"/>
      <c r="K289" s="28"/>
      <c r="L289" s="28"/>
      <c r="M289" s="28"/>
      <c r="N289" s="28"/>
      <c r="O289" s="28"/>
      <c r="P289" s="28"/>
      <c r="Q289" s="28"/>
      <c r="R289" s="28"/>
      <c r="S289" s="28"/>
    </row>
    <row r="290" ht="15.75" customHeight="1">
      <c r="A290" s="41" t="s">
        <v>31</v>
      </c>
      <c r="B290" s="42" t="s">
        <v>682</v>
      </c>
      <c r="C290" s="43" t="s">
        <v>683</v>
      </c>
      <c r="D290" s="44" t="s">
        <v>180</v>
      </c>
      <c r="E290" s="44" t="s">
        <v>181</v>
      </c>
      <c r="F290" s="45">
        <v>0.21</v>
      </c>
      <c r="G290" s="50" t="str">
        <f>IFERROR(VLOOKUP("XSW-D INSTRUMENT RX",STOCK!B2:Q3692,3,FALSE),"SIN STOCK")</f>
        <v>SIN STOCK</v>
      </c>
      <c r="H290" s="28"/>
      <c r="I290" s="28"/>
      <c r="J290" s="28"/>
      <c r="K290" s="28"/>
      <c r="L290" s="28"/>
      <c r="M290" s="28"/>
      <c r="N290" s="28"/>
      <c r="O290" s="28"/>
      <c r="P290" s="28"/>
      <c r="Q290" s="28"/>
      <c r="R290" s="28"/>
      <c r="S290" s="28"/>
    </row>
    <row r="291" ht="15.75" customHeight="1">
      <c r="A291" s="47" t="s">
        <v>31</v>
      </c>
      <c r="B291" s="48" t="s">
        <v>684</v>
      </c>
      <c r="C291" s="49" t="s">
        <v>685</v>
      </c>
      <c r="D291" s="37" t="s">
        <v>180</v>
      </c>
      <c r="E291" s="37" t="s">
        <v>181</v>
      </c>
      <c r="F291" s="38">
        <v>0.21</v>
      </c>
      <c r="G291" s="50" t="str">
        <f>IFERROR(VLOOKUP("XSW-D INSTRUMENT TX",STOCK!B2:Q3692,3,FALSE),"SIN STOCK")</f>
        <v>SIN STOCK</v>
      </c>
      <c r="H291" s="28"/>
      <c r="I291" s="28"/>
      <c r="J291" s="28"/>
      <c r="K291" s="28"/>
      <c r="L291" s="28"/>
      <c r="M291" s="28"/>
      <c r="N291" s="28"/>
      <c r="O291" s="28"/>
      <c r="P291" s="28"/>
      <c r="Q291" s="28"/>
      <c r="R291" s="28"/>
      <c r="S291" s="28"/>
    </row>
    <row r="292" ht="15.75" customHeight="1">
      <c r="A292" s="41" t="s">
        <v>31</v>
      </c>
      <c r="B292" s="42" t="s">
        <v>686</v>
      </c>
      <c r="C292" s="43" t="s">
        <v>687</v>
      </c>
      <c r="D292" s="44" t="s">
        <v>180</v>
      </c>
      <c r="E292" s="44" t="s">
        <v>181</v>
      </c>
      <c r="F292" s="45">
        <v>0.21</v>
      </c>
      <c r="G292" s="50" t="str">
        <f>IFERROR(VLOOKUP("XSW-D XLR FEMALE",STOCK!B2:Q3692,3,FALSE),"SIN STOCK")</f>
        <v>SIN STOCK</v>
      </c>
      <c r="H292" s="28"/>
      <c r="I292" s="28"/>
      <c r="J292" s="28"/>
      <c r="K292" s="28"/>
      <c r="L292" s="28"/>
      <c r="M292" s="28"/>
      <c r="N292" s="28"/>
      <c r="O292" s="28"/>
      <c r="P292" s="28"/>
      <c r="Q292" s="28"/>
      <c r="R292" s="28"/>
      <c r="S292" s="28"/>
    </row>
    <row r="293" ht="15.75" customHeight="1">
      <c r="A293" s="47" t="s">
        <v>31</v>
      </c>
      <c r="B293" s="48" t="s">
        <v>688</v>
      </c>
      <c r="C293" s="49" t="s">
        <v>689</v>
      </c>
      <c r="D293" s="37" t="s">
        <v>180</v>
      </c>
      <c r="E293" s="37" t="s">
        <v>181</v>
      </c>
      <c r="F293" s="38">
        <v>0.21</v>
      </c>
      <c r="G293" s="50" t="str">
        <f>IFERROR(VLOOKUP("XSW-D XLR MALE",STOCK!B2:Q3692,3,FALSE),"SIN STOCK")</f>
        <v>SIN STOCK</v>
      </c>
      <c r="H293" s="28"/>
      <c r="I293" s="28"/>
      <c r="J293" s="28"/>
      <c r="K293" s="28"/>
      <c r="L293" s="28"/>
      <c r="M293" s="28"/>
      <c r="N293" s="28"/>
      <c r="O293" s="28"/>
      <c r="P293" s="28"/>
      <c r="Q293" s="28"/>
      <c r="R293" s="28"/>
      <c r="S293" s="28"/>
    </row>
    <row r="294" ht="15.75" customHeight="1">
      <c r="A294" s="41" t="s">
        <v>31</v>
      </c>
      <c r="B294" s="42" t="s">
        <v>690</v>
      </c>
      <c r="C294" s="43" t="s">
        <v>691</v>
      </c>
      <c r="D294" s="44" t="s">
        <v>692</v>
      </c>
      <c r="E294" s="44" t="s">
        <v>693</v>
      </c>
      <c r="F294" s="45">
        <v>0.21</v>
      </c>
      <c r="G294" s="50" t="str">
        <f>IFERROR(VLOOKUP("XSW-D PEDALBOARD RECEIVER",STOCK!B2:Q3692,3,FALSE),"SIN STOCK")</f>
        <v>SIN STOCK</v>
      </c>
      <c r="H294" s="28"/>
      <c r="I294" s="28"/>
      <c r="J294" s="28"/>
      <c r="K294" s="28"/>
      <c r="L294" s="28"/>
      <c r="M294" s="28"/>
      <c r="N294" s="28"/>
      <c r="O294" s="28"/>
      <c r="P294" s="28"/>
      <c r="Q294" s="28"/>
      <c r="R294" s="28"/>
      <c r="S294" s="28"/>
    </row>
    <row r="295" ht="15.75" customHeight="1">
      <c r="A295" s="58" t="s">
        <v>694</v>
      </c>
      <c r="B295" s="30"/>
      <c r="C295" s="30"/>
      <c r="D295" s="55"/>
      <c r="E295" s="32"/>
      <c r="F295" s="30"/>
      <c r="G295" s="30"/>
      <c r="H295" s="28"/>
      <c r="I295" s="28"/>
      <c r="J295" s="28"/>
      <c r="K295" s="28"/>
      <c r="L295" s="28"/>
      <c r="M295" s="28"/>
      <c r="N295" s="28"/>
      <c r="O295" s="28"/>
      <c r="P295" s="28"/>
      <c r="Q295" s="28"/>
      <c r="R295" s="28"/>
      <c r="S295" s="28"/>
    </row>
    <row r="296" ht="15.75" customHeight="1">
      <c r="A296" s="41" t="s">
        <v>31</v>
      </c>
      <c r="B296" s="42" t="s">
        <v>695</v>
      </c>
      <c r="C296" s="43" t="s">
        <v>328</v>
      </c>
      <c r="D296" s="44" t="s">
        <v>696</v>
      </c>
      <c r="E296" s="44" t="s">
        <v>697</v>
      </c>
      <c r="F296" s="45">
        <v>0.21</v>
      </c>
      <c r="G296" s="50" t="str">
        <f>IFERROR(VLOOKUP("XSWD BELTPACK CLIP",STOCK!B2:Q3692,3,FALSE),"SIN STOCK")</f>
        <v>SIN STOCK</v>
      </c>
      <c r="H296" s="28"/>
      <c r="I296" s="28"/>
      <c r="J296" s="28"/>
      <c r="K296" s="28"/>
      <c r="L296" s="28"/>
      <c r="M296" s="28"/>
      <c r="N296" s="28"/>
      <c r="O296" s="28"/>
      <c r="P296" s="28"/>
      <c r="Q296" s="28"/>
      <c r="R296" s="28"/>
      <c r="S296" s="28"/>
    </row>
    <row r="297" ht="15.75" customHeight="1">
      <c r="A297" s="47" t="s">
        <v>31</v>
      </c>
      <c r="B297" s="48" t="s">
        <v>698</v>
      </c>
      <c r="C297" s="49" t="s">
        <v>328</v>
      </c>
      <c r="D297" s="37" t="s">
        <v>295</v>
      </c>
      <c r="E297" s="37" t="s">
        <v>296</v>
      </c>
      <c r="F297" s="38">
        <v>0.21</v>
      </c>
      <c r="G297" s="50" t="str">
        <f>IFERROR(VLOOKUP("XSWD HOTSHOE MOUNT",STOCK!B2:Q3692,3,FALSE),"SIN STOCK")</f>
        <v>SIN STOCK</v>
      </c>
      <c r="H297" s="28"/>
      <c r="I297" s="28"/>
      <c r="J297" s="28"/>
      <c r="K297" s="28"/>
      <c r="L297" s="28"/>
      <c r="M297" s="28"/>
      <c r="N297" s="28"/>
      <c r="O297" s="28"/>
      <c r="P297" s="28"/>
      <c r="Q297" s="28"/>
      <c r="R297" s="28"/>
      <c r="S297" s="28"/>
    </row>
    <row r="298" ht="15.75" customHeight="1">
      <c r="A298" s="41" t="s">
        <v>31</v>
      </c>
      <c r="B298" s="41" t="s">
        <v>699</v>
      </c>
      <c r="C298" s="43" t="s">
        <v>700</v>
      </c>
      <c r="D298" s="44" t="s">
        <v>295</v>
      </c>
      <c r="E298" s="44" t="s">
        <v>296</v>
      </c>
      <c r="F298" s="45">
        <v>0.21</v>
      </c>
      <c r="G298" s="50" t="str">
        <f>IFERROR(VLOOKUP("XSW-D MOBILE CABLE",STOCK!B2:Q3692,3,FALSE),"SIN STOCK")</f>
        <v>SIN STOCK</v>
      </c>
      <c r="H298" s="28"/>
      <c r="I298" s="28"/>
      <c r="J298" s="28"/>
      <c r="K298" s="28"/>
      <c r="L298" s="28"/>
      <c r="M298" s="28"/>
      <c r="N298" s="28"/>
      <c r="O298" s="28"/>
      <c r="P298" s="28"/>
      <c r="Q298" s="28"/>
      <c r="R298" s="28"/>
      <c r="S298" s="28"/>
    </row>
    <row r="299" ht="15.75" customHeight="1">
      <c r="A299" s="47" t="s">
        <v>31</v>
      </c>
      <c r="B299" s="47" t="s">
        <v>701</v>
      </c>
      <c r="C299" s="49" t="s">
        <v>702</v>
      </c>
      <c r="D299" s="37" t="s">
        <v>295</v>
      </c>
      <c r="E299" s="37" t="s">
        <v>296</v>
      </c>
      <c r="F299" s="38">
        <v>0.21</v>
      </c>
      <c r="G299" s="50" t="str">
        <f>IFERROR(VLOOKUP("CI 63",STOCK!B2:Q3692,3,FALSE),"SIN STOCK")</f>
        <v>SIN STOCK</v>
      </c>
      <c r="H299" s="28"/>
      <c r="I299" s="28"/>
      <c r="J299" s="28"/>
      <c r="K299" s="28"/>
      <c r="L299" s="28"/>
      <c r="M299" s="28"/>
      <c r="N299" s="28"/>
      <c r="O299" s="28"/>
      <c r="P299" s="28"/>
      <c r="Q299" s="28"/>
      <c r="R299" s="28"/>
      <c r="S299" s="28"/>
    </row>
    <row r="300" ht="15.75" customHeight="1">
      <c r="A300" s="29" t="s">
        <v>703</v>
      </c>
      <c r="B300" s="30"/>
      <c r="C300" s="30"/>
      <c r="D300" s="55"/>
      <c r="E300" s="32"/>
      <c r="F300" s="30"/>
      <c r="G300" s="30"/>
      <c r="H300" s="28"/>
      <c r="I300" s="28"/>
      <c r="J300" s="28"/>
      <c r="K300" s="28"/>
      <c r="L300" s="28"/>
      <c r="M300" s="28"/>
      <c r="N300" s="28"/>
      <c r="O300" s="28"/>
      <c r="P300" s="28"/>
      <c r="Q300" s="28"/>
      <c r="R300" s="28"/>
      <c r="S300" s="28"/>
    </row>
    <row r="301" ht="15.75" customHeight="1">
      <c r="A301" s="41" t="s">
        <v>31</v>
      </c>
      <c r="B301" s="42" t="s">
        <v>704</v>
      </c>
      <c r="C301" s="43" t="s">
        <v>705</v>
      </c>
      <c r="D301" s="44" t="s">
        <v>227</v>
      </c>
      <c r="E301" s="44" t="s">
        <v>228</v>
      </c>
      <c r="F301" s="45">
        <v>0.21</v>
      </c>
      <c r="G301" s="39" t="str">
        <f>IFERROR(VLOOKUP("XSW IEM SET (A)",STOCK!B2:Q3692,3,FALSE),"SIN STOCK")</f>
        <v>Mayor a 5</v>
      </c>
      <c r="H301" s="28"/>
      <c r="I301" s="28"/>
      <c r="J301" s="28"/>
      <c r="K301" s="28"/>
      <c r="L301" s="28"/>
      <c r="M301" s="28"/>
      <c r="N301" s="28"/>
      <c r="O301" s="28"/>
      <c r="P301" s="28"/>
      <c r="Q301" s="28"/>
      <c r="R301" s="28"/>
      <c r="S301" s="28"/>
    </row>
    <row r="302" ht="15.75" hidden="1" customHeight="1">
      <c r="A302" s="47" t="s">
        <v>31</v>
      </c>
      <c r="B302" s="48" t="s">
        <v>706</v>
      </c>
      <c r="C302" s="49" t="s">
        <v>707</v>
      </c>
      <c r="D302" s="37" t="s">
        <v>227</v>
      </c>
      <c r="E302" s="37" t="s">
        <v>228</v>
      </c>
      <c r="F302" s="38">
        <v>0.21</v>
      </c>
      <c r="G302" s="39" t="str">
        <f>IFERROR(VLOOKUP("XSW IEM SET (C)",STOCK!B2:Q3692,3,FALSE),"SIN STOCK")</f>
        <v>Mayor a 5</v>
      </c>
      <c r="H302" s="28"/>
      <c r="I302" s="28"/>
      <c r="J302" s="28"/>
      <c r="K302" s="28"/>
      <c r="L302" s="28"/>
      <c r="M302" s="28"/>
      <c r="N302" s="28"/>
      <c r="O302" s="28"/>
      <c r="P302" s="28"/>
      <c r="Q302" s="28"/>
      <c r="R302" s="28"/>
      <c r="S302" s="28"/>
    </row>
    <row r="303" ht="15.75" customHeight="1">
      <c r="A303" s="58" t="s">
        <v>708</v>
      </c>
      <c r="B303" s="30"/>
      <c r="C303" s="30"/>
      <c r="D303" s="55"/>
      <c r="E303" s="32"/>
      <c r="F303" s="30"/>
      <c r="G303" s="30"/>
      <c r="H303" s="28"/>
      <c r="I303" s="28"/>
      <c r="J303" s="28"/>
      <c r="K303" s="28"/>
      <c r="L303" s="28"/>
      <c r="M303" s="28"/>
      <c r="N303" s="28"/>
      <c r="O303" s="28"/>
      <c r="P303" s="28"/>
      <c r="Q303" s="28"/>
      <c r="R303" s="28"/>
      <c r="S303" s="28"/>
    </row>
    <row r="304" ht="15.75" customHeight="1">
      <c r="A304" s="41" t="s">
        <v>31</v>
      </c>
      <c r="B304" s="42" t="s">
        <v>709</v>
      </c>
      <c r="C304" s="43" t="s">
        <v>710</v>
      </c>
      <c r="D304" s="44" t="s">
        <v>162</v>
      </c>
      <c r="E304" s="44" t="s">
        <v>163</v>
      </c>
      <c r="F304" s="45">
        <v>0.21</v>
      </c>
      <c r="G304" s="39" t="str">
        <f>IFERROR(VLOOKUP("XSW IEM EK (A)",STOCK!B2:Q3692,3,FALSE),"SIN STOCK")</f>
        <v>Menor a 5</v>
      </c>
      <c r="H304" s="28"/>
      <c r="I304" s="28"/>
      <c r="J304" s="28"/>
      <c r="K304" s="28"/>
      <c r="L304" s="28"/>
      <c r="M304" s="28"/>
      <c r="N304" s="28"/>
      <c r="O304" s="28"/>
      <c r="P304" s="28"/>
      <c r="Q304" s="28"/>
      <c r="R304" s="28"/>
      <c r="S304" s="28"/>
    </row>
    <row r="305" ht="15.75" customHeight="1">
      <c r="A305" s="47" t="s">
        <v>31</v>
      </c>
      <c r="B305" s="48" t="s">
        <v>711</v>
      </c>
      <c r="C305" s="49" t="s">
        <v>712</v>
      </c>
      <c r="D305" s="37" t="s">
        <v>162</v>
      </c>
      <c r="E305" s="37" t="s">
        <v>163</v>
      </c>
      <c r="F305" s="38">
        <v>0.21</v>
      </c>
      <c r="G305" s="50" t="str">
        <f>IFERROR(VLOOKUP("XSW IEM SR (A)",STOCK!B2:Q3692,3,FALSE),"SIN STOCK")</f>
        <v>SIN STOCK</v>
      </c>
      <c r="H305" s="28"/>
      <c r="I305" s="28"/>
      <c r="J305" s="28"/>
      <c r="K305" s="28"/>
      <c r="L305" s="28"/>
      <c r="M305" s="28"/>
      <c r="N305" s="28"/>
      <c r="O305" s="28"/>
      <c r="P305" s="28"/>
      <c r="Q305" s="28"/>
      <c r="R305" s="28"/>
      <c r="S305" s="28"/>
    </row>
    <row r="306" ht="15.75" customHeight="1">
      <c r="A306" s="58" t="s">
        <v>713</v>
      </c>
      <c r="B306" s="30"/>
      <c r="C306" s="30"/>
      <c r="D306" s="55"/>
      <c r="E306" s="32"/>
      <c r="F306" s="30"/>
      <c r="G306" s="30"/>
      <c r="H306" s="28"/>
      <c r="I306" s="28"/>
      <c r="J306" s="28"/>
      <c r="K306" s="28"/>
      <c r="L306" s="28"/>
      <c r="M306" s="28"/>
      <c r="N306" s="28"/>
      <c r="O306" s="28"/>
      <c r="P306" s="28"/>
      <c r="Q306" s="28"/>
      <c r="R306" s="28"/>
      <c r="S306" s="28"/>
    </row>
    <row r="307" ht="15.75" customHeight="1">
      <c r="A307" s="41" t="s">
        <v>31</v>
      </c>
      <c r="B307" s="42" t="s">
        <v>714</v>
      </c>
      <c r="C307" s="43" t="s">
        <v>715</v>
      </c>
      <c r="D307" s="44" t="s">
        <v>696</v>
      </c>
      <c r="E307" s="44" t="s">
        <v>697</v>
      </c>
      <c r="F307" s="45">
        <v>0.21</v>
      </c>
      <c r="G307" s="50" t="str">
        <f>IFERROR(VLOOKUP("XSW IEM EK BATTERY COVER",STOCK!B2:Q3692,3,FALSE),"SIN STOCK")</f>
        <v>SIN STOCK</v>
      </c>
      <c r="H307" s="28"/>
      <c r="I307" s="28"/>
      <c r="J307" s="28"/>
      <c r="K307" s="28"/>
      <c r="L307" s="28"/>
      <c r="M307" s="28"/>
      <c r="N307" s="28"/>
      <c r="O307" s="28"/>
      <c r="P307" s="28"/>
      <c r="Q307" s="28"/>
      <c r="R307" s="28"/>
      <c r="S307" s="28"/>
    </row>
    <row r="308" ht="15.75" customHeight="1">
      <c r="A308" s="47" t="s">
        <v>31</v>
      </c>
      <c r="B308" s="48" t="s">
        <v>716</v>
      </c>
      <c r="C308" s="49" t="s">
        <v>717</v>
      </c>
      <c r="D308" s="37" t="s">
        <v>696</v>
      </c>
      <c r="E308" s="37" t="s">
        <v>697</v>
      </c>
      <c r="F308" s="38">
        <v>0.21</v>
      </c>
      <c r="G308" s="50" t="str">
        <f>IFERROR(VLOOKUP("XSW IEM EK BELT CLIP",STOCK!B2:Q3692,3,FALSE),"SIN STOCK")</f>
        <v>SIN STOCK</v>
      </c>
      <c r="H308" s="28"/>
      <c r="I308" s="28"/>
      <c r="J308" s="28"/>
      <c r="K308" s="28"/>
      <c r="L308" s="28"/>
      <c r="M308" s="28"/>
      <c r="N308" s="28"/>
      <c r="O308" s="28"/>
      <c r="P308" s="28"/>
      <c r="Q308" s="28"/>
      <c r="R308" s="28"/>
      <c r="S308" s="28"/>
    </row>
    <row r="309" ht="15.75" customHeight="1">
      <c r="A309" s="29" t="s">
        <v>718</v>
      </c>
      <c r="B309" s="30"/>
      <c r="C309" s="30"/>
      <c r="D309" s="55"/>
      <c r="E309" s="32"/>
      <c r="F309" s="30"/>
      <c r="G309" s="30"/>
      <c r="H309" s="28"/>
      <c r="I309" s="28"/>
      <c r="J309" s="28"/>
      <c r="K309" s="28"/>
      <c r="L309" s="28"/>
      <c r="M309" s="28"/>
      <c r="N309" s="28"/>
      <c r="O309" s="28"/>
      <c r="P309" s="28"/>
      <c r="Q309" s="28"/>
      <c r="R309" s="28"/>
      <c r="S309" s="28"/>
    </row>
    <row r="310" ht="15.75" customHeight="1">
      <c r="A310" s="41" t="s">
        <v>31</v>
      </c>
      <c r="B310" s="42" t="s">
        <v>719</v>
      </c>
      <c r="C310" s="43" t="s">
        <v>720</v>
      </c>
      <c r="D310" s="44" t="s">
        <v>721</v>
      </c>
      <c r="E310" s="44" t="s">
        <v>722</v>
      </c>
      <c r="F310" s="45">
        <v>0.21</v>
      </c>
      <c r="G310" s="39" t="str">
        <f>IFERROR(VLOOKUP("PROFILE",STOCK!B2:Q3692,3,FALSE),"SIN STOCK")</f>
        <v>SIN STOCK</v>
      </c>
      <c r="H310" s="28"/>
      <c r="I310" s="28"/>
      <c r="J310" s="28"/>
      <c r="K310" s="28"/>
      <c r="L310" s="28"/>
      <c r="M310" s="28"/>
      <c r="N310" s="28"/>
      <c r="O310" s="28"/>
      <c r="P310" s="28"/>
      <c r="Q310" s="28"/>
      <c r="R310" s="28"/>
      <c r="S310" s="28"/>
    </row>
    <row r="311" ht="15.75" customHeight="1">
      <c r="A311" s="47" t="s">
        <v>31</v>
      </c>
      <c r="B311" s="56" t="s">
        <v>723</v>
      </c>
      <c r="C311" s="49" t="s">
        <v>724</v>
      </c>
      <c r="D311" s="37" t="s">
        <v>101</v>
      </c>
      <c r="E311" s="37" t="s">
        <v>102</v>
      </c>
      <c r="F311" s="38">
        <v>0.21</v>
      </c>
      <c r="G311" s="39" t="str">
        <f>IFERROR(VLOOKUP("PROFILE STREAMING SET",STOCK!B2:Q3692,3,FALSE),"SIN STOCK")</f>
        <v>Menor a 5</v>
      </c>
      <c r="H311" s="28"/>
      <c r="I311" s="28"/>
      <c r="J311" s="28"/>
      <c r="K311" s="28"/>
      <c r="L311" s="28"/>
      <c r="M311" s="28"/>
      <c r="N311" s="28"/>
      <c r="O311" s="28"/>
      <c r="P311" s="28"/>
      <c r="Q311" s="28"/>
      <c r="R311" s="28"/>
      <c r="S311" s="28"/>
    </row>
    <row r="312" ht="15.75" customHeight="1">
      <c r="A312" s="41" t="s">
        <v>31</v>
      </c>
      <c r="B312" s="42" t="s">
        <v>725</v>
      </c>
      <c r="C312" s="43" t="s">
        <v>726</v>
      </c>
      <c r="D312" s="44" t="s">
        <v>727</v>
      </c>
      <c r="E312" s="44" t="s">
        <v>728</v>
      </c>
      <c r="F312" s="45">
        <v>0.21</v>
      </c>
      <c r="G312" s="39" t="str">
        <f>IFERROR(VLOOKUP("PROFILE WIRELESS 2-CHANNEL SET",STOCK!B2:Q3692,3,FALSE),"SIN STOCK")</f>
        <v>Mayor a 5</v>
      </c>
      <c r="H312" s="28"/>
      <c r="I312" s="28"/>
      <c r="J312" s="28"/>
      <c r="K312" s="28"/>
      <c r="L312" s="28"/>
      <c r="M312" s="28"/>
      <c r="N312" s="28"/>
      <c r="O312" s="28"/>
      <c r="P312" s="28"/>
      <c r="Q312" s="28"/>
      <c r="R312" s="28"/>
      <c r="S312" s="28"/>
    </row>
    <row r="313" ht="15.75" customHeight="1">
      <c r="A313" s="58" t="s">
        <v>729</v>
      </c>
      <c r="B313" s="30"/>
      <c r="C313" s="30"/>
      <c r="D313" s="55"/>
      <c r="E313" s="32"/>
      <c r="F313" s="30"/>
      <c r="G313" s="30"/>
      <c r="H313" s="28"/>
      <c r="I313" s="28"/>
      <c r="J313" s="28"/>
      <c r="K313" s="28"/>
      <c r="L313" s="28"/>
      <c r="M313" s="28"/>
      <c r="N313" s="28"/>
      <c r="O313" s="28"/>
      <c r="P313" s="28"/>
      <c r="Q313" s="28"/>
      <c r="R313" s="28"/>
      <c r="S313" s="28"/>
    </row>
    <row r="314" ht="15.75" customHeight="1">
      <c r="A314" s="41" t="s">
        <v>31</v>
      </c>
      <c r="B314" s="42" t="s">
        <v>730</v>
      </c>
      <c r="C314" s="43" t="s">
        <v>731</v>
      </c>
      <c r="D314" s="44" t="s">
        <v>732</v>
      </c>
      <c r="E314" s="44" t="s">
        <v>733</v>
      </c>
      <c r="F314" s="45">
        <v>0.21</v>
      </c>
      <c r="G314" s="50" t="str">
        <f>IFERROR(VLOOKUP("BOOM ARM",STOCK!B2:Q3692,3,FALSE),"SIN STOCK")</f>
        <v>SIN STOCK</v>
      </c>
      <c r="H314" s="28"/>
      <c r="I314" s="28"/>
      <c r="J314" s="28"/>
      <c r="K314" s="28"/>
      <c r="L314" s="28"/>
      <c r="M314" s="28"/>
      <c r="N314" s="28"/>
      <c r="O314" s="28"/>
      <c r="P314" s="28"/>
      <c r="Q314" s="28"/>
      <c r="R314" s="28"/>
      <c r="S314" s="28"/>
    </row>
    <row r="315" ht="15.75" customHeight="1">
      <c r="A315" s="47" t="s">
        <v>31</v>
      </c>
      <c r="B315" s="48" t="s">
        <v>734</v>
      </c>
      <c r="C315" s="49" t="s">
        <v>735</v>
      </c>
      <c r="D315" s="37" t="s">
        <v>736</v>
      </c>
      <c r="E315" s="37" t="s">
        <v>737</v>
      </c>
      <c r="F315" s="38">
        <v>0.21</v>
      </c>
      <c r="G315" s="50" t="str">
        <f>IFERROR(VLOOKUP("PROFILE TABLE STAND",STOCK!B2:Q3692,3,FALSE),"SIN STOCK")</f>
        <v>SIN STOCK</v>
      </c>
      <c r="H315" s="28"/>
      <c r="I315" s="28"/>
      <c r="J315" s="28"/>
      <c r="K315" s="28"/>
      <c r="L315" s="28"/>
      <c r="M315" s="28"/>
      <c r="N315" s="28"/>
      <c r="O315" s="28"/>
      <c r="P315" s="28"/>
      <c r="Q315" s="28"/>
      <c r="R315" s="28"/>
      <c r="S315" s="28"/>
    </row>
    <row r="316" ht="15.75" customHeight="1">
      <c r="A316" s="41" t="s">
        <v>31</v>
      </c>
      <c r="B316" s="42" t="s">
        <v>738</v>
      </c>
      <c r="C316" s="43" t="s">
        <v>328</v>
      </c>
      <c r="D316" s="44" t="s">
        <v>739</v>
      </c>
      <c r="E316" s="44" t="s">
        <v>740</v>
      </c>
      <c r="F316" s="45">
        <v>0.21</v>
      </c>
      <c r="G316" s="50" t="str">
        <f>IFERROR(VLOOKUP("USB-C CABLE (3M)",STOCK!B2:Q3692,3,FALSE),"SIN STOCK")</f>
        <v>SIN STOCK</v>
      </c>
      <c r="H316" s="28"/>
      <c r="I316" s="28"/>
      <c r="J316" s="28"/>
      <c r="K316" s="28"/>
      <c r="L316" s="28"/>
      <c r="M316" s="28"/>
      <c r="N316" s="28"/>
      <c r="O316" s="28"/>
      <c r="P316" s="28"/>
      <c r="Q316" s="28"/>
      <c r="R316" s="28"/>
      <c r="S316" s="28"/>
    </row>
    <row r="317" ht="15.75" customHeight="1">
      <c r="A317" s="58" t="s">
        <v>741</v>
      </c>
      <c r="B317" s="30"/>
      <c r="C317" s="30"/>
      <c r="D317" s="55"/>
      <c r="E317" s="32"/>
      <c r="F317" s="30"/>
      <c r="G317" s="30"/>
      <c r="H317" s="28"/>
      <c r="I317" s="28"/>
      <c r="J317" s="28"/>
      <c r="K317" s="28"/>
      <c r="L317" s="28"/>
      <c r="M317" s="28"/>
      <c r="N317" s="28"/>
      <c r="O317" s="28"/>
      <c r="P317" s="28"/>
      <c r="Q317" s="28"/>
      <c r="R317" s="28"/>
      <c r="S317" s="28"/>
    </row>
    <row r="318" ht="15.75" customHeight="1">
      <c r="A318" s="41" t="s">
        <v>31</v>
      </c>
      <c r="B318" s="41" t="s">
        <v>742</v>
      </c>
      <c r="C318" s="43" t="s">
        <v>743</v>
      </c>
      <c r="D318" s="44" t="s">
        <v>744</v>
      </c>
      <c r="E318" s="44" t="s">
        <v>745</v>
      </c>
      <c r="F318" s="45">
        <v>0.21</v>
      </c>
      <c r="G318" s="65" t="s">
        <v>517</v>
      </c>
      <c r="H318" s="28"/>
      <c r="I318" s="28"/>
      <c r="J318" s="28"/>
      <c r="K318" s="28"/>
      <c r="L318" s="28"/>
      <c r="M318" s="28"/>
      <c r="N318" s="28"/>
      <c r="O318" s="28"/>
      <c r="P318" s="28"/>
      <c r="Q318" s="28"/>
      <c r="R318" s="28"/>
      <c r="S318" s="28"/>
    </row>
    <row r="319" ht="15.75" customHeight="1">
      <c r="A319" s="47" t="s">
        <v>31</v>
      </c>
      <c r="B319" s="47" t="s">
        <v>746</v>
      </c>
      <c r="C319" s="49" t="s">
        <v>747</v>
      </c>
      <c r="D319" s="37" t="s">
        <v>748</v>
      </c>
      <c r="E319" s="37" t="s">
        <v>749</v>
      </c>
      <c r="F319" s="38">
        <v>0.21</v>
      </c>
      <c r="G319" s="65" t="s">
        <v>517</v>
      </c>
      <c r="H319" s="28"/>
      <c r="I319" s="28"/>
      <c r="J319" s="28"/>
      <c r="K319" s="28"/>
      <c r="L319" s="28"/>
      <c r="M319" s="28"/>
      <c r="N319" s="28"/>
      <c r="O319" s="28"/>
      <c r="P319" s="28"/>
      <c r="Q319" s="28"/>
      <c r="R319" s="28"/>
      <c r="S319" s="28"/>
    </row>
    <row r="320" ht="15.75" customHeight="1">
      <c r="A320" s="58" t="s">
        <v>750</v>
      </c>
      <c r="B320" s="30"/>
      <c r="C320" s="30"/>
      <c r="D320" s="55"/>
      <c r="E320" s="32"/>
      <c r="F320" s="30"/>
      <c r="G320" s="30"/>
      <c r="H320" s="28"/>
      <c r="I320" s="28"/>
      <c r="J320" s="28"/>
      <c r="K320" s="28"/>
      <c r="L320" s="28"/>
      <c r="M320" s="28"/>
      <c r="N320" s="28"/>
      <c r="O320" s="28"/>
      <c r="P320" s="28"/>
      <c r="Q320" s="28"/>
      <c r="R320" s="28"/>
      <c r="S320" s="28"/>
    </row>
    <row r="321" ht="15.75" customHeight="1">
      <c r="A321" s="41" t="s">
        <v>31</v>
      </c>
      <c r="B321" s="41" t="s">
        <v>751</v>
      </c>
      <c r="C321" s="43" t="s">
        <v>752</v>
      </c>
      <c r="D321" s="44" t="s">
        <v>753</v>
      </c>
      <c r="E321" s="44" t="s">
        <v>754</v>
      </c>
      <c r="F321" s="45">
        <v>0.21</v>
      </c>
      <c r="G321" s="53" t="str">
        <f>IFERROR(VLOOKUP("SR 2020-D-US",STOCK!B4:Q3694,3,FALSE),"SIN STOCK")</f>
        <v>Menor a 5</v>
      </c>
      <c r="H321" s="28"/>
      <c r="I321" s="28"/>
      <c r="J321" s="28"/>
      <c r="K321" s="28"/>
      <c r="L321" s="28"/>
      <c r="M321" s="28"/>
      <c r="N321" s="28"/>
      <c r="O321" s="28"/>
      <c r="P321" s="28"/>
      <c r="Q321" s="28"/>
      <c r="R321" s="28"/>
      <c r="S321" s="28"/>
    </row>
    <row r="322" ht="15.75" customHeight="1">
      <c r="A322" s="47" t="s">
        <v>31</v>
      </c>
      <c r="B322" s="47" t="s">
        <v>755</v>
      </c>
      <c r="C322" s="49" t="s">
        <v>756</v>
      </c>
      <c r="D322" s="37" t="s">
        <v>757</v>
      </c>
      <c r="E322" s="37" t="s">
        <v>758</v>
      </c>
      <c r="F322" s="38">
        <v>0.21</v>
      </c>
      <c r="G322" s="50" t="str">
        <f>IFERROR(VLOOKUP("SR2020-D-US DUAL",STOCK!B5:Q3695,3,FALSE),"SIN STOCK")</f>
        <v>SIN STOCK</v>
      </c>
      <c r="H322" s="28"/>
      <c r="I322" s="28"/>
      <c r="J322" s="28"/>
      <c r="K322" s="28"/>
      <c r="L322" s="28"/>
      <c r="M322" s="28"/>
      <c r="N322" s="28"/>
      <c r="O322" s="28"/>
      <c r="P322" s="28"/>
      <c r="Q322" s="28"/>
      <c r="R322" s="28"/>
      <c r="S322" s="28"/>
    </row>
    <row r="323" ht="15.75" customHeight="1">
      <c r="A323" s="41" t="s">
        <v>31</v>
      </c>
      <c r="B323" s="41" t="s">
        <v>759</v>
      </c>
      <c r="C323" s="43" t="s">
        <v>760</v>
      </c>
      <c r="D323" s="44" t="s">
        <v>761</v>
      </c>
      <c r="E323" s="44" t="s">
        <v>762</v>
      </c>
      <c r="F323" s="45">
        <v>0.21</v>
      </c>
      <c r="G323" s="50" t="str">
        <f>IFERROR(VLOOKUP("SR2020-D-USSINGLE",STOCK!B2:Q3692,3,FALSE),"SIN STOCK")</f>
        <v>SIN STOCK</v>
      </c>
      <c r="H323" s="28"/>
      <c r="I323" s="28"/>
      <c r="J323" s="28"/>
      <c r="K323" s="28"/>
      <c r="L323" s="28"/>
      <c r="M323" s="28"/>
      <c r="N323" s="28"/>
      <c r="O323" s="28"/>
      <c r="P323" s="28"/>
      <c r="Q323" s="28"/>
      <c r="R323" s="28"/>
      <c r="S323" s="28"/>
    </row>
    <row r="324" ht="15.75" customHeight="1">
      <c r="A324" s="47" t="s">
        <v>31</v>
      </c>
      <c r="B324" s="47" t="s">
        <v>763</v>
      </c>
      <c r="C324" s="49" t="s">
        <v>764</v>
      </c>
      <c r="D324" s="37" t="s">
        <v>765</v>
      </c>
      <c r="E324" s="37" t="s">
        <v>766</v>
      </c>
      <c r="F324" s="38">
        <v>0.21</v>
      </c>
      <c r="G324" s="53" t="str">
        <f>IFERROR(VLOOKUP("HDE 2020-D-II US",STOCK!B2:Q3692,3,FALSE),"SIN STOCK")</f>
        <v>SIN STOCK</v>
      </c>
      <c r="H324" s="28"/>
      <c r="I324" s="28"/>
      <c r="J324" s="28"/>
      <c r="K324" s="28"/>
      <c r="L324" s="28"/>
      <c r="M324" s="28"/>
      <c r="N324" s="28"/>
      <c r="O324" s="28"/>
      <c r="P324" s="28"/>
      <c r="Q324" s="28"/>
      <c r="R324" s="28"/>
      <c r="S324" s="28"/>
    </row>
    <row r="325" ht="15.75" customHeight="1">
      <c r="A325" s="41" t="s">
        <v>31</v>
      </c>
      <c r="B325" s="41" t="s">
        <v>767</v>
      </c>
      <c r="C325" s="43" t="s">
        <v>768</v>
      </c>
      <c r="D325" s="44" t="s">
        <v>769</v>
      </c>
      <c r="E325" s="44" t="s">
        <v>770</v>
      </c>
      <c r="F325" s="45">
        <v>0.21</v>
      </c>
      <c r="G325" s="53" t="str">
        <f>IFERROR(VLOOKUP("SK 2020-D-US",STOCK!B2:Q3692,3,FALSE),"SIN STOCK")</f>
        <v>Menor a 5</v>
      </c>
      <c r="H325" s="28"/>
      <c r="I325" s="28"/>
      <c r="J325" s="28"/>
      <c r="K325" s="28"/>
      <c r="L325" s="28"/>
      <c r="M325" s="28"/>
      <c r="N325" s="28"/>
      <c r="O325" s="28"/>
      <c r="P325" s="28"/>
      <c r="Q325" s="28"/>
      <c r="R325" s="28"/>
      <c r="S325" s="28"/>
    </row>
    <row r="326" ht="15.75" customHeight="1">
      <c r="A326" s="47" t="s">
        <v>31</v>
      </c>
      <c r="B326" s="47" t="s">
        <v>771</v>
      </c>
      <c r="C326" s="49" t="s">
        <v>772</v>
      </c>
      <c r="D326" s="37" t="s">
        <v>93</v>
      </c>
      <c r="E326" s="37" t="s">
        <v>94</v>
      </c>
      <c r="F326" s="38">
        <v>0.21</v>
      </c>
      <c r="G326" s="50" t="str">
        <f>IFERROR(VLOOKUP("SKM 2020-D-US",STOCK!B2:Q3692,3,FALSE),"SIN STOCK")</f>
        <v>SIN STOCK</v>
      </c>
      <c r="H326" s="28"/>
      <c r="I326" s="28"/>
      <c r="J326" s="28"/>
      <c r="K326" s="28"/>
      <c r="L326" s="28"/>
      <c r="M326" s="28"/>
      <c r="N326" s="28"/>
      <c r="O326" s="28"/>
      <c r="P326" s="28"/>
      <c r="Q326" s="28"/>
      <c r="R326" s="28"/>
      <c r="S326" s="28"/>
    </row>
    <row r="327" ht="15.75" customHeight="1">
      <c r="A327" s="41" t="s">
        <v>31</v>
      </c>
      <c r="B327" s="41" t="s">
        <v>773</v>
      </c>
      <c r="C327" s="43" t="s">
        <v>774</v>
      </c>
      <c r="D327" s="44" t="s">
        <v>765</v>
      </c>
      <c r="E327" s="44" t="s">
        <v>766</v>
      </c>
      <c r="F327" s="45">
        <v>0.21</v>
      </c>
      <c r="G327" s="53" t="str">
        <f>IFERROR(VLOOKUP("EK 2020-D II US",STOCK!B2:Q3692,3,FALSE),"SIN STOCK")</f>
        <v>Menor a 5</v>
      </c>
      <c r="H327" s="28"/>
      <c r="I327" s="28"/>
      <c r="J327" s="28"/>
      <c r="K327" s="28"/>
      <c r="L327" s="28"/>
      <c r="M327" s="28"/>
      <c r="N327" s="28"/>
      <c r="O327" s="28"/>
      <c r="P327" s="28"/>
      <c r="Q327" s="28"/>
      <c r="R327" s="28"/>
      <c r="S327" s="28"/>
    </row>
    <row r="328" ht="15.75" customHeight="1">
      <c r="A328" s="58" t="s">
        <v>775</v>
      </c>
      <c r="B328" s="30"/>
      <c r="C328" s="30"/>
      <c r="D328" s="55"/>
      <c r="E328" s="32"/>
      <c r="F328" s="30"/>
      <c r="G328" s="30"/>
      <c r="H328" s="28"/>
      <c r="I328" s="28"/>
      <c r="J328" s="28"/>
      <c r="K328" s="28"/>
      <c r="L328" s="28"/>
      <c r="M328" s="28"/>
      <c r="N328" s="28"/>
      <c r="O328" s="28"/>
      <c r="P328" s="28"/>
      <c r="Q328" s="28"/>
      <c r="R328" s="28"/>
      <c r="S328" s="28"/>
    </row>
    <row r="329" ht="15.75" customHeight="1">
      <c r="A329" s="41" t="s">
        <v>31</v>
      </c>
      <c r="B329" s="41" t="s">
        <v>776</v>
      </c>
      <c r="C329" s="43" t="s">
        <v>777</v>
      </c>
      <c r="D329" s="44" t="s">
        <v>778</v>
      </c>
      <c r="E329" s="44" t="s">
        <v>779</v>
      </c>
      <c r="F329" s="45">
        <v>0.21</v>
      </c>
      <c r="G329" s="50" t="str">
        <f>IFERROR(VLOOKUP("GZR 2020",STOCK!B2:Q3692,3,FALSE),"SIN STOCK")</f>
        <v>SIN STOCK</v>
      </c>
      <c r="H329" s="28"/>
      <c r="I329" s="28"/>
      <c r="J329" s="28"/>
      <c r="K329" s="28"/>
      <c r="L329" s="28"/>
      <c r="M329" s="28"/>
      <c r="N329" s="28"/>
      <c r="O329" s="28"/>
      <c r="P329" s="28"/>
      <c r="Q329" s="28"/>
      <c r="R329" s="28"/>
      <c r="S329" s="28"/>
    </row>
    <row r="330" ht="15.75" customHeight="1">
      <c r="A330" s="47" t="s">
        <v>31</v>
      </c>
      <c r="B330" s="47" t="s">
        <v>780</v>
      </c>
      <c r="C330" s="49" t="s">
        <v>781</v>
      </c>
      <c r="D330" s="37" t="s">
        <v>782</v>
      </c>
      <c r="E330" s="37" t="s">
        <v>783</v>
      </c>
      <c r="F330" s="38">
        <v>0.21</v>
      </c>
      <c r="G330" s="50" t="str">
        <f>IFERROR(VLOOKUP("L 2021-40",STOCK!B2:Q3692,3,FALSE),"SIN STOCK")</f>
        <v>SIN STOCK</v>
      </c>
      <c r="H330" s="28"/>
      <c r="I330" s="28"/>
      <c r="J330" s="28"/>
      <c r="K330" s="28"/>
      <c r="L330" s="28"/>
      <c r="M330" s="28"/>
      <c r="N330" s="28"/>
      <c r="O330" s="28"/>
      <c r="P330" s="28"/>
      <c r="Q330" s="28"/>
      <c r="R330" s="28"/>
      <c r="S330" s="28"/>
    </row>
    <row r="331" ht="15.75" customHeight="1">
      <c r="A331" s="41" t="s">
        <v>31</v>
      </c>
      <c r="B331" s="41" t="s">
        <v>784</v>
      </c>
      <c r="C331" s="43" t="s">
        <v>785</v>
      </c>
      <c r="D331" s="44" t="s">
        <v>786</v>
      </c>
      <c r="E331" s="44" t="s">
        <v>787</v>
      </c>
      <c r="F331" s="45">
        <v>0.21</v>
      </c>
      <c r="G331" s="50" t="str">
        <f>IFERROR(VLOOKUP("EZL 2020-20L",STOCK!B2:Q3692,3,FALSE),"SIN STOCK")</f>
        <v>SIN STOCK</v>
      </c>
      <c r="H331" s="28"/>
      <c r="I331" s="28"/>
      <c r="J331" s="28"/>
      <c r="K331" s="28"/>
      <c r="L331" s="28"/>
      <c r="M331" s="28"/>
      <c r="N331" s="28"/>
      <c r="O331" s="28"/>
      <c r="P331" s="28"/>
      <c r="Q331" s="28"/>
      <c r="R331" s="28"/>
      <c r="S331" s="28"/>
    </row>
    <row r="332" ht="15.75" customHeight="1">
      <c r="A332" s="58" t="s">
        <v>788</v>
      </c>
      <c r="B332" s="30"/>
      <c r="C332" s="30"/>
      <c r="D332" s="55"/>
      <c r="E332" s="32"/>
      <c r="F332" s="30"/>
      <c r="G332" s="30"/>
      <c r="H332" s="28"/>
      <c r="I332" s="28"/>
      <c r="J332" s="28"/>
      <c r="K332" s="28"/>
      <c r="L332" s="28"/>
      <c r="M332" s="28"/>
      <c r="N332" s="28"/>
      <c r="O332" s="28"/>
      <c r="P332" s="28"/>
      <c r="Q332" s="28"/>
      <c r="R332" s="28"/>
      <c r="S332" s="28"/>
    </row>
    <row r="333" ht="15.75" customHeight="1">
      <c r="A333" s="41" t="s">
        <v>31</v>
      </c>
      <c r="B333" s="42" t="s">
        <v>789</v>
      </c>
      <c r="C333" s="43" t="s">
        <v>790</v>
      </c>
      <c r="D333" s="44" t="s">
        <v>791</v>
      </c>
      <c r="E333" s="44" t="s">
        <v>792</v>
      </c>
      <c r="F333" s="45">
        <v>0.21</v>
      </c>
      <c r="G333" s="50" t="str">
        <f>IFERROR(VLOOKUP("Team Connect Ceiling 2 With Extension Brackets",STOCK!B2:Q3692,3,FALSE),"SIN STOCK")</f>
        <v>SIN STOCK</v>
      </c>
      <c r="H333" s="28"/>
      <c r="I333" s="28"/>
      <c r="J333" s="28"/>
      <c r="K333" s="28"/>
      <c r="L333" s="28"/>
      <c r="M333" s="28"/>
      <c r="N333" s="28"/>
      <c r="O333" s="28"/>
      <c r="P333" s="28"/>
      <c r="Q333" s="28"/>
      <c r="R333" s="28"/>
      <c r="S333" s="28"/>
    </row>
    <row r="334" ht="15.75" customHeight="1">
      <c r="A334" s="47" t="s">
        <v>31</v>
      </c>
      <c r="B334" s="56" t="s">
        <v>793</v>
      </c>
      <c r="C334" s="49" t="s">
        <v>794</v>
      </c>
      <c r="D334" s="37" t="s">
        <v>791</v>
      </c>
      <c r="E334" s="37" t="s">
        <v>792</v>
      </c>
      <c r="F334" s="38">
        <v>0.21</v>
      </c>
      <c r="G334" s="39" t="str">
        <f>IFERROR(VLOOKUP("TeamConnect Ceiling 2",STOCK!B2:Q3692,3,FALSE),"SIN STOCK")</f>
        <v>Menor a 5</v>
      </c>
      <c r="H334" s="28"/>
      <c r="I334" s="28"/>
      <c r="J334" s="28"/>
      <c r="K334" s="28"/>
      <c r="L334" s="28"/>
      <c r="M334" s="28"/>
      <c r="N334" s="28"/>
      <c r="O334" s="28"/>
      <c r="P334" s="28"/>
      <c r="Q334" s="28"/>
      <c r="R334" s="28"/>
      <c r="S334" s="28"/>
    </row>
    <row r="335" ht="15.75" customHeight="1">
      <c r="A335" s="41" t="s">
        <v>31</v>
      </c>
      <c r="B335" s="42" t="s">
        <v>795</v>
      </c>
      <c r="C335" s="43" t="s">
        <v>796</v>
      </c>
      <c r="D335" s="44" t="s">
        <v>791</v>
      </c>
      <c r="E335" s="44" t="s">
        <v>792</v>
      </c>
      <c r="F335" s="45">
        <v>0.21</v>
      </c>
      <c r="G335" s="50" t="str">
        <f>IFERROR(VLOOKUP("TeamConnect Ceiling 2 Black",STOCK!B2:Q3692,3,FALSE),"SIN STOCK")</f>
        <v>SIN STOCK</v>
      </c>
      <c r="H335" s="28"/>
      <c r="I335" s="28"/>
      <c r="J335" s="28"/>
      <c r="K335" s="28"/>
      <c r="L335" s="28"/>
      <c r="M335" s="28"/>
      <c r="N335" s="28"/>
      <c r="O335" s="28"/>
      <c r="P335" s="28"/>
      <c r="Q335" s="28"/>
      <c r="R335" s="28"/>
      <c r="S335" s="28"/>
    </row>
    <row r="336" ht="15.75" customHeight="1">
      <c r="A336" s="58" t="s">
        <v>797</v>
      </c>
      <c r="B336" s="30"/>
      <c r="C336" s="30"/>
      <c r="D336" s="67"/>
      <c r="E336" s="67"/>
      <c r="F336" s="68"/>
      <c r="G336" s="30"/>
      <c r="H336" s="28"/>
      <c r="I336" s="28"/>
      <c r="J336" s="28"/>
      <c r="K336" s="28"/>
      <c r="L336" s="28"/>
      <c r="M336" s="28"/>
      <c r="N336" s="28"/>
      <c r="O336" s="28"/>
      <c r="P336" s="28"/>
      <c r="Q336" s="28"/>
      <c r="R336" s="28"/>
      <c r="S336" s="28"/>
    </row>
    <row r="337" ht="15.75" customHeight="1">
      <c r="A337" s="41" t="s">
        <v>31</v>
      </c>
      <c r="B337" s="69" t="s">
        <v>798</v>
      </c>
      <c r="C337" s="43" t="s">
        <v>799</v>
      </c>
      <c r="D337" s="44" t="s">
        <v>58</v>
      </c>
      <c r="E337" s="44" t="s">
        <v>59</v>
      </c>
      <c r="F337" s="45">
        <v>0.21</v>
      </c>
      <c r="G337" s="50" t="str">
        <f>IFERROR(VLOOKUP("TCC M H-B",STOCK!B4:Q3694,3,FALSE),"SIN STOCK")</f>
        <v>Mayor a 5</v>
      </c>
      <c r="H337" s="28"/>
      <c r="I337" s="28"/>
      <c r="J337" s="28"/>
      <c r="K337" s="28"/>
      <c r="L337" s="28"/>
      <c r="M337" s="28"/>
      <c r="N337" s="28"/>
      <c r="O337" s="28"/>
      <c r="P337" s="28"/>
      <c r="Q337" s="28"/>
      <c r="R337" s="28"/>
      <c r="S337" s="28"/>
    </row>
    <row r="338" ht="15.75" customHeight="1">
      <c r="A338" s="47" t="s">
        <v>31</v>
      </c>
      <c r="B338" s="70" t="s">
        <v>800</v>
      </c>
      <c r="C338" s="49" t="s">
        <v>801</v>
      </c>
      <c r="D338" s="37" t="s">
        <v>58</v>
      </c>
      <c r="E338" s="37" t="s">
        <v>59</v>
      </c>
      <c r="F338" s="38">
        <v>0.21</v>
      </c>
      <c r="G338" s="50" t="str">
        <f>IFERROR(VLOOKUP("TCC M H-W",STOCK!B5:Q3695,3,FALSE),"SIN STOCK")</f>
        <v>Mayor a 5</v>
      </c>
      <c r="H338" s="28"/>
      <c r="I338" s="28"/>
      <c r="J338" s="28"/>
      <c r="K338" s="28"/>
      <c r="L338" s="28"/>
      <c r="M338" s="28"/>
      <c r="N338" s="28"/>
      <c r="O338" s="28"/>
      <c r="P338" s="28"/>
      <c r="Q338" s="28"/>
      <c r="R338" s="28"/>
      <c r="S338" s="28"/>
    </row>
    <row r="339" ht="15.75" customHeight="1">
      <c r="A339" s="41" t="s">
        <v>31</v>
      </c>
      <c r="B339" s="71" t="s">
        <v>802</v>
      </c>
      <c r="C339" s="43" t="s">
        <v>803</v>
      </c>
      <c r="D339" s="44" t="s">
        <v>721</v>
      </c>
      <c r="E339" s="44" t="s">
        <v>722</v>
      </c>
      <c r="F339" s="45">
        <v>0.21</v>
      </c>
      <c r="G339" s="50" t="str">
        <f>IFERROR(VLOOKUP("TCC M SFP-B",STOCK!B6:Q3696,3,FALSE),"SIN STOCK")</f>
        <v>Menor a 5</v>
      </c>
      <c r="H339" s="28"/>
      <c r="I339" s="28"/>
      <c r="J339" s="28"/>
      <c r="K339" s="28"/>
      <c r="L339" s="28"/>
      <c r="M339" s="28"/>
      <c r="N339" s="28"/>
      <c r="O339" s="28"/>
      <c r="P339" s="28"/>
      <c r="Q339" s="28"/>
      <c r="R339" s="28"/>
      <c r="S339" s="28"/>
    </row>
    <row r="340" ht="15.75" customHeight="1">
      <c r="A340" s="47" t="s">
        <v>31</v>
      </c>
      <c r="B340" s="70" t="s">
        <v>804</v>
      </c>
      <c r="C340" s="49" t="s">
        <v>805</v>
      </c>
      <c r="D340" s="37" t="s">
        <v>721</v>
      </c>
      <c r="E340" s="37" t="s">
        <v>722</v>
      </c>
      <c r="F340" s="38">
        <v>0.21</v>
      </c>
      <c r="G340" s="50" t="str">
        <f>IFERROR(VLOOKUP("TCC M SFP-W",STOCK!B7:Q3697,3,FALSE),"SIN STOCK")</f>
        <v>SIN STOCK</v>
      </c>
      <c r="H340" s="28"/>
      <c r="I340" s="28"/>
      <c r="J340" s="28"/>
      <c r="K340" s="28"/>
      <c r="L340" s="28"/>
      <c r="M340" s="28"/>
      <c r="N340" s="28"/>
      <c r="O340" s="28"/>
      <c r="P340" s="28"/>
      <c r="Q340" s="28"/>
      <c r="R340" s="28"/>
      <c r="S340" s="28"/>
    </row>
    <row r="341" ht="15.75" customHeight="1">
      <c r="A341" s="41" t="s">
        <v>31</v>
      </c>
      <c r="B341" s="71" t="s">
        <v>806</v>
      </c>
      <c r="C341" s="43" t="s">
        <v>807</v>
      </c>
      <c r="D341" s="44" t="s">
        <v>808</v>
      </c>
      <c r="E341" s="44" t="s">
        <v>809</v>
      </c>
      <c r="F341" s="45">
        <v>2.12</v>
      </c>
      <c r="G341" s="50" t="str">
        <f>IFERROR(VLOOKUP("TCC M SK",STOCK!B8:Q3698,3,FALSE),"SIN STOCK")</f>
        <v>SIN STOCK</v>
      </c>
      <c r="H341" s="28"/>
      <c r="I341" s="28"/>
      <c r="J341" s="28"/>
      <c r="K341" s="28"/>
      <c r="L341" s="28"/>
      <c r="M341" s="28"/>
      <c r="N341" s="28"/>
      <c r="O341" s="28"/>
      <c r="P341" s="28"/>
      <c r="Q341" s="28"/>
      <c r="R341" s="28"/>
      <c r="S341" s="28"/>
    </row>
    <row r="342" ht="15.75" customHeight="1">
      <c r="A342" s="47" t="s">
        <v>31</v>
      </c>
      <c r="B342" s="47" t="s">
        <v>810</v>
      </c>
      <c r="C342" s="49" t="s">
        <v>811</v>
      </c>
      <c r="D342" s="37" t="s">
        <v>812</v>
      </c>
      <c r="E342" s="37" t="s">
        <v>813</v>
      </c>
      <c r="F342" s="38">
        <v>0.21</v>
      </c>
      <c r="G342" s="50" t="str">
        <f>IFERROR(VLOOKUP("TCC M-F-B",STOCK!B9:Q3699,3,FALSE),"SIN STOCK")</f>
        <v>SIN STOCK</v>
      </c>
      <c r="H342" s="28"/>
      <c r="I342" s="28"/>
      <c r="J342" s="28"/>
      <c r="K342" s="28"/>
      <c r="L342" s="28"/>
      <c r="M342" s="28"/>
      <c r="N342" s="28"/>
      <c r="O342" s="28"/>
      <c r="P342" s="28"/>
      <c r="Q342" s="28"/>
      <c r="R342" s="28"/>
      <c r="S342" s="28"/>
    </row>
    <row r="343" ht="15.75" customHeight="1">
      <c r="A343" s="41" t="s">
        <v>31</v>
      </c>
      <c r="B343" s="69" t="s">
        <v>814</v>
      </c>
      <c r="C343" s="43" t="s">
        <v>811</v>
      </c>
      <c r="D343" s="44" t="s">
        <v>812</v>
      </c>
      <c r="E343" s="44" t="s">
        <v>813</v>
      </c>
      <c r="F343" s="45">
        <v>0.21</v>
      </c>
      <c r="G343" s="50" t="str">
        <f>IFERROR(VLOOKUP("TCC M-F-W",STOCK!B10:Q3700,3,FALSE),"SIN STOCK")</f>
        <v>Mayor a 5</v>
      </c>
      <c r="H343" s="28"/>
      <c r="I343" s="28"/>
      <c r="J343" s="28"/>
      <c r="K343" s="28"/>
      <c r="L343" s="28"/>
      <c r="M343" s="28"/>
      <c r="N343" s="28"/>
      <c r="O343" s="28"/>
      <c r="P343" s="28"/>
      <c r="Q343" s="28"/>
      <c r="R343" s="28"/>
      <c r="S343" s="28"/>
    </row>
    <row r="344" ht="15.75" customHeight="1">
      <c r="A344" s="47" t="s">
        <v>31</v>
      </c>
      <c r="B344" s="70" t="s">
        <v>815</v>
      </c>
      <c r="C344" s="49" t="s">
        <v>816</v>
      </c>
      <c r="D344" s="37" t="s">
        <v>812</v>
      </c>
      <c r="E344" s="37" t="s">
        <v>813</v>
      </c>
      <c r="F344" s="38">
        <v>0.21</v>
      </c>
      <c r="G344" s="50" t="str">
        <f>IFERROR(VLOOKUP("TCC M-S-B",STOCK!B11:Q3701,3,FALSE),"SIN STOCK")</f>
        <v>SIN STOCK</v>
      </c>
      <c r="H344" s="28"/>
      <c r="I344" s="28"/>
      <c r="J344" s="28"/>
      <c r="K344" s="28"/>
      <c r="L344" s="28"/>
      <c r="M344" s="28"/>
      <c r="N344" s="28"/>
      <c r="O344" s="28"/>
      <c r="P344" s="28"/>
      <c r="Q344" s="28"/>
      <c r="R344" s="28"/>
      <c r="S344" s="28"/>
    </row>
    <row r="345" ht="15.75" customHeight="1">
      <c r="A345" s="41" t="s">
        <v>31</v>
      </c>
      <c r="B345" s="71" t="s">
        <v>817</v>
      </c>
      <c r="C345" s="43" t="s">
        <v>816</v>
      </c>
      <c r="D345" s="44" t="s">
        <v>812</v>
      </c>
      <c r="E345" s="44" t="s">
        <v>813</v>
      </c>
      <c r="F345" s="45">
        <v>0.21</v>
      </c>
      <c r="G345" s="50" t="str">
        <f>IFERROR(VLOOKUP("TCC M-S-W",STOCK!B12:Q3702,3,FALSE),"SIN STOCK")</f>
        <v>SIN STOCK</v>
      </c>
      <c r="H345" s="28"/>
      <c r="I345" s="28"/>
      <c r="J345" s="28"/>
      <c r="K345" s="28"/>
      <c r="L345" s="28"/>
      <c r="M345" s="28"/>
      <c r="N345" s="28"/>
      <c r="O345" s="28"/>
      <c r="P345" s="28"/>
      <c r="Q345" s="28"/>
      <c r="R345" s="28"/>
      <c r="S345" s="28"/>
    </row>
    <row r="346" ht="15.75" customHeight="1">
      <c r="A346" s="30"/>
      <c r="B346" s="30"/>
      <c r="C346" s="30"/>
      <c r="D346" s="67"/>
      <c r="E346" s="67"/>
      <c r="F346" s="68"/>
      <c r="G346" s="30"/>
      <c r="H346" s="28"/>
      <c r="I346" s="28"/>
      <c r="J346" s="28"/>
      <c r="K346" s="28"/>
      <c r="L346" s="28"/>
      <c r="M346" s="28"/>
      <c r="N346" s="28"/>
      <c r="O346" s="28"/>
      <c r="P346" s="28"/>
      <c r="Q346" s="28"/>
      <c r="R346" s="28"/>
      <c r="S346" s="28"/>
    </row>
    <row r="347" ht="15.75" customHeight="1">
      <c r="A347" s="41" t="s">
        <v>31</v>
      </c>
      <c r="B347" s="71" t="s">
        <v>818</v>
      </c>
      <c r="C347" s="43" t="s">
        <v>819</v>
      </c>
      <c r="D347" s="44" t="s">
        <v>256</v>
      </c>
      <c r="E347" s="44" t="s">
        <v>257</v>
      </c>
      <c r="F347" s="45">
        <v>0.21</v>
      </c>
      <c r="G347" s="50" t="str">
        <f>IFERROR(VLOOKUP("TC Bar M US",STOCK!B14:Q3704,3,FALSE),"SIN STOCK")</f>
        <v>Mayor a 5</v>
      </c>
      <c r="H347" s="28"/>
      <c r="I347" s="28"/>
      <c r="J347" s="28"/>
      <c r="K347" s="28"/>
      <c r="L347" s="28"/>
      <c r="M347" s="28"/>
      <c r="N347" s="28"/>
      <c r="O347" s="28"/>
      <c r="P347" s="28"/>
      <c r="Q347" s="28"/>
      <c r="R347" s="28"/>
      <c r="S347" s="28"/>
    </row>
    <row r="348" ht="15.75" customHeight="1">
      <c r="A348" s="47" t="s">
        <v>31</v>
      </c>
      <c r="B348" s="70" t="s">
        <v>820</v>
      </c>
      <c r="C348" s="49" t="s">
        <v>821</v>
      </c>
      <c r="D348" s="37" t="s">
        <v>822</v>
      </c>
      <c r="E348" s="37" t="s">
        <v>823</v>
      </c>
      <c r="F348" s="38">
        <v>0.21</v>
      </c>
      <c r="G348" s="50" t="str">
        <f>IFERROR(VLOOKUP("TC Bar S US",STOCK!B15:Q3705,3,FALSE),"SIN STOCK")</f>
        <v>Mayor a 5</v>
      </c>
      <c r="H348" s="28"/>
      <c r="I348" s="28"/>
      <c r="J348" s="28"/>
      <c r="K348" s="28"/>
      <c r="L348" s="28"/>
      <c r="M348" s="28"/>
      <c r="N348" s="28"/>
      <c r="O348" s="28"/>
      <c r="P348" s="28"/>
      <c r="Q348" s="28"/>
      <c r="R348" s="28"/>
      <c r="S348" s="28"/>
    </row>
    <row r="349" ht="15.75" customHeight="1">
      <c r="A349" s="58" t="s">
        <v>824</v>
      </c>
      <c r="B349" s="30"/>
      <c r="C349" s="30"/>
      <c r="D349" s="55"/>
      <c r="E349" s="32"/>
      <c r="F349" s="30"/>
      <c r="G349" s="30"/>
      <c r="H349" s="28"/>
      <c r="I349" s="28"/>
      <c r="J349" s="28"/>
      <c r="K349" s="28"/>
      <c r="L349" s="28"/>
      <c r="M349" s="28"/>
      <c r="N349" s="28"/>
      <c r="O349" s="28"/>
      <c r="P349" s="28"/>
      <c r="Q349" s="28"/>
      <c r="R349" s="28"/>
      <c r="S349" s="28"/>
    </row>
    <row r="350" ht="15.75" customHeight="1">
      <c r="A350" s="41" t="s">
        <v>31</v>
      </c>
      <c r="B350" s="57" t="s">
        <v>825</v>
      </c>
      <c r="C350" s="43" t="s">
        <v>826</v>
      </c>
      <c r="D350" s="44" t="s">
        <v>827</v>
      </c>
      <c r="E350" s="44" t="s">
        <v>828</v>
      </c>
      <c r="F350" s="45">
        <v>0.21</v>
      </c>
      <c r="G350" s="50" t="str">
        <f>IFERROR(VLOOKUP("TeamConnect Ceiling 2 Black",STOCK!B17:Q3707,3,FALSE),"SIN STOCK")</f>
        <v>SIN STOCK</v>
      </c>
      <c r="H350" s="28"/>
      <c r="I350" s="28"/>
      <c r="J350" s="28"/>
      <c r="K350" s="28"/>
      <c r="L350" s="28"/>
      <c r="M350" s="28"/>
      <c r="N350" s="28"/>
      <c r="O350" s="28"/>
      <c r="P350" s="28"/>
      <c r="Q350" s="28"/>
      <c r="R350" s="28"/>
      <c r="S350" s="28"/>
    </row>
    <row r="351" ht="15.75" customHeight="1">
      <c r="A351" s="47" t="s">
        <v>31</v>
      </c>
      <c r="B351" s="48" t="s">
        <v>829</v>
      </c>
      <c r="C351" s="49" t="s">
        <v>830</v>
      </c>
      <c r="D351" s="37" t="s">
        <v>827</v>
      </c>
      <c r="E351" s="37" t="s">
        <v>828</v>
      </c>
      <c r="F351" s="38">
        <v>0.21</v>
      </c>
      <c r="G351" s="53" t="str">
        <f>IFERROR(VLOOKUP("SL CM EB US",STOCK!B2:Q3692,3,FALSE),"SIN STOCK")</f>
        <v>Menor a 5</v>
      </c>
      <c r="H351" s="28"/>
      <c r="I351" s="28"/>
      <c r="J351" s="28"/>
      <c r="K351" s="28"/>
      <c r="L351" s="28"/>
      <c r="M351" s="28"/>
      <c r="N351" s="28"/>
      <c r="O351" s="28"/>
      <c r="P351" s="28"/>
      <c r="Q351" s="28"/>
      <c r="R351" s="28"/>
      <c r="S351" s="28"/>
    </row>
    <row r="352" ht="15.75" customHeight="1">
      <c r="A352" s="41" t="s">
        <v>31</v>
      </c>
      <c r="B352" s="42" t="s">
        <v>831</v>
      </c>
      <c r="C352" s="43" t="s">
        <v>832</v>
      </c>
      <c r="D352" s="44" t="s">
        <v>833</v>
      </c>
      <c r="E352" s="44" t="s">
        <v>834</v>
      </c>
      <c r="F352" s="45">
        <v>0.21</v>
      </c>
      <c r="G352" s="53" t="str">
        <f>IFERROR(VLOOKUP("SL CM FB",STOCK!B2:Q3692,3,FALSE),"SIN STOCK")</f>
        <v>Menor a 5</v>
      </c>
      <c r="H352" s="28"/>
      <c r="I352" s="28"/>
      <c r="J352" s="28"/>
      <c r="K352" s="28"/>
      <c r="L352" s="28"/>
      <c r="M352" s="28"/>
      <c r="N352" s="28"/>
      <c r="O352" s="28"/>
      <c r="P352" s="28"/>
      <c r="Q352" s="28"/>
      <c r="R352" s="28"/>
      <c r="S352" s="28"/>
    </row>
    <row r="353" ht="15.75" customHeight="1">
      <c r="A353" s="47" t="s">
        <v>31</v>
      </c>
      <c r="B353" s="48" t="s">
        <v>835</v>
      </c>
      <c r="C353" s="49" t="s">
        <v>836</v>
      </c>
      <c r="D353" s="37" t="s">
        <v>778</v>
      </c>
      <c r="E353" s="37" t="s">
        <v>779</v>
      </c>
      <c r="F353" s="38">
        <v>0.21</v>
      </c>
      <c r="G353" s="39" t="str">
        <f>IFERROR(VLOOKUP("SL CM SK",STOCK!B2:Q3692,3,FALSE),"SIN STOCK")</f>
        <v>Mayor a 5</v>
      </c>
      <c r="H353" s="28"/>
      <c r="I353" s="28"/>
      <c r="J353" s="28"/>
      <c r="K353" s="28"/>
      <c r="L353" s="28"/>
      <c r="M353" s="28"/>
      <c r="N353" s="28"/>
      <c r="O353" s="28"/>
      <c r="P353" s="28"/>
      <c r="Q353" s="28"/>
      <c r="R353" s="28"/>
      <c r="S353" s="28"/>
    </row>
    <row r="354" ht="15.75" customHeight="1">
      <c r="A354" s="41" t="s">
        <v>31</v>
      </c>
      <c r="B354" s="42" t="s">
        <v>837</v>
      </c>
      <c r="C354" s="43" t="s">
        <v>838</v>
      </c>
      <c r="D354" s="44" t="s">
        <v>778</v>
      </c>
      <c r="E354" s="44" t="s">
        <v>779</v>
      </c>
      <c r="F354" s="45">
        <v>0.21</v>
      </c>
      <c r="G354" s="50" t="str">
        <f>IFERROR(VLOOKUP("SL CM VB",STOCK!B2:Q3692,3,FALSE),"SIN STOCK")</f>
        <v>SIN STOCK</v>
      </c>
      <c r="H354" s="28"/>
      <c r="I354" s="28"/>
      <c r="J354" s="28"/>
      <c r="K354" s="28"/>
      <c r="L354" s="28"/>
      <c r="M354" s="28"/>
      <c r="N354" s="28"/>
      <c r="O354" s="28"/>
      <c r="P354" s="28"/>
      <c r="Q354" s="28"/>
      <c r="R354" s="28"/>
      <c r="S354" s="28"/>
    </row>
    <row r="355" ht="15.75" customHeight="1">
      <c r="A355" s="29" t="s">
        <v>839</v>
      </c>
      <c r="B355" s="30"/>
      <c r="C355" s="30"/>
      <c r="D355" s="55"/>
      <c r="E355" s="32"/>
      <c r="F355" s="30"/>
      <c r="G355" s="30"/>
      <c r="H355" s="28"/>
      <c r="I355" s="28"/>
      <c r="J355" s="28"/>
      <c r="K355" s="28"/>
      <c r="L355" s="28"/>
      <c r="M355" s="28"/>
      <c r="N355" s="28"/>
      <c r="O355" s="28"/>
      <c r="P355" s="28"/>
      <c r="Q355" s="28"/>
      <c r="R355" s="28"/>
      <c r="S355" s="28"/>
    </row>
    <row r="356" ht="15.75" customHeight="1">
      <c r="A356" s="41" t="s">
        <v>31</v>
      </c>
      <c r="B356" s="42" t="s">
        <v>840</v>
      </c>
      <c r="C356" s="43" t="s">
        <v>841</v>
      </c>
      <c r="D356" s="44" t="s">
        <v>411</v>
      </c>
      <c r="E356" s="44" t="s">
        <v>412</v>
      </c>
      <c r="F356" s="45">
        <v>0.21</v>
      </c>
      <c r="G356" s="53" t="str">
        <f>IFERROR(VLOOKUP("TC ISP",STOCK!B2:Q3692,3,FALSE),"SIN STOCK")</f>
        <v>Mayor a 5</v>
      </c>
      <c r="H356" s="28"/>
      <c r="I356" s="28"/>
      <c r="J356" s="28"/>
      <c r="K356" s="28"/>
      <c r="L356" s="28"/>
      <c r="M356" s="28"/>
      <c r="N356" s="28"/>
      <c r="O356" s="28"/>
      <c r="P356" s="28"/>
      <c r="Q356" s="28"/>
      <c r="R356" s="28"/>
      <c r="S356" s="28"/>
    </row>
    <row r="357" ht="15.75" customHeight="1">
      <c r="A357" s="47" t="s">
        <v>31</v>
      </c>
      <c r="B357" s="48" t="s">
        <v>842</v>
      </c>
      <c r="C357" s="49" t="s">
        <v>843</v>
      </c>
      <c r="D357" s="37" t="s">
        <v>739</v>
      </c>
      <c r="E357" s="37" t="s">
        <v>740</v>
      </c>
      <c r="F357" s="38">
        <v>0.21</v>
      </c>
      <c r="G357" s="50" t="str">
        <f>IFERROR(VLOOKUP("REPLACEMENT SET TABLE MOUNT",STOCK!B2:Q3692,3,FALSE),"SIN STOCK")</f>
        <v>SIN STOCK</v>
      </c>
      <c r="H357" s="28"/>
      <c r="I357" s="28"/>
      <c r="J357" s="28"/>
      <c r="K357" s="28"/>
      <c r="L357" s="28"/>
      <c r="M357" s="28"/>
      <c r="N357" s="28"/>
      <c r="O357" s="28"/>
      <c r="P357" s="28"/>
      <c r="Q357" s="28"/>
      <c r="R357" s="28"/>
      <c r="S357" s="28"/>
    </row>
    <row r="358" ht="15.75" customHeight="1">
      <c r="A358" s="41" t="s">
        <v>31</v>
      </c>
      <c r="B358" s="42" t="s">
        <v>844</v>
      </c>
      <c r="C358" s="43" t="s">
        <v>845</v>
      </c>
      <c r="D358" s="44" t="s">
        <v>846</v>
      </c>
      <c r="E358" s="44" t="s">
        <v>847</v>
      </c>
      <c r="F358" s="45">
        <v>0.21</v>
      </c>
      <c r="G358" s="50" t="str">
        <f>IFERROR(VLOOKUP("SENNHEISER SECURITY CABLE LOCK",STOCK!B2:Q3692,3,FALSE),"SIN STOCK")</f>
        <v>SIN STOCK</v>
      </c>
      <c r="H358" s="28"/>
      <c r="I358" s="28"/>
      <c r="J358" s="28"/>
      <c r="K358" s="28"/>
      <c r="L358" s="28"/>
      <c r="M358" s="28"/>
      <c r="N358" s="28"/>
      <c r="O358" s="28"/>
      <c r="P358" s="28"/>
      <c r="Q358" s="28"/>
      <c r="R358" s="28"/>
      <c r="S358" s="28"/>
    </row>
    <row r="359" ht="15.75" customHeight="1">
      <c r="A359" s="58" t="s">
        <v>848</v>
      </c>
      <c r="B359" s="30"/>
      <c r="C359" s="30"/>
      <c r="D359" s="55"/>
      <c r="E359" s="32"/>
      <c r="F359" s="30"/>
      <c r="G359" s="30"/>
      <c r="H359" s="28"/>
      <c r="I359" s="28"/>
      <c r="J359" s="28"/>
      <c r="K359" s="28"/>
      <c r="L359" s="28"/>
      <c r="M359" s="28"/>
      <c r="N359" s="28"/>
      <c r="O359" s="28"/>
      <c r="P359" s="28"/>
      <c r="Q359" s="28"/>
      <c r="R359" s="28"/>
      <c r="S359" s="28"/>
    </row>
    <row r="360" ht="15.75" customHeight="1">
      <c r="A360" s="41" t="s">
        <v>31</v>
      </c>
      <c r="B360" s="42" t="s">
        <v>849</v>
      </c>
      <c r="C360" s="43" t="s">
        <v>850</v>
      </c>
      <c r="D360" s="44" t="s">
        <v>93</v>
      </c>
      <c r="E360" s="44" t="s">
        <v>94</v>
      </c>
      <c r="F360" s="45">
        <v>0.21</v>
      </c>
      <c r="G360" s="53" t="str">
        <f>IFERROR(VLOOKUP("SL HANDHELD SET DW-4-US R",STOCK!B2:Q3692,3,FALSE),"SIN STOCK")</f>
        <v>Menor a 5</v>
      </c>
      <c r="H360" s="28"/>
      <c r="I360" s="28"/>
      <c r="J360" s="28"/>
      <c r="K360" s="28"/>
      <c r="L360" s="28"/>
      <c r="M360" s="28"/>
      <c r="N360" s="28"/>
      <c r="O360" s="28"/>
      <c r="P360" s="28"/>
      <c r="Q360" s="28"/>
      <c r="R360" s="28"/>
      <c r="S360" s="28"/>
    </row>
    <row r="361" ht="15.75" customHeight="1">
      <c r="A361" s="47" t="s">
        <v>31</v>
      </c>
      <c r="B361" s="48" t="s">
        <v>851</v>
      </c>
      <c r="C361" s="49" t="s">
        <v>852</v>
      </c>
      <c r="D361" s="37" t="s">
        <v>853</v>
      </c>
      <c r="E361" s="37" t="s">
        <v>854</v>
      </c>
      <c r="F361" s="38">
        <v>0.21</v>
      </c>
      <c r="G361" s="50" t="str">
        <f>IFERROR(VLOOKUP("SL LAVALIER SET DW-4-US R",STOCK!B2:Q3692,3,FALSE),"SIN STOCK")</f>
        <v>SIN STOCK</v>
      </c>
      <c r="H361" s="28"/>
      <c r="I361" s="28"/>
      <c r="J361" s="28"/>
      <c r="K361" s="28"/>
      <c r="L361" s="28"/>
      <c r="M361" s="28"/>
      <c r="N361" s="28"/>
      <c r="O361" s="28"/>
      <c r="P361" s="28"/>
      <c r="Q361" s="28"/>
      <c r="R361" s="28"/>
      <c r="S361" s="28"/>
    </row>
    <row r="362" ht="15.75" customHeight="1">
      <c r="A362" s="41" t="s">
        <v>31</v>
      </c>
      <c r="B362" s="42" t="s">
        <v>855</v>
      </c>
      <c r="C362" s="43" t="s">
        <v>856</v>
      </c>
      <c r="D362" s="44" t="s">
        <v>857</v>
      </c>
      <c r="E362" s="44" t="s">
        <v>858</v>
      </c>
      <c r="F362" s="45">
        <v>0.21</v>
      </c>
      <c r="G362" s="39" t="str">
        <f>IFERROR(VLOOKUP("SL HEADMIC SET DW-4-US R",STOCK!B2:Q3692,3,FALSE),"SIN STOCK")</f>
        <v>Mayor a 5</v>
      </c>
      <c r="H362" s="28"/>
      <c r="I362" s="28"/>
      <c r="J362" s="28"/>
      <c r="K362" s="28"/>
      <c r="L362" s="28"/>
      <c r="M362" s="28"/>
      <c r="N362" s="28"/>
      <c r="O362" s="28"/>
      <c r="P362" s="28"/>
      <c r="Q362" s="28"/>
      <c r="R362" s="28"/>
      <c r="S362" s="28"/>
    </row>
    <row r="363" ht="15.75" customHeight="1">
      <c r="A363" s="47" t="s">
        <v>31</v>
      </c>
      <c r="B363" s="56" t="s">
        <v>859</v>
      </c>
      <c r="C363" s="49" t="s">
        <v>860</v>
      </c>
      <c r="D363" s="37" t="s">
        <v>861</v>
      </c>
      <c r="E363" s="37" t="s">
        <v>862</v>
      </c>
      <c r="F363" s="38">
        <v>0.21</v>
      </c>
      <c r="G363" s="50" t="str">
        <f>IFERROR(VLOOKUP("SL TS 133 GN SET DW-4 US",STOCK!B2:Q3692,3,FALSE),"SIN STOCK")</f>
        <v>SIN STOCK</v>
      </c>
      <c r="H363" s="28"/>
      <c r="I363" s="28"/>
      <c r="J363" s="28"/>
      <c r="K363" s="28"/>
      <c r="L363" s="28"/>
      <c r="M363" s="28"/>
      <c r="N363" s="28"/>
      <c r="O363" s="28"/>
      <c r="P363" s="28"/>
      <c r="Q363" s="28"/>
      <c r="R363" s="28"/>
      <c r="S363" s="28"/>
    </row>
    <row r="364" ht="15.75" customHeight="1">
      <c r="A364" s="41" t="s">
        <v>31</v>
      </c>
      <c r="B364" s="42" t="s">
        <v>863</v>
      </c>
      <c r="C364" s="43" t="s">
        <v>864</v>
      </c>
      <c r="D364" s="44" t="s">
        <v>865</v>
      </c>
      <c r="E364" s="44" t="s">
        <v>866</v>
      </c>
      <c r="F364" s="45">
        <v>0.21</v>
      </c>
      <c r="G364" s="50" t="str">
        <f>IFERROR(VLOOKUP("SL TS 153 GN-L SET DW-4 US",STOCK!B2:Q3692,3,FALSE),"SIN STOCK")</f>
        <v>SIN STOCK</v>
      </c>
      <c r="H364" s="28"/>
      <c r="I364" s="28"/>
      <c r="J364" s="28"/>
      <c r="K364" s="28"/>
      <c r="L364" s="28"/>
      <c r="M364" s="28"/>
      <c r="N364" s="28"/>
      <c r="O364" s="28"/>
      <c r="P364" s="28"/>
      <c r="Q364" s="28"/>
      <c r="R364" s="28"/>
      <c r="S364" s="28"/>
    </row>
    <row r="365" ht="15.75" customHeight="1">
      <c r="A365" s="47" t="s">
        <v>31</v>
      </c>
      <c r="B365" s="48" t="s">
        <v>867</v>
      </c>
      <c r="C365" s="49" t="s">
        <v>868</v>
      </c>
      <c r="D365" s="37" t="s">
        <v>869</v>
      </c>
      <c r="E365" s="37" t="s">
        <v>870</v>
      </c>
      <c r="F365" s="38">
        <v>0.21</v>
      </c>
      <c r="G365" s="50" t="str">
        <f>IFERROR(VLOOKUP("SL BOUNDARY SET DW-4 US",STOCK!B2:Q3692,3,FALSE),"SIN STOCK")</f>
        <v>SIN STOCK</v>
      </c>
      <c r="H365" s="28"/>
      <c r="I365" s="28"/>
      <c r="J365" s="28"/>
      <c r="K365" s="28"/>
      <c r="L365" s="28"/>
      <c r="M365" s="28"/>
      <c r="N365" s="28"/>
      <c r="O365" s="28"/>
      <c r="P365" s="28"/>
      <c r="Q365" s="28"/>
      <c r="R365" s="28"/>
      <c r="S365" s="28"/>
    </row>
    <row r="366" ht="15.75" customHeight="1">
      <c r="A366" s="29" t="s">
        <v>871</v>
      </c>
      <c r="C366" s="30"/>
      <c r="D366" s="55"/>
      <c r="E366" s="32"/>
      <c r="F366" s="30"/>
      <c r="G366" s="30"/>
      <c r="H366" s="28"/>
      <c r="I366" s="28"/>
      <c r="J366" s="28"/>
      <c r="K366" s="28"/>
      <c r="L366" s="28"/>
      <c r="M366" s="28"/>
      <c r="N366" s="28"/>
      <c r="O366" s="28"/>
      <c r="P366" s="28"/>
      <c r="Q366" s="28"/>
      <c r="R366" s="28"/>
      <c r="S366" s="28"/>
    </row>
    <row r="367" ht="15.75" customHeight="1">
      <c r="A367" s="41" t="s">
        <v>31</v>
      </c>
      <c r="B367" s="42" t="s">
        <v>872</v>
      </c>
      <c r="C367" s="43" t="s">
        <v>873</v>
      </c>
      <c r="D367" s="44" t="s">
        <v>874</v>
      </c>
      <c r="E367" s="44" t="s">
        <v>875</v>
      </c>
      <c r="F367" s="45">
        <v>0.21</v>
      </c>
      <c r="G367" s="50" t="str">
        <f>IFERROR(VLOOKUP("SL BODYPACK - HM 1 KIT DW-4",STOCK!B2:Q3692,3,FALSE),"SIN STOCK")</f>
        <v>SIN STOCK</v>
      </c>
      <c r="H367" s="28"/>
      <c r="I367" s="28"/>
      <c r="J367" s="28"/>
      <c r="K367" s="28"/>
      <c r="L367" s="28"/>
      <c r="M367" s="28"/>
      <c r="N367" s="28"/>
      <c r="O367" s="28"/>
      <c r="P367" s="28"/>
      <c r="Q367" s="28"/>
      <c r="R367" s="28"/>
      <c r="S367" s="28"/>
    </row>
    <row r="368" ht="15.75" customHeight="1">
      <c r="A368" s="47" t="s">
        <v>31</v>
      </c>
      <c r="B368" s="48" t="s">
        <v>876</v>
      </c>
      <c r="C368" s="49" t="s">
        <v>877</v>
      </c>
      <c r="D368" s="37" t="s">
        <v>878</v>
      </c>
      <c r="E368" s="37" t="s">
        <v>879</v>
      </c>
      <c r="F368" s="38">
        <v>0.21</v>
      </c>
      <c r="G368" s="50" t="str">
        <f>IFERROR(VLOOKUP("SL BODYPACK - ME 2 KIT DW-4",STOCK!B2:Q3692,3,FALSE),"SIN STOCK")</f>
        <v>SIN STOCK</v>
      </c>
      <c r="H368" s="28"/>
      <c r="I368" s="28"/>
      <c r="J368" s="28"/>
      <c r="K368" s="28"/>
      <c r="L368" s="28"/>
      <c r="M368" s="28"/>
      <c r="N368" s="28"/>
      <c r="O368" s="28"/>
      <c r="P368" s="28"/>
      <c r="Q368" s="28"/>
      <c r="R368" s="28"/>
      <c r="S368" s="28"/>
    </row>
    <row r="369" ht="15.75" customHeight="1">
      <c r="A369" s="41" t="s">
        <v>31</v>
      </c>
      <c r="B369" s="42" t="s">
        <v>880</v>
      </c>
      <c r="C369" s="43" t="s">
        <v>881</v>
      </c>
      <c r="D369" s="44" t="s">
        <v>882</v>
      </c>
      <c r="E369" s="44" t="s">
        <v>883</v>
      </c>
      <c r="F369" s="45">
        <v>0.21</v>
      </c>
      <c r="G369" s="50" t="str">
        <f>IFERROR(VLOOKUP("SL BODYPACK - MKE 2 KIT DW-4",STOCK!B2:Q3692,3,FALSE),"SIN STOCK")</f>
        <v>SIN STOCK</v>
      </c>
      <c r="H369" s="28"/>
      <c r="I369" s="28"/>
      <c r="J369" s="28"/>
      <c r="K369" s="28"/>
      <c r="L369" s="28"/>
      <c r="M369" s="28"/>
      <c r="N369" s="28"/>
      <c r="O369" s="28"/>
      <c r="P369" s="28"/>
      <c r="Q369" s="28"/>
      <c r="R369" s="28"/>
      <c r="S369" s="28"/>
    </row>
    <row r="370" ht="15.75" customHeight="1">
      <c r="A370" s="47" t="s">
        <v>31</v>
      </c>
      <c r="B370" s="48" t="s">
        <v>884</v>
      </c>
      <c r="C370" s="49" t="s">
        <v>885</v>
      </c>
      <c r="D370" s="37" t="s">
        <v>886</v>
      </c>
      <c r="E370" s="37" t="s">
        <v>887</v>
      </c>
      <c r="F370" s="38">
        <v>0.21</v>
      </c>
      <c r="G370" s="50" t="str">
        <f>IFERROR(VLOOKUP("SL BODYPACK - MKE 40 KIT DW-4",STOCK!B2:Q3692,3,FALSE),"SIN STOCK")</f>
        <v>SIN STOCK</v>
      </c>
      <c r="H370" s="28"/>
      <c r="I370" s="28"/>
      <c r="J370" s="28"/>
      <c r="K370" s="28"/>
      <c r="L370" s="28"/>
      <c r="M370" s="28"/>
      <c r="N370" s="28"/>
      <c r="O370" s="28"/>
      <c r="P370" s="28"/>
      <c r="Q370" s="28"/>
      <c r="R370" s="28"/>
      <c r="S370" s="28"/>
    </row>
    <row r="371" ht="15.75" customHeight="1">
      <c r="A371" s="41" t="s">
        <v>31</v>
      </c>
      <c r="B371" s="57" t="s">
        <v>888</v>
      </c>
      <c r="C371" s="43" t="s">
        <v>889</v>
      </c>
      <c r="D371" s="44" t="s">
        <v>263</v>
      </c>
      <c r="E371" s="44" t="s">
        <v>264</v>
      </c>
      <c r="F371" s="45">
        <v>0.21</v>
      </c>
      <c r="G371" s="50" t="str">
        <f>IFERROR(VLOOKUP("SL BODYPACK DW-4-US",STOCK!B2:Q3692,3,FALSE),"SIN STOCK")</f>
        <v>Mayor a 5</v>
      </c>
      <c r="H371" s="28"/>
      <c r="I371" s="28"/>
      <c r="J371" s="28"/>
      <c r="K371" s="28"/>
      <c r="L371" s="28"/>
      <c r="M371" s="28"/>
      <c r="N371" s="28"/>
      <c r="O371" s="28"/>
      <c r="P371" s="28"/>
      <c r="Q371" s="28"/>
      <c r="R371" s="28"/>
      <c r="S371" s="28"/>
    </row>
    <row r="372" ht="15.75" customHeight="1">
      <c r="A372" s="47" t="s">
        <v>31</v>
      </c>
      <c r="B372" s="48" t="s">
        <v>890</v>
      </c>
      <c r="C372" s="49" t="s">
        <v>328</v>
      </c>
      <c r="D372" s="37" t="s">
        <v>209</v>
      </c>
      <c r="E372" s="37" t="s">
        <v>210</v>
      </c>
      <c r="F372" s="38">
        <v>0.21</v>
      </c>
      <c r="G372" s="50" t="str">
        <f>IFERROR(VLOOKUP("SL BODYPACK -HS 2 KIT DW-4",STOCK!B2:Q3692,3,FALSE),"SIN STOCK")</f>
        <v>SIN STOCK</v>
      </c>
      <c r="H372" s="28"/>
      <c r="I372" s="28"/>
      <c r="J372" s="28"/>
      <c r="K372" s="28"/>
      <c r="L372" s="28"/>
      <c r="M372" s="28"/>
      <c r="N372" s="28"/>
      <c r="O372" s="28"/>
      <c r="P372" s="28"/>
      <c r="Q372" s="28"/>
      <c r="R372" s="28"/>
      <c r="S372" s="28"/>
    </row>
    <row r="373" ht="15.75" customHeight="1">
      <c r="A373" s="41" t="s">
        <v>31</v>
      </c>
      <c r="B373" s="42" t="s">
        <v>891</v>
      </c>
      <c r="C373" s="43" t="s">
        <v>892</v>
      </c>
      <c r="D373" s="44" t="s">
        <v>893</v>
      </c>
      <c r="E373" s="44" t="s">
        <v>894</v>
      </c>
      <c r="F373" s="45">
        <v>0.21</v>
      </c>
      <c r="G373" s="50" t="str">
        <f>IFERROR(VLOOKUP("SL BOUNDARY 114-S DW-4 B",STOCK!B2:Q3692,3,FALSE),"SIN STOCK")</f>
        <v>SIN STOCK</v>
      </c>
      <c r="H373" s="28"/>
      <c r="I373" s="28"/>
      <c r="J373" s="28"/>
      <c r="K373" s="28"/>
      <c r="L373" s="28"/>
      <c r="M373" s="28"/>
      <c r="N373" s="28"/>
      <c r="O373" s="28"/>
      <c r="P373" s="28"/>
      <c r="Q373" s="28"/>
      <c r="R373" s="28"/>
      <c r="S373" s="28"/>
    </row>
    <row r="374" ht="15.75" customHeight="1">
      <c r="A374" s="47" t="s">
        <v>31</v>
      </c>
      <c r="B374" s="48" t="s">
        <v>895</v>
      </c>
      <c r="C374" s="49" t="s">
        <v>896</v>
      </c>
      <c r="D374" s="37" t="s">
        <v>897</v>
      </c>
      <c r="E374" s="37" t="s">
        <v>898</v>
      </c>
      <c r="F374" s="38">
        <v>0.21</v>
      </c>
      <c r="G374" s="53" t="str">
        <f>IFERROR(VLOOKUP("SL HANDHELD 865 DW-4-US",STOCK!B2:Q3692,3,FALSE),"SIN STOCK")</f>
        <v>Menor a 5</v>
      </c>
      <c r="H374" s="28"/>
      <c r="I374" s="28"/>
      <c r="J374" s="28"/>
      <c r="K374" s="28"/>
      <c r="L374" s="28"/>
      <c r="M374" s="28"/>
      <c r="N374" s="28"/>
      <c r="O374" s="28"/>
      <c r="P374" s="28"/>
      <c r="Q374" s="28"/>
      <c r="R374" s="28"/>
      <c r="S374" s="28"/>
    </row>
    <row r="375" ht="15.75" customHeight="1">
      <c r="A375" s="41" t="s">
        <v>31</v>
      </c>
      <c r="B375" s="42" t="s">
        <v>899</v>
      </c>
      <c r="C375" s="43" t="s">
        <v>900</v>
      </c>
      <c r="D375" s="44" t="s">
        <v>263</v>
      </c>
      <c r="E375" s="44" t="s">
        <v>264</v>
      </c>
      <c r="F375" s="45">
        <v>0.21</v>
      </c>
      <c r="G375" s="50" t="str">
        <f>IFERROR(VLOOKUP("SL HANDHELD DW-4-US",STOCK!B2:Q3692,3,FALSE),"SIN STOCK")</f>
        <v>Mayor a 5</v>
      </c>
      <c r="H375" s="28"/>
      <c r="I375" s="28"/>
      <c r="J375" s="28"/>
      <c r="K375" s="28"/>
      <c r="L375" s="28"/>
      <c r="M375" s="28"/>
      <c r="N375" s="28"/>
      <c r="O375" s="28"/>
      <c r="P375" s="28"/>
      <c r="Q375" s="28"/>
      <c r="R375" s="28"/>
      <c r="S375" s="28"/>
    </row>
    <row r="376" ht="15.75" customHeight="1">
      <c r="A376" s="47" t="s">
        <v>31</v>
      </c>
      <c r="B376" s="56" t="s">
        <v>901</v>
      </c>
      <c r="C376" s="49" t="s">
        <v>902</v>
      </c>
      <c r="D376" s="37" t="s">
        <v>874</v>
      </c>
      <c r="E376" s="37" t="s">
        <v>875</v>
      </c>
      <c r="F376" s="38">
        <v>0.21</v>
      </c>
      <c r="G376" s="53" t="str">
        <f>IFERROR(VLOOKUP("SL TABLESTAND 133-S DW-4 B",STOCK!B2:Q3692,3,FALSE),"SIN STOCK")</f>
        <v>Menor a 5</v>
      </c>
      <c r="H376" s="28"/>
      <c r="I376" s="28"/>
      <c r="J376" s="28"/>
      <c r="K376" s="28"/>
      <c r="L376" s="28"/>
      <c r="M376" s="28"/>
      <c r="N376" s="28"/>
      <c r="O376" s="28"/>
      <c r="P376" s="28"/>
      <c r="Q376" s="28"/>
      <c r="R376" s="28"/>
      <c r="S376" s="28"/>
    </row>
    <row r="377" ht="15.75" customHeight="1">
      <c r="A377" s="41" t="s">
        <v>31</v>
      </c>
      <c r="B377" s="42" t="s">
        <v>903</v>
      </c>
      <c r="C377" s="43" t="s">
        <v>904</v>
      </c>
      <c r="D377" s="44" t="s">
        <v>893</v>
      </c>
      <c r="E377" s="44" t="s">
        <v>894</v>
      </c>
      <c r="F377" s="45">
        <v>0.21</v>
      </c>
      <c r="G377" s="53" t="str">
        <f>IFERROR(VLOOKUP("SL TABLESTAND 153-S DW-4 B",STOCK!B2:Q3692,3,FALSE),"SIN STOCK")</f>
        <v>Mayor a 5</v>
      </c>
      <c r="H377" s="28"/>
      <c r="I377" s="28"/>
      <c r="J377" s="28"/>
      <c r="K377" s="28"/>
      <c r="L377" s="28"/>
      <c r="M377" s="28"/>
      <c r="N377" s="28"/>
      <c r="O377" s="28"/>
      <c r="P377" s="28"/>
      <c r="Q377" s="28"/>
      <c r="R377" s="28"/>
      <c r="S377" s="28"/>
    </row>
    <row r="378" ht="15.75" customHeight="1">
      <c r="A378" s="47" t="s">
        <v>31</v>
      </c>
      <c r="B378" s="48" t="s">
        <v>905</v>
      </c>
      <c r="C378" s="49" t="s">
        <v>906</v>
      </c>
      <c r="D378" s="37" t="s">
        <v>456</v>
      </c>
      <c r="E378" s="37" t="s">
        <v>457</v>
      </c>
      <c r="F378" s="38">
        <v>0.21</v>
      </c>
      <c r="G378" s="53" t="str">
        <f>IFERROR(VLOOKUP("SL MCR 2 DW-4",STOCK!B2:Q3692,3,FALSE),"SIN STOCK")</f>
        <v>Mayor a 5</v>
      </c>
      <c r="H378" s="28"/>
      <c r="I378" s="28"/>
      <c r="J378" s="28"/>
      <c r="K378" s="28"/>
      <c r="L378" s="28"/>
      <c r="M378" s="28"/>
      <c r="N378" s="28"/>
      <c r="O378" s="28"/>
      <c r="P378" s="28"/>
      <c r="Q378" s="28"/>
      <c r="R378" s="28"/>
      <c r="S378" s="28"/>
    </row>
    <row r="379" ht="15.75" customHeight="1">
      <c r="A379" s="41" t="s">
        <v>31</v>
      </c>
      <c r="B379" s="42" t="s">
        <v>907</v>
      </c>
      <c r="C379" s="43" t="s">
        <v>908</v>
      </c>
      <c r="D379" s="44" t="s">
        <v>909</v>
      </c>
      <c r="E379" s="44" t="s">
        <v>910</v>
      </c>
      <c r="F379" s="45">
        <v>0.21</v>
      </c>
      <c r="G379" s="53" t="str">
        <f>IFERROR(VLOOKUP("SL MCR 4 DW-4",STOCK!B2:Q3692,3,FALSE),"SIN STOCK")</f>
        <v>Mayor a 5</v>
      </c>
      <c r="H379" s="28"/>
      <c r="I379" s="28"/>
      <c r="J379" s="28"/>
      <c r="K379" s="28"/>
      <c r="L379" s="28"/>
      <c r="M379" s="28"/>
      <c r="N379" s="28"/>
      <c r="O379" s="28"/>
      <c r="P379" s="28"/>
      <c r="Q379" s="28"/>
      <c r="R379" s="28"/>
      <c r="S379" s="28"/>
    </row>
    <row r="380" ht="15.75" customHeight="1">
      <c r="A380" s="47" t="s">
        <v>31</v>
      </c>
      <c r="B380" s="48" t="s">
        <v>911</v>
      </c>
      <c r="C380" s="49" t="s">
        <v>912</v>
      </c>
      <c r="D380" s="37" t="s">
        <v>827</v>
      </c>
      <c r="E380" s="37" t="s">
        <v>828</v>
      </c>
      <c r="F380" s="38">
        <v>0.21</v>
      </c>
      <c r="G380" s="53" t="str">
        <f>IFERROR(VLOOKUP("SL MCR WALLMOUNT ADAPTER",STOCK!B2:Q3692,3,FALSE),"SIN STOCK")</f>
        <v>Menor a 5</v>
      </c>
      <c r="H380" s="28"/>
      <c r="I380" s="28"/>
      <c r="J380" s="28"/>
      <c r="K380" s="28"/>
      <c r="L380" s="28"/>
      <c r="M380" s="28"/>
      <c r="N380" s="28"/>
      <c r="O380" s="28"/>
      <c r="P380" s="28"/>
      <c r="Q380" s="28"/>
      <c r="R380" s="28"/>
      <c r="S380" s="28"/>
    </row>
    <row r="381" ht="15.75" customHeight="1">
      <c r="A381" s="41" t="s">
        <v>31</v>
      </c>
      <c r="B381" s="42" t="s">
        <v>913</v>
      </c>
      <c r="C381" s="43" t="s">
        <v>914</v>
      </c>
      <c r="D381" s="44" t="s">
        <v>227</v>
      </c>
      <c r="E381" s="44" t="s">
        <v>228</v>
      </c>
      <c r="F381" s="45">
        <v>0.21</v>
      </c>
      <c r="G381" s="39" t="str">
        <f>IFERROR(VLOOKUP("SL RACK RECEIVER DW-4-US",STOCK!B2:Q3692,3,FALSE),"SIN STOCK")</f>
        <v>Mayor a 5</v>
      </c>
      <c r="H381" s="28"/>
      <c r="I381" s="28"/>
      <c r="J381" s="28"/>
      <c r="K381" s="28"/>
      <c r="L381" s="28"/>
      <c r="M381" s="28"/>
      <c r="N381" s="28"/>
      <c r="O381" s="28"/>
      <c r="P381" s="28"/>
      <c r="Q381" s="28"/>
      <c r="R381" s="28"/>
      <c r="S381" s="28"/>
    </row>
    <row r="382" ht="15.75" customHeight="1">
      <c r="A382" s="58" t="s">
        <v>915</v>
      </c>
      <c r="B382" s="30"/>
      <c r="C382" s="30"/>
      <c r="D382" s="55"/>
      <c r="E382" s="32"/>
      <c r="F382" s="30"/>
      <c r="G382" s="30"/>
      <c r="H382" s="28"/>
      <c r="I382" s="28"/>
      <c r="J382" s="28"/>
      <c r="K382" s="28"/>
      <c r="L382" s="28"/>
      <c r="M382" s="28"/>
      <c r="N382" s="28"/>
      <c r="O382" s="28"/>
      <c r="P382" s="28"/>
      <c r="Q382" s="28"/>
      <c r="R382" s="28"/>
      <c r="S382" s="28"/>
    </row>
    <row r="383" ht="15.75" customHeight="1">
      <c r="A383" s="41" t="s">
        <v>31</v>
      </c>
      <c r="B383" s="42" t="s">
        <v>916</v>
      </c>
      <c r="C383" s="43" t="s">
        <v>917</v>
      </c>
      <c r="D383" s="44" t="s">
        <v>918</v>
      </c>
      <c r="E383" s="44" t="s">
        <v>919</v>
      </c>
      <c r="F383" s="45">
        <v>0.21</v>
      </c>
      <c r="G383" s="50" t="str">
        <f>IFERROR(VLOOKUP("SL PASC 2",STOCK!B2:Q3692,3,FALSE),"SIN STOCK")</f>
        <v>SIN STOCK</v>
      </c>
      <c r="H383" s="28"/>
      <c r="I383" s="28"/>
      <c r="J383" s="28"/>
      <c r="K383" s="28"/>
      <c r="L383" s="28"/>
      <c r="M383" s="28"/>
      <c r="N383" s="28"/>
      <c r="O383" s="28"/>
      <c r="P383" s="28"/>
      <c r="Q383" s="28"/>
      <c r="R383" s="28"/>
      <c r="S383" s="28"/>
    </row>
    <row r="384" ht="15.75" customHeight="1">
      <c r="A384" s="47" t="s">
        <v>31</v>
      </c>
      <c r="B384" s="48" t="s">
        <v>920</v>
      </c>
      <c r="C384" s="49" t="s">
        <v>921</v>
      </c>
      <c r="D384" s="37" t="s">
        <v>922</v>
      </c>
      <c r="E384" s="37" t="s">
        <v>923</v>
      </c>
      <c r="F384" s="38">
        <v>0.21</v>
      </c>
      <c r="G384" s="53" t="str">
        <f>IFERROR(VLOOKUP("SL PASC 4",STOCK!B2:Q3692,3,FALSE),"SIN STOCK")</f>
        <v>Menor a 5</v>
      </c>
      <c r="H384" s="28"/>
      <c r="I384" s="28"/>
      <c r="J384" s="28"/>
      <c r="K384" s="28"/>
      <c r="L384" s="28"/>
      <c r="M384" s="28"/>
      <c r="N384" s="28"/>
      <c r="O384" s="28"/>
      <c r="P384" s="28"/>
      <c r="Q384" s="28"/>
      <c r="R384" s="28"/>
      <c r="S384" s="28"/>
    </row>
    <row r="385" ht="15.75" customHeight="1">
      <c r="A385" s="41" t="s">
        <v>31</v>
      </c>
      <c r="B385" s="42" t="s">
        <v>924</v>
      </c>
      <c r="C385" s="43" t="s">
        <v>925</v>
      </c>
      <c r="D385" s="44" t="s">
        <v>721</v>
      </c>
      <c r="E385" s="44" t="s">
        <v>722</v>
      </c>
      <c r="F385" s="45">
        <v>0.21</v>
      </c>
      <c r="G385" s="50" t="str">
        <f>IFERROR(VLOOKUP("AWM 2 MK II",STOCK!B3:Q3693,3,FALSE),"SIN STOCK")</f>
        <v>Menor a 5</v>
      </c>
      <c r="H385" s="28"/>
      <c r="I385" s="28"/>
      <c r="J385" s="28"/>
      <c r="K385" s="28"/>
      <c r="L385" s="28"/>
      <c r="M385" s="28"/>
      <c r="N385" s="28"/>
      <c r="O385" s="28"/>
      <c r="P385" s="28"/>
      <c r="Q385" s="28"/>
      <c r="R385" s="28"/>
      <c r="S385" s="28"/>
    </row>
    <row r="386" ht="15.75" customHeight="1">
      <c r="A386" s="47" t="s">
        <v>31</v>
      </c>
      <c r="B386" s="48" t="s">
        <v>926</v>
      </c>
      <c r="C386" s="49" t="s">
        <v>927</v>
      </c>
      <c r="D386" s="37" t="s">
        <v>483</v>
      </c>
      <c r="E386" s="37" t="s">
        <v>484</v>
      </c>
      <c r="F386" s="38">
        <v>0.21</v>
      </c>
      <c r="G386" s="53" t="str">
        <f>IFERROR(VLOOKUP("AWM 4",STOCK!B2:Q3692,3,FALSE),"SIN STOCK")</f>
        <v>Menor a 5</v>
      </c>
      <c r="H386" s="28"/>
      <c r="I386" s="28"/>
      <c r="J386" s="28"/>
      <c r="K386" s="28"/>
      <c r="L386" s="28"/>
      <c r="M386" s="28"/>
      <c r="N386" s="28"/>
      <c r="O386" s="28"/>
      <c r="P386" s="28"/>
      <c r="Q386" s="28"/>
      <c r="R386" s="28"/>
      <c r="S386" s="28"/>
    </row>
    <row r="387" ht="15.75" customHeight="1">
      <c r="A387" s="41" t="s">
        <v>31</v>
      </c>
      <c r="B387" s="42" t="s">
        <v>928</v>
      </c>
      <c r="C387" s="43" t="s">
        <v>328</v>
      </c>
      <c r="D387" s="44" t="s">
        <v>515</v>
      </c>
      <c r="E387" s="44" t="s">
        <v>516</v>
      </c>
      <c r="F387" s="45">
        <v>0.21</v>
      </c>
      <c r="G387" s="65" t="s">
        <v>517</v>
      </c>
      <c r="H387" s="28"/>
      <c r="I387" s="28"/>
      <c r="J387" s="28"/>
      <c r="K387" s="28"/>
      <c r="L387" s="28"/>
      <c r="M387" s="28"/>
      <c r="N387" s="28"/>
      <c r="O387" s="28"/>
      <c r="P387" s="28"/>
      <c r="Q387" s="28"/>
      <c r="R387" s="28"/>
      <c r="S387" s="28"/>
    </row>
    <row r="388" ht="15.75" customHeight="1">
      <c r="A388" s="47" t="s">
        <v>31</v>
      </c>
      <c r="B388" s="48" t="s">
        <v>929</v>
      </c>
      <c r="C388" s="49" t="s">
        <v>930</v>
      </c>
      <c r="D388" s="37" t="s">
        <v>931</v>
      </c>
      <c r="E388" s="37" t="s">
        <v>932</v>
      </c>
      <c r="F388" s="38">
        <v>0.21</v>
      </c>
      <c r="G388" s="50" t="str">
        <f>IFERROR(VLOOKUP("CL 1 PP",STOCK!B2:Q3692,3,FALSE),"SIN STOCK")</f>
        <v>SIN STOCK</v>
      </c>
      <c r="H388" s="28"/>
      <c r="I388" s="28"/>
      <c r="J388" s="28"/>
      <c r="K388" s="28"/>
      <c r="L388" s="28"/>
      <c r="M388" s="28"/>
      <c r="N388" s="28"/>
      <c r="O388" s="28"/>
      <c r="P388" s="28"/>
      <c r="Q388" s="28"/>
      <c r="R388" s="28"/>
      <c r="S388" s="28"/>
    </row>
    <row r="389" ht="15.75" customHeight="1">
      <c r="A389" s="41" t="s">
        <v>31</v>
      </c>
      <c r="B389" s="42" t="s">
        <v>933</v>
      </c>
      <c r="C389" s="43" t="s">
        <v>934</v>
      </c>
      <c r="D389" s="44" t="s">
        <v>827</v>
      </c>
      <c r="E389" s="44" t="s">
        <v>828</v>
      </c>
      <c r="F389" s="45">
        <v>0.21</v>
      </c>
      <c r="G389" s="50" t="str">
        <f>IFERROR(VLOOKUP("CL 10 PP",STOCK!B2:Q3692,3,FALSE),"SIN STOCK")</f>
        <v>SIN STOCK</v>
      </c>
      <c r="H389" s="28"/>
      <c r="I389" s="28"/>
      <c r="J389" s="28"/>
      <c r="K389" s="28"/>
      <c r="L389" s="28"/>
      <c r="M389" s="28"/>
      <c r="N389" s="28"/>
      <c r="O389" s="28"/>
      <c r="P389" s="28"/>
      <c r="Q389" s="28"/>
      <c r="R389" s="28"/>
      <c r="S389" s="28"/>
    </row>
    <row r="390" ht="15.75" customHeight="1">
      <c r="A390" s="47" t="s">
        <v>31</v>
      </c>
      <c r="B390" s="48" t="s">
        <v>935</v>
      </c>
      <c r="C390" s="49" t="s">
        <v>936</v>
      </c>
      <c r="D390" s="37" t="s">
        <v>937</v>
      </c>
      <c r="E390" s="37" t="s">
        <v>938</v>
      </c>
      <c r="F390" s="38">
        <v>0.21</v>
      </c>
      <c r="G390" s="50" t="str">
        <f>IFERROR(VLOOKUP("CL 20 PP",STOCK!B2:Q3692,3,FALSE),"SIN STOCK")</f>
        <v>SIN STOCK</v>
      </c>
      <c r="H390" s="28"/>
      <c r="I390" s="28"/>
      <c r="J390" s="28"/>
      <c r="K390" s="28"/>
      <c r="L390" s="28"/>
      <c r="M390" s="28"/>
      <c r="N390" s="28"/>
      <c r="O390" s="28"/>
      <c r="P390" s="28"/>
      <c r="Q390" s="28"/>
      <c r="R390" s="28"/>
      <c r="S390" s="28"/>
    </row>
    <row r="391" ht="15.75" customHeight="1">
      <c r="A391" s="41" t="s">
        <v>31</v>
      </c>
      <c r="B391" s="42" t="s">
        <v>939</v>
      </c>
      <c r="C391" s="43" t="s">
        <v>940</v>
      </c>
      <c r="D391" s="44" t="s">
        <v>941</v>
      </c>
      <c r="E391" s="44" t="s">
        <v>942</v>
      </c>
      <c r="F391" s="45">
        <v>0.21</v>
      </c>
      <c r="G391" s="53" t="str">
        <f>IFERROR(VLOOKUP("CL 5 PP",STOCK!B2:Q3692,3,FALSE),"SIN STOCK")</f>
        <v>Menor a 5</v>
      </c>
      <c r="H391" s="28"/>
      <c r="I391" s="28"/>
      <c r="J391" s="28"/>
      <c r="K391" s="28"/>
      <c r="L391" s="28"/>
      <c r="M391" s="28"/>
      <c r="N391" s="28"/>
      <c r="O391" s="28"/>
      <c r="P391" s="28"/>
      <c r="Q391" s="28"/>
      <c r="R391" s="28"/>
      <c r="S391" s="28"/>
    </row>
    <row r="392" ht="15.75" customHeight="1">
      <c r="A392" s="58" t="s">
        <v>943</v>
      </c>
      <c r="B392" s="30"/>
      <c r="C392" s="30"/>
      <c r="D392" s="55"/>
      <c r="E392" s="32"/>
      <c r="F392" s="30"/>
      <c r="G392" s="30"/>
      <c r="H392" s="28"/>
      <c r="I392" s="28"/>
      <c r="J392" s="28"/>
      <c r="K392" s="28"/>
      <c r="L392" s="28"/>
      <c r="M392" s="28"/>
      <c r="N392" s="28"/>
      <c r="O392" s="28"/>
      <c r="P392" s="28"/>
      <c r="Q392" s="28"/>
      <c r="R392" s="28"/>
      <c r="S392" s="28"/>
    </row>
    <row r="393" ht="15.75" customHeight="1">
      <c r="A393" s="41" t="s">
        <v>31</v>
      </c>
      <c r="B393" s="42" t="s">
        <v>944</v>
      </c>
      <c r="C393" s="43" t="s">
        <v>945</v>
      </c>
      <c r="D393" s="44" t="s">
        <v>732</v>
      </c>
      <c r="E393" s="44" t="s">
        <v>733</v>
      </c>
      <c r="F393" s="45">
        <v>0.21</v>
      </c>
      <c r="G393" s="50" t="str">
        <f>IFERROR(VLOOKUP("BA 40",STOCK!B2:Q3692,3,FALSE),"SIN STOCK")</f>
        <v>SIN STOCK</v>
      </c>
      <c r="H393" s="28"/>
      <c r="I393" s="28"/>
      <c r="J393" s="28"/>
      <c r="K393" s="28"/>
      <c r="L393" s="28"/>
      <c r="M393" s="28"/>
      <c r="N393" s="28"/>
      <c r="O393" s="28"/>
      <c r="P393" s="28"/>
      <c r="Q393" s="28"/>
      <c r="R393" s="28"/>
      <c r="S393" s="28"/>
    </row>
    <row r="394" ht="15.75" customHeight="1">
      <c r="A394" s="47" t="s">
        <v>31</v>
      </c>
      <c r="B394" s="48" t="s">
        <v>946</v>
      </c>
      <c r="C394" s="49" t="s">
        <v>947</v>
      </c>
      <c r="D394" s="37" t="s">
        <v>58</v>
      </c>
      <c r="E394" s="37" t="s">
        <v>59</v>
      </c>
      <c r="F394" s="38">
        <v>0.21</v>
      </c>
      <c r="G394" s="50" t="str">
        <f>IFERROR(VLOOKUP("CHG 2 US",STOCK!B2:Q3692,3,FALSE),"SIN STOCK")</f>
        <v>SIN STOCK</v>
      </c>
      <c r="H394" s="28"/>
      <c r="I394" s="28"/>
      <c r="J394" s="28"/>
      <c r="K394" s="28"/>
      <c r="L394" s="28"/>
      <c r="M394" s="28"/>
      <c r="N394" s="28"/>
      <c r="O394" s="28"/>
      <c r="P394" s="28"/>
      <c r="Q394" s="28"/>
      <c r="R394" s="28"/>
      <c r="S394" s="28"/>
    </row>
    <row r="395" ht="15.75" customHeight="1">
      <c r="A395" s="41" t="s">
        <v>31</v>
      </c>
      <c r="B395" s="42" t="s">
        <v>948</v>
      </c>
      <c r="C395" s="43" t="s">
        <v>949</v>
      </c>
      <c r="D395" s="44" t="s">
        <v>132</v>
      </c>
      <c r="E395" s="44" t="s">
        <v>133</v>
      </c>
      <c r="F395" s="45">
        <v>0.21</v>
      </c>
      <c r="G395" s="50" t="str">
        <f>IFERROR(VLOOKUP("CHG 2N US",STOCK!B2:Q3692,3,FALSE),"SIN STOCK")</f>
        <v>SIN STOCK</v>
      </c>
      <c r="H395" s="28"/>
      <c r="I395" s="28"/>
      <c r="J395" s="28"/>
      <c r="K395" s="28"/>
      <c r="L395" s="28"/>
      <c r="M395" s="28"/>
      <c r="N395" s="28"/>
      <c r="O395" s="28"/>
      <c r="P395" s="28"/>
      <c r="Q395" s="28"/>
      <c r="R395" s="28"/>
      <c r="S395" s="28"/>
    </row>
    <row r="396" ht="15.75" customHeight="1">
      <c r="A396" s="47" t="s">
        <v>31</v>
      </c>
      <c r="B396" s="48" t="s">
        <v>950</v>
      </c>
      <c r="C396" s="49" t="s">
        <v>951</v>
      </c>
      <c r="D396" s="37" t="s">
        <v>78</v>
      </c>
      <c r="E396" s="37" t="s">
        <v>79</v>
      </c>
      <c r="F396" s="38">
        <v>0.21</v>
      </c>
      <c r="G396" s="50" t="str">
        <f>IFERROR(VLOOKUP("CHG 2W",STOCK!B2:Q3692,3,FALSE),"SIN STOCK")</f>
        <v>Menor a 5</v>
      </c>
      <c r="H396" s="28"/>
      <c r="I396" s="28"/>
      <c r="J396" s="28"/>
      <c r="K396" s="28"/>
      <c r="L396" s="28"/>
      <c r="M396" s="28"/>
      <c r="N396" s="28"/>
      <c r="O396" s="28"/>
      <c r="P396" s="28"/>
      <c r="Q396" s="28"/>
      <c r="R396" s="28"/>
      <c r="S396" s="28"/>
    </row>
    <row r="397" ht="15.75" customHeight="1">
      <c r="A397" s="41" t="s">
        <v>31</v>
      </c>
      <c r="B397" s="42" t="s">
        <v>952</v>
      </c>
      <c r="C397" s="43" t="s">
        <v>953</v>
      </c>
      <c r="D397" s="44" t="s">
        <v>954</v>
      </c>
      <c r="E397" s="44" t="s">
        <v>955</v>
      </c>
      <c r="F397" s="45">
        <v>0.21</v>
      </c>
      <c r="G397" s="50" t="str">
        <f>IFERROR(VLOOKUP("CHG 4N US",STOCK!B2:Q3692,3,FALSE),"SIN STOCK")</f>
        <v>Menor a 5</v>
      </c>
      <c r="H397" s="28"/>
      <c r="I397" s="28"/>
      <c r="J397" s="28"/>
      <c r="K397" s="28"/>
      <c r="L397" s="28"/>
      <c r="M397" s="28"/>
      <c r="N397" s="28"/>
      <c r="O397" s="28"/>
      <c r="P397" s="28"/>
      <c r="Q397" s="28"/>
      <c r="R397" s="28"/>
      <c r="S397" s="28"/>
    </row>
    <row r="398" ht="15.75" customHeight="1">
      <c r="A398" s="47" t="s">
        <v>31</v>
      </c>
      <c r="B398" s="48" t="s">
        <v>956</v>
      </c>
      <c r="C398" s="49" t="s">
        <v>957</v>
      </c>
      <c r="D398" s="37" t="s">
        <v>89</v>
      </c>
      <c r="E398" s="37" t="s">
        <v>90</v>
      </c>
      <c r="F398" s="38">
        <v>0.21</v>
      </c>
      <c r="G398" s="39" t="str">
        <f>IFERROR(VLOOKUP("GA 4",STOCK!B2:Q3692,3,FALSE),"SIN STOCK")</f>
        <v>Mayor a 5</v>
      </c>
      <c r="H398" s="28"/>
      <c r="I398" s="28"/>
      <c r="J398" s="28"/>
      <c r="K398" s="28"/>
      <c r="L398" s="28"/>
      <c r="M398" s="28"/>
      <c r="N398" s="28"/>
      <c r="O398" s="28"/>
      <c r="P398" s="28"/>
      <c r="Q398" s="28"/>
      <c r="R398" s="28"/>
      <c r="S398" s="28"/>
    </row>
    <row r="399" ht="15.75" customHeight="1">
      <c r="A399" s="29" t="s">
        <v>958</v>
      </c>
      <c r="C399" s="30"/>
      <c r="D399" s="55"/>
      <c r="E399" s="32"/>
      <c r="F399" s="30"/>
      <c r="G399" s="30"/>
      <c r="H399" s="28"/>
      <c r="I399" s="28"/>
      <c r="J399" s="28"/>
      <c r="K399" s="28"/>
      <c r="L399" s="28"/>
      <c r="M399" s="28"/>
      <c r="N399" s="28"/>
      <c r="O399" s="28"/>
      <c r="P399" s="28"/>
      <c r="Q399" s="28"/>
      <c r="R399" s="28"/>
      <c r="S399" s="28"/>
    </row>
    <row r="400" ht="15.75" customHeight="1">
      <c r="A400" s="41" t="s">
        <v>31</v>
      </c>
      <c r="B400" s="42" t="s">
        <v>959</v>
      </c>
      <c r="C400" s="43" t="s">
        <v>960</v>
      </c>
      <c r="D400" s="44" t="s">
        <v>961</v>
      </c>
      <c r="E400" s="44" t="s">
        <v>962</v>
      </c>
      <c r="F400" s="45">
        <v>0.21</v>
      </c>
      <c r="G400" s="50" t="str">
        <f>IFERROR(VLOOKUP("MKH 30 P 48",STOCK!B2:Q3692,3,FALSE),"SIN STOCK")</f>
        <v>SIN STOCK</v>
      </c>
      <c r="H400" s="28"/>
      <c r="I400" s="28"/>
      <c r="J400" s="28"/>
      <c r="K400" s="28"/>
      <c r="L400" s="28"/>
      <c r="M400" s="28"/>
      <c r="N400" s="28"/>
      <c r="O400" s="28"/>
      <c r="P400" s="28"/>
      <c r="Q400" s="28"/>
      <c r="R400" s="28"/>
      <c r="S400" s="28"/>
    </row>
    <row r="401" ht="15.75" customHeight="1">
      <c r="A401" s="47" t="s">
        <v>31</v>
      </c>
      <c r="B401" s="48" t="s">
        <v>963</v>
      </c>
      <c r="C401" s="49" t="s">
        <v>964</v>
      </c>
      <c r="D401" s="37" t="s">
        <v>223</v>
      </c>
      <c r="E401" s="37" t="s">
        <v>224</v>
      </c>
      <c r="F401" s="38">
        <v>0.21</v>
      </c>
      <c r="G401" s="53" t="str">
        <f>IFERROR(VLOOKUP("MKH 416 P48U3",STOCK!B2:Q3692,3,FALSE),"SIN STOCK")</f>
        <v>SIN STOCK</v>
      </c>
      <c r="H401" s="28"/>
      <c r="I401" s="28"/>
      <c r="J401" s="28"/>
      <c r="K401" s="28"/>
      <c r="L401" s="28"/>
      <c r="M401" s="28"/>
      <c r="N401" s="28"/>
      <c r="O401" s="28"/>
      <c r="P401" s="28"/>
      <c r="Q401" s="28"/>
      <c r="R401" s="28"/>
      <c r="S401" s="28"/>
    </row>
    <row r="402" ht="15.75" customHeight="1">
      <c r="A402" s="41" t="s">
        <v>31</v>
      </c>
      <c r="B402" s="42" t="s">
        <v>965</v>
      </c>
      <c r="C402" s="43" t="s">
        <v>966</v>
      </c>
      <c r="D402" s="44" t="s">
        <v>967</v>
      </c>
      <c r="E402" s="44" t="s">
        <v>968</v>
      </c>
      <c r="F402" s="45">
        <v>0.21</v>
      </c>
      <c r="G402" s="50" t="str">
        <f>IFERROR(VLOOKUP("MKH 418-S",STOCK!B2:Q3692,3,FALSE),"SIN STOCK")</f>
        <v>SIN STOCK</v>
      </c>
      <c r="H402" s="28"/>
      <c r="I402" s="28"/>
      <c r="J402" s="28"/>
      <c r="K402" s="28"/>
      <c r="L402" s="28"/>
      <c r="M402" s="28"/>
      <c r="N402" s="28"/>
      <c r="O402" s="28"/>
      <c r="P402" s="28"/>
      <c r="Q402" s="28"/>
      <c r="R402" s="28"/>
      <c r="S402" s="28"/>
    </row>
    <row r="403" ht="15.75" customHeight="1">
      <c r="A403" s="47" t="s">
        <v>31</v>
      </c>
      <c r="B403" s="48" t="s">
        <v>969</v>
      </c>
      <c r="C403" s="49" t="s">
        <v>970</v>
      </c>
      <c r="D403" s="37" t="s">
        <v>971</v>
      </c>
      <c r="E403" s="37" t="s">
        <v>972</v>
      </c>
      <c r="F403" s="38">
        <v>0.21</v>
      </c>
      <c r="G403" s="50" t="str">
        <f>IFERROR(VLOOKUP("MKH 50-P48",STOCK!B2:Q3692,3,FALSE),"SIN STOCK")</f>
        <v>SIN STOCK</v>
      </c>
      <c r="H403" s="28"/>
      <c r="I403" s="28"/>
      <c r="J403" s="28"/>
      <c r="K403" s="28"/>
      <c r="L403" s="28"/>
      <c r="M403" s="28"/>
      <c r="N403" s="28"/>
      <c r="O403" s="28"/>
      <c r="P403" s="28"/>
      <c r="Q403" s="28"/>
      <c r="R403" s="28"/>
      <c r="S403" s="28"/>
    </row>
    <row r="404" ht="15.75" customHeight="1">
      <c r="A404" s="41" t="s">
        <v>31</v>
      </c>
      <c r="B404" s="42" t="s">
        <v>973</v>
      </c>
      <c r="C404" s="43" t="s">
        <v>974</v>
      </c>
      <c r="D404" s="44" t="s">
        <v>975</v>
      </c>
      <c r="E404" s="44" t="s">
        <v>976</v>
      </c>
      <c r="F404" s="45">
        <v>0.21</v>
      </c>
      <c r="G404" s="50" t="str">
        <f>IFERROR(VLOOKUP("MKH 800 TWIN NI",STOCK!B2:Q3692,3,FALSE),"SIN STOCK")</f>
        <v>SIN STOCK</v>
      </c>
      <c r="H404" s="28"/>
      <c r="I404" s="28"/>
      <c r="J404" s="28"/>
      <c r="K404" s="28"/>
      <c r="L404" s="28"/>
      <c r="M404" s="28"/>
      <c r="N404" s="28"/>
      <c r="O404" s="28"/>
      <c r="P404" s="28"/>
      <c r="Q404" s="28"/>
      <c r="R404" s="28"/>
      <c r="S404" s="28"/>
    </row>
    <row r="405" ht="15.75" customHeight="1">
      <c r="A405" s="47" t="s">
        <v>31</v>
      </c>
      <c r="B405" s="48" t="s">
        <v>977</v>
      </c>
      <c r="C405" s="49" t="s">
        <v>974</v>
      </c>
      <c r="D405" s="37" t="s">
        <v>975</v>
      </c>
      <c r="E405" s="37" t="s">
        <v>976</v>
      </c>
      <c r="F405" s="38">
        <v>0.21</v>
      </c>
      <c r="G405" s="50" t="str">
        <f>IFERROR(VLOOKUP("MKH 800 TWIN NX",STOCK!B2:Q3692,3,FALSE),"SIN STOCK")</f>
        <v>SIN STOCK</v>
      </c>
      <c r="H405" s="28"/>
      <c r="I405" s="28"/>
      <c r="J405" s="28"/>
      <c r="K405" s="28"/>
      <c r="L405" s="28"/>
      <c r="M405" s="28"/>
      <c r="N405" s="28"/>
      <c r="O405" s="28"/>
      <c r="P405" s="28"/>
      <c r="Q405" s="28"/>
      <c r="R405" s="28"/>
      <c r="S405" s="28"/>
    </row>
    <row r="406" ht="15.75" customHeight="1">
      <c r="A406" s="41" t="s">
        <v>31</v>
      </c>
      <c r="B406" s="42" t="s">
        <v>978</v>
      </c>
      <c r="C406" s="43" t="s">
        <v>979</v>
      </c>
      <c r="D406" s="44" t="s">
        <v>277</v>
      </c>
      <c r="E406" s="44" t="s">
        <v>278</v>
      </c>
      <c r="F406" s="45">
        <v>0.21</v>
      </c>
      <c r="G406" s="50" t="str">
        <f>IFERROR(VLOOKUP("MKH 8020",STOCK!B2:Q3692,3,FALSE),"SIN STOCK")</f>
        <v>SIN STOCK</v>
      </c>
      <c r="H406" s="28"/>
      <c r="I406" s="28"/>
      <c r="J406" s="28"/>
      <c r="K406" s="28"/>
      <c r="L406" s="28"/>
      <c r="M406" s="28"/>
      <c r="N406" s="28"/>
      <c r="O406" s="28"/>
      <c r="P406" s="28"/>
      <c r="Q406" s="28"/>
      <c r="R406" s="28"/>
      <c r="S406" s="28"/>
    </row>
    <row r="407" ht="15.75" customHeight="1">
      <c r="A407" s="47" t="s">
        <v>31</v>
      </c>
      <c r="B407" s="48" t="s">
        <v>980</v>
      </c>
      <c r="C407" s="49" t="s">
        <v>981</v>
      </c>
      <c r="D407" s="37" t="s">
        <v>247</v>
      </c>
      <c r="E407" s="37" t="s">
        <v>248</v>
      </c>
      <c r="F407" s="38">
        <v>0.21</v>
      </c>
      <c r="G407" s="50" t="str">
        <f>IFERROR(VLOOKUP("MKH 8020 Stereo Set",STOCK!B2:Q3692,3,FALSE),"SIN STOCK")</f>
        <v>SIN STOCK</v>
      </c>
      <c r="H407" s="28"/>
      <c r="I407" s="28"/>
      <c r="J407" s="28"/>
      <c r="K407" s="28"/>
      <c r="L407" s="28"/>
      <c r="M407" s="28"/>
      <c r="N407" s="28"/>
      <c r="O407" s="28"/>
      <c r="P407" s="28"/>
      <c r="Q407" s="28"/>
      <c r="R407" s="28"/>
      <c r="S407" s="28"/>
    </row>
    <row r="408" ht="15.75" customHeight="1">
      <c r="A408" s="41" t="s">
        <v>31</v>
      </c>
      <c r="B408" s="42" t="s">
        <v>982</v>
      </c>
      <c r="C408" s="43" t="s">
        <v>983</v>
      </c>
      <c r="D408" s="44" t="s">
        <v>277</v>
      </c>
      <c r="E408" s="44" t="s">
        <v>278</v>
      </c>
      <c r="F408" s="45">
        <v>0.21</v>
      </c>
      <c r="G408" s="53" t="str">
        <f>IFERROR(VLOOKUP("MKH 8040",STOCK!B2:Q3692,3,FALSE),"SIN STOCK")</f>
        <v>SIN STOCK</v>
      </c>
      <c r="H408" s="28"/>
      <c r="I408" s="28"/>
      <c r="J408" s="28"/>
      <c r="K408" s="28"/>
      <c r="L408" s="28"/>
      <c r="M408" s="28"/>
      <c r="N408" s="28"/>
      <c r="O408" s="28"/>
      <c r="P408" s="28"/>
      <c r="Q408" s="28"/>
      <c r="R408" s="28"/>
      <c r="S408" s="28"/>
    </row>
    <row r="409" ht="15.75" customHeight="1">
      <c r="A409" s="47" t="s">
        <v>31</v>
      </c>
      <c r="B409" s="48" t="s">
        <v>984</v>
      </c>
      <c r="C409" s="49" t="s">
        <v>985</v>
      </c>
      <c r="D409" s="37" t="s">
        <v>247</v>
      </c>
      <c r="E409" s="37" t="s">
        <v>248</v>
      </c>
      <c r="F409" s="38">
        <v>0.21</v>
      </c>
      <c r="G409" s="50" t="str">
        <f>IFERROR(VLOOKUP("MKH 8040 Stereo Set",STOCK!B2:Q3692,3,FALSE),"SIN STOCK")</f>
        <v>SIN STOCK</v>
      </c>
      <c r="H409" s="28"/>
      <c r="I409" s="28"/>
      <c r="J409" s="28"/>
      <c r="K409" s="28"/>
      <c r="L409" s="28"/>
      <c r="M409" s="28"/>
      <c r="N409" s="28"/>
      <c r="O409" s="28"/>
      <c r="P409" s="28"/>
      <c r="Q409" s="28"/>
      <c r="R409" s="28"/>
      <c r="S409" s="28"/>
    </row>
    <row r="410" ht="15.75" customHeight="1">
      <c r="A410" s="41" t="s">
        <v>31</v>
      </c>
      <c r="B410" s="42" t="s">
        <v>986</v>
      </c>
      <c r="C410" s="43" t="s">
        <v>987</v>
      </c>
      <c r="D410" s="44" t="s">
        <v>277</v>
      </c>
      <c r="E410" s="44" t="s">
        <v>278</v>
      </c>
      <c r="F410" s="45">
        <v>0.21</v>
      </c>
      <c r="G410" s="50" t="str">
        <f>IFERROR(VLOOKUP("MKH 8050",STOCK!B2:Q3692,3,FALSE),"SIN STOCK")</f>
        <v>SIN STOCK</v>
      </c>
      <c r="H410" s="28"/>
      <c r="I410" s="28"/>
      <c r="J410" s="28"/>
      <c r="K410" s="28"/>
      <c r="L410" s="28"/>
      <c r="M410" s="28"/>
      <c r="N410" s="28"/>
      <c r="O410" s="28"/>
      <c r="P410" s="28"/>
      <c r="Q410" s="28"/>
      <c r="R410" s="28"/>
      <c r="S410" s="28"/>
    </row>
    <row r="411" ht="15.75" customHeight="1">
      <c r="A411" s="47" t="s">
        <v>31</v>
      </c>
      <c r="B411" s="48" t="s">
        <v>988</v>
      </c>
      <c r="C411" s="49" t="s">
        <v>989</v>
      </c>
      <c r="D411" s="37" t="s">
        <v>786</v>
      </c>
      <c r="E411" s="37" t="s">
        <v>787</v>
      </c>
      <c r="F411" s="38">
        <v>0.21</v>
      </c>
      <c r="G411" s="50" t="str">
        <f>IFERROR(VLOOKUP("MKH 8060",STOCK!B2:Q3692,3,FALSE),"SIN STOCK")</f>
        <v>SIN STOCK</v>
      </c>
      <c r="H411" s="28"/>
      <c r="I411" s="28"/>
      <c r="J411" s="28"/>
      <c r="K411" s="28"/>
      <c r="L411" s="28"/>
      <c r="M411" s="28"/>
      <c r="N411" s="28"/>
      <c r="O411" s="28"/>
      <c r="P411" s="28"/>
      <c r="Q411" s="28"/>
      <c r="R411" s="28"/>
      <c r="S411" s="28"/>
    </row>
    <row r="412" ht="15.75" customHeight="1">
      <c r="A412" s="41" t="s">
        <v>31</v>
      </c>
      <c r="B412" s="42" t="s">
        <v>990</v>
      </c>
      <c r="C412" s="43" t="s">
        <v>991</v>
      </c>
      <c r="D412" s="44" t="s">
        <v>378</v>
      </c>
      <c r="E412" s="44" t="s">
        <v>379</v>
      </c>
      <c r="F412" s="45">
        <v>0.21</v>
      </c>
      <c r="G412" s="50" t="str">
        <f>IFERROR(VLOOKUP("MKH 8070",STOCK!B2:Q3692,3,FALSE),"SIN STOCK")</f>
        <v>SIN STOCK</v>
      </c>
      <c r="H412" s="28"/>
      <c r="I412" s="28"/>
      <c r="J412" s="28"/>
      <c r="K412" s="28"/>
      <c r="L412" s="28"/>
      <c r="M412" s="28"/>
      <c r="N412" s="28"/>
      <c r="O412" s="28"/>
      <c r="P412" s="28"/>
      <c r="Q412" s="28"/>
      <c r="R412" s="28"/>
      <c r="S412" s="28"/>
    </row>
    <row r="413" ht="15.75" customHeight="1">
      <c r="A413" s="47" t="s">
        <v>31</v>
      </c>
      <c r="B413" s="48" t="s">
        <v>992</v>
      </c>
      <c r="C413" s="49" t="s">
        <v>993</v>
      </c>
      <c r="D413" s="37" t="s">
        <v>277</v>
      </c>
      <c r="E413" s="37" t="s">
        <v>278</v>
      </c>
      <c r="F413" s="38">
        <v>0.21</v>
      </c>
      <c r="G413" s="50" t="str">
        <f>IFERROR(VLOOKUP("MKH 8090",STOCK!B2:Q3692,3,FALSE),"SIN STOCK")</f>
        <v>SIN STOCK</v>
      </c>
      <c r="H413" s="28"/>
      <c r="I413" s="28"/>
      <c r="J413" s="28"/>
      <c r="K413" s="28"/>
      <c r="L413" s="28"/>
      <c r="M413" s="28"/>
      <c r="N413" s="28"/>
      <c r="O413" s="28"/>
      <c r="P413" s="28"/>
      <c r="Q413" s="28"/>
      <c r="R413" s="28"/>
      <c r="S413" s="28"/>
    </row>
    <row r="414" ht="15.75" customHeight="1">
      <c r="A414" s="41" t="s">
        <v>31</v>
      </c>
      <c r="B414" s="42" t="s">
        <v>994</v>
      </c>
      <c r="C414" s="43" t="s">
        <v>995</v>
      </c>
      <c r="D414" s="44" t="s">
        <v>996</v>
      </c>
      <c r="E414" s="44" t="s">
        <v>997</v>
      </c>
      <c r="F414" s="45">
        <v>0.21</v>
      </c>
      <c r="G414" s="53" t="str">
        <f>IFERROR(VLOOKUP("ESFERA",STOCK!B2:Q3692,3,FALSE),"SIN STOCK")</f>
        <v>Menor a 5</v>
      </c>
      <c r="H414" s="28"/>
      <c r="I414" s="28"/>
      <c r="J414" s="28"/>
      <c r="K414" s="28"/>
      <c r="L414" s="28"/>
      <c r="M414" s="28"/>
      <c r="N414" s="28"/>
      <c r="O414" s="28"/>
      <c r="P414" s="28"/>
      <c r="Q414" s="28"/>
      <c r="R414" s="28"/>
      <c r="S414" s="28"/>
    </row>
    <row r="415" ht="15.75" customHeight="1">
      <c r="A415" s="58" t="s">
        <v>998</v>
      </c>
      <c r="B415" s="30"/>
      <c r="C415" s="30"/>
      <c r="D415" s="55"/>
      <c r="E415" s="32"/>
      <c r="F415" s="30"/>
      <c r="G415" s="30"/>
      <c r="H415" s="28"/>
      <c r="I415" s="28"/>
      <c r="J415" s="28"/>
      <c r="K415" s="28"/>
      <c r="L415" s="28"/>
      <c r="M415" s="28"/>
      <c r="N415" s="28"/>
      <c r="O415" s="28"/>
      <c r="P415" s="28"/>
      <c r="Q415" s="28"/>
      <c r="R415" s="28"/>
      <c r="S415" s="28"/>
    </row>
    <row r="416" ht="15.75" customHeight="1">
      <c r="A416" s="41" t="s">
        <v>31</v>
      </c>
      <c r="B416" s="71" t="s">
        <v>999</v>
      </c>
      <c r="C416" s="43" t="s">
        <v>1000</v>
      </c>
      <c r="D416" s="44" t="s">
        <v>515</v>
      </c>
      <c r="E416" s="44" t="s">
        <v>516</v>
      </c>
      <c r="F416" s="45">
        <v>0.21</v>
      </c>
      <c r="G416" s="50" t="str">
        <f>IFERROR(VLOOKUP("MZC1",STOCK!B2:Q3692,3,FALSE),"SIN STOCK")</f>
        <v>SIN STOCK</v>
      </c>
      <c r="H416" s="28"/>
      <c r="I416" s="28"/>
      <c r="J416" s="28"/>
      <c r="K416" s="28"/>
      <c r="L416" s="28"/>
      <c r="M416" s="28"/>
      <c r="N416" s="28"/>
      <c r="O416" s="28"/>
      <c r="P416" s="28"/>
      <c r="Q416" s="28"/>
      <c r="R416" s="28"/>
      <c r="S416" s="28"/>
    </row>
    <row r="417" ht="15.75" customHeight="1">
      <c r="A417" s="47" t="s">
        <v>31</v>
      </c>
      <c r="B417" s="48" t="s">
        <v>1001</v>
      </c>
      <c r="C417" s="49" t="s">
        <v>1002</v>
      </c>
      <c r="D417" s="37" t="s">
        <v>1003</v>
      </c>
      <c r="E417" s="37" t="s">
        <v>1004</v>
      </c>
      <c r="F417" s="38">
        <v>0.21</v>
      </c>
      <c r="G417" s="50" t="str">
        <f>IFERROR(VLOOKUP("MZE 8015",STOCK!B2:Q3692,3,FALSE),"SIN STOCK")</f>
        <v>SIN STOCK</v>
      </c>
      <c r="H417" s="28"/>
      <c r="I417" s="28"/>
      <c r="J417" s="28"/>
      <c r="K417" s="28"/>
      <c r="L417" s="28"/>
      <c r="M417" s="28"/>
      <c r="N417" s="28"/>
      <c r="O417" s="28"/>
      <c r="P417" s="28"/>
      <c r="Q417" s="28"/>
      <c r="R417" s="28"/>
      <c r="S417" s="28"/>
    </row>
    <row r="418" ht="15.75" customHeight="1">
      <c r="A418" s="41" t="s">
        <v>31</v>
      </c>
      <c r="B418" s="42" t="s">
        <v>1005</v>
      </c>
      <c r="C418" s="43" t="s">
        <v>1006</v>
      </c>
      <c r="D418" s="44" t="s">
        <v>692</v>
      </c>
      <c r="E418" s="44" t="s">
        <v>693</v>
      </c>
      <c r="F418" s="45">
        <v>0.21</v>
      </c>
      <c r="G418" s="50" t="str">
        <f>IFERROR(VLOOKUP("MZE 8030",STOCK!B2:Q3692,3,FALSE),"SIN STOCK")</f>
        <v>SIN STOCK</v>
      </c>
      <c r="H418" s="28"/>
      <c r="I418" s="28"/>
      <c r="J418" s="28"/>
      <c r="K418" s="28"/>
      <c r="L418" s="28"/>
      <c r="M418" s="28"/>
      <c r="N418" s="28"/>
      <c r="O418" s="28"/>
      <c r="P418" s="28"/>
      <c r="Q418" s="28"/>
      <c r="R418" s="28"/>
      <c r="S418" s="28"/>
    </row>
    <row r="419" ht="15.75" customHeight="1">
      <c r="A419" s="47" t="s">
        <v>31</v>
      </c>
      <c r="B419" s="48" t="s">
        <v>1007</v>
      </c>
      <c r="C419" s="49" t="s">
        <v>1008</v>
      </c>
      <c r="D419" s="37" t="s">
        <v>1009</v>
      </c>
      <c r="E419" s="37" t="s">
        <v>1010</v>
      </c>
      <c r="F419" s="38">
        <v>0.21</v>
      </c>
      <c r="G419" s="50" t="str">
        <f>IFERROR(VLOOKUP("MZE 8060",STOCK!B2:Q3692,3,FALSE),"SIN STOCK")</f>
        <v>SIN STOCK</v>
      </c>
      <c r="H419" s="28"/>
      <c r="I419" s="28"/>
      <c r="J419" s="28"/>
      <c r="K419" s="28"/>
      <c r="L419" s="28"/>
      <c r="M419" s="28"/>
      <c r="N419" s="28"/>
      <c r="O419" s="28"/>
      <c r="P419" s="28"/>
      <c r="Q419" s="28"/>
      <c r="R419" s="28"/>
      <c r="S419" s="28"/>
    </row>
    <row r="420" ht="15.75" customHeight="1">
      <c r="A420" s="41" t="s">
        <v>31</v>
      </c>
      <c r="B420" s="42" t="s">
        <v>1011</v>
      </c>
      <c r="C420" s="43" t="s">
        <v>1012</v>
      </c>
      <c r="D420" s="44" t="s">
        <v>1013</v>
      </c>
      <c r="E420" s="44" t="s">
        <v>1014</v>
      </c>
      <c r="F420" s="45">
        <v>0.21</v>
      </c>
      <c r="G420" s="50" t="str">
        <f>IFERROR(VLOOKUP("MZE 8120",STOCK!B2:Q3692,3,FALSE),"SIN STOCK")</f>
        <v>SIN STOCK</v>
      </c>
      <c r="H420" s="28"/>
      <c r="I420" s="28"/>
      <c r="J420" s="28"/>
      <c r="K420" s="28"/>
      <c r="L420" s="28"/>
      <c r="M420" s="28"/>
      <c r="N420" s="28"/>
      <c r="O420" s="28"/>
      <c r="P420" s="28"/>
      <c r="Q420" s="28"/>
      <c r="R420" s="28"/>
      <c r="S420" s="28"/>
    </row>
    <row r="421" ht="15.75" customHeight="1">
      <c r="A421" s="47" t="s">
        <v>31</v>
      </c>
      <c r="B421" s="48" t="s">
        <v>1015</v>
      </c>
      <c r="C421" s="49" t="s">
        <v>1016</v>
      </c>
      <c r="D421" s="37" t="s">
        <v>1017</v>
      </c>
      <c r="E421" s="37" t="s">
        <v>1018</v>
      </c>
      <c r="F421" s="38">
        <v>0.21</v>
      </c>
      <c r="G421" s="50" t="str">
        <f>IFERROR(VLOOKUP("MZEF 8030",STOCK!B2:Q3692,3,FALSE),"SIN STOCK")</f>
        <v>SIN STOCK</v>
      </c>
      <c r="H421" s="28"/>
      <c r="I421" s="28"/>
      <c r="J421" s="28"/>
      <c r="K421" s="28"/>
      <c r="L421" s="28"/>
      <c r="M421" s="28"/>
      <c r="N421" s="28"/>
      <c r="O421" s="28"/>
      <c r="P421" s="28"/>
      <c r="Q421" s="28"/>
      <c r="R421" s="28"/>
      <c r="S421" s="28"/>
    </row>
    <row r="422" ht="15.75" customHeight="1">
      <c r="A422" s="41" t="s">
        <v>31</v>
      </c>
      <c r="B422" s="42" t="s">
        <v>1019</v>
      </c>
      <c r="C422" s="43" t="s">
        <v>1020</v>
      </c>
      <c r="D422" s="44" t="s">
        <v>46</v>
      </c>
      <c r="E422" s="44" t="s">
        <v>47</v>
      </c>
      <c r="F422" s="45">
        <v>0.21</v>
      </c>
      <c r="G422" s="50" t="str">
        <f>IFERROR(VLOOKUP("MZEF 8060",STOCK!B2:Q3692,3,FALSE),"SIN STOCK")</f>
        <v>SIN STOCK</v>
      </c>
      <c r="H422" s="28"/>
      <c r="I422" s="28"/>
      <c r="J422" s="28"/>
      <c r="K422" s="28"/>
      <c r="L422" s="28"/>
      <c r="M422" s="28"/>
      <c r="N422" s="28"/>
      <c r="O422" s="28"/>
      <c r="P422" s="28"/>
      <c r="Q422" s="28"/>
      <c r="R422" s="28"/>
      <c r="S422" s="28"/>
    </row>
    <row r="423" ht="15.75" customHeight="1">
      <c r="A423" s="47" t="s">
        <v>31</v>
      </c>
      <c r="B423" s="48" t="s">
        <v>1021</v>
      </c>
      <c r="C423" s="49" t="s">
        <v>1022</v>
      </c>
      <c r="D423" s="37" t="s">
        <v>532</v>
      </c>
      <c r="E423" s="37" t="s">
        <v>533</v>
      </c>
      <c r="F423" s="38">
        <v>0.21</v>
      </c>
      <c r="G423" s="50" t="str">
        <f>IFERROR(VLOOKUP("MZEF 8120",STOCK!B2:Q3692,3,FALSE),"SIN STOCK")</f>
        <v>SIN STOCK</v>
      </c>
      <c r="H423" s="28"/>
      <c r="I423" s="28"/>
      <c r="J423" s="28"/>
      <c r="K423" s="28"/>
      <c r="L423" s="28"/>
      <c r="M423" s="28"/>
      <c r="N423" s="28"/>
      <c r="O423" s="28"/>
      <c r="P423" s="28"/>
      <c r="Q423" s="28"/>
      <c r="R423" s="28"/>
      <c r="S423" s="28"/>
    </row>
    <row r="424" ht="15.75" customHeight="1">
      <c r="A424" s="41" t="s">
        <v>31</v>
      </c>
      <c r="B424" s="42" t="s">
        <v>1023</v>
      </c>
      <c r="C424" s="43" t="s">
        <v>1024</v>
      </c>
      <c r="D424" s="44" t="s">
        <v>1025</v>
      </c>
      <c r="E424" s="44" t="s">
        <v>1026</v>
      </c>
      <c r="F424" s="45">
        <v>0.21</v>
      </c>
      <c r="G424" s="50" t="str">
        <f>IFERROR(VLOOKUP("MZF 8000",STOCK!B2:Q3692,3,FALSE),"SIN STOCK")</f>
        <v>SIN STOCK</v>
      </c>
      <c r="H424" s="28"/>
      <c r="I424" s="28"/>
      <c r="J424" s="28"/>
      <c r="K424" s="28"/>
      <c r="L424" s="28"/>
      <c r="M424" s="28"/>
      <c r="N424" s="28"/>
      <c r="O424" s="28"/>
      <c r="P424" s="28"/>
      <c r="Q424" s="28"/>
      <c r="R424" s="28"/>
      <c r="S424" s="28"/>
    </row>
    <row r="425" ht="15.75" customHeight="1">
      <c r="A425" s="47" t="s">
        <v>31</v>
      </c>
      <c r="B425" s="48" t="s">
        <v>1027</v>
      </c>
      <c r="C425" s="49" t="s">
        <v>1028</v>
      </c>
      <c r="D425" s="37" t="s">
        <v>50</v>
      </c>
      <c r="E425" s="37" t="s">
        <v>51</v>
      </c>
      <c r="F425" s="38">
        <v>0.21</v>
      </c>
      <c r="G425" s="50" t="str">
        <f>IFERROR(VLOOKUP("MZFS 8000",STOCK!B2:Q3692,3,FALSE),"SIN STOCK")</f>
        <v>SIN STOCK</v>
      </c>
      <c r="H425" s="28"/>
      <c r="I425" s="28"/>
      <c r="J425" s="28"/>
      <c r="K425" s="28"/>
      <c r="L425" s="28"/>
      <c r="M425" s="28"/>
      <c r="N425" s="28"/>
      <c r="O425" s="28"/>
      <c r="P425" s="28"/>
      <c r="Q425" s="28"/>
      <c r="R425" s="28"/>
      <c r="S425" s="28"/>
    </row>
    <row r="426" ht="15.75" customHeight="1">
      <c r="A426" s="41" t="s">
        <v>31</v>
      </c>
      <c r="B426" s="42" t="s">
        <v>1029</v>
      </c>
      <c r="C426" s="43" t="s">
        <v>1030</v>
      </c>
      <c r="D426" s="44" t="s">
        <v>1031</v>
      </c>
      <c r="E426" s="44" t="s">
        <v>1032</v>
      </c>
      <c r="F426" s="45">
        <v>0.21</v>
      </c>
      <c r="G426" s="50" t="str">
        <f>IFERROR(VLOOKUP("MZG 8000",STOCK!B2:Q3692,3,FALSE),"SIN STOCK")</f>
        <v>SIN STOCK</v>
      </c>
      <c r="H426" s="28"/>
      <c r="I426" s="28"/>
      <c r="J426" s="28"/>
      <c r="K426" s="28"/>
      <c r="L426" s="28"/>
      <c r="M426" s="28"/>
      <c r="N426" s="28"/>
      <c r="O426" s="28"/>
      <c r="P426" s="28"/>
      <c r="Q426" s="28"/>
      <c r="R426" s="28"/>
      <c r="S426" s="28"/>
    </row>
    <row r="427" ht="15.75" customHeight="1">
      <c r="A427" s="47" t="s">
        <v>31</v>
      </c>
      <c r="B427" s="48" t="s">
        <v>1033</v>
      </c>
      <c r="C427" s="49" t="s">
        <v>1034</v>
      </c>
      <c r="D427" s="37" t="s">
        <v>532</v>
      </c>
      <c r="E427" s="37" t="s">
        <v>533</v>
      </c>
      <c r="F427" s="38">
        <v>0.21</v>
      </c>
      <c r="G427" s="50" t="str">
        <f>IFERROR(VLOOKUP("MZGE 8000",STOCK!B2:Q3692,3,FALSE),"SIN STOCK")</f>
        <v>SIN STOCK</v>
      </c>
      <c r="H427" s="28"/>
      <c r="I427" s="28"/>
      <c r="J427" s="28"/>
      <c r="K427" s="28"/>
      <c r="L427" s="28"/>
      <c r="M427" s="28"/>
      <c r="N427" s="28"/>
      <c r="O427" s="28"/>
      <c r="P427" s="28"/>
      <c r="Q427" s="28"/>
      <c r="R427" s="28"/>
      <c r="S427" s="28"/>
    </row>
    <row r="428" ht="15.75" customHeight="1">
      <c r="A428" s="41" t="s">
        <v>31</v>
      </c>
      <c r="B428" s="42" t="s">
        <v>1035</v>
      </c>
      <c r="C428" s="43" t="s">
        <v>1036</v>
      </c>
      <c r="D428" s="44" t="s">
        <v>42</v>
      </c>
      <c r="E428" s="44" t="s">
        <v>43</v>
      </c>
      <c r="F428" s="45">
        <v>0.21</v>
      </c>
      <c r="G428" s="50" t="str">
        <f>IFERROR(VLOOKUP("MZGE 8002",STOCK!B2:Q3692,3,FALSE),"SIN STOCK")</f>
        <v>SIN STOCK</v>
      </c>
      <c r="H428" s="28"/>
      <c r="I428" s="28"/>
      <c r="J428" s="28"/>
      <c r="K428" s="28"/>
      <c r="L428" s="28"/>
      <c r="M428" s="28"/>
      <c r="N428" s="28"/>
      <c r="O428" s="28"/>
      <c r="P428" s="28"/>
      <c r="Q428" s="28"/>
      <c r="R428" s="28"/>
      <c r="S428" s="28"/>
    </row>
    <row r="429" ht="15.75" customHeight="1">
      <c r="A429" s="47" t="s">
        <v>31</v>
      </c>
      <c r="B429" s="48" t="s">
        <v>1037</v>
      </c>
      <c r="C429" s="49" t="s">
        <v>1038</v>
      </c>
      <c r="D429" s="37" t="s">
        <v>1031</v>
      </c>
      <c r="E429" s="37" t="s">
        <v>1032</v>
      </c>
      <c r="F429" s="38">
        <v>0.21</v>
      </c>
      <c r="G429" s="39" t="str">
        <f>IFERROR(VLOOKUP("MZH 60-1",STOCK!B2:Q3692,3,FALSE),"SIN STOCK")</f>
        <v>Mayor a 5</v>
      </c>
      <c r="H429" s="28"/>
      <c r="I429" s="28"/>
      <c r="J429" s="28"/>
      <c r="K429" s="28"/>
      <c r="L429" s="28"/>
      <c r="M429" s="28"/>
      <c r="N429" s="28"/>
      <c r="O429" s="28"/>
      <c r="P429" s="28"/>
      <c r="Q429" s="28"/>
      <c r="R429" s="28"/>
      <c r="S429" s="28"/>
    </row>
    <row r="430" ht="15.75" customHeight="1">
      <c r="A430" s="41" t="s">
        <v>31</v>
      </c>
      <c r="B430" s="42" t="s">
        <v>1039</v>
      </c>
      <c r="C430" s="43" t="s">
        <v>1040</v>
      </c>
      <c r="D430" s="44" t="s">
        <v>1041</v>
      </c>
      <c r="E430" s="44" t="s">
        <v>1042</v>
      </c>
      <c r="F430" s="45">
        <v>0.21</v>
      </c>
      <c r="G430" s="53" t="str">
        <f>IFERROR(VLOOKUP("MZH 70-1",STOCK!B2:Q3692,3,FALSE),"SIN STOCK")</f>
        <v>SIN STOCK</v>
      </c>
      <c r="H430" s="28"/>
      <c r="I430" s="28"/>
      <c r="J430" s="28"/>
      <c r="K430" s="28"/>
      <c r="L430" s="28"/>
      <c r="M430" s="28"/>
      <c r="N430" s="28"/>
      <c r="O430" s="28"/>
      <c r="P430" s="28"/>
      <c r="Q430" s="28"/>
      <c r="R430" s="28"/>
      <c r="S430" s="28"/>
    </row>
    <row r="431" ht="15.75" customHeight="1">
      <c r="A431" s="47" t="s">
        <v>31</v>
      </c>
      <c r="B431" s="48" t="s">
        <v>1043</v>
      </c>
      <c r="C431" s="49" t="s">
        <v>1044</v>
      </c>
      <c r="D431" s="37" t="s">
        <v>46</v>
      </c>
      <c r="E431" s="37" t="s">
        <v>47</v>
      </c>
      <c r="F431" s="38">
        <v>0.21</v>
      </c>
      <c r="G431" s="39" t="str">
        <f>IFERROR(VLOOKUP("XB2-14",STOCK!B2:Q3692,3,FALSE),"SIN STOCK")</f>
        <v>Mayor a 5</v>
      </c>
      <c r="H431" s="28"/>
      <c r="I431" s="28"/>
      <c r="J431" s="28"/>
      <c r="K431" s="28"/>
      <c r="L431" s="28"/>
      <c r="M431" s="28"/>
      <c r="N431" s="28"/>
      <c r="O431" s="28"/>
      <c r="P431" s="28"/>
      <c r="Q431" s="28"/>
      <c r="R431" s="28"/>
      <c r="S431" s="28"/>
    </row>
    <row r="432" ht="15.75" customHeight="1">
      <c r="A432" s="41" t="s">
        <v>31</v>
      </c>
      <c r="B432" s="42" t="s">
        <v>1045</v>
      </c>
      <c r="C432" s="43" t="s">
        <v>1046</v>
      </c>
      <c r="D432" s="44" t="s">
        <v>118</v>
      </c>
      <c r="E432" s="44" t="s">
        <v>119</v>
      </c>
      <c r="F432" s="45">
        <v>0.21</v>
      </c>
      <c r="G432" s="50" t="str">
        <f>IFERROR(VLOOKUP("MZH 80-1",STOCK!B2:Q3692,3,FALSE),"SIN STOCK")</f>
        <v>SIN STOCK</v>
      </c>
      <c r="H432" s="28"/>
      <c r="I432" s="28"/>
      <c r="J432" s="28"/>
      <c r="K432" s="28"/>
      <c r="L432" s="28"/>
      <c r="M432" s="28"/>
      <c r="N432" s="28"/>
      <c r="O432" s="28"/>
      <c r="P432" s="28"/>
      <c r="Q432" s="28"/>
      <c r="R432" s="28"/>
      <c r="S432" s="28"/>
    </row>
    <row r="433" ht="15.75" customHeight="1">
      <c r="A433" s="47" t="s">
        <v>31</v>
      </c>
      <c r="B433" s="48" t="s">
        <v>1047</v>
      </c>
      <c r="C433" s="49" t="s">
        <v>1048</v>
      </c>
      <c r="D433" s="37" t="s">
        <v>1049</v>
      </c>
      <c r="E433" s="37" t="s">
        <v>1050</v>
      </c>
      <c r="F433" s="38">
        <v>0.21</v>
      </c>
      <c r="G433" s="50" t="str">
        <f>IFERROR(VLOOKUP("MZL 8003",STOCK!B2:Q3692,3,FALSE),"SIN STOCK")</f>
        <v>SIN STOCK</v>
      </c>
      <c r="H433" s="28"/>
      <c r="I433" s="28"/>
      <c r="J433" s="28"/>
      <c r="K433" s="28"/>
      <c r="L433" s="28"/>
      <c r="M433" s="28"/>
      <c r="N433" s="28"/>
      <c r="O433" s="28"/>
      <c r="P433" s="28"/>
      <c r="Q433" s="28"/>
      <c r="R433" s="28"/>
      <c r="S433" s="28"/>
    </row>
    <row r="434" ht="15.75" customHeight="1">
      <c r="A434" s="41" t="s">
        <v>31</v>
      </c>
      <c r="B434" s="42" t="s">
        <v>1051</v>
      </c>
      <c r="C434" s="43" t="s">
        <v>1052</v>
      </c>
      <c r="D434" s="44" t="s">
        <v>42</v>
      </c>
      <c r="E434" s="44" t="s">
        <v>43</v>
      </c>
      <c r="F434" s="45">
        <v>0.21</v>
      </c>
      <c r="G434" s="50" t="str">
        <f>IFERROR(VLOOKUP("MZL 8010",STOCK!B2:Q3692,3,FALSE),"SIN STOCK")</f>
        <v>SIN STOCK</v>
      </c>
      <c r="H434" s="28"/>
      <c r="I434" s="28"/>
      <c r="J434" s="28"/>
      <c r="K434" s="28"/>
      <c r="L434" s="28"/>
      <c r="M434" s="28"/>
      <c r="N434" s="28"/>
      <c r="O434" s="28"/>
      <c r="P434" s="28"/>
      <c r="Q434" s="28"/>
      <c r="R434" s="28"/>
      <c r="S434" s="28"/>
    </row>
    <row r="435" ht="15.75" customHeight="1">
      <c r="A435" s="47" t="s">
        <v>31</v>
      </c>
      <c r="B435" s="48" t="s">
        <v>1053</v>
      </c>
      <c r="C435" s="49" t="s">
        <v>1054</v>
      </c>
      <c r="D435" s="37" t="s">
        <v>515</v>
      </c>
      <c r="E435" s="37" t="s">
        <v>516</v>
      </c>
      <c r="F435" s="38">
        <v>0.21</v>
      </c>
      <c r="G435" s="50" t="str">
        <f>IFERROR(VLOOKUP("MZQ 100",STOCK!B2:Q3692,3,FALSE),"SIN STOCK")</f>
        <v>SIN STOCK</v>
      </c>
      <c r="H435" s="28"/>
      <c r="I435" s="28"/>
      <c r="J435" s="28"/>
      <c r="K435" s="28"/>
      <c r="L435" s="28"/>
      <c r="M435" s="28"/>
      <c r="N435" s="28"/>
      <c r="O435" s="28"/>
      <c r="P435" s="28"/>
      <c r="Q435" s="28"/>
      <c r="R435" s="28"/>
      <c r="S435" s="28"/>
    </row>
    <row r="436" ht="15.75" customHeight="1">
      <c r="A436" s="41" t="s">
        <v>31</v>
      </c>
      <c r="B436" s="42" t="s">
        <v>1055</v>
      </c>
      <c r="C436" s="43" t="s">
        <v>1056</v>
      </c>
      <c r="D436" s="44" t="s">
        <v>89</v>
      </c>
      <c r="E436" s="44" t="s">
        <v>90</v>
      </c>
      <c r="F436" s="45">
        <v>0.21</v>
      </c>
      <c r="G436" s="50" t="str">
        <f>IFERROR(VLOOKUP("MZQ 8000",STOCK!B2:Q3692,3,FALSE),"SIN STOCK")</f>
        <v>SIN STOCK</v>
      </c>
      <c r="H436" s="28"/>
      <c r="I436" s="28"/>
      <c r="J436" s="28"/>
      <c r="K436" s="28"/>
      <c r="L436" s="28"/>
      <c r="M436" s="28"/>
      <c r="N436" s="28"/>
      <c r="O436" s="28"/>
      <c r="P436" s="28"/>
      <c r="Q436" s="28"/>
      <c r="R436" s="28"/>
      <c r="S436" s="28"/>
    </row>
    <row r="437" ht="15.75" customHeight="1">
      <c r="A437" s="47" t="s">
        <v>31</v>
      </c>
      <c r="B437" s="48" t="s">
        <v>1057</v>
      </c>
      <c r="C437" s="49" t="s">
        <v>1058</v>
      </c>
      <c r="D437" s="37" t="s">
        <v>198</v>
      </c>
      <c r="E437" s="37" t="s">
        <v>199</v>
      </c>
      <c r="F437" s="38">
        <v>0.21</v>
      </c>
      <c r="G437" s="50" t="str">
        <f>IFERROR(VLOOKUP("MZQ 8001",STOCK!B2:Q3692,3,FALSE),"SIN STOCK")</f>
        <v>SIN STOCK</v>
      </c>
      <c r="H437" s="28"/>
      <c r="I437" s="28"/>
      <c r="J437" s="28"/>
      <c r="K437" s="28"/>
      <c r="L437" s="28"/>
      <c r="M437" s="28"/>
      <c r="N437" s="28"/>
      <c r="O437" s="28"/>
      <c r="P437" s="28"/>
      <c r="Q437" s="28"/>
      <c r="R437" s="28"/>
      <c r="S437" s="28"/>
    </row>
    <row r="438" ht="15.75" customHeight="1">
      <c r="A438" s="41" t="s">
        <v>31</v>
      </c>
      <c r="B438" s="42" t="s">
        <v>1059</v>
      </c>
      <c r="C438" s="43" t="s">
        <v>1060</v>
      </c>
      <c r="D438" s="44" t="s">
        <v>1031</v>
      </c>
      <c r="E438" s="44" t="s">
        <v>1032</v>
      </c>
      <c r="F438" s="45">
        <v>0.21</v>
      </c>
      <c r="G438" s="53" t="str">
        <f>IFERROR(VLOOKUP("MZS 40",STOCK!B2:Q3692,3,FALSE),"SIN STOCK")</f>
        <v>Menor a 5</v>
      </c>
      <c r="H438" s="28"/>
      <c r="I438" s="28"/>
      <c r="J438" s="28"/>
      <c r="K438" s="28"/>
      <c r="L438" s="28"/>
      <c r="M438" s="28"/>
      <c r="N438" s="28"/>
      <c r="O438" s="28"/>
      <c r="P438" s="28"/>
      <c r="Q438" s="28"/>
      <c r="R438" s="28"/>
      <c r="S438" s="28"/>
    </row>
    <row r="439" ht="15.75" customHeight="1">
      <c r="A439" s="47" t="s">
        <v>31</v>
      </c>
      <c r="B439" s="48" t="s">
        <v>1061</v>
      </c>
      <c r="C439" s="49" t="s">
        <v>1062</v>
      </c>
      <c r="D439" s="37" t="s">
        <v>1031</v>
      </c>
      <c r="E439" s="37" t="s">
        <v>1032</v>
      </c>
      <c r="F439" s="38">
        <v>0.21</v>
      </c>
      <c r="G439" s="50" t="str">
        <f>IFERROR(VLOOKUP("MZS 80",STOCK!B2:Q3692,3,FALSE),"SIN STOCK")</f>
        <v>SIN STOCK</v>
      </c>
      <c r="H439" s="28"/>
      <c r="I439" s="28"/>
      <c r="J439" s="28"/>
      <c r="K439" s="28"/>
      <c r="L439" s="28"/>
      <c r="M439" s="28"/>
      <c r="N439" s="28"/>
      <c r="O439" s="28"/>
      <c r="P439" s="28"/>
      <c r="Q439" s="28"/>
      <c r="R439" s="28"/>
      <c r="S439" s="28"/>
    </row>
    <row r="440" ht="15.75" customHeight="1">
      <c r="A440" s="41" t="s">
        <v>31</v>
      </c>
      <c r="B440" s="42" t="s">
        <v>1063</v>
      </c>
      <c r="C440" s="43" t="s">
        <v>1064</v>
      </c>
      <c r="D440" s="44" t="s">
        <v>1017</v>
      </c>
      <c r="E440" s="44" t="s">
        <v>1018</v>
      </c>
      <c r="F440" s="45">
        <v>0.21</v>
      </c>
      <c r="G440" s="50" t="str">
        <f>IFERROR(VLOOKUP("MZS 8000",STOCK!B2:Q3692,3,FALSE),"SIN STOCK")</f>
        <v>SIN STOCK</v>
      </c>
      <c r="H440" s="28"/>
      <c r="I440" s="28"/>
      <c r="J440" s="28"/>
      <c r="K440" s="28"/>
      <c r="L440" s="28"/>
      <c r="M440" s="28"/>
      <c r="N440" s="28"/>
      <c r="O440" s="28"/>
      <c r="P440" s="28"/>
      <c r="Q440" s="28"/>
      <c r="R440" s="28"/>
      <c r="S440" s="28"/>
    </row>
    <row r="441" ht="15.75" customHeight="1">
      <c r="A441" s="47" t="s">
        <v>31</v>
      </c>
      <c r="B441" s="70" t="s">
        <v>1065</v>
      </c>
      <c r="C441" s="49" t="s">
        <v>1066</v>
      </c>
      <c r="D441" s="37" t="s">
        <v>1067</v>
      </c>
      <c r="E441" s="37" t="s">
        <v>1068</v>
      </c>
      <c r="F441" s="38">
        <v>0.21</v>
      </c>
      <c r="G441" s="53" t="str">
        <f>IFERROR(VLOOKUP("MZS20-1/216",STOCK!B2:Q3692,3,FALSE),"SIN STOCK")</f>
        <v>Menor a 5</v>
      </c>
      <c r="H441" s="28"/>
      <c r="I441" s="28"/>
      <c r="J441" s="28"/>
      <c r="K441" s="28"/>
      <c r="L441" s="28"/>
      <c r="M441" s="28"/>
      <c r="N441" s="28"/>
      <c r="O441" s="28"/>
      <c r="P441" s="28"/>
      <c r="Q441" s="28"/>
      <c r="R441" s="28"/>
      <c r="S441" s="28"/>
    </row>
    <row r="442" ht="15.75" customHeight="1">
      <c r="A442" s="41" t="s">
        <v>31</v>
      </c>
      <c r="B442" s="71" t="s">
        <v>1069</v>
      </c>
      <c r="C442" s="43" t="s">
        <v>1070</v>
      </c>
      <c r="D442" s="44" t="s">
        <v>1071</v>
      </c>
      <c r="E442" s="44" t="s">
        <v>1072</v>
      </c>
      <c r="F442" s="45">
        <v>0.21</v>
      </c>
      <c r="G442" s="50" t="str">
        <f>IFERROR(VLOOKUP("MZSCAM",STOCK!B2:Q3692,3,FALSE),"SIN STOCK")</f>
        <v>SIN STOCK</v>
      </c>
      <c r="H442" s="28"/>
      <c r="I442" s="28"/>
      <c r="J442" s="28"/>
      <c r="K442" s="28"/>
      <c r="L442" s="28"/>
      <c r="M442" s="28"/>
      <c r="N442" s="28"/>
      <c r="O442" s="28"/>
      <c r="P442" s="28"/>
      <c r="Q442" s="28"/>
      <c r="R442" s="28"/>
      <c r="S442" s="28"/>
    </row>
    <row r="443" ht="15.75" customHeight="1">
      <c r="A443" s="47" t="s">
        <v>31</v>
      </c>
      <c r="B443" s="48" t="s">
        <v>1073</v>
      </c>
      <c r="C443" s="49" t="s">
        <v>1074</v>
      </c>
      <c r="D443" s="37" t="s">
        <v>180</v>
      </c>
      <c r="E443" s="37" t="s">
        <v>181</v>
      </c>
      <c r="F443" s="38">
        <v>0.21</v>
      </c>
      <c r="G443" s="50" t="str">
        <f>IFERROR(VLOOKUP("MZT 8000",STOCK!B2:Q3692,3,FALSE),"SIN STOCK")</f>
        <v>SIN STOCK</v>
      </c>
      <c r="H443" s="28"/>
      <c r="I443" s="28"/>
      <c r="J443" s="28"/>
      <c r="K443" s="28"/>
      <c r="L443" s="28"/>
      <c r="M443" s="28"/>
      <c r="N443" s="28"/>
      <c r="O443" s="28"/>
      <c r="P443" s="28"/>
      <c r="Q443" s="28"/>
      <c r="R443" s="28"/>
      <c r="S443" s="28"/>
    </row>
    <row r="444" ht="15.75" customHeight="1">
      <c r="A444" s="41" t="s">
        <v>31</v>
      </c>
      <c r="B444" s="42" t="s">
        <v>1075</v>
      </c>
      <c r="C444" s="43" t="s">
        <v>1076</v>
      </c>
      <c r="D444" s="44" t="s">
        <v>180</v>
      </c>
      <c r="E444" s="44" t="s">
        <v>181</v>
      </c>
      <c r="F444" s="45">
        <v>0.21</v>
      </c>
      <c r="G444" s="50" t="str">
        <f>IFERROR(VLOOKUP("MZT 8001",STOCK!B2:Q3692,3,FALSE),"SIN STOCK")</f>
        <v>SIN STOCK</v>
      </c>
      <c r="H444" s="28"/>
      <c r="I444" s="28"/>
      <c r="J444" s="28"/>
      <c r="K444" s="28"/>
      <c r="L444" s="28"/>
      <c r="M444" s="28"/>
      <c r="N444" s="28"/>
      <c r="O444" s="28"/>
      <c r="P444" s="28"/>
      <c r="Q444" s="28"/>
      <c r="R444" s="28"/>
      <c r="S444" s="28"/>
    </row>
    <row r="445" ht="15.75" customHeight="1">
      <c r="A445" s="47" t="s">
        <v>31</v>
      </c>
      <c r="B445" s="48" t="s">
        <v>1077</v>
      </c>
      <c r="C445" s="49" t="s">
        <v>1078</v>
      </c>
      <c r="D445" s="37" t="s">
        <v>234</v>
      </c>
      <c r="E445" s="37" t="s">
        <v>235</v>
      </c>
      <c r="F445" s="38">
        <v>0.21</v>
      </c>
      <c r="G445" s="53" t="str">
        <f>IFERROR(VLOOKUP("MZW 20-1",STOCK!B2:Q3692,3,FALSE),"SIN STOCK")</f>
        <v>Menor a 5</v>
      </c>
      <c r="H445" s="28"/>
      <c r="I445" s="28"/>
      <c r="J445" s="28"/>
      <c r="K445" s="28"/>
      <c r="L445" s="28"/>
      <c r="M445" s="28"/>
      <c r="N445" s="28"/>
      <c r="O445" s="28"/>
      <c r="P445" s="28"/>
      <c r="Q445" s="28"/>
      <c r="R445" s="28"/>
      <c r="S445" s="28"/>
    </row>
    <row r="446" ht="15.75" customHeight="1">
      <c r="A446" s="41" t="s">
        <v>31</v>
      </c>
      <c r="B446" s="42" t="s">
        <v>1079</v>
      </c>
      <c r="C446" s="43" t="s">
        <v>1080</v>
      </c>
      <c r="D446" s="44" t="s">
        <v>89</v>
      </c>
      <c r="E446" s="44" t="s">
        <v>90</v>
      </c>
      <c r="F446" s="45">
        <v>0.21</v>
      </c>
      <c r="G446" s="50" t="str">
        <f>IFERROR(VLOOKUP("MZW 415-ANT",STOCK!B2:Q3692,3,FALSE),"SIN STOCK")</f>
        <v>SIN STOCK</v>
      </c>
      <c r="H446" s="28"/>
      <c r="I446" s="28"/>
      <c r="J446" s="28"/>
      <c r="K446" s="28"/>
      <c r="L446" s="28"/>
      <c r="M446" s="28"/>
      <c r="N446" s="28"/>
      <c r="O446" s="28"/>
      <c r="P446" s="28"/>
      <c r="Q446" s="28"/>
      <c r="R446" s="28"/>
      <c r="S446" s="28"/>
    </row>
    <row r="447" ht="15.75" customHeight="1">
      <c r="A447" s="47" t="s">
        <v>31</v>
      </c>
      <c r="B447" s="48" t="s">
        <v>1081</v>
      </c>
      <c r="C447" s="49" t="s">
        <v>1082</v>
      </c>
      <c r="D447" s="37" t="s">
        <v>1083</v>
      </c>
      <c r="E447" s="37" t="s">
        <v>1084</v>
      </c>
      <c r="F447" s="38">
        <v>0.21</v>
      </c>
      <c r="G447" s="39" t="str">
        <f>IFERROR(VLOOKUP("MZW 60-1",STOCK!B2:Q3692,3,FALSE),"SIN STOCK")</f>
        <v>Mayor a 5</v>
      </c>
      <c r="H447" s="28"/>
      <c r="I447" s="28"/>
      <c r="J447" s="28"/>
      <c r="K447" s="28"/>
      <c r="L447" s="28"/>
      <c r="M447" s="28"/>
      <c r="N447" s="28"/>
      <c r="O447" s="28"/>
      <c r="P447" s="28"/>
      <c r="Q447" s="28"/>
      <c r="R447" s="28"/>
      <c r="S447" s="28"/>
    </row>
    <row r="448" ht="15.75" customHeight="1">
      <c r="A448" s="41" t="s">
        <v>31</v>
      </c>
      <c r="B448" s="42" t="s">
        <v>1085</v>
      </c>
      <c r="C448" s="43" t="s">
        <v>1086</v>
      </c>
      <c r="D448" s="44" t="s">
        <v>540</v>
      </c>
      <c r="E448" s="44" t="s">
        <v>541</v>
      </c>
      <c r="F448" s="45">
        <v>0.21</v>
      </c>
      <c r="G448" s="50" t="str">
        <f>IFERROR(VLOOKUP("MZW 61",STOCK!B2:Q3692,3,FALSE),"SIN STOCK")</f>
        <v>SIN STOCK</v>
      </c>
      <c r="H448" s="28"/>
      <c r="I448" s="28"/>
      <c r="J448" s="28"/>
      <c r="K448" s="28"/>
      <c r="L448" s="28"/>
      <c r="M448" s="28"/>
      <c r="N448" s="28"/>
      <c r="O448" s="28"/>
      <c r="P448" s="28"/>
      <c r="Q448" s="28"/>
      <c r="R448" s="28"/>
      <c r="S448" s="28"/>
    </row>
    <row r="449" ht="15.75" customHeight="1">
      <c r="A449" s="47" t="s">
        <v>31</v>
      </c>
      <c r="B449" s="48" t="s">
        <v>1087</v>
      </c>
      <c r="C449" s="49" t="s">
        <v>1088</v>
      </c>
      <c r="D449" s="37" t="s">
        <v>1089</v>
      </c>
      <c r="E449" s="37" t="s">
        <v>1090</v>
      </c>
      <c r="F449" s="38">
        <v>0.21</v>
      </c>
      <c r="G449" s="53" t="str">
        <f>IFERROR(VLOOKUP("MZW 70-1",STOCK!B2:Q3692,3,FALSE),"SIN STOCK")</f>
        <v>Menor a 5</v>
      </c>
      <c r="H449" s="28"/>
      <c r="I449" s="28"/>
      <c r="J449" s="28"/>
      <c r="K449" s="28"/>
      <c r="L449" s="28"/>
      <c r="M449" s="28"/>
      <c r="N449" s="28"/>
      <c r="O449" s="28"/>
      <c r="P449" s="28"/>
      <c r="Q449" s="28"/>
      <c r="R449" s="28"/>
      <c r="S449" s="28"/>
    </row>
    <row r="450" ht="15.75" customHeight="1">
      <c r="A450" s="41" t="s">
        <v>31</v>
      </c>
      <c r="B450" s="42" t="s">
        <v>1091</v>
      </c>
      <c r="C450" s="43" t="s">
        <v>1092</v>
      </c>
      <c r="D450" s="44" t="s">
        <v>42</v>
      </c>
      <c r="E450" s="44" t="s">
        <v>43</v>
      </c>
      <c r="F450" s="45">
        <v>0.21</v>
      </c>
      <c r="G450" s="39" t="str">
        <f>IFERROR(VLOOKUP("MZW 71",STOCK!B2:Q3692,3,FALSE),"SIN STOCK")</f>
        <v>Mayor a 5</v>
      </c>
      <c r="H450" s="28"/>
      <c r="I450" s="28"/>
      <c r="J450" s="28"/>
      <c r="K450" s="28"/>
      <c r="L450" s="28"/>
      <c r="M450" s="28"/>
      <c r="N450" s="28"/>
      <c r="O450" s="28"/>
      <c r="P450" s="28"/>
      <c r="Q450" s="28"/>
      <c r="R450" s="28"/>
      <c r="S450" s="28"/>
    </row>
    <row r="451" ht="15.75" customHeight="1">
      <c r="A451" s="47" t="s">
        <v>31</v>
      </c>
      <c r="B451" s="48" t="s">
        <v>1093</v>
      </c>
      <c r="C451" s="49" t="s">
        <v>1094</v>
      </c>
      <c r="D451" s="37" t="s">
        <v>696</v>
      </c>
      <c r="E451" s="37" t="s">
        <v>697</v>
      </c>
      <c r="F451" s="38">
        <v>0.21</v>
      </c>
      <c r="G451" s="50" t="str">
        <f>IFERROR(VLOOKUP("MZW 8000",STOCK!B2:Q3692,3,FALSE),"SIN STOCK")</f>
        <v>SIN STOCK</v>
      </c>
      <c r="H451" s="28"/>
      <c r="I451" s="28"/>
      <c r="J451" s="28"/>
      <c r="K451" s="28"/>
      <c r="L451" s="28"/>
      <c r="M451" s="28"/>
      <c r="N451" s="28"/>
      <c r="O451" s="28"/>
      <c r="P451" s="28"/>
      <c r="Q451" s="28"/>
      <c r="R451" s="28"/>
      <c r="S451" s="28"/>
    </row>
    <row r="452" ht="15.75" customHeight="1">
      <c r="A452" s="41" t="s">
        <v>31</v>
      </c>
      <c r="B452" s="42" t="s">
        <v>1095</v>
      </c>
      <c r="C452" s="43" t="s">
        <v>1096</v>
      </c>
      <c r="D452" s="44" t="s">
        <v>170</v>
      </c>
      <c r="E452" s="44" t="s">
        <v>171</v>
      </c>
      <c r="F452" s="45">
        <v>0.21</v>
      </c>
      <c r="G452" s="50" t="str">
        <f>IFERROR(VLOOKUP("MZW 80-1",STOCK!B2:Q3692,3,FALSE),"SIN STOCK")</f>
        <v>SIN STOCK</v>
      </c>
      <c r="H452" s="28"/>
      <c r="I452" s="28"/>
      <c r="J452" s="28"/>
      <c r="K452" s="28"/>
      <c r="L452" s="28"/>
      <c r="M452" s="28"/>
      <c r="N452" s="28"/>
      <c r="O452" s="28"/>
      <c r="P452" s="28"/>
      <c r="Q452" s="28"/>
      <c r="R452" s="28"/>
      <c r="S452" s="28"/>
    </row>
    <row r="453" ht="15.75" customHeight="1">
      <c r="A453" s="47" t="s">
        <v>31</v>
      </c>
      <c r="B453" s="48" t="s">
        <v>1097</v>
      </c>
      <c r="C453" s="49" t="s">
        <v>1098</v>
      </c>
      <c r="D453" s="37" t="s">
        <v>89</v>
      </c>
      <c r="E453" s="37" t="s">
        <v>90</v>
      </c>
      <c r="F453" s="38">
        <v>0.21</v>
      </c>
      <c r="G453" s="50" t="str">
        <f>IFERROR(VLOOKUP("MZW 80-ANT",STOCK!B2:Q3692,3,FALSE),"SIN STOCK")</f>
        <v>SIN STOCK</v>
      </c>
      <c r="H453" s="28"/>
      <c r="I453" s="28"/>
      <c r="J453" s="28"/>
      <c r="K453" s="28"/>
      <c r="L453" s="28"/>
      <c r="M453" s="28"/>
      <c r="N453" s="28"/>
      <c r="O453" s="28"/>
      <c r="P453" s="28"/>
      <c r="Q453" s="28"/>
      <c r="R453" s="28"/>
      <c r="S453" s="28"/>
    </row>
    <row r="454" ht="15.75" customHeight="1">
      <c r="A454" s="41" t="s">
        <v>31</v>
      </c>
      <c r="B454" s="42" t="s">
        <v>1099</v>
      </c>
      <c r="C454" s="43" t="s">
        <v>1100</v>
      </c>
      <c r="D454" s="44" t="s">
        <v>1083</v>
      </c>
      <c r="E454" s="44" t="s">
        <v>1084</v>
      </c>
      <c r="F454" s="45">
        <v>0.21</v>
      </c>
      <c r="G454" s="50" t="str">
        <f>IFERROR(VLOOKUP("MZX 8000",STOCK!B2:Q3692,3,FALSE),"SIN STOCK")</f>
        <v>SIN STOCK</v>
      </c>
      <c r="H454" s="28"/>
      <c r="I454" s="28"/>
      <c r="J454" s="28"/>
      <c r="K454" s="28"/>
      <c r="L454" s="28"/>
      <c r="M454" s="28"/>
      <c r="N454" s="28"/>
      <c r="O454" s="28"/>
      <c r="P454" s="28"/>
      <c r="Q454" s="28"/>
      <c r="R454" s="28"/>
      <c r="S454" s="28"/>
    </row>
    <row r="455" ht="15.75" customHeight="1">
      <c r="A455" s="47" t="s">
        <v>31</v>
      </c>
      <c r="B455" s="48" t="s">
        <v>1101</v>
      </c>
      <c r="C455" s="49" t="s">
        <v>1102</v>
      </c>
      <c r="D455" s="37" t="s">
        <v>89</v>
      </c>
      <c r="E455" s="37" t="s">
        <v>90</v>
      </c>
      <c r="F455" s="38">
        <v>0.21</v>
      </c>
      <c r="G455" s="50" t="str">
        <f>IFERROR(VLOOKUP("ACS5",STOCK!B2:Q3692,3,FALSE),"SIN STOCK")</f>
        <v>SIN STOCK</v>
      </c>
      <c r="H455" s="28"/>
      <c r="I455" s="28"/>
      <c r="J455" s="28"/>
      <c r="K455" s="28"/>
      <c r="L455" s="28"/>
      <c r="M455" s="28"/>
      <c r="N455" s="28"/>
      <c r="O455" s="28"/>
      <c r="P455" s="28"/>
      <c r="Q455" s="28"/>
      <c r="R455" s="28"/>
      <c r="S455" s="28"/>
    </row>
    <row r="456" ht="15.75" customHeight="1">
      <c r="A456" s="41" t="s">
        <v>31</v>
      </c>
      <c r="B456" s="71" t="s">
        <v>1103</v>
      </c>
      <c r="C456" s="43" t="s">
        <v>1104</v>
      </c>
      <c r="D456" s="44" t="s">
        <v>564</v>
      </c>
      <c r="E456" s="44" t="s">
        <v>565</v>
      </c>
      <c r="F456" s="45">
        <v>0.21</v>
      </c>
      <c r="G456" s="50" t="str">
        <f>IFERROR(VLOOKUP("INV-3",STOCK!B2:Q3692,3,FALSE),"SIN STOCK")</f>
        <v>SIN STOCK</v>
      </c>
      <c r="H456" s="28"/>
      <c r="I456" s="28"/>
      <c r="J456" s="28"/>
      <c r="K456" s="28"/>
      <c r="L456" s="28"/>
      <c r="M456" s="28"/>
      <c r="N456" s="28"/>
      <c r="O456" s="28"/>
      <c r="P456" s="28"/>
      <c r="Q456" s="28"/>
      <c r="R456" s="28"/>
      <c r="S456" s="28"/>
    </row>
    <row r="457" ht="15.75" customHeight="1">
      <c r="A457" s="47" t="s">
        <v>31</v>
      </c>
      <c r="B457" s="47" t="s">
        <v>1105</v>
      </c>
      <c r="C457" s="49" t="s">
        <v>1106</v>
      </c>
      <c r="D457" s="37" t="s">
        <v>564</v>
      </c>
      <c r="E457" s="37" t="s">
        <v>565</v>
      </c>
      <c r="F457" s="38">
        <v>0.21</v>
      </c>
      <c r="G457" s="50" t="str">
        <f>IFERROR(VLOOKUP("INV-5",STOCK!B2:Q3692,3,FALSE),"SIN STOCK")</f>
        <v>SIN STOCK</v>
      </c>
      <c r="H457" s="28"/>
      <c r="I457" s="28"/>
      <c r="J457" s="28"/>
      <c r="K457" s="28"/>
      <c r="L457" s="28"/>
      <c r="M457" s="28"/>
      <c r="N457" s="28"/>
      <c r="O457" s="28"/>
      <c r="P457" s="28"/>
      <c r="Q457" s="28"/>
      <c r="R457" s="28"/>
      <c r="S457" s="28"/>
    </row>
    <row r="458" ht="15.75" customHeight="1">
      <c r="A458" s="41" t="s">
        <v>31</v>
      </c>
      <c r="B458" s="42" t="s">
        <v>1107</v>
      </c>
      <c r="C458" s="43" t="s">
        <v>1108</v>
      </c>
      <c r="D458" s="44" t="s">
        <v>1109</v>
      </c>
      <c r="E458" s="44" t="s">
        <v>1110</v>
      </c>
      <c r="F458" s="45">
        <v>0.21</v>
      </c>
      <c r="G458" s="50" t="str">
        <f>IFERROR(VLOOKUP("KC6",STOCK!B2:Q3692,3,FALSE),"SIN STOCK")</f>
        <v>SIN STOCK</v>
      </c>
      <c r="H458" s="28"/>
      <c r="I458" s="28"/>
      <c r="J458" s="28"/>
      <c r="K458" s="28"/>
      <c r="L458" s="28"/>
      <c r="M458" s="28"/>
      <c r="N458" s="28"/>
      <c r="O458" s="28"/>
      <c r="P458" s="28"/>
      <c r="Q458" s="28"/>
      <c r="R458" s="28"/>
      <c r="S458" s="28"/>
    </row>
    <row r="459" ht="15.75" customHeight="1">
      <c r="A459" s="29" t="s">
        <v>1111</v>
      </c>
      <c r="B459" s="30"/>
      <c r="C459" s="30"/>
      <c r="D459" s="55"/>
      <c r="E459" s="32"/>
      <c r="F459" s="30"/>
      <c r="G459" s="30"/>
      <c r="H459" s="28"/>
      <c r="I459" s="28"/>
      <c r="J459" s="28"/>
      <c r="K459" s="28"/>
      <c r="L459" s="28"/>
      <c r="M459" s="28"/>
      <c r="N459" s="28"/>
      <c r="O459" s="28"/>
      <c r="P459" s="28"/>
      <c r="Q459" s="28"/>
      <c r="R459" s="28"/>
      <c r="S459" s="28"/>
    </row>
    <row r="460" ht="15.75" customHeight="1">
      <c r="A460" s="41" t="s">
        <v>31</v>
      </c>
      <c r="B460" s="42" t="s">
        <v>1112</v>
      </c>
      <c r="C460" s="43" t="s">
        <v>1113</v>
      </c>
      <c r="D460" s="44" t="s">
        <v>74</v>
      </c>
      <c r="E460" s="44" t="s">
        <v>75</v>
      </c>
      <c r="F460" s="45">
        <v>0.21</v>
      </c>
      <c r="G460" s="39" t="str">
        <f>IFERROR(VLOOKUP("MKE 200",STOCK!B2:Q3692,3,FALSE),"SIN STOCK")</f>
        <v>Mayor a 5</v>
      </c>
      <c r="H460" s="28"/>
      <c r="I460" s="28"/>
      <c r="J460" s="28"/>
      <c r="K460" s="28"/>
      <c r="L460" s="28"/>
      <c r="M460" s="28"/>
      <c r="N460" s="28"/>
      <c r="O460" s="28"/>
      <c r="P460" s="28"/>
      <c r="Q460" s="28"/>
      <c r="R460" s="28"/>
      <c r="S460" s="28"/>
    </row>
    <row r="461" ht="15.75" customHeight="1">
      <c r="A461" s="47" t="s">
        <v>31</v>
      </c>
      <c r="B461" s="48" t="s">
        <v>1114</v>
      </c>
      <c r="C461" s="49" t="s">
        <v>1115</v>
      </c>
      <c r="D461" s="37" t="s">
        <v>46</v>
      </c>
      <c r="E461" s="37" t="s">
        <v>47</v>
      </c>
      <c r="F461" s="38">
        <v>0.21</v>
      </c>
      <c r="G461" s="39" t="str">
        <f>IFERROR(VLOOKUP("MKE 200 MOBILE KIT",STOCK!B2:Q3692,3,FALSE),"SIN STOCK")</f>
        <v>Mayor a 5</v>
      </c>
      <c r="H461" s="28"/>
      <c r="I461" s="28"/>
      <c r="J461" s="28"/>
      <c r="K461" s="28"/>
      <c r="L461" s="28"/>
      <c r="M461" s="28"/>
      <c r="N461" s="28"/>
      <c r="O461" s="28"/>
      <c r="P461" s="28"/>
      <c r="Q461" s="28"/>
      <c r="R461" s="28"/>
      <c r="S461" s="28"/>
    </row>
    <row r="462" ht="15.75" customHeight="1">
      <c r="A462" s="41" t="s">
        <v>31</v>
      </c>
      <c r="B462" s="42" t="s">
        <v>1116</v>
      </c>
      <c r="C462" s="43" t="s">
        <v>1117</v>
      </c>
      <c r="D462" s="44" t="s">
        <v>50</v>
      </c>
      <c r="E462" s="44" t="s">
        <v>51</v>
      </c>
      <c r="F462" s="45">
        <v>0.21</v>
      </c>
      <c r="G462" s="39" t="str">
        <f>IFERROR(VLOOKUP("MKE 400",STOCK!B2:Q3692,3,FALSE),"SIN STOCK")</f>
        <v>Mayor a 5</v>
      </c>
      <c r="H462" s="28"/>
      <c r="I462" s="28"/>
      <c r="J462" s="28"/>
      <c r="K462" s="28"/>
      <c r="L462" s="28"/>
      <c r="M462" s="28"/>
      <c r="N462" s="28"/>
      <c r="O462" s="28"/>
      <c r="P462" s="28"/>
      <c r="Q462" s="28"/>
      <c r="R462" s="28"/>
      <c r="S462" s="28"/>
    </row>
    <row r="463" ht="15.75" customHeight="1">
      <c r="A463" s="47" t="s">
        <v>31</v>
      </c>
      <c r="B463" s="48" t="s">
        <v>1118</v>
      </c>
      <c r="C463" s="49" t="s">
        <v>1119</v>
      </c>
      <c r="D463" s="37" t="s">
        <v>1031</v>
      </c>
      <c r="E463" s="37" t="s">
        <v>1032</v>
      </c>
      <c r="F463" s="38">
        <v>0.21</v>
      </c>
      <c r="G463" s="39" t="str">
        <f>IFERROR(VLOOKUP("MKE 400 MOBILE KIT",STOCK!B2:Q3692,3,FALSE),"SIN STOCK")</f>
        <v>Mayor a 5</v>
      </c>
      <c r="H463" s="28"/>
      <c r="I463" s="28"/>
      <c r="J463" s="28"/>
      <c r="K463" s="28"/>
      <c r="L463" s="28"/>
      <c r="M463" s="28"/>
      <c r="N463" s="28"/>
      <c r="O463" s="28"/>
      <c r="P463" s="28"/>
      <c r="Q463" s="28"/>
      <c r="R463" s="28"/>
      <c r="S463" s="28"/>
    </row>
    <row r="464" ht="15.75" customHeight="1">
      <c r="A464" s="41" t="s">
        <v>31</v>
      </c>
      <c r="B464" s="42" t="s">
        <v>1120</v>
      </c>
      <c r="C464" s="43" t="s">
        <v>1121</v>
      </c>
      <c r="D464" s="44" t="s">
        <v>434</v>
      </c>
      <c r="E464" s="44" t="s">
        <v>435</v>
      </c>
      <c r="F464" s="45">
        <v>0.21</v>
      </c>
      <c r="G464" s="50" t="str">
        <f>IFERROR(VLOOKUP("MKE 440",STOCK!B2:Q3692,3,FALSE),"SIN STOCK")</f>
        <v>SIN STOCK</v>
      </c>
      <c r="H464" s="28"/>
      <c r="I464" s="28"/>
      <c r="J464" s="28"/>
      <c r="K464" s="28"/>
      <c r="L464" s="28"/>
      <c r="M464" s="28"/>
      <c r="N464" s="28"/>
      <c r="O464" s="28"/>
      <c r="P464" s="28"/>
      <c r="Q464" s="28"/>
      <c r="R464" s="28"/>
      <c r="S464" s="28"/>
    </row>
    <row r="465" ht="15.75" customHeight="1">
      <c r="A465" s="47" t="s">
        <v>31</v>
      </c>
      <c r="B465" s="48" t="s">
        <v>1122</v>
      </c>
      <c r="C465" s="49" t="s">
        <v>1123</v>
      </c>
      <c r="D465" s="37" t="s">
        <v>1083</v>
      </c>
      <c r="E465" s="37" t="s">
        <v>1084</v>
      </c>
      <c r="F465" s="38">
        <v>0.21</v>
      </c>
      <c r="G465" s="39" t="str">
        <f>IFERROR(VLOOKUP("MKE 600",STOCK!B2:Q3692,3,FALSE),"SIN STOCK")</f>
        <v>SIN STOCK</v>
      </c>
      <c r="H465" s="28"/>
      <c r="I465" s="28"/>
      <c r="J465" s="28"/>
      <c r="K465" s="28"/>
      <c r="L465" s="28"/>
      <c r="M465" s="28"/>
      <c r="N465" s="28"/>
      <c r="O465" s="28"/>
      <c r="P465" s="28"/>
      <c r="Q465" s="28"/>
      <c r="R465" s="28"/>
      <c r="S465" s="28"/>
    </row>
    <row r="466" ht="15.75" customHeight="1">
      <c r="A466" s="41" t="s">
        <v>31</v>
      </c>
      <c r="B466" s="42" t="s">
        <v>1124</v>
      </c>
      <c r="C466" s="43" t="s">
        <v>1125</v>
      </c>
      <c r="D466" s="44" t="s">
        <v>89</v>
      </c>
      <c r="E466" s="44" t="s">
        <v>90</v>
      </c>
      <c r="F466" s="45">
        <v>0.21</v>
      </c>
      <c r="G466" s="50" t="str">
        <f>IFERROR(VLOOKUP("MOBILE KIT",STOCK!B2:Q3692,3,FALSE),"SIN STOCK")</f>
        <v>SIN STOCK</v>
      </c>
      <c r="H466" s="28"/>
      <c r="I466" s="28"/>
      <c r="J466" s="28"/>
      <c r="K466" s="28"/>
      <c r="L466" s="28"/>
      <c r="M466" s="28"/>
      <c r="N466" s="28"/>
      <c r="O466" s="28"/>
      <c r="P466" s="28"/>
      <c r="Q466" s="28"/>
      <c r="R466" s="28"/>
      <c r="S466" s="28"/>
    </row>
    <row r="467" ht="15.75" customHeight="1">
      <c r="A467" s="47" t="s">
        <v>31</v>
      </c>
      <c r="B467" s="48" t="s">
        <v>1126</v>
      </c>
      <c r="C467" s="49" t="s">
        <v>1127</v>
      </c>
      <c r="D467" s="37" t="s">
        <v>278</v>
      </c>
      <c r="E467" s="37" t="s">
        <v>278</v>
      </c>
      <c r="F467" s="38">
        <v>0.0</v>
      </c>
      <c r="G467" s="50" t="str">
        <f>IFERROR(VLOOKUP("AMBEO VR-MIC",STOCK!B2:Q3692,3,FALSE),"SIN STOCK")</f>
        <v>SIN STOCK</v>
      </c>
      <c r="H467" s="28"/>
      <c r="I467" s="28"/>
      <c r="J467" s="28"/>
      <c r="K467" s="28"/>
      <c r="L467" s="28"/>
      <c r="M467" s="28"/>
      <c r="N467" s="28"/>
      <c r="O467" s="28"/>
      <c r="P467" s="28"/>
      <c r="Q467" s="28"/>
      <c r="R467" s="28"/>
      <c r="S467" s="28"/>
    </row>
    <row r="468" ht="15.75" customHeight="1">
      <c r="A468" s="41" t="s">
        <v>31</v>
      </c>
      <c r="B468" s="42" t="s">
        <v>1128</v>
      </c>
      <c r="C468" s="43" t="s">
        <v>1129</v>
      </c>
      <c r="D468" s="44" t="s">
        <v>50</v>
      </c>
      <c r="E468" s="44" t="s">
        <v>51</v>
      </c>
      <c r="F468" s="45">
        <v>0.21</v>
      </c>
      <c r="G468" s="50" t="str">
        <f>IFERROR(VLOOKUP("MD 42",STOCK!B2:Q3692,3,FALSE),"SIN STOCK")</f>
        <v>SIN STOCK</v>
      </c>
      <c r="H468" s="28"/>
      <c r="I468" s="28"/>
      <c r="J468" s="28"/>
      <c r="K468" s="28"/>
      <c r="L468" s="28"/>
      <c r="M468" s="28"/>
      <c r="N468" s="28"/>
      <c r="O468" s="28"/>
      <c r="P468" s="28"/>
      <c r="Q468" s="28"/>
      <c r="R468" s="28"/>
      <c r="S468" s="28"/>
    </row>
    <row r="469" ht="15.75" customHeight="1">
      <c r="A469" s="47" t="s">
        <v>31</v>
      </c>
      <c r="B469" s="48" t="s">
        <v>1130</v>
      </c>
      <c r="C469" s="49" t="s">
        <v>1131</v>
      </c>
      <c r="D469" s="37" t="s">
        <v>50</v>
      </c>
      <c r="E469" s="37" t="s">
        <v>51</v>
      </c>
      <c r="F469" s="38">
        <v>0.21</v>
      </c>
      <c r="G469" s="53" t="str">
        <f>IFERROR(VLOOKUP("MD 46",STOCK!B2:Q3692,3,FALSE),"SIN STOCK")</f>
        <v>Menor a 5</v>
      </c>
      <c r="H469" s="28"/>
      <c r="I469" s="28"/>
      <c r="J469" s="28"/>
      <c r="K469" s="28"/>
      <c r="L469" s="28"/>
      <c r="M469" s="28"/>
      <c r="N469" s="28"/>
      <c r="O469" s="28"/>
      <c r="P469" s="28"/>
      <c r="Q469" s="28"/>
      <c r="R469" s="28"/>
      <c r="S469" s="28"/>
    </row>
    <row r="470" ht="15.75" customHeight="1">
      <c r="A470" s="58" t="s">
        <v>1132</v>
      </c>
      <c r="B470" s="30"/>
      <c r="C470" s="30"/>
      <c r="D470" s="55"/>
      <c r="E470" s="32"/>
      <c r="F470" s="30"/>
      <c r="G470" s="30"/>
      <c r="H470" s="28"/>
      <c r="I470" s="28"/>
      <c r="J470" s="28"/>
      <c r="K470" s="28"/>
      <c r="L470" s="28"/>
      <c r="M470" s="28"/>
      <c r="N470" s="28"/>
      <c r="O470" s="28"/>
      <c r="P470" s="28"/>
      <c r="Q470" s="28"/>
      <c r="R470" s="28"/>
      <c r="S470" s="28"/>
    </row>
    <row r="471" ht="15.75" customHeight="1">
      <c r="A471" s="41" t="s">
        <v>31</v>
      </c>
      <c r="B471" s="42" t="s">
        <v>1133</v>
      </c>
      <c r="C471" s="43" t="s">
        <v>1134</v>
      </c>
      <c r="D471" s="44" t="s">
        <v>295</v>
      </c>
      <c r="E471" s="44" t="s">
        <v>296</v>
      </c>
      <c r="F471" s="45">
        <v>0.21</v>
      </c>
      <c r="G471" s="50" t="str">
        <f>IFERROR(VLOOKUP("MZH 200",STOCK!B2:Q3692,3,FALSE),"SIN STOCK")</f>
        <v>SIN STOCK</v>
      </c>
      <c r="H471" s="28"/>
      <c r="I471" s="28"/>
      <c r="J471" s="28"/>
      <c r="K471" s="28"/>
      <c r="L471" s="28"/>
      <c r="M471" s="28"/>
      <c r="N471" s="28"/>
      <c r="O471" s="28"/>
      <c r="P471" s="28"/>
      <c r="Q471" s="28"/>
      <c r="R471" s="28"/>
      <c r="S471" s="28"/>
    </row>
    <row r="472" ht="15.75" customHeight="1">
      <c r="A472" s="47" t="s">
        <v>31</v>
      </c>
      <c r="B472" s="48" t="s">
        <v>1135</v>
      </c>
      <c r="C472" s="49" t="s">
        <v>1136</v>
      </c>
      <c r="D472" s="37" t="s">
        <v>295</v>
      </c>
      <c r="E472" s="37" t="s">
        <v>296</v>
      </c>
      <c r="F472" s="38">
        <v>0.21</v>
      </c>
      <c r="G472" s="50" t="str">
        <f>IFERROR(VLOOKUP("MZH 400",STOCK!B2:Q3692,3,FALSE),"SIN STOCK")</f>
        <v>SIN STOCK</v>
      </c>
      <c r="H472" s="28"/>
      <c r="I472" s="28"/>
      <c r="J472" s="28"/>
      <c r="K472" s="28"/>
      <c r="L472" s="28"/>
      <c r="M472" s="28"/>
      <c r="N472" s="28"/>
      <c r="O472" s="28"/>
      <c r="P472" s="28"/>
      <c r="Q472" s="28"/>
      <c r="R472" s="28"/>
      <c r="S472" s="28"/>
    </row>
    <row r="473" ht="15.75" customHeight="1">
      <c r="A473" s="41" t="s">
        <v>31</v>
      </c>
      <c r="B473" s="42" t="s">
        <v>1137</v>
      </c>
      <c r="C473" s="43" t="s">
        <v>1138</v>
      </c>
      <c r="D473" s="44" t="s">
        <v>89</v>
      </c>
      <c r="E473" s="44" t="s">
        <v>90</v>
      </c>
      <c r="F473" s="45">
        <v>0.21</v>
      </c>
      <c r="G473" s="50" t="str">
        <f>IFERROR(VLOOKUP("MZH 440",STOCK!B2:Q3692,3,FALSE),"SIN STOCK")</f>
        <v>SIN STOCK</v>
      </c>
      <c r="H473" s="28"/>
      <c r="I473" s="28"/>
      <c r="J473" s="28"/>
      <c r="K473" s="28"/>
      <c r="L473" s="28"/>
      <c r="M473" s="28"/>
      <c r="N473" s="28"/>
      <c r="O473" s="28"/>
      <c r="P473" s="28"/>
      <c r="Q473" s="28"/>
      <c r="R473" s="28"/>
      <c r="S473" s="28"/>
    </row>
    <row r="474" ht="15.75" customHeight="1">
      <c r="A474" s="47" t="s">
        <v>31</v>
      </c>
      <c r="B474" s="48" t="s">
        <v>1139</v>
      </c>
      <c r="C474" s="49" t="s">
        <v>1140</v>
      </c>
      <c r="D474" s="37" t="s">
        <v>564</v>
      </c>
      <c r="E474" s="37" t="s">
        <v>565</v>
      </c>
      <c r="F474" s="38">
        <v>0.21</v>
      </c>
      <c r="G474" s="50" t="str">
        <f>IFERROR(VLOOKUP("MZH 600",STOCK!B2:Q3692,3,FALSE),"SIN STOCK")</f>
        <v>SIN STOCK</v>
      </c>
      <c r="H474" s="28"/>
      <c r="I474" s="28"/>
      <c r="J474" s="28"/>
      <c r="K474" s="28"/>
      <c r="L474" s="28"/>
      <c r="M474" s="28"/>
      <c r="N474" s="28"/>
      <c r="O474" s="28"/>
      <c r="P474" s="28"/>
      <c r="Q474" s="28"/>
      <c r="R474" s="28"/>
      <c r="S474" s="28"/>
    </row>
    <row r="475" ht="15.75" customHeight="1">
      <c r="A475" s="41" t="s">
        <v>31</v>
      </c>
      <c r="B475" s="42" t="s">
        <v>1141</v>
      </c>
      <c r="C475" s="43" t="s">
        <v>1142</v>
      </c>
      <c r="D475" s="44" t="s">
        <v>696</v>
      </c>
      <c r="E475" s="44" t="s">
        <v>697</v>
      </c>
      <c r="F475" s="45">
        <v>0.21</v>
      </c>
      <c r="G475" s="50" t="str">
        <f>IFERROR(VLOOKUP("MZQ 600",STOCK!B2:Q3692,3,FALSE),"SIN STOCK")</f>
        <v>SIN STOCK</v>
      </c>
      <c r="H475" s="28"/>
      <c r="I475" s="28"/>
      <c r="J475" s="28"/>
      <c r="K475" s="28"/>
      <c r="L475" s="28"/>
      <c r="M475" s="28"/>
      <c r="N475" s="28"/>
      <c r="O475" s="28"/>
      <c r="P475" s="28"/>
      <c r="Q475" s="28"/>
      <c r="R475" s="28"/>
      <c r="S475" s="28"/>
    </row>
    <row r="476" ht="15.75" customHeight="1">
      <c r="A476" s="47" t="s">
        <v>31</v>
      </c>
      <c r="B476" s="48" t="s">
        <v>1143</v>
      </c>
      <c r="C476" s="49" t="s">
        <v>1144</v>
      </c>
      <c r="D476" s="37" t="s">
        <v>295</v>
      </c>
      <c r="E476" s="37" t="s">
        <v>296</v>
      </c>
      <c r="F476" s="38">
        <v>0.21</v>
      </c>
      <c r="G476" s="50" t="str">
        <f>IFERROR(VLOOKUP("MZS 600",STOCK!B2:Q3692,3,FALSE),"SIN STOCK")</f>
        <v>SIN STOCK</v>
      </c>
      <c r="H476" s="28"/>
      <c r="I476" s="28"/>
      <c r="J476" s="28"/>
      <c r="K476" s="28"/>
      <c r="L476" s="28"/>
      <c r="M476" s="28"/>
      <c r="N476" s="28"/>
      <c r="O476" s="28"/>
      <c r="P476" s="28"/>
      <c r="Q476" s="28"/>
      <c r="R476" s="28"/>
      <c r="S476" s="28"/>
    </row>
    <row r="477" ht="15.75" customHeight="1">
      <c r="A477" s="41" t="s">
        <v>31</v>
      </c>
      <c r="B477" s="71" t="s">
        <v>1145</v>
      </c>
      <c r="C477" s="43" t="s">
        <v>328</v>
      </c>
      <c r="D477" s="44" t="s">
        <v>176</v>
      </c>
      <c r="E477" s="44" t="s">
        <v>177</v>
      </c>
      <c r="F477" s="45">
        <v>0.21</v>
      </c>
      <c r="G477" s="50" t="str">
        <f>IFERROR(VLOOKUP("MZW 400",STOCK!B2:Q3692,3,FALSE),"SIN STOCK")</f>
        <v>SIN STOCK</v>
      </c>
      <c r="H477" s="28"/>
      <c r="I477" s="28"/>
      <c r="J477" s="28"/>
      <c r="K477" s="28"/>
      <c r="L477" s="28"/>
      <c r="M477" s="28"/>
      <c r="N477" s="28"/>
      <c r="O477" s="28"/>
      <c r="P477" s="28"/>
      <c r="Q477" s="28"/>
      <c r="R477" s="28"/>
      <c r="S477" s="28"/>
    </row>
    <row r="478" ht="15.75" customHeight="1">
      <c r="A478" s="47" t="s">
        <v>31</v>
      </c>
      <c r="B478" s="48" t="s">
        <v>1146</v>
      </c>
      <c r="C478" s="49" t="s">
        <v>1147</v>
      </c>
      <c r="D478" s="37" t="s">
        <v>295</v>
      </c>
      <c r="E478" s="37" t="s">
        <v>296</v>
      </c>
      <c r="F478" s="38">
        <v>0.21</v>
      </c>
      <c r="G478" s="50" t="str">
        <f>IFERROR(VLOOKUP("MZW 600",STOCK!B2:Q3692,3,FALSE),"SIN STOCK")</f>
        <v>SIN STOCK</v>
      </c>
      <c r="H478" s="28"/>
      <c r="I478" s="28"/>
      <c r="J478" s="28"/>
      <c r="K478" s="28"/>
      <c r="L478" s="28"/>
      <c r="M478" s="28"/>
      <c r="N478" s="28"/>
      <c r="O478" s="28"/>
      <c r="P478" s="28"/>
      <c r="Q478" s="28"/>
      <c r="R478" s="28"/>
      <c r="S478" s="28"/>
    </row>
    <row r="479" ht="15.75" customHeight="1">
      <c r="A479" s="41" t="s">
        <v>31</v>
      </c>
      <c r="B479" s="71" t="s">
        <v>1148</v>
      </c>
      <c r="C479" s="43" t="s">
        <v>1149</v>
      </c>
      <c r="D479" s="44" t="s">
        <v>548</v>
      </c>
      <c r="E479" s="44" t="s">
        <v>549</v>
      </c>
      <c r="F479" s="45">
        <v>0.21</v>
      </c>
      <c r="G479" s="50" t="str">
        <f>IFERROR(VLOOKUP("XS LAV - FOAM WINDSHIELD",STOCK!B2:Q3692,3,FALSE),"SIN STOCK")</f>
        <v>SIN STOCK</v>
      </c>
      <c r="H479" s="28"/>
      <c r="I479" s="28"/>
      <c r="J479" s="28"/>
      <c r="K479" s="28"/>
      <c r="L479" s="28"/>
      <c r="M479" s="28"/>
      <c r="N479" s="28"/>
      <c r="O479" s="28"/>
      <c r="P479" s="28"/>
      <c r="Q479" s="28"/>
      <c r="R479" s="28"/>
      <c r="S479" s="28"/>
    </row>
    <row r="480" ht="15.75" customHeight="1">
      <c r="A480" s="47" t="s">
        <v>31</v>
      </c>
      <c r="B480" s="48" t="s">
        <v>1150</v>
      </c>
      <c r="C480" s="49" t="s">
        <v>1151</v>
      </c>
      <c r="D480" s="37" t="s">
        <v>515</v>
      </c>
      <c r="E480" s="37" t="s">
        <v>516</v>
      </c>
      <c r="F480" s="38">
        <v>0.21</v>
      </c>
      <c r="G480" s="50" t="str">
        <f>IFERROR(VLOOKUP("CL 35 USB-C",STOCK!B2:Q3692,3,FALSE),"SIN STOCK")</f>
        <v>SIN STOCK</v>
      </c>
      <c r="H480" s="28"/>
      <c r="I480" s="28"/>
      <c r="J480" s="28"/>
      <c r="K480" s="28"/>
      <c r="L480" s="28"/>
      <c r="M480" s="28"/>
      <c r="N480" s="28"/>
      <c r="O480" s="28"/>
      <c r="P480" s="28"/>
      <c r="Q480" s="28"/>
      <c r="R480" s="28"/>
      <c r="S480" s="28"/>
    </row>
    <row r="481" ht="15.75" customHeight="1">
      <c r="A481" s="41" t="s">
        <v>31</v>
      </c>
      <c r="B481" s="42" t="s">
        <v>1152</v>
      </c>
      <c r="C481" s="43" t="s">
        <v>1153</v>
      </c>
      <c r="D481" s="44" t="s">
        <v>295</v>
      </c>
      <c r="E481" s="44" t="s">
        <v>296</v>
      </c>
      <c r="F481" s="45">
        <v>0.21</v>
      </c>
      <c r="G481" s="50" t="str">
        <f>IFERROR(VLOOKUP("KA 600",STOCK!B2:Q3692,3,FALSE),"SIN STOCK")</f>
        <v>SIN STOCK</v>
      </c>
      <c r="H481" s="28"/>
      <c r="I481" s="28"/>
      <c r="J481" s="28"/>
      <c r="K481" s="28"/>
      <c r="L481" s="28"/>
      <c r="M481" s="28"/>
      <c r="N481" s="28"/>
      <c r="O481" s="28"/>
      <c r="P481" s="28"/>
      <c r="Q481" s="28"/>
      <c r="R481" s="28"/>
      <c r="S481" s="28"/>
    </row>
    <row r="482" ht="15.75" customHeight="1">
      <c r="A482" s="47" t="s">
        <v>31</v>
      </c>
      <c r="B482" s="48" t="s">
        <v>1154</v>
      </c>
      <c r="C482" s="49" t="s">
        <v>1155</v>
      </c>
      <c r="D482" s="37" t="s">
        <v>295</v>
      </c>
      <c r="E482" s="37" t="s">
        <v>296</v>
      </c>
      <c r="F482" s="38">
        <v>0.21</v>
      </c>
      <c r="G482" s="50" t="str">
        <f>IFERROR(VLOOKUP("KA 600 I",STOCK!B2:Q3692,3,FALSE),"SIN STOCK")</f>
        <v>SIN STOCK</v>
      </c>
      <c r="H482" s="28"/>
      <c r="I482" s="28"/>
      <c r="J482" s="28"/>
      <c r="K482" s="28"/>
      <c r="L482" s="28"/>
      <c r="M482" s="28"/>
      <c r="N482" s="28"/>
      <c r="O482" s="28"/>
      <c r="P482" s="28"/>
      <c r="Q482" s="28"/>
      <c r="R482" s="28"/>
      <c r="S482" s="28"/>
    </row>
    <row r="483" ht="15.75" customHeight="1">
      <c r="A483" s="41" t="s">
        <v>31</v>
      </c>
      <c r="B483" s="42" t="s">
        <v>1156</v>
      </c>
      <c r="C483" s="43" t="s">
        <v>1157</v>
      </c>
      <c r="D483" s="44" t="s">
        <v>50</v>
      </c>
      <c r="E483" s="44" t="s">
        <v>51</v>
      </c>
      <c r="F483" s="45">
        <v>0.21</v>
      </c>
      <c r="G483" s="50" t="str">
        <f>IFERROR(VLOOKUP("MMD 42-1",STOCK!B2:Q3692,3,FALSE),"SIN STOCK")</f>
        <v>SIN STOCK</v>
      </c>
      <c r="H483" s="28"/>
      <c r="I483" s="28"/>
      <c r="J483" s="28"/>
      <c r="K483" s="28"/>
      <c r="L483" s="28"/>
      <c r="M483" s="28"/>
      <c r="N483" s="28"/>
      <c r="O483" s="28"/>
      <c r="P483" s="28"/>
      <c r="Q483" s="28"/>
      <c r="R483" s="28"/>
      <c r="S483" s="28"/>
    </row>
    <row r="484" ht="15.75" customHeight="1">
      <c r="A484" s="58" t="s">
        <v>1158</v>
      </c>
      <c r="B484" s="30"/>
      <c r="C484" s="30"/>
      <c r="D484" s="55"/>
      <c r="E484" s="32"/>
      <c r="F484" s="30"/>
      <c r="G484" s="30"/>
      <c r="H484" s="28"/>
      <c r="I484" s="28"/>
      <c r="J484" s="28"/>
      <c r="K484" s="28"/>
      <c r="L484" s="28"/>
      <c r="M484" s="28"/>
      <c r="N484" s="28"/>
      <c r="O484" s="28"/>
      <c r="P484" s="28"/>
      <c r="Q484" s="28"/>
      <c r="R484" s="28"/>
      <c r="S484" s="28"/>
    </row>
    <row r="485" ht="15.75" customHeight="1">
      <c r="A485" s="41" t="s">
        <v>31</v>
      </c>
      <c r="B485" s="42" t="s">
        <v>1159</v>
      </c>
      <c r="C485" s="43" t="s">
        <v>1160</v>
      </c>
      <c r="D485" s="44" t="s">
        <v>89</v>
      </c>
      <c r="E485" s="44" t="s">
        <v>90</v>
      </c>
      <c r="F485" s="45">
        <v>0.21</v>
      </c>
      <c r="G485" s="39" t="str">
        <f>IFERROR(VLOOKUP("XS Lav Mobile",STOCK!B2:Q3692,3,FALSE),"SIN STOCK")</f>
        <v>Mayor a 5</v>
      </c>
      <c r="H485" s="28"/>
      <c r="I485" s="28"/>
      <c r="J485" s="28"/>
      <c r="K485" s="28"/>
      <c r="L485" s="28"/>
      <c r="M485" s="28"/>
      <c r="N485" s="28"/>
      <c r="O485" s="28"/>
      <c r="P485" s="28"/>
      <c r="Q485" s="28"/>
      <c r="R485" s="28"/>
      <c r="S485" s="28"/>
    </row>
    <row r="486" ht="15.75" customHeight="1">
      <c r="A486" s="47" t="s">
        <v>31</v>
      </c>
      <c r="B486" s="48" t="s">
        <v>1161</v>
      </c>
      <c r="C486" s="49" t="s">
        <v>1162</v>
      </c>
      <c r="D486" s="37" t="s">
        <v>198</v>
      </c>
      <c r="E486" s="37" t="s">
        <v>199</v>
      </c>
      <c r="F486" s="38">
        <v>0.21</v>
      </c>
      <c r="G486" s="39" t="str">
        <f>IFERROR(VLOOKUP("XS Lav USB-C",STOCK!B2:Q3692,3,FALSE),"SIN STOCK")</f>
        <v>Mayor a 5</v>
      </c>
      <c r="H486" s="28"/>
      <c r="I486" s="28"/>
      <c r="J486" s="28"/>
      <c r="K486" s="28"/>
      <c r="L486" s="28"/>
      <c r="M486" s="28"/>
      <c r="N486" s="28"/>
      <c r="O486" s="28"/>
      <c r="P486" s="28"/>
      <c r="Q486" s="28"/>
      <c r="R486" s="28"/>
      <c r="S486" s="28"/>
    </row>
    <row r="487" ht="15.75" customHeight="1">
      <c r="A487" s="41" t="s">
        <v>31</v>
      </c>
      <c r="B487" s="42" t="s">
        <v>1163</v>
      </c>
      <c r="C487" s="43" t="s">
        <v>1164</v>
      </c>
      <c r="D487" s="44" t="s">
        <v>46</v>
      </c>
      <c r="E487" s="44" t="s">
        <v>47</v>
      </c>
      <c r="F487" s="45">
        <v>0.21</v>
      </c>
      <c r="G487" s="39" t="str">
        <f>IFERROR(VLOOKUP("XS Lav USB-C Mobile Kit",STOCK!B2:Q3692,3,FALSE),"SIN STOCK")</f>
        <v>Mayor a 5</v>
      </c>
      <c r="H487" s="28"/>
      <c r="I487" s="28"/>
      <c r="J487" s="28"/>
      <c r="K487" s="28"/>
      <c r="L487" s="28"/>
      <c r="M487" s="28"/>
      <c r="N487" s="28"/>
      <c r="O487" s="28"/>
      <c r="P487" s="28"/>
      <c r="Q487" s="28"/>
      <c r="R487" s="28"/>
      <c r="S487" s="28"/>
    </row>
    <row r="488" ht="15.75" customHeight="1">
      <c r="A488" s="47" t="s">
        <v>31</v>
      </c>
      <c r="B488" s="48" t="s">
        <v>1165</v>
      </c>
      <c r="C488" s="49" t="s">
        <v>1166</v>
      </c>
      <c r="D488" s="37" t="s">
        <v>132</v>
      </c>
      <c r="E488" s="37" t="s">
        <v>133</v>
      </c>
      <c r="F488" s="38">
        <v>0.21</v>
      </c>
      <c r="G488" s="50" t="str">
        <f>IFERROR(VLOOKUP("MKE MINI",STOCK!B2:Q3692,3,FALSE),"SIN STOCK")</f>
        <v>SIN STOCK</v>
      </c>
      <c r="H488" s="28"/>
      <c r="I488" s="28"/>
      <c r="J488" s="28"/>
      <c r="K488" s="28"/>
      <c r="L488" s="28"/>
      <c r="M488" s="28"/>
      <c r="N488" s="28"/>
      <c r="O488" s="28"/>
      <c r="P488" s="28"/>
      <c r="Q488" s="28"/>
      <c r="R488" s="28"/>
      <c r="S488" s="28"/>
    </row>
    <row r="489" ht="15.75" customHeight="1">
      <c r="A489" s="41" t="s">
        <v>31</v>
      </c>
      <c r="B489" s="42" t="s">
        <v>1167</v>
      </c>
      <c r="C489" s="43" t="s">
        <v>1168</v>
      </c>
      <c r="D489" s="44" t="s">
        <v>532</v>
      </c>
      <c r="E489" s="44" t="s">
        <v>533</v>
      </c>
      <c r="F489" s="45">
        <v>0.21</v>
      </c>
      <c r="G489" s="53" t="str">
        <f>IFERROR(VLOOKUP("ME 2",STOCK!B2:Q3692,3,FALSE),"SIN STOCK")</f>
        <v>Mayor a 5</v>
      </c>
      <c r="H489" s="28"/>
      <c r="I489" s="28"/>
      <c r="J489" s="28"/>
      <c r="K489" s="28"/>
      <c r="L489" s="28"/>
      <c r="M489" s="28"/>
      <c r="N489" s="28"/>
      <c r="O489" s="28"/>
      <c r="P489" s="28"/>
      <c r="Q489" s="28"/>
      <c r="R489" s="28"/>
      <c r="S489" s="28"/>
    </row>
    <row r="490" ht="15.75" customHeight="1">
      <c r="A490" s="47" t="s">
        <v>31</v>
      </c>
      <c r="B490" s="48" t="s">
        <v>1169</v>
      </c>
      <c r="C490" s="49" t="s">
        <v>1170</v>
      </c>
      <c r="D490" s="37" t="s">
        <v>532</v>
      </c>
      <c r="E490" s="37" t="s">
        <v>533</v>
      </c>
      <c r="F490" s="38">
        <v>0.21</v>
      </c>
      <c r="G490" s="53" t="str">
        <f>IFERROR(VLOOKUP("ME 4",STOCK!B2:Q3692,3,FALSE),"SIN STOCK")</f>
        <v>Mayor a 5</v>
      </c>
      <c r="H490" s="28"/>
      <c r="I490" s="28"/>
      <c r="J490" s="28"/>
      <c r="K490" s="28"/>
      <c r="L490" s="28"/>
      <c r="M490" s="28"/>
      <c r="N490" s="28"/>
      <c r="O490" s="28"/>
      <c r="P490" s="28"/>
      <c r="Q490" s="28"/>
      <c r="R490" s="28"/>
      <c r="S490" s="28"/>
    </row>
    <row r="491" ht="15.75" customHeight="1">
      <c r="A491" s="41" t="s">
        <v>31</v>
      </c>
      <c r="B491" s="42" t="s">
        <v>1171</v>
      </c>
      <c r="C491" s="43" t="s">
        <v>1172</v>
      </c>
      <c r="D491" s="44" t="s">
        <v>411</v>
      </c>
      <c r="E491" s="44" t="s">
        <v>412</v>
      </c>
      <c r="F491" s="45">
        <v>0.21</v>
      </c>
      <c r="G491" s="53" t="str">
        <f>IFERROR(VLOOKUP("MKE 1-4",STOCK!B2:Q3692,3,FALSE),"SIN STOCK")</f>
        <v>Mayor a 5</v>
      </c>
      <c r="H491" s="28"/>
      <c r="I491" s="28"/>
      <c r="J491" s="28"/>
      <c r="K491" s="28"/>
      <c r="L491" s="28"/>
      <c r="M491" s="28"/>
      <c r="N491" s="28"/>
      <c r="O491" s="28"/>
      <c r="P491" s="28"/>
      <c r="Q491" s="28"/>
      <c r="R491" s="28"/>
      <c r="S491" s="28"/>
    </row>
    <row r="492" ht="15.75" customHeight="1">
      <c r="A492" s="47" t="s">
        <v>31</v>
      </c>
      <c r="B492" s="48" t="s">
        <v>1173</v>
      </c>
      <c r="C492" s="49" t="s">
        <v>1174</v>
      </c>
      <c r="D492" s="37" t="s">
        <v>411</v>
      </c>
      <c r="E492" s="37" t="s">
        <v>412</v>
      </c>
      <c r="F492" s="38">
        <v>0.21</v>
      </c>
      <c r="G492" s="50" t="str">
        <f>IFERROR(VLOOKUP("MKE 1-4-1",STOCK!B2:Q3692,3,FALSE),"SIN STOCK")</f>
        <v>SIN STOCK</v>
      </c>
      <c r="H492" s="28"/>
      <c r="I492" s="28"/>
      <c r="J492" s="28"/>
      <c r="K492" s="28"/>
      <c r="L492" s="28"/>
      <c r="M492" s="28"/>
      <c r="N492" s="28"/>
      <c r="O492" s="28"/>
      <c r="P492" s="28"/>
      <c r="Q492" s="28"/>
      <c r="R492" s="28"/>
      <c r="S492" s="28"/>
    </row>
    <row r="493" ht="15.75" customHeight="1">
      <c r="A493" s="41" t="s">
        <v>31</v>
      </c>
      <c r="B493" s="42" t="s">
        <v>1175</v>
      </c>
      <c r="C493" s="43" t="s">
        <v>1176</v>
      </c>
      <c r="D493" s="44" t="s">
        <v>411</v>
      </c>
      <c r="E493" s="44" t="s">
        <v>412</v>
      </c>
      <c r="F493" s="45">
        <v>0.21</v>
      </c>
      <c r="G493" s="50" t="str">
        <f>IFERROR(VLOOKUP("MKE 1-4-2",STOCK!B2:Q3692,3,FALSE),"SIN STOCK")</f>
        <v>SIN STOCK</v>
      </c>
      <c r="H493" s="28"/>
      <c r="I493" s="28"/>
      <c r="J493" s="28"/>
      <c r="K493" s="28"/>
      <c r="L493" s="28"/>
      <c r="M493" s="28"/>
      <c r="N493" s="28"/>
      <c r="O493" s="28"/>
      <c r="P493" s="28"/>
      <c r="Q493" s="28"/>
      <c r="R493" s="28"/>
      <c r="S493" s="28"/>
    </row>
    <row r="494" ht="15.75" customHeight="1">
      <c r="A494" s="47" t="s">
        <v>31</v>
      </c>
      <c r="B494" s="48" t="s">
        <v>1177</v>
      </c>
      <c r="C494" s="49" t="s">
        <v>1178</v>
      </c>
      <c r="D494" s="37" t="s">
        <v>411</v>
      </c>
      <c r="E494" s="37" t="s">
        <v>412</v>
      </c>
      <c r="F494" s="38">
        <v>0.21</v>
      </c>
      <c r="G494" s="50" t="str">
        <f>IFERROR(VLOOKUP("MKE1-4-3",STOCK!B2:Q3692,3,FALSE),"SIN STOCK")</f>
        <v>SIN STOCK</v>
      </c>
      <c r="H494" s="28"/>
      <c r="I494" s="28"/>
      <c r="J494" s="28"/>
      <c r="K494" s="28"/>
      <c r="L494" s="28"/>
      <c r="M494" s="28"/>
      <c r="N494" s="28"/>
      <c r="O494" s="28"/>
      <c r="P494" s="28"/>
      <c r="Q494" s="28"/>
      <c r="R494" s="28"/>
      <c r="S494" s="28"/>
    </row>
    <row r="495" ht="15.75" customHeight="1">
      <c r="A495" s="41" t="s">
        <v>31</v>
      </c>
      <c r="B495" s="42" t="s">
        <v>1179</v>
      </c>
      <c r="C495" s="43" t="s">
        <v>1180</v>
      </c>
      <c r="D495" s="44" t="s">
        <v>411</v>
      </c>
      <c r="E495" s="44" t="s">
        <v>412</v>
      </c>
      <c r="F495" s="45">
        <v>0.21</v>
      </c>
      <c r="G495" s="50" t="str">
        <f>IFERROR(VLOOKUP("MKE 1-4-M",STOCK!B2:Q3692,3,FALSE),"SIN STOCK")</f>
        <v>SIN STOCK</v>
      </c>
      <c r="H495" s="28"/>
      <c r="I495" s="28"/>
      <c r="J495" s="28"/>
      <c r="K495" s="28"/>
      <c r="L495" s="28"/>
      <c r="M495" s="28"/>
      <c r="N495" s="28"/>
      <c r="O495" s="28"/>
      <c r="P495" s="28"/>
      <c r="Q495" s="28"/>
      <c r="R495" s="28"/>
      <c r="S495" s="28"/>
    </row>
    <row r="496" ht="15.75" customHeight="1">
      <c r="A496" s="47" t="s">
        <v>31</v>
      </c>
      <c r="B496" s="48" t="s">
        <v>1181</v>
      </c>
      <c r="C496" s="49" t="s">
        <v>1182</v>
      </c>
      <c r="D496" s="37" t="s">
        <v>411</v>
      </c>
      <c r="E496" s="37" t="s">
        <v>412</v>
      </c>
      <c r="F496" s="38">
        <v>0.21</v>
      </c>
      <c r="G496" s="39" t="str">
        <f>IFERROR(VLOOKUP("MKE 1-5",STOCK!B2:Q3692,3,FALSE),"SIN STOCK")</f>
        <v>Mayor a 5</v>
      </c>
      <c r="H496" s="28"/>
      <c r="I496" s="28"/>
      <c r="J496" s="28"/>
      <c r="K496" s="28"/>
      <c r="L496" s="28"/>
      <c r="M496" s="28"/>
      <c r="N496" s="28"/>
      <c r="O496" s="28"/>
      <c r="P496" s="28"/>
      <c r="Q496" s="28"/>
      <c r="R496" s="28"/>
      <c r="S496" s="28"/>
    </row>
    <row r="497" ht="15.75" customHeight="1">
      <c r="A497" s="41" t="s">
        <v>31</v>
      </c>
      <c r="B497" s="42" t="s">
        <v>1183</v>
      </c>
      <c r="C497" s="43" t="s">
        <v>1184</v>
      </c>
      <c r="D497" s="44" t="s">
        <v>411</v>
      </c>
      <c r="E497" s="44" t="s">
        <v>412</v>
      </c>
      <c r="F497" s="45">
        <v>0.21</v>
      </c>
      <c r="G497" s="39" t="str">
        <f>IFERROR(VLOOKUP("MKE 1-5-3",STOCK!B2:Q3692,3,FALSE),"SIN STOCK")</f>
        <v>Mayor a 5</v>
      </c>
      <c r="H497" s="28"/>
      <c r="I497" s="28"/>
      <c r="J497" s="28"/>
      <c r="K497" s="28"/>
      <c r="L497" s="28"/>
      <c r="M497" s="28"/>
      <c r="N497" s="28"/>
      <c r="O497" s="28"/>
      <c r="P497" s="28"/>
      <c r="Q497" s="28"/>
      <c r="R497" s="28"/>
      <c r="S497" s="28"/>
    </row>
    <row r="498" ht="15.75" customHeight="1">
      <c r="A498" s="47" t="s">
        <v>31</v>
      </c>
      <c r="B498" s="48" t="s">
        <v>1185</v>
      </c>
      <c r="C498" s="49" t="s">
        <v>1186</v>
      </c>
      <c r="D498" s="37" t="s">
        <v>411</v>
      </c>
      <c r="E498" s="37" t="s">
        <v>412</v>
      </c>
      <c r="F498" s="38">
        <v>0.21</v>
      </c>
      <c r="G498" s="50" t="str">
        <f>IFERROR(VLOOKUP("MKE 1-EW",STOCK!B2:Q3692,3,FALSE),"SIN STOCK")</f>
        <v>SIN STOCK</v>
      </c>
      <c r="H498" s="28"/>
      <c r="I498" s="28"/>
      <c r="J498" s="28"/>
      <c r="K498" s="28"/>
      <c r="L498" s="28"/>
      <c r="M498" s="28"/>
      <c r="N498" s="28"/>
      <c r="O498" s="28"/>
      <c r="P498" s="28"/>
      <c r="Q498" s="28"/>
      <c r="R498" s="28"/>
      <c r="S498" s="28"/>
    </row>
    <row r="499" ht="15.75" customHeight="1">
      <c r="A499" s="41" t="s">
        <v>31</v>
      </c>
      <c r="B499" s="42" t="s">
        <v>1187</v>
      </c>
      <c r="C499" s="43" t="s">
        <v>1188</v>
      </c>
      <c r="D499" s="44" t="s">
        <v>411</v>
      </c>
      <c r="E499" s="44" t="s">
        <v>412</v>
      </c>
      <c r="F499" s="45">
        <v>0.21</v>
      </c>
      <c r="G499" s="50" t="str">
        <f>IFERROR(VLOOKUP("MKE 1-EW-3",STOCK!B2:Q3692,3,FALSE),"SIN STOCK")</f>
        <v>SIN STOCK</v>
      </c>
      <c r="H499" s="28"/>
      <c r="I499" s="28"/>
      <c r="J499" s="28"/>
      <c r="K499" s="28"/>
      <c r="L499" s="28"/>
      <c r="M499" s="28"/>
      <c r="N499" s="28"/>
      <c r="O499" s="28"/>
      <c r="P499" s="28"/>
      <c r="Q499" s="28"/>
      <c r="R499" s="28"/>
      <c r="S499" s="28"/>
    </row>
    <row r="500" ht="15.75" customHeight="1">
      <c r="A500" s="47" t="s">
        <v>31</v>
      </c>
      <c r="B500" s="48" t="s">
        <v>1189</v>
      </c>
      <c r="C500" s="49" t="s">
        <v>1190</v>
      </c>
      <c r="D500" s="37" t="s">
        <v>78</v>
      </c>
      <c r="E500" s="37" t="s">
        <v>79</v>
      </c>
      <c r="F500" s="38">
        <v>0.21</v>
      </c>
      <c r="G500" s="50" t="str">
        <f>IFERROR(VLOOKUP("MKE 2 (BEIGE 3-PIN)",STOCK!B2:Q3692,3,FALSE),"SIN STOCK")</f>
        <v>SIN STOCK</v>
      </c>
      <c r="H500" s="28"/>
      <c r="I500" s="28"/>
      <c r="J500" s="28"/>
      <c r="K500" s="28"/>
      <c r="L500" s="28"/>
      <c r="M500" s="28"/>
      <c r="N500" s="28"/>
      <c r="O500" s="28"/>
      <c r="P500" s="28"/>
      <c r="Q500" s="28"/>
      <c r="R500" s="28"/>
      <c r="S500" s="28"/>
    </row>
    <row r="501" ht="15.75" customHeight="1">
      <c r="A501" s="41" t="s">
        <v>31</v>
      </c>
      <c r="B501" s="42" t="s">
        <v>1191</v>
      </c>
      <c r="C501" s="43" t="s">
        <v>1192</v>
      </c>
      <c r="D501" s="44" t="s">
        <v>78</v>
      </c>
      <c r="E501" s="44" t="s">
        <v>79</v>
      </c>
      <c r="F501" s="45">
        <v>0.21</v>
      </c>
      <c r="G501" s="39" t="str">
        <f>IFERROR(VLOOKUP("MKE 2 (BEIGE EW)",STOCK!B2:Q3692,3,FALSE),"SIN STOCK")</f>
        <v>SIN STOCK</v>
      </c>
      <c r="H501" s="28"/>
      <c r="I501" s="28"/>
      <c r="J501" s="28"/>
      <c r="K501" s="28"/>
      <c r="L501" s="28"/>
      <c r="M501" s="28"/>
      <c r="N501" s="28"/>
      <c r="O501" s="28"/>
      <c r="P501" s="28"/>
      <c r="Q501" s="28"/>
      <c r="R501" s="28"/>
      <c r="S501" s="28"/>
    </row>
    <row r="502" ht="15.75" customHeight="1">
      <c r="A502" s="47" t="s">
        <v>31</v>
      </c>
      <c r="B502" s="48" t="s">
        <v>1193</v>
      </c>
      <c r="C502" s="49" t="s">
        <v>1194</v>
      </c>
      <c r="D502" s="37" t="s">
        <v>78</v>
      </c>
      <c r="E502" s="37" t="s">
        <v>79</v>
      </c>
      <c r="F502" s="38">
        <v>0.21</v>
      </c>
      <c r="G502" s="39" t="str">
        <f>IFERROR(VLOOKUP("MKE 2 (BEIGE OPEN END)",STOCK!B2:Q3692,3,FALSE),"SIN STOCK")</f>
        <v>Menor a 5</v>
      </c>
      <c r="H502" s="28"/>
      <c r="I502" s="28"/>
      <c r="J502" s="28"/>
      <c r="K502" s="28"/>
      <c r="L502" s="28"/>
      <c r="M502" s="28"/>
      <c r="N502" s="28"/>
      <c r="O502" s="28"/>
      <c r="P502" s="28"/>
      <c r="Q502" s="28"/>
      <c r="R502" s="28"/>
      <c r="S502" s="28"/>
    </row>
    <row r="503" ht="15.75" customHeight="1">
      <c r="A503" s="41" t="s">
        <v>31</v>
      </c>
      <c r="B503" s="42" t="s">
        <v>1195</v>
      </c>
      <c r="C503" s="43" t="s">
        <v>1196</v>
      </c>
      <c r="D503" s="44" t="s">
        <v>78</v>
      </c>
      <c r="E503" s="44" t="s">
        <v>79</v>
      </c>
      <c r="F503" s="45">
        <v>0.21</v>
      </c>
      <c r="G503" s="50" t="str">
        <f>IFERROR(VLOOKUP("MKE 2 (BLACK 3-PIN)",STOCK!B2:Q3692,3,FALSE),"SIN STOCK")</f>
        <v>SIN STOCK</v>
      </c>
      <c r="H503" s="28"/>
      <c r="I503" s="28"/>
      <c r="J503" s="28"/>
      <c r="K503" s="28"/>
      <c r="L503" s="28"/>
      <c r="M503" s="28"/>
      <c r="N503" s="28"/>
      <c r="O503" s="28"/>
      <c r="P503" s="28"/>
      <c r="Q503" s="28"/>
      <c r="R503" s="28"/>
      <c r="S503" s="28"/>
    </row>
    <row r="504" ht="15.75" customHeight="1">
      <c r="A504" s="47" t="s">
        <v>31</v>
      </c>
      <c r="B504" s="48" t="s">
        <v>1197</v>
      </c>
      <c r="C504" s="49" t="s">
        <v>1198</v>
      </c>
      <c r="D504" s="37" t="s">
        <v>78</v>
      </c>
      <c r="E504" s="37" t="s">
        <v>79</v>
      </c>
      <c r="F504" s="38">
        <v>0.21</v>
      </c>
      <c r="G504" s="53" t="str">
        <f>IFERROR(VLOOKUP("MKE 2 (BLACK EW)",STOCK!B2:Q3692,3,FALSE),"SIN STOCK")</f>
        <v>SIN STOCK</v>
      </c>
      <c r="H504" s="28"/>
      <c r="I504" s="28"/>
      <c r="J504" s="28"/>
      <c r="K504" s="28"/>
      <c r="L504" s="28"/>
      <c r="M504" s="28"/>
      <c r="N504" s="28"/>
      <c r="O504" s="28"/>
      <c r="P504" s="28"/>
      <c r="Q504" s="28"/>
      <c r="R504" s="28"/>
      <c r="S504" s="28"/>
    </row>
    <row r="505" ht="15.75" customHeight="1">
      <c r="A505" s="41" t="s">
        <v>31</v>
      </c>
      <c r="B505" s="42" t="s">
        <v>1199</v>
      </c>
      <c r="C505" s="43" t="s">
        <v>1200</v>
      </c>
      <c r="D505" s="44" t="s">
        <v>78</v>
      </c>
      <c r="E505" s="44" t="s">
        <v>79</v>
      </c>
      <c r="F505" s="45">
        <v>0.21</v>
      </c>
      <c r="G505" s="39" t="str">
        <f>IFERROR(VLOOKUP("MKE 2 (BLACK OPEN END)",STOCK!B2:Q3692,3,FALSE),"SIN STOCK")</f>
        <v>Mayor a 5</v>
      </c>
      <c r="H505" s="28"/>
      <c r="I505" s="28"/>
      <c r="J505" s="28"/>
      <c r="K505" s="28"/>
      <c r="L505" s="28"/>
      <c r="M505" s="28"/>
      <c r="N505" s="28"/>
      <c r="O505" s="28"/>
      <c r="P505" s="28"/>
      <c r="Q505" s="28"/>
      <c r="R505" s="28"/>
      <c r="S505" s="28"/>
    </row>
    <row r="506" ht="15.75" customHeight="1">
      <c r="A506" s="47" t="s">
        <v>31</v>
      </c>
      <c r="B506" s="48" t="s">
        <v>1201</v>
      </c>
      <c r="C506" s="49" t="s">
        <v>1202</v>
      </c>
      <c r="D506" s="37" t="s">
        <v>78</v>
      </c>
      <c r="E506" s="37" t="s">
        <v>79</v>
      </c>
      <c r="F506" s="38">
        <v>0.21</v>
      </c>
      <c r="G506" s="65" t="s">
        <v>517</v>
      </c>
      <c r="H506" s="28"/>
      <c r="I506" s="28"/>
      <c r="J506" s="28"/>
      <c r="K506" s="28"/>
      <c r="L506" s="28"/>
      <c r="M506" s="28"/>
      <c r="N506" s="28"/>
      <c r="O506" s="28"/>
      <c r="P506" s="28"/>
      <c r="Q506" s="28"/>
      <c r="R506" s="28"/>
      <c r="S506" s="28"/>
    </row>
    <row r="507" ht="15.75" customHeight="1">
      <c r="A507" s="41" t="s">
        <v>31</v>
      </c>
      <c r="B507" s="42" t="s">
        <v>1203</v>
      </c>
      <c r="C507" s="43" t="s">
        <v>1204</v>
      </c>
      <c r="D507" s="44" t="s">
        <v>1205</v>
      </c>
      <c r="E507" s="44" t="s">
        <v>1206</v>
      </c>
      <c r="F507" s="45">
        <v>0.21</v>
      </c>
      <c r="G507" s="65" t="s">
        <v>517</v>
      </c>
      <c r="H507" s="28"/>
      <c r="I507" s="28"/>
      <c r="J507" s="28"/>
      <c r="K507" s="28"/>
      <c r="L507" s="28"/>
      <c r="M507" s="28"/>
      <c r="N507" s="28"/>
      <c r="O507" s="28"/>
      <c r="P507" s="28"/>
      <c r="Q507" s="28"/>
      <c r="R507" s="28"/>
      <c r="S507" s="28"/>
    </row>
    <row r="508" ht="15.75" customHeight="1">
      <c r="A508" s="47" t="s">
        <v>31</v>
      </c>
      <c r="B508" s="48" t="s">
        <v>1207</v>
      </c>
      <c r="C508" s="49" t="s">
        <v>1208</v>
      </c>
      <c r="D508" s="37" t="s">
        <v>58</v>
      </c>
      <c r="E508" s="37" t="s">
        <v>59</v>
      </c>
      <c r="F508" s="38">
        <v>0.21</v>
      </c>
      <c r="G508" s="65" t="s">
        <v>517</v>
      </c>
      <c r="H508" s="28"/>
      <c r="I508" s="28"/>
      <c r="J508" s="28"/>
      <c r="K508" s="28"/>
      <c r="L508" s="28"/>
      <c r="M508" s="28"/>
      <c r="N508" s="28"/>
      <c r="O508" s="28"/>
      <c r="P508" s="28"/>
      <c r="Q508" s="28"/>
      <c r="R508" s="28"/>
      <c r="S508" s="28"/>
    </row>
    <row r="509" ht="15.75" customHeight="1">
      <c r="A509" s="41" t="s">
        <v>31</v>
      </c>
      <c r="B509" s="42" t="s">
        <v>1209</v>
      </c>
      <c r="C509" s="43" t="s">
        <v>1210</v>
      </c>
      <c r="D509" s="44" t="s">
        <v>58</v>
      </c>
      <c r="E509" s="44" t="s">
        <v>59</v>
      </c>
      <c r="F509" s="45">
        <v>0.21</v>
      </c>
      <c r="G509" s="65" t="s">
        <v>517</v>
      </c>
      <c r="H509" s="28"/>
      <c r="I509" s="28"/>
      <c r="J509" s="28"/>
      <c r="K509" s="28"/>
      <c r="L509" s="28"/>
      <c r="M509" s="28"/>
      <c r="N509" s="28"/>
      <c r="O509" s="28"/>
      <c r="P509" s="28"/>
      <c r="Q509" s="28"/>
      <c r="R509" s="28"/>
      <c r="S509" s="28"/>
    </row>
    <row r="510" ht="15.75" customHeight="1">
      <c r="A510" s="47" t="s">
        <v>31</v>
      </c>
      <c r="B510" s="48" t="s">
        <v>1211</v>
      </c>
      <c r="C510" s="49" t="s">
        <v>1212</v>
      </c>
      <c r="D510" s="37" t="s">
        <v>58</v>
      </c>
      <c r="E510" s="37" t="s">
        <v>59</v>
      </c>
      <c r="F510" s="38">
        <v>0.21</v>
      </c>
      <c r="G510" s="65" t="s">
        <v>517</v>
      </c>
      <c r="H510" s="28"/>
      <c r="I510" s="28"/>
      <c r="J510" s="28"/>
      <c r="K510" s="28"/>
      <c r="L510" s="28"/>
      <c r="M510" s="28"/>
      <c r="N510" s="28"/>
      <c r="O510" s="28"/>
      <c r="P510" s="28"/>
      <c r="Q510" s="28"/>
      <c r="R510" s="28"/>
      <c r="S510" s="28"/>
    </row>
    <row r="511" ht="15.75" customHeight="1">
      <c r="A511" s="41" t="s">
        <v>31</v>
      </c>
      <c r="B511" s="42" t="s">
        <v>1213</v>
      </c>
      <c r="C511" s="43" t="s">
        <v>1214</v>
      </c>
      <c r="D511" s="44" t="s">
        <v>58</v>
      </c>
      <c r="E511" s="44" t="s">
        <v>59</v>
      </c>
      <c r="F511" s="45">
        <v>0.21</v>
      </c>
      <c r="G511" s="65" t="s">
        <v>517</v>
      </c>
      <c r="H511" s="28"/>
      <c r="I511" s="28"/>
      <c r="J511" s="28"/>
      <c r="K511" s="28"/>
      <c r="L511" s="28"/>
      <c r="M511" s="28"/>
      <c r="N511" s="28"/>
      <c r="O511" s="28"/>
      <c r="P511" s="28"/>
      <c r="Q511" s="28"/>
      <c r="R511" s="28"/>
      <c r="S511" s="28"/>
    </row>
    <row r="512" ht="15.75" customHeight="1">
      <c r="A512" s="47" t="s">
        <v>31</v>
      </c>
      <c r="B512" s="47" t="s">
        <v>1215</v>
      </c>
      <c r="C512" s="49" t="s">
        <v>1216</v>
      </c>
      <c r="D512" s="37" t="s">
        <v>1217</v>
      </c>
      <c r="E512" s="37" t="s">
        <v>1218</v>
      </c>
      <c r="F512" s="38">
        <v>0.21</v>
      </c>
      <c r="G512" s="65" t="s">
        <v>517</v>
      </c>
      <c r="H512" s="28"/>
      <c r="I512" s="28"/>
      <c r="J512" s="28"/>
      <c r="K512" s="28"/>
      <c r="L512" s="28"/>
      <c r="M512" s="28"/>
      <c r="N512" s="28"/>
      <c r="O512" s="28"/>
      <c r="P512" s="28"/>
      <c r="Q512" s="28"/>
      <c r="R512" s="28"/>
      <c r="S512" s="28"/>
    </row>
    <row r="513" ht="15.75" customHeight="1">
      <c r="A513" s="41" t="s">
        <v>31</v>
      </c>
      <c r="B513" s="41" t="s">
        <v>1219</v>
      </c>
      <c r="C513" s="43" t="s">
        <v>1220</v>
      </c>
      <c r="D513" s="44" t="s">
        <v>1217</v>
      </c>
      <c r="E513" s="44" t="s">
        <v>1218</v>
      </c>
      <c r="F513" s="45">
        <v>0.21</v>
      </c>
      <c r="G513" s="65" t="s">
        <v>517</v>
      </c>
      <c r="H513" s="28"/>
      <c r="I513" s="28"/>
      <c r="J513" s="28"/>
      <c r="K513" s="28"/>
      <c r="L513" s="28"/>
      <c r="M513" s="28"/>
      <c r="N513" s="28"/>
      <c r="O513" s="28"/>
      <c r="P513" s="28"/>
      <c r="Q513" s="28"/>
      <c r="R513" s="28"/>
      <c r="S513" s="28"/>
    </row>
    <row r="514" ht="15.75" customHeight="1">
      <c r="A514" s="47" t="s">
        <v>31</v>
      </c>
      <c r="B514" s="47" t="s">
        <v>1221</v>
      </c>
      <c r="C514" s="49" t="s">
        <v>1222</v>
      </c>
      <c r="D514" s="37" t="s">
        <v>1217</v>
      </c>
      <c r="E514" s="37" t="s">
        <v>1218</v>
      </c>
      <c r="F514" s="38">
        <v>0.21</v>
      </c>
      <c r="G514" s="65" t="s">
        <v>517</v>
      </c>
      <c r="H514" s="28"/>
      <c r="I514" s="28"/>
      <c r="J514" s="28"/>
      <c r="K514" s="28"/>
      <c r="L514" s="28"/>
      <c r="M514" s="28"/>
      <c r="N514" s="28"/>
      <c r="O514" s="28"/>
      <c r="P514" s="28"/>
      <c r="Q514" s="28"/>
      <c r="R514" s="28"/>
      <c r="S514" s="28"/>
    </row>
    <row r="515" ht="15.75" customHeight="1">
      <c r="A515" s="41" t="s">
        <v>31</v>
      </c>
      <c r="B515" s="41" t="s">
        <v>1223</v>
      </c>
      <c r="C515" s="43" t="s">
        <v>1224</v>
      </c>
      <c r="D515" s="44" t="s">
        <v>1217</v>
      </c>
      <c r="E515" s="44" t="s">
        <v>1218</v>
      </c>
      <c r="F515" s="45">
        <v>0.21</v>
      </c>
      <c r="G515" s="65" t="s">
        <v>517</v>
      </c>
      <c r="H515" s="28"/>
      <c r="I515" s="28"/>
      <c r="J515" s="28"/>
      <c r="K515" s="28"/>
      <c r="L515" s="28"/>
      <c r="M515" s="28"/>
      <c r="N515" s="28"/>
      <c r="O515" s="28"/>
      <c r="P515" s="28"/>
      <c r="Q515" s="28"/>
      <c r="R515" s="28"/>
      <c r="S515" s="28"/>
    </row>
    <row r="516" ht="15.75" customHeight="1">
      <c r="A516" s="47" t="s">
        <v>31</v>
      </c>
      <c r="B516" s="47" t="s">
        <v>1225</v>
      </c>
      <c r="C516" s="49" t="s">
        <v>1226</v>
      </c>
      <c r="D516" s="37" t="s">
        <v>1217</v>
      </c>
      <c r="E516" s="37" t="s">
        <v>1218</v>
      </c>
      <c r="F516" s="38">
        <v>0.21</v>
      </c>
      <c r="G516" s="65" t="s">
        <v>517</v>
      </c>
      <c r="H516" s="28"/>
      <c r="I516" s="28"/>
      <c r="J516" s="28"/>
      <c r="K516" s="28"/>
      <c r="L516" s="28"/>
      <c r="M516" s="28"/>
      <c r="N516" s="28"/>
      <c r="O516" s="28"/>
      <c r="P516" s="28"/>
      <c r="Q516" s="28"/>
      <c r="R516" s="28"/>
      <c r="S516" s="28"/>
    </row>
    <row r="517" ht="15.75" customHeight="1">
      <c r="A517" s="41" t="s">
        <v>31</v>
      </c>
      <c r="B517" s="41" t="s">
        <v>1227</v>
      </c>
      <c r="C517" s="43" t="s">
        <v>1228</v>
      </c>
      <c r="D517" s="44" t="s">
        <v>1217</v>
      </c>
      <c r="E517" s="44" t="s">
        <v>1218</v>
      </c>
      <c r="F517" s="45">
        <v>0.21</v>
      </c>
      <c r="G517" s="65" t="s">
        <v>517</v>
      </c>
      <c r="H517" s="28"/>
      <c r="I517" s="28"/>
      <c r="J517" s="28"/>
      <c r="K517" s="28"/>
      <c r="L517" s="28"/>
      <c r="M517" s="28"/>
      <c r="N517" s="28"/>
      <c r="O517" s="28"/>
      <c r="P517" s="28"/>
      <c r="Q517" s="28"/>
      <c r="R517" s="28"/>
      <c r="S517" s="28"/>
    </row>
    <row r="518" ht="15.75" customHeight="1">
      <c r="A518" s="47" t="s">
        <v>31</v>
      </c>
      <c r="B518" s="47" t="s">
        <v>1229</v>
      </c>
      <c r="C518" s="49" t="s">
        <v>1230</v>
      </c>
      <c r="D518" s="37" t="s">
        <v>1217</v>
      </c>
      <c r="E518" s="37" t="s">
        <v>1218</v>
      </c>
      <c r="F518" s="38">
        <v>0.21</v>
      </c>
      <c r="G518" s="65" t="s">
        <v>517</v>
      </c>
      <c r="H518" s="28"/>
      <c r="I518" s="28"/>
      <c r="J518" s="28"/>
      <c r="K518" s="28"/>
      <c r="L518" s="28"/>
      <c r="M518" s="28"/>
      <c r="N518" s="28"/>
      <c r="O518" s="28"/>
      <c r="P518" s="28"/>
      <c r="Q518" s="28"/>
      <c r="R518" s="28"/>
      <c r="S518" s="28"/>
    </row>
    <row r="519" ht="15.75" customHeight="1">
      <c r="A519" s="41" t="s">
        <v>31</v>
      </c>
      <c r="B519" s="41" t="s">
        <v>1231</v>
      </c>
      <c r="C519" s="43" t="s">
        <v>1232</v>
      </c>
      <c r="D519" s="44" t="s">
        <v>1217</v>
      </c>
      <c r="E519" s="44" t="s">
        <v>1218</v>
      </c>
      <c r="F519" s="45">
        <v>0.21</v>
      </c>
      <c r="G519" s="65" t="s">
        <v>517</v>
      </c>
      <c r="H519" s="28"/>
      <c r="I519" s="28"/>
      <c r="J519" s="28"/>
      <c r="K519" s="28"/>
      <c r="L519" s="28"/>
      <c r="M519" s="28"/>
      <c r="N519" s="28"/>
      <c r="O519" s="28"/>
      <c r="P519" s="28"/>
      <c r="Q519" s="28"/>
      <c r="R519" s="28"/>
      <c r="S519" s="28"/>
    </row>
    <row r="520" ht="15.75" customHeight="1">
      <c r="A520" s="47" t="s">
        <v>31</v>
      </c>
      <c r="B520" s="47" t="s">
        <v>1233</v>
      </c>
      <c r="C520" s="49" t="s">
        <v>1234</v>
      </c>
      <c r="D520" s="37" t="s">
        <v>1217</v>
      </c>
      <c r="E520" s="37" t="s">
        <v>1218</v>
      </c>
      <c r="F520" s="38">
        <v>0.21</v>
      </c>
      <c r="G520" s="65" t="s">
        <v>517</v>
      </c>
      <c r="H520" s="28"/>
      <c r="I520" s="28"/>
      <c r="J520" s="28"/>
      <c r="K520" s="28"/>
      <c r="L520" s="28"/>
      <c r="M520" s="28"/>
      <c r="N520" s="28"/>
      <c r="O520" s="28"/>
      <c r="P520" s="28"/>
      <c r="Q520" s="28"/>
      <c r="R520" s="28"/>
      <c r="S520" s="28"/>
    </row>
    <row r="521" ht="15.75" customHeight="1">
      <c r="A521" s="41" t="s">
        <v>31</v>
      </c>
      <c r="B521" s="41" t="s">
        <v>1235</v>
      </c>
      <c r="C521" s="43" t="s">
        <v>1236</v>
      </c>
      <c r="D521" s="44" t="s">
        <v>1217</v>
      </c>
      <c r="E521" s="44" t="s">
        <v>1218</v>
      </c>
      <c r="F521" s="45">
        <v>0.21</v>
      </c>
      <c r="G521" s="65" t="s">
        <v>517</v>
      </c>
      <c r="H521" s="28"/>
      <c r="I521" s="28"/>
      <c r="J521" s="28"/>
      <c r="K521" s="28"/>
      <c r="L521" s="28"/>
      <c r="M521" s="28"/>
      <c r="N521" s="28"/>
      <c r="O521" s="28"/>
      <c r="P521" s="28"/>
      <c r="Q521" s="28"/>
      <c r="R521" s="28"/>
      <c r="S521" s="28"/>
    </row>
    <row r="522" ht="15.75" customHeight="1">
      <c r="A522" s="47" t="s">
        <v>31</v>
      </c>
      <c r="B522" s="47" t="s">
        <v>1237</v>
      </c>
      <c r="C522" s="49" t="s">
        <v>1238</v>
      </c>
      <c r="D522" s="37" t="s">
        <v>1217</v>
      </c>
      <c r="E522" s="37" t="s">
        <v>1218</v>
      </c>
      <c r="F522" s="38">
        <v>0.21</v>
      </c>
      <c r="G522" s="65" t="s">
        <v>517</v>
      </c>
      <c r="H522" s="28"/>
      <c r="I522" s="28"/>
      <c r="J522" s="28"/>
      <c r="K522" s="28"/>
      <c r="L522" s="28"/>
      <c r="M522" s="28"/>
      <c r="N522" s="28"/>
      <c r="O522" s="28"/>
      <c r="P522" s="28"/>
      <c r="Q522" s="28"/>
      <c r="R522" s="28"/>
      <c r="S522" s="28"/>
    </row>
    <row r="523" ht="15.75" customHeight="1">
      <c r="A523" s="41" t="s">
        <v>31</v>
      </c>
      <c r="B523" s="41" t="s">
        <v>1239</v>
      </c>
      <c r="C523" s="43" t="s">
        <v>1240</v>
      </c>
      <c r="D523" s="44" t="s">
        <v>1217</v>
      </c>
      <c r="E523" s="44" t="s">
        <v>1218</v>
      </c>
      <c r="F523" s="45">
        <v>0.21</v>
      </c>
      <c r="G523" s="65" t="s">
        <v>517</v>
      </c>
      <c r="H523" s="28"/>
      <c r="I523" s="28"/>
      <c r="J523" s="28"/>
      <c r="K523" s="28"/>
      <c r="L523" s="28"/>
      <c r="M523" s="28"/>
      <c r="N523" s="28"/>
      <c r="O523" s="28"/>
      <c r="P523" s="28"/>
      <c r="Q523" s="28"/>
      <c r="R523" s="28"/>
      <c r="S523" s="28"/>
    </row>
    <row r="524" ht="15.75" customHeight="1">
      <c r="A524" s="47" t="s">
        <v>31</v>
      </c>
      <c r="B524" s="47" t="s">
        <v>1241</v>
      </c>
      <c r="C524" s="49" t="s">
        <v>1242</v>
      </c>
      <c r="D524" s="37" t="s">
        <v>1217</v>
      </c>
      <c r="E524" s="37" t="s">
        <v>1218</v>
      </c>
      <c r="F524" s="38">
        <v>0.21</v>
      </c>
      <c r="G524" s="65" t="s">
        <v>517</v>
      </c>
      <c r="H524" s="28"/>
      <c r="I524" s="28"/>
      <c r="J524" s="28"/>
      <c r="K524" s="28"/>
      <c r="L524" s="28"/>
      <c r="M524" s="28"/>
      <c r="N524" s="28"/>
      <c r="O524" s="28"/>
      <c r="P524" s="28"/>
      <c r="Q524" s="28"/>
      <c r="R524" s="28"/>
      <c r="S524" s="28"/>
    </row>
    <row r="525" ht="15.75" customHeight="1">
      <c r="A525" s="41" t="s">
        <v>31</v>
      </c>
      <c r="B525" s="41" t="s">
        <v>1243</v>
      </c>
      <c r="C525" s="43" t="s">
        <v>1244</v>
      </c>
      <c r="D525" s="44" t="s">
        <v>1217</v>
      </c>
      <c r="E525" s="44" t="s">
        <v>1218</v>
      </c>
      <c r="F525" s="45">
        <v>0.21</v>
      </c>
      <c r="G525" s="65" t="s">
        <v>517</v>
      </c>
      <c r="H525" s="28"/>
      <c r="I525" s="28"/>
      <c r="J525" s="28"/>
      <c r="K525" s="28"/>
      <c r="L525" s="28"/>
      <c r="M525" s="28"/>
      <c r="N525" s="28"/>
      <c r="O525" s="28"/>
      <c r="P525" s="28"/>
      <c r="Q525" s="28"/>
      <c r="R525" s="28"/>
      <c r="S525" s="28"/>
    </row>
    <row r="526" ht="15.75" customHeight="1">
      <c r="A526" s="47" t="s">
        <v>31</v>
      </c>
      <c r="B526" s="47" t="s">
        <v>1245</v>
      </c>
      <c r="C526" s="49" t="s">
        <v>1246</v>
      </c>
      <c r="D526" s="37" t="s">
        <v>1217</v>
      </c>
      <c r="E526" s="37" t="s">
        <v>1218</v>
      </c>
      <c r="F526" s="38">
        <v>0.21</v>
      </c>
      <c r="G526" s="65" t="s">
        <v>517</v>
      </c>
      <c r="H526" s="28"/>
      <c r="I526" s="28"/>
      <c r="J526" s="28"/>
      <c r="K526" s="28"/>
      <c r="L526" s="28"/>
      <c r="M526" s="28"/>
      <c r="N526" s="28"/>
      <c r="O526" s="28"/>
      <c r="P526" s="28"/>
      <c r="Q526" s="28"/>
      <c r="R526" s="28"/>
      <c r="S526" s="28"/>
    </row>
    <row r="527" ht="15.75" customHeight="1">
      <c r="A527" s="41" t="s">
        <v>31</v>
      </c>
      <c r="B527" s="41" t="s">
        <v>1247</v>
      </c>
      <c r="C527" s="43" t="s">
        <v>1248</v>
      </c>
      <c r="D527" s="44" t="s">
        <v>1217</v>
      </c>
      <c r="E527" s="44" t="s">
        <v>1218</v>
      </c>
      <c r="F527" s="45">
        <v>0.21</v>
      </c>
      <c r="G527" s="65" t="s">
        <v>517</v>
      </c>
      <c r="H527" s="28"/>
      <c r="I527" s="28"/>
      <c r="J527" s="28"/>
      <c r="K527" s="28"/>
      <c r="L527" s="28"/>
      <c r="M527" s="28"/>
      <c r="N527" s="28"/>
      <c r="O527" s="28"/>
      <c r="P527" s="28"/>
      <c r="Q527" s="28"/>
      <c r="R527" s="28"/>
      <c r="S527" s="28"/>
    </row>
    <row r="528" ht="15.75" customHeight="1">
      <c r="A528" s="47" t="s">
        <v>31</v>
      </c>
      <c r="B528" s="47" t="s">
        <v>1249</v>
      </c>
      <c r="C528" s="49" t="s">
        <v>1250</v>
      </c>
      <c r="D528" s="37" t="s">
        <v>1217</v>
      </c>
      <c r="E528" s="37" t="s">
        <v>1218</v>
      </c>
      <c r="F528" s="38">
        <v>0.21</v>
      </c>
      <c r="G528" s="65" t="s">
        <v>517</v>
      </c>
      <c r="H528" s="28"/>
      <c r="I528" s="28"/>
      <c r="J528" s="28"/>
      <c r="K528" s="28"/>
      <c r="L528" s="28"/>
      <c r="M528" s="28"/>
      <c r="N528" s="28"/>
      <c r="O528" s="28"/>
      <c r="P528" s="28"/>
      <c r="Q528" s="28"/>
      <c r="R528" s="28"/>
      <c r="S528" s="28"/>
    </row>
    <row r="529" ht="15.75" customHeight="1">
      <c r="A529" s="41" t="s">
        <v>31</v>
      </c>
      <c r="B529" s="41" t="s">
        <v>1251</v>
      </c>
      <c r="C529" s="43" t="s">
        <v>1252</v>
      </c>
      <c r="D529" s="44" t="s">
        <v>1217</v>
      </c>
      <c r="E529" s="44" t="s">
        <v>1218</v>
      </c>
      <c r="F529" s="45">
        <v>0.21</v>
      </c>
      <c r="G529" s="65" t="s">
        <v>517</v>
      </c>
      <c r="H529" s="28"/>
      <c r="I529" s="28"/>
      <c r="J529" s="28"/>
      <c r="K529" s="28"/>
      <c r="L529" s="28"/>
      <c r="M529" s="28"/>
      <c r="N529" s="28"/>
      <c r="O529" s="28"/>
      <c r="P529" s="28"/>
      <c r="Q529" s="28"/>
      <c r="R529" s="28"/>
      <c r="S529" s="28"/>
    </row>
    <row r="530" ht="15.75" customHeight="1">
      <c r="A530" s="47" t="s">
        <v>31</v>
      </c>
      <c r="B530" s="47" t="s">
        <v>1253</v>
      </c>
      <c r="C530" s="49" t="s">
        <v>1254</v>
      </c>
      <c r="D530" s="37" t="s">
        <v>1217</v>
      </c>
      <c r="E530" s="37" t="s">
        <v>1218</v>
      </c>
      <c r="F530" s="38">
        <v>0.21</v>
      </c>
      <c r="G530" s="65" t="s">
        <v>517</v>
      </c>
      <c r="H530" s="28"/>
      <c r="I530" s="28"/>
      <c r="J530" s="28"/>
      <c r="K530" s="28"/>
      <c r="L530" s="28"/>
      <c r="M530" s="28"/>
      <c r="N530" s="28"/>
      <c r="O530" s="28"/>
      <c r="P530" s="28"/>
      <c r="Q530" s="28"/>
      <c r="R530" s="28"/>
      <c r="S530" s="28"/>
    </row>
    <row r="531" ht="15.75" customHeight="1">
      <c r="A531" s="41" t="s">
        <v>31</v>
      </c>
      <c r="B531" s="41" t="s">
        <v>1255</v>
      </c>
      <c r="C531" s="43" t="s">
        <v>1256</v>
      </c>
      <c r="D531" s="44" t="s">
        <v>1217</v>
      </c>
      <c r="E531" s="44" t="s">
        <v>1218</v>
      </c>
      <c r="F531" s="45">
        <v>0.21</v>
      </c>
      <c r="G531" s="65" t="s">
        <v>517</v>
      </c>
      <c r="H531" s="28"/>
      <c r="I531" s="28"/>
      <c r="J531" s="28"/>
      <c r="K531" s="28"/>
      <c r="L531" s="28"/>
      <c r="M531" s="28"/>
      <c r="N531" s="28"/>
      <c r="O531" s="28"/>
      <c r="P531" s="28"/>
      <c r="Q531" s="28"/>
      <c r="R531" s="28"/>
      <c r="S531" s="28"/>
    </row>
    <row r="532" ht="15.75" customHeight="1">
      <c r="A532" s="47" t="s">
        <v>31</v>
      </c>
      <c r="B532" s="47" t="s">
        <v>1257</v>
      </c>
      <c r="C532" s="49" t="s">
        <v>1258</v>
      </c>
      <c r="D532" s="37" t="s">
        <v>1217</v>
      </c>
      <c r="E532" s="37" t="s">
        <v>1218</v>
      </c>
      <c r="F532" s="38">
        <v>0.21</v>
      </c>
      <c r="G532" s="65" t="s">
        <v>517</v>
      </c>
      <c r="H532" s="28"/>
      <c r="I532" s="28"/>
      <c r="J532" s="28"/>
      <c r="K532" s="28"/>
      <c r="L532" s="28"/>
      <c r="M532" s="28"/>
      <c r="N532" s="28"/>
      <c r="O532" s="28"/>
      <c r="P532" s="28"/>
      <c r="Q532" s="28"/>
      <c r="R532" s="28"/>
      <c r="S532" s="28"/>
    </row>
    <row r="533" ht="15.75" customHeight="1">
      <c r="A533" s="41" t="s">
        <v>31</v>
      </c>
      <c r="B533" s="41" t="s">
        <v>1259</v>
      </c>
      <c r="C533" s="43" t="s">
        <v>1260</v>
      </c>
      <c r="D533" s="44" t="s">
        <v>1217</v>
      </c>
      <c r="E533" s="44" t="s">
        <v>1218</v>
      </c>
      <c r="F533" s="45">
        <v>0.21</v>
      </c>
      <c r="G533" s="65" t="s">
        <v>517</v>
      </c>
      <c r="H533" s="28"/>
      <c r="I533" s="28"/>
      <c r="J533" s="28"/>
      <c r="K533" s="28"/>
      <c r="L533" s="28"/>
      <c r="M533" s="28"/>
      <c r="N533" s="28"/>
      <c r="O533" s="28"/>
      <c r="P533" s="28"/>
      <c r="Q533" s="28"/>
      <c r="R533" s="28"/>
      <c r="S533" s="28"/>
    </row>
    <row r="534" ht="15.75" customHeight="1">
      <c r="A534" s="47" t="s">
        <v>31</v>
      </c>
      <c r="B534" s="47" t="s">
        <v>1261</v>
      </c>
      <c r="C534" s="49" t="s">
        <v>1262</v>
      </c>
      <c r="D534" s="37" t="s">
        <v>1217</v>
      </c>
      <c r="E534" s="37" t="s">
        <v>1218</v>
      </c>
      <c r="F534" s="38">
        <v>0.21</v>
      </c>
      <c r="G534" s="65" t="s">
        <v>517</v>
      </c>
      <c r="H534" s="28"/>
      <c r="I534" s="28"/>
      <c r="J534" s="28"/>
      <c r="K534" s="28"/>
      <c r="L534" s="28"/>
      <c r="M534" s="28"/>
      <c r="N534" s="28"/>
      <c r="O534" s="28"/>
      <c r="P534" s="28"/>
      <c r="Q534" s="28"/>
      <c r="R534" s="28"/>
      <c r="S534" s="28"/>
    </row>
    <row r="535" ht="15.75" customHeight="1">
      <c r="A535" s="41" t="s">
        <v>31</v>
      </c>
      <c r="B535" s="41" t="s">
        <v>1263</v>
      </c>
      <c r="C535" s="43" t="s">
        <v>1264</v>
      </c>
      <c r="D535" s="44" t="s">
        <v>1265</v>
      </c>
      <c r="E535" s="44" t="s">
        <v>1266</v>
      </c>
      <c r="F535" s="45">
        <v>0.21</v>
      </c>
      <c r="G535" s="65" t="s">
        <v>517</v>
      </c>
      <c r="H535" s="28"/>
      <c r="I535" s="28"/>
      <c r="J535" s="28"/>
      <c r="K535" s="28"/>
      <c r="L535" s="28"/>
      <c r="M535" s="28"/>
      <c r="N535" s="28"/>
      <c r="O535" s="28"/>
      <c r="P535" s="28"/>
      <c r="Q535" s="28"/>
      <c r="R535" s="28"/>
      <c r="S535" s="28"/>
    </row>
    <row r="536" ht="15.75" customHeight="1">
      <c r="A536" s="47" t="s">
        <v>31</v>
      </c>
      <c r="B536" s="47" t="s">
        <v>1267</v>
      </c>
      <c r="C536" s="49" t="s">
        <v>1268</v>
      </c>
      <c r="D536" s="37" t="s">
        <v>1265</v>
      </c>
      <c r="E536" s="37" t="s">
        <v>1266</v>
      </c>
      <c r="F536" s="38">
        <v>0.21</v>
      </c>
      <c r="G536" s="65" t="s">
        <v>517</v>
      </c>
      <c r="H536" s="28"/>
      <c r="I536" s="28"/>
      <c r="J536" s="28"/>
      <c r="K536" s="28"/>
      <c r="L536" s="28"/>
      <c r="M536" s="28"/>
      <c r="N536" s="28"/>
      <c r="O536" s="28"/>
      <c r="P536" s="28"/>
      <c r="Q536" s="28"/>
      <c r="R536" s="28"/>
      <c r="S536" s="28"/>
    </row>
    <row r="537" ht="15.75" customHeight="1">
      <c r="A537" s="41" t="s">
        <v>31</v>
      </c>
      <c r="B537" s="41" t="s">
        <v>1269</v>
      </c>
      <c r="C537" s="43" t="s">
        <v>1270</v>
      </c>
      <c r="D537" s="44" t="s">
        <v>1271</v>
      </c>
      <c r="E537" s="44" t="s">
        <v>1272</v>
      </c>
      <c r="F537" s="45">
        <v>0.21</v>
      </c>
      <c r="G537" s="65" t="s">
        <v>517</v>
      </c>
      <c r="H537" s="28"/>
      <c r="I537" s="28"/>
      <c r="J537" s="28"/>
      <c r="K537" s="28"/>
      <c r="L537" s="28"/>
      <c r="M537" s="28"/>
      <c r="N537" s="28"/>
      <c r="O537" s="28"/>
      <c r="P537" s="28"/>
      <c r="Q537" s="28"/>
      <c r="R537" s="28"/>
      <c r="S537" s="28"/>
    </row>
    <row r="538" ht="15.75" customHeight="1">
      <c r="A538" s="47" t="s">
        <v>31</v>
      </c>
      <c r="B538" s="47" t="s">
        <v>1273</v>
      </c>
      <c r="C538" s="49" t="s">
        <v>1274</v>
      </c>
      <c r="D538" s="37" t="s">
        <v>1271</v>
      </c>
      <c r="E538" s="37" t="s">
        <v>1272</v>
      </c>
      <c r="F538" s="38">
        <v>0.21</v>
      </c>
      <c r="G538" s="65" t="s">
        <v>517</v>
      </c>
      <c r="H538" s="28"/>
      <c r="I538" s="28"/>
      <c r="J538" s="28"/>
      <c r="K538" s="28"/>
      <c r="L538" s="28"/>
      <c r="M538" s="28"/>
      <c r="N538" s="28"/>
      <c r="O538" s="28"/>
      <c r="P538" s="28"/>
      <c r="Q538" s="28"/>
      <c r="R538" s="28"/>
      <c r="S538" s="28"/>
    </row>
    <row r="539" ht="15.75" customHeight="1">
      <c r="A539" s="41" t="s">
        <v>31</v>
      </c>
      <c r="B539" s="41" t="s">
        <v>1275</v>
      </c>
      <c r="C539" s="43" t="s">
        <v>1276</v>
      </c>
      <c r="D539" s="44" t="s">
        <v>1277</v>
      </c>
      <c r="E539" s="44" t="s">
        <v>1278</v>
      </c>
      <c r="F539" s="45">
        <v>0.21</v>
      </c>
      <c r="G539" s="65" t="s">
        <v>517</v>
      </c>
      <c r="H539" s="28"/>
      <c r="I539" s="28"/>
      <c r="J539" s="28"/>
      <c r="K539" s="28"/>
      <c r="L539" s="28"/>
      <c r="M539" s="28"/>
      <c r="N539" s="28"/>
      <c r="O539" s="28"/>
      <c r="P539" s="28"/>
      <c r="Q539" s="28"/>
      <c r="R539" s="28"/>
      <c r="S539" s="28"/>
    </row>
    <row r="540" ht="15.75" customHeight="1">
      <c r="A540" s="47" t="s">
        <v>31</v>
      </c>
      <c r="B540" s="47" t="s">
        <v>1279</v>
      </c>
      <c r="C540" s="49" t="s">
        <v>1280</v>
      </c>
      <c r="D540" s="37" t="s">
        <v>1277</v>
      </c>
      <c r="E540" s="37" t="s">
        <v>1278</v>
      </c>
      <c r="F540" s="38">
        <v>0.21</v>
      </c>
      <c r="G540" s="65" t="s">
        <v>517</v>
      </c>
      <c r="H540" s="28"/>
      <c r="I540" s="28"/>
      <c r="J540" s="28"/>
      <c r="K540" s="28"/>
      <c r="L540" s="28"/>
      <c r="M540" s="28"/>
      <c r="N540" s="28"/>
      <c r="O540" s="28"/>
      <c r="P540" s="28"/>
      <c r="Q540" s="28"/>
      <c r="R540" s="28"/>
      <c r="S540" s="28"/>
    </row>
    <row r="541" ht="15.75" customHeight="1">
      <c r="A541" s="41" t="s">
        <v>31</v>
      </c>
      <c r="B541" s="41" t="s">
        <v>1281</v>
      </c>
      <c r="C541" s="43" t="s">
        <v>1282</v>
      </c>
      <c r="D541" s="44" t="s">
        <v>1271</v>
      </c>
      <c r="E541" s="44" t="s">
        <v>1272</v>
      </c>
      <c r="F541" s="45">
        <v>0.21</v>
      </c>
      <c r="G541" s="65" t="s">
        <v>517</v>
      </c>
      <c r="H541" s="28"/>
      <c r="I541" s="28"/>
      <c r="J541" s="28"/>
      <c r="K541" s="28"/>
      <c r="L541" s="28"/>
      <c r="M541" s="28"/>
      <c r="N541" s="28"/>
      <c r="O541" s="28"/>
      <c r="P541" s="28"/>
      <c r="Q541" s="28"/>
      <c r="R541" s="28"/>
      <c r="S541" s="28"/>
    </row>
    <row r="542" ht="15.75" customHeight="1">
      <c r="A542" s="47" t="s">
        <v>31</v>
      </c>
      <c r="B542" s="70" t="s">
        <v>1283</v>
      </c>
      <c r="C542" s="49" t="s">
        <v>1284</v>
      </c>
      <c r="D542" s="37" t="s">
        <v>1049</v>
      </c>
      <c r="E542" s="37" t="s">
        <v>1050</v>
      </c>
      <c r="F542" s="38">
        <v>0.21</v>
      </c>
      <c r="G542" s="65" t="s">
        <v>517</v>
      </c>
      <c r="H542" s="28"/>
      <c r="I542" s="28"/>
      <c r="J542" s="28"/>
      <c r="K542" s="28"/>
      <c r="L542" s="28"/>
      <c r="M542" s="28"/>
      <c r="N542" s="28"/>
      <c r="O542" s="28"/>
      <c r="P542" s="28"/>
      <c r="Q542" s="28"/>
      <c r="R542" s="28"/>
      <c r="S542" s="28"/>
    </row>
    <row r="543" ht="15.75" customHeight="1">
      <c r="A543" s="41" t="s">
        <v>31</v>
      </c>
      <c r="B543" s="71" t="s">
        <v>1285</v>
      </c>
      <c r="C543" s="43" t="s">
        <v>1286</v>
      </c>
      <c r="D543" s="44" t="s">
        <v>176</v>
      </c>
      <c r="E543" s="44" t="s">
        <v>177</v>
      </c>
      <c r="F543" s="45">
        <v>0.21</v>
      </c>
      <c r="G543" s="65" t="s">
        <v>517</v>
      </c>
      <c r="H543" s="28"/>
      <c r="I543" s="28"/>
      <c r="J543" s="28"/>
      <c r="K543" s="28"/>
      <c r="L543" s="28"/>
      <c r="M543" s="28"/>
      <c r="N543" s="28"/>
      <c r="O543" s="28"/>
      <c r="P543" s="28"/>
      <c r="Q543" s="28"/>
      <c r="R543" s="28"/>
      <c r="S543" s="28"/>
    </row>
    <row r="544" ht="15.75" customHeight="1">
      <c r="A544" s="47" t="s">
        <v>31</v>
      </c>
      <c r="B544" s="70" t="s">
        <v>1287</v>
      </c>
      <c r="C544" s="49" t="s">
        <v>1288</v>
      </c>
      <c r="D544" s="37" t="s">
        <v>176</v>
      </c>
      <c r="E544" s="37" t="s">
        <v>177</v>
      </c>
      <c r="F544" s="38">
        <v>0.21</v>
      </c>
      <c r="G544" s="65" t="s">
        <v>517</v>
      </c>
      <c r="H544" s="28"/>
      <c r="I544" s="28"/>
      <c r="J544" s="28"/>
      <c r="K544" s="28"/>
      <c r="L544" s="28"/>
      <c r="M544" s="28"/>
      <c r="N544" s="28"/>
      <c r="O544" s="28"/>
      <c r="P544" s="28"/>
      <c r="Q544" s="28"/>
      <c r="R544" s="28"/>
      <c r="S544" s="28"/>
    </row>
    <row r="545" ht="15.75" customHeight="1">
      <c r="A545" s="47" t="s">
        <v>31</v>
      </c>
      <c r="B545" s="70" t="s">
        <v>1289</v>
      </c>
      <c r="C545" s="49" t="s">
        <v>1290</v>
      </c>
      <c r="D545" s="37" t="s">
        <v>198</v>
      </c>
      <c r="E545" s="37" t="s">
        <v>199</v>
      </c>
      <c r="F545" s="38">
        <v>0.21</v>
      </c>
      <c r="G545" s="65" t="s">
        <v>517</v>
      </c>
      <c r="H545" s="28"/>
      <c r="I545" s="28"/>
      <c r="J545" s="28"/>
      <c r="K545" s="28"/>
      <c r="L545" s="28"/>
      <c r="M545" s="28"/>
      <c r="N545" s="28"/>
      <c r="O545" s="28"/>
      <c r="P545" s="28"/>
      <c r="Q545" s="28"/>
      <c r="R545" s="28"/>
      <c r="S545" s="28"/>
    </row>
    <row r="546" ht="15.75" customHeight="1">
      <c r="A546" s="41" t="s">
        <v>31</v>
      </c>
      <c r="B546" s="71" t="s">
        <v>1291</v>
      </c>
      <c r="C546" s="43" t="s">
        <v>1292</v>
      </c>
      <c r="D546" s="44" t="s">
        <v>1071</v>
      </c>
      <c r="E546" s="44" t="s">
        <v>1072</v>
      </c>
      <c r="F546" s="45">
        <v>0.21</v>
      </c>
      <c r="G546" s="65" t="s">
        <v>517</v>
      </c>
      <c r="H546" s="28"/>
      <c r="I546" s="28"/>
      <c r="J546" s="28"/>
      <c r="K546" s="28"/>
      <c r="L546" s="28"/>
      <c r="M546" s="28"/>
      <c r="N546" s="28"/>
      <c r="O546" s="28"/>
      <c r="P546" s="28"/>
      <c r="Q546" s="28"/>
      <c r="R546" s="28"/>
      <c r="S546" s="28"/>
    </row>
    <row r="547" ht="15.75" customHeight="1">
      <c r="A547" s="47" t="s">
        <v>31</v>
      </c>
      <c r="B547" s="70" t="s">
        <v>1293</v>
      </c>
      <c r="C547" s="49" t="s">
        <v>1294</v>
      </c>
      <c r="D547" s="37" t="s">
        <v>520</v>
      </c>
      <c r="E547" s="37" t="s">
        <v>521</v>
      </c>
      <c r="F547" s="38">
        <v>0.21</v>
      </c>
      <c r="G547" s="65" t="s">
        <v>517</v>
      </c>
      <c r="H547" s="28"/>
      <c r="I547" s="28"/>
      <c r="J547" s="28"/>
      <c r="K547" s="28"/>
      <c r="L547" s="28"/>
      <c r="M547" s="28"/>
      <c r="N547" s="28"/>
      <c r="O547" s="28"/>
      <c r="P547" s="28"/>
      <c r="Q547" s="28"/>
      <c r="R547" s="28"/>
      <c r="S547" s="28"/>
    </row>
    <row r="548" ht="15.75" customHeight="1">
      <c r="A548" s="58" t="s">
        <v>1295</v>
      </c>
      <c r="B548" s="30"/>
      <c r="C548" s="30"/>
      <c r="D548" s="55"/>
      <c r="E548" s="32"/>
      <c r="F548" s="30"/>
      <c r="G548" s="30"/>
      <c r="H548" s="28"/>
      <c r="I548" s="28"/>
      <c r="J548" s="28"/>
      <c r="K548" s="28"/>
      <c r="L548" s="28"/>
      <c r="M548" s="28"/>
      <c r="N548" s="28"/>
      <c r="O548" s="28"/>
      <c r="P548" s="28"/>
      <c r="Q548" s="28"/>
      <c r="R548" s="28"/>
      <c r="S548" s="28"/>
    </row>
    <row r="549" ht="15.75" customHeight="1">
      <c r="A549" s="41" t="s">
        <v>31</v>
      </c>
      <c r="B549" s="71" t="s">
        <v>1296</v>
      </c>
      <c r="C549" s="43" t="s">
        <v>1297</v>
      </c>
      <c r="D549" s="44" t="s">
        <v>74</v>
      </c>
      <c r="E549" s="44" t="s">
        <v>75</v>
      </c>
      <c r="F549" s="45">
        <v>0.21</v>
      </c>
      <c r="G549" s="65" t="s">
        <v>517</v>
      </c>
      <c r="H549" s="28"/>
      <c r="I549" s="28"/>
      <c r="J549" s="28"/>
      <c r="K549" s="28"/>
      <c r="L549" s="28"/>
      <c r="M549" s="28"/>
      <c r="N549" s="28"/>
      <c r="O549" s="28"/>
      <c r="P549" s="28"/>
      <c r="Q549" s="28"/>
      <c r="R549" s="28"/>
      <c r="S549" s="28"/>
    </row>
    <row r="550" ht="15.75" customHeight="1">
      <c r="A550" s="47" t="s">
        <v>31</v>
      </c>
      <c r="B550" s="70" t="s">
        <v>1298</v>
      </c>
      <c r="C550" s="49" t="s">
        <v>1299</v>
      </c>
      <c r="D550" s="37" t="s">
        <v>1009</v>
      </c>
      <c r="E550" s="37" t="s">
        <v>1010</v>
      </c>
      <c r="F550" s="38">
        <v>0.21</v>
      </c>
      <c r="G550" s="65" t="s">
        <v>517</v>
      </c>
      <c r="H550" s="28"/>
      <c r="I550" s="28"/>
      <c r="J550" s="28"/>
      <c r="K550" s="28"/>
      <c r="L550" s="28"/>
      <c r="M550" s="28"/>
      <c r="N550" s="28"/>
      <c r="O550" s="28"/>
      <c r="P550" s="28"/>
      <c r="Q550" s="28"/>
      <c r="R550" s="28"/>
      <c r="S550" s="28"/>
    </row>
    <row r="551" ht="15.75" customHeight="1">
      <c r="A551" s="41" t="s">
        <v>31</v>
      </c>
      <c r="B551" s="71" t="s">
        <v>1300</v>
      </c>
      <c r="C551" s="43" t="s">
        <v>1301</v>
      </c>
      <c r="D551" s="44" t="s">
        <v>74</v>
      </c>
      <c r="E551" s="44" t="s">
        <v>75</v>
      </c>
      <c r="F551" s="45">
        <v>0.21</v>
      </c>
      <c r="G551" s="65" t="s">
        <v>517</v>
      </c>
      <c r="H551" s="28"/>
      <c r="I551" s="28"/>
      <c r="J551" s="28"/>
      <c r="K551" s="28"/>
      <c r="L551" s="28"/>
      <c r="M551" s="28"/>
      <c r="N551" s="28"/>
      <c r="O551" s="28"/>
      <c r="P551" s="28"/>
      <c r="Q551" s="28"/>
      <c r="R551" s="28"/>
      <c r="S551" s="28"/>
    </row>
    <row r="552" ht="15.75" customHeight="1">
      <c r="A552" s="47" t="s">
        <v>31</v>
      </c>
      <c r="B552" s="70" t="s">
        <v>1302</v>
      </c>
      <c r="C552" s="49" t="s">
        <v>1303</v>
      </c>
      <c r="D552" s="37" t="s">
        <v>74</v>
      </c>
      <c r="E552" s="37" t="s">
        <v>75</v>
      </c>
      <c r="F552" s="38">
        <v>0.21</v>
      </c>
      <c r="G552" s="65" t="s">
        <v>517</v>
      </c>
      <c r="H552" s="28"/>
      <c r="I552" s="28"/>
      <c r="J552" s="28"/>
      <c r="K552" s="28"/>
      <c r="L552" s="28"/>
      <c r="M552" s="28"/>
      <c r="N552" s="28"/>
      <c r="O552" s="28"/>
      <c r="P552" s="28"/>
      <c r="Q552" s="28"/>
      <c r="R552" s="28"/>
      <c r="S552" s="28"/>
    </row>
    <row r="553" ht="15.75" customHeight="1">
      <c r="A553" s="41" t="s">
        <v>31</v>
      </c>
      <c r="B553" s="71" t="s">
        <v>1304</v>
      </c>
      <c r="C553" s="43" t="s">
        <v>1305</v>
      </c>
      <c r="D553" s="44" t="s">
        <v>1009</v>
      </c>
      <c r="E553" s="44" t="s">
        <v>1010</v>
      </c>
      <c r="F553" s="45">
        <v>0.21</v>
      </c>
      <c r="G553" s="65" t="s">
        <v>517</v>
      </c>
      <c r="H553" s="28"/>
      <c r="I553" s="28"/>
      <c r="J553" s="28"/>
      <c r="K553" s="28"/>
      <c r="L553" s="28"/>
      <c r="M553" s="28"/>
      <c r="N553" s="28"/>
      <c r="O553" s="28"/>
      <c r="P553" s="28"/>
      <c r="Q553" s="28"/>
      <c r="R553" s="28"/>
      <c r="S553" s="28"/>
    </row>
    <row r="554" ht="15.75" customHeight="1">
      <c r="A554" s="29" t="s">
        <v>1306</v>
      </c>
      <c r="C554" s="30"/>
      <c r="D554" s="55"/>
      <c r="E554" s="32"/>
      <c r="F554" s="30"/>
      <c r="G554" s="30"/>
      <c r="H554" s="28"/>
      <c r="I554" s="28"/>
      <c r="J554" s="28"/>
      <c r="K554" s="28"/>
      <c r="L554" s="28"/>
      <c r="M554" s="28"/>
      <c r="N554" s="28"/>
      <c r="O554" s="28"/>
      <c r="P554" s="28"/>
      <c r="Q554" s="28"/>
      <c r="R554" s="28"/>
      <c r="S554" s="28"/>
    </row>
    <row r="555" ht="15.75" customHeight="1">
      <c r="A555" s="41" t="s">
        <v>31</v>
      </c>
      <c r="B555" s="42" t="s">
        <v>1307</v>
      </c>
      <c r="C555" s="43" t="s">
        <v>1308</v>
      </c>
      <c r="D555" s="44" t="s">
        <v>227</v>
      </c>
      <c r="E555" s="44" t="s">
        <v>228</v>
      </c>
      <c r="F555" s="45">
        <v>0.21</v>
      </c>
      <c r="G555" s="65" t="s">
        <v>517</v>
      </c>
      <c r="H555" s="28"/>
      <c r="I555" s="28"/>
      <c r="J555" s="28"/>
      <c r="K555" s="28"/>
      <c r="L555" s="28"/>
      <c r="M555" s="28"/>
      <c r="N555" s="28"/>
      <c r="O555" s="28"/>
      <c r="P555" s="28"/>
      <c r="Q555" s="28"/>
      <c r="R555" s="28"/>
      <c r="S555" s="28"/>
    </row>
    <row r="556" ht="15.75" customHeight="1">
      <c r="A556" s="47" t="s">
        <v>31</v>
      </c>
      <c r="B556" s="48" t="s">
        <v>1309</v>
      </c>
      <c r="C556" s="49" t="s">
        <v>328</v>
      </c>
      <c r="D556" s="37" t="s">
        <v>227</v>
      </c>
      <c r="E556" s="37" t="s">
        <v>228</v>
      </c>
      <c r="F556" s="38">
        <v>0.21</v>
      </c>
      <c r="G556" s="65" t="s">
        <v>517</v>
      </c>
      <c r="H556" s="28"/>
      <c r="I556" s="28"/>
      <c r="J556" s="28"/>
      <c r="K556" s="28"/>
      <c r="L556" s="28"/>
      <c r="M556" s="28"/>
      <c r="N556" s="28"/>
      <c r="O556" s="28"/>
      <c r="P556" s="28"/>
      <c r="Q556" s="28"/>
      <c r="R556" s="28"/>
      <c r="S556" s="28"/>
    </row>
    <row r="557" ht="15.75" customHeight="1">
      <c r="A557" s="41" t="s">
        <v>31</v>
      </c>
      <c r="B557" s="42" t="s">
        <v>1310</v>
      </c>
      <c r="C557" s="43" t="s">
        <v>328</v>
      </c>
      <c r="D557" s="44" t="s">
        <v>227</v>
      </c>
      <c r="E557" s="44" t="s">
        <v>228</v>
      </c>
      <c r="F557" s="45">
        <v>0.21</v>
      </c>
      <c r="G557" s="65" t="s">
        <v>517</v>
      </c>
      <c r="H557" s="28"/>
      <c r="I557" s="28"/>
      <c r="J557" s="28"/>
      <c r="K557" s="28"/>
      <c r="L557" s="28"/>
      <c r="M557" s="28"/>
      <c r="N557" s="28"/>
      <c r="O557" s="28"/>
      <c r="P557" s="28"/>
      <c r="Q557" s="28"/>
      <c r="R557" s="28"/>
      <c r="S557" s="28"/>
    </row>
    <row r="558" ht="15.75" customHeight="1">
      <c r="A558" s="47" t="s">
        <v>31</v>
      </c>
      <c r="B558" s="48" t="s">
        <v>1311</v>
      </c>
      <c r="C558" s="49" t="s">
        <v>328</v>
      </c>
      <c r="D558" s="37" t="s">
        <v>227</v>
      </c>
      <c r="E558" s="37" t="s">
        <v>228</v>
      </c>
      <c r="F558" s="38">
        <v>0.21</v>
      </c>
      <c r="G558" s="65" t="s">
        <v>517</v>
      </c>
      <c r="H558" s="28"/>
      <c r="I558" s="28"/>
      <c r="J558" s="28"/>
      <c r="K558" s="28"/>
      <c r="L558" s="28"/>
      <c r="M558" s="28"/>
      <c r="N558" s="28"/>
      <c r="O558" s="28"/>
      <c r="P558" s="28"/>
      <c r="Q558" s="28"/>
      <c r="R558" s="28"/>
      <c r="S558" s="28"/>
    </row>
    <row r="559" ht="15.75" customHeight="1">
      <c r="A559" s="41" t="s">
        <v>31</v>
      </c>
      <c r="B559" s="42" t="s">
        <v>1312</v>
      </c>
      <c r="C559" s="43" t="s">
        <v>1313</v>
      </c>
      <c r="D559" s="44" t="s">
        <v>227</v>
      </c>
      <c r="E559" s="44" t="s">
        <v>228</v>
      </c>
      <c r="F559" s="45">
        <v>0.21</v>
      </c>
      <c r="G559" s="65" t="s">
        <v>517</v>
      </c>
      <c r="H559" s="28"/>
      <c r="I559" s="28"/>
      <c r="J559" s="28"/>
      <c r="K559" s="28"/>
      <c r="L559" s="28"/>
      <c r="M559" s="28"/>
      <c r="N559" s="28"/>
      <c r="O559" s="28"/>
      <c r="P559" s="28"/>
      <c r="Q559" s="28"/>
      <c r="R559" s="28"/>
      <c r="S559" s="28"/>
    </row>
    <row r="560" ht="15.75" customHeight="1">
      <c r="A560" s="47" t="s">
        <v>31</v>
      </c>
      <c r="B560" s="48" t="s">
        <v>1314</v>
      </c>
      <c r="C560" s="49" t="s">
        <v>328</v>
      </c>
      <c r="D560" s="37" t="s">
        <v>1315</v>
      </c>
      <c r="E560" s="37" t="s">
        <v>1316</v>
      </c>
      <c r="F560" s="38">
        <v>0.21</v>
      </c>
      <c r="G560" s="65" t="s">
        <v>517</v>
      </c>
      <c r="H560" s="28"/>
      <c r="I560" s="28"/>
      <c r="J560" s="28"/>
      <c r="K560" s="28"/>
      <c r="L560" s="28"/>
      <c r="M560" s="28"/>
      <c r="N560" s="28"/>
      <c r="O560" s="28"/>
      <c r="P560" s="28"/>
      <c r="Q560" s="28"/>
      <c r="R560" s="28"/>
      <c r="S560" s="28"/>
    </row>
    <row r="561" ht="15.75" customHeight="1">
      <c r="A561" s="41" t="s">
        <v>31</v>
      </c>
      <c r="B561" s="42" t="s">
        <v>1317</v>
      </c>
      <c r="C561" s="43" t="s">
        <v>328</v>
      </c>
      <c r="D561" s="44" t="s">
        <v>1315</v>
      </c>
      <c r="E561" s="44" t="s">
        <v>1316</v>
      </c>
      <c r="F561" s="45">
        <v>0.21</v>
      </c>
      <c r="G561" s="65" t="s">
        <v>517</v>
      </c>
      <c r="H561" s="28"/>
      <c r="I561" s="28"/>
      <c r="J561" s="28"/>
      <c r="K561" s="28"/>
      <c r="L561" s="28"/>
      <c r="M561" s="28"/>
      <c r="N561" s="28"/>
      <c r="O561" s="28"/>
      <c r="P561" s="28"/>
      <c r="Q561" s="28"/>
      <c r="R561" s="28"/>
      <c r="S561" s="28"/>
    </row>
    <row r="562" ht="15.75" customHeight="1">
      <c r="A562" s="47" t="s">
        <v>31</v>
      </c>
      <c r="B562" s="48" t="s">
        <v>1318</v>
      </c>
      <c r="C562" s="49" t="s">
        <v>1319</v>
      </c>
      <c r="D562" s="37" t="s">
        <v>1315</v>
      </c>
      <c r="E562" s="37" t="s">
        <v>1316</v>
      </c>
      <c r="F562" s="38">
        <v>0.21</v>
      </c>
      <c r="G562" s="65" t="s">
        <v>517</v>
      </c>
      <c r="H562" s="28"/>
      <c r="I562" s="28"/>
      <c r="J562" s="28"/>
      <c r="K562" s="28"/>
      <c r="L562" s="28"/>
      <c r="M562" s="28"/>
      <c r="N562" s="28"/>
      <c r="O562" s="28"/>
      <c r="P562" s="28"/>
      <c r="Q562" s="28"/>
      <c r="R562" s="28"/>
      <c r="S562" s="28"/>
    </row>
    <row r="563" ht="15.75" customHeight="1">
      <c r="A563" s="41" t="s">
        <v>31</v>
      </c>
      <c r="B563" s="42" t="s">
        <v>1320</v>
      </c>
      <c r="C563" s="43" t="s">
        <v>328</v>
      </c>
      <c r="D563" s="44" t="s">
        <v>1315</v>
      </c>
      <c r="E563" s="44" t="s">
        <v>1316</v>
      </c>
      <c r="F563" s="45">
        <v>0.21</v>
      </c>
      <c r="G563" s="65" t="s">
        <v>517</v>
      </c>
      <c r="H563" s="28"/>
      <c r="I563" s="28"/>
      <c r="J563" s="28"/>
      <c r="K563" s="28"/>
      <c r="L563" s="28"/>
      <c r="M563" s="28"/>
      <c r="N563" s="28"/>
      <c r="O563" s="28"/>
      <c r="P563" s="28"/>
      <c r="Q563" s="28"/>
      <c r="R563" s="28"/>
      <c r="S563" s="28"/>
    </row>
    <row r="564" ht="15.75" customHeight="1">
      <c r="A564" s="47" t="s">
        <v>31</v>
      </c>
      <c r="B564" s="48" t="s">
        <v>1321</v>
      </c>
      <c r="C564" s="49" t="s">
        <v>1322</v>
      </c>
      <c r="D564" s="37" t="s">
        <v>1315</v>
      </c>
      <c r="E564" s="37" t="s">
        <v>1316</v>
      </c>
      <c r="F564" s="38">
        <v>0.21</v>
      </c>
      <c r="G564" s="65" t="s">
        <v>517</v>
      </c>
      <c r="H564" s="28"/>
      <c r="I564" s="28"/>
      <c r="J564" s="28"/>
      <c r="K564" s="28"/>
      <c r="L564" s="28"/>
      <c r="M564" s="28"/>
      <c r="N564" s="28"/>
      <c r="O564" s="28"/>
      <c r="P564" s="28"/>
      <c r="Q564" s="28"/>
      <c r="R564" s="28"/>
      <c r="S564" s="28"/>
    </row>
    <row r="565" ht="15.75" customHeight="1">
      <c r="A565" s="41" t="s">
        <v>31</v>
      </c>
      <c r="B565" s="42" t="s">
        <v>1323</v>
      </c>
      <c r="C565" s="43" t="s">
        <v>1324</v>
      </c>
      <c r="D565" s="44" t="s">
        <v>1315</v>
      </c>
      <c r="E565" s="44" t="s">
        <v>1316</v>
      </c>
      <c r="F565" s="45">
        <v>0.21</v>
      </c>
      <c r="G565" s="65" t="s">
        <v>517</v>
      </c>
      <c r="H565" s="28"/>
      <c r="I565" s="28"/>
      <c r="J565" s="28"/>
      <c r="K565" s="28"/>
      <c r="L565" s="28"/>
      <c r="M565" s="28"/>
      <c r="N565" s="28"/>
      <c r="O565" s="28"/>
      <c r="P565" s="28"/>
      <c r="Q565" s="28"/>
      <c r="R565" s="28"/>
      <c r="S565" s="28"/>
    </row>
    <row r="566" ht="15.75" customHeight="1">
      <c r="A566" s="47" t="s">
        <v>31</v>
      </c>
      <c r="B566" s="48" t="s">
        <v>1325</v>
      </c>
      <c r="C566" s="49" t="s">
        <v>1326</v>
      </c>
      <c r="D566" s="37" t="s">
        <v>1327</v>
      </c>
      <c r="E566" s="37" t="s">
        <v>1328</v>
      </c>
      <c r="F566" s="38">
        <v>0.21</v>
      </c>
      <c r="G566" s="65" t="s">
        <v>517</v>
      </c>
      <c r="H566" s="28"/>
      <c r="I566" s="28"/>
      <c r="J566" s="28"/>
      <c r="K566" s="28"/>
      <c r="L566" s="28"/>
      <c r="M566" s="28"/>
      <c r="N566" s="28"/>
      <c r="O566" s="28"/>
      <c r="P566" s="28"/>
      <c r="Q566" s="28"/>
      <c r="R566" s="28"/>
      <c r="S566" s="28"/>
    </row>
    <row r="567" ht="15.75" customHeight="1">
      <c r="A567" s="41" t="s">
        <v>31</v>
      </c>
      <c r="B567" s="42" t="s">
        <v>1329</v>
      </c>
      <c r="C567" s="43" t="s">
        <v>1330</v>
      </c>
      <c r="D567" s="44" t="s">
        <v>378</v>
      </c>
      <c r="E567" s="44" t="s">
        <v>379</v>
      </c>
      <c r="F567" s="45">
        <v>0.21</v>
      </c>
      <c r="G567" s="65" t="s">
        <v>517</v>
      </c>
      <c r="H567" s="28"/>
      <c r="I567" s="28"/>
      <c r="J567" s="28"/>
      <c r="K567" s="28"/>
      <c r="L567" s="28"/>
      <c r="M567" s="28"/>
      <c r="N567" s="28"/>
      <c r="O567" s="28"/>
      <c r="P567" s="28"/>
      <c r="Q567" s="28"/>
      <c r="R567" s="28"/>
      <c r="S567" s="28"/>
    </row>
    <row r="568" ht="15.75" customHeight="1">
      <c r="A568" s="29" t="s">
        <v>1331</v>
      </c>
      <c r="C568" s="30"/>
      <c r="D568" s="55"/>
      <c r="E568" s="32"/>
      <c r="F568" s="30"/>
      <c r="G568" s="30"/>
      <c r="H568" s="28"/>
      <c r="I568" s="28"/>
      <c r="J568" s="28"/>
      <c r="K568" s="28"/>
      <c r="L568" s="28"/>
      <c r="M568" s="28"/>
      <c r="N568" s="28"/>
      <c r="O568" s="28"/>
      <c r="P568" s="28"/>
      <c r="Q568" s="28"/>
      <c r="R568" s="28"/>
      <c r="S568" s="28"/>
    </row>
    <row r="569" ht="15.75" customHeight="1">
      <c r="A569" s="41" t="s">
        <v>31</v>
      </c>
      <c r="B569" s="42" t="s">
        <v>1332</v>
      </c>
      <c r="C569" s="43" t="s">
        <v>328</v>
      </c>
      <c r="D569" s="44" t="s">
        <v>878</v>
      </c>
      <c r="E569" s="44" t="s">
        <v>879</v>
      </c>
      <c r="F569" s="45">
        <v>0.21</v>
      </c>
      <c r="G569" s="65" t="s">
        <v>517</v>
      </c>
      <c r="H569" s="28"/>
      <c r="I569" s="28"/>
      <c r="J569" s="28"/>
      <c r="K569" s="28"/>
      <c r="L569" s="28"/>
      <c r="M569" s="28"/>
      <c r="N569" s="28"/>
      <c r="O569" s="28"/>
      <c r="P569" s="28"/>
      <c r="Q569" s="28"/>
      <c r="R569" s="28"/>
      <c r="S569" s="28"/>
    </row>
    <row r="570" ht="15.75" customHeight="1">
      <c r="A570" s="47" t="s">
        <v>31</v>
      </c>
      <c r="B570" s="48" t="s">
        <v>1333</v>
      </c>
      <c r="C570" s="49" t="s">
        <v>328</v>
      </c>
      <c r="D570" s="37" t="s">
        <v>878</v>
      </c>
      <c r="E570" s="37" t="s">
        <v>879</v>
      </c>
      <c r="F570" s="38">
        <v>0.21</v>
      </c>
      <c r="G570" s="65" t="s">
        <v>517</v>
      </c>
      <c r="H570" s="28"/>
      <c r="I570" s="28"/>
      <c r="J570" s="28"/>
      <c r="K570" s="28"/>
      <c r="L570" s="28"/>
      <c r="M570" s="28"/>
      <c r="N570" s="28"/>
      <c r="O570" s="28"/>
      <c r="P570" s="28"/>
      <c r="Q570" s="28"/>
      <c r="R570" s="28"/>
      <c r="S570" s="28"/>
    </row>
    <row r="571" ht="15.75" customHeight="1">
      <c r="A571" s="41" t="s">
        <v>31</v>
      </c>
      <c r="B571" s="42" t="s">
        <v>1334</v>
      </c>
      <c r="C571" s="43" t="s">
        <v>328</v>
      </c>
      <c r="D571" s="44" t="s">
        <v>878</v>
      </c>
      <c r="E571" s="44" t="s">
        <v>879</v>
      </c>
      <c r="F571" s="45">
        <v>0.21</v>
      </c>
      <c r="G571" s="65" t="s">
        <v>517</v>
      </c>
      <c r="H571" s="28"/>
      <c r="I571" s="28"/>
      <c r="J571" s="28"/>
      <c r="K571" s="28"/>
      <c r="L571" s="28"/>
      <c r="M571" s="28"/>
      <c r="N571" s="28"/>
      <c r="O571" s="28"/>
      <c r="P571" s="28"/>
      <c r="Q571" s="28"/>
      <c r="R571" s="28"/>
      <c r="S571" s="28"/>
    </row>
    <row r="572" ht="15.75" customHeight="1">
      <c r="A572" s="47" t="s">
        <v>31</v>
      </c>
      <c r="B572" s="48" t="s">
        <v>1335</v>
      </c>
      <c r="C572" s="49" t="s">
        <v>1336</v>
      </c>
      <c r="D572" s="37" t="s">
        <v>42</v>
      </c>
      <c r="E572" s="37" t="s">
        <v>43</v>
      </c>
      <c r="F572" s="38">
        <v>0.21</v>
      </c>
      <c r="G572" s="65" t="s">
        <v>517</v>
      </c>
      <c r="H572" s="28"/>
      <c r="I572" s="28"/>
      <c r="J572" s="28"/>
      <c r="K572" s="28"/>
      <c r="L572" s="28"/>
      <c r="M572" s="28"/>
      <c r="N572" s="28"/>
      <c r="O572" s="28"/>
      <c r="P572" s="28"/>
      <c r="Q572" s="28"/>
      <c r="R572" s="28"/>
      <c r="S572" s="28"/>
    </row>
    <row r="573" ht="15.75" customHeight="1">
      <c r="A573" s="41" t="s">
        <v>31</v>
      </c>
      <c r="B573" s="42" t="s">
        <v>1337</v>
      </c>
      <c r="C573" s="43" t="s">
        <v>1338</v>
      </c>
      <c r="D573" s="44" t="s">
        <v>50</v>
      </c>
      <c r="E573" s="44" t="s">
        <v>51</v>
      </c>
      <c r="F573" s="45">
        <v>0.21</v>
      </c>
      <c r="G573" s="65" t="s">
        <v>517</v>
      </c>
      <c r="H573" s="28"/>
      <c r="I573" s="28"/>
      <c r="J573" s="28"/>
      <c r="K573" s="28"/>
      <c r="L573" s="28"/>
      <c r="M573" s="28"/>
      <c r="N573" s="28"/>
      <c r="O573" s="28"/>
      <c r="P573" s="28"/>
      <c r="Q573" s="28"/>
      <c r="R573" s="28"/>
      <c r="S573" s="28"/>
    </row>
    <row r="574" ht="15.75" customHeight="1">
      <c r="A574" s="47" t="s">
        <v>31</v>
      </c>
      <c r="B574" s="48" t="s">
        <v>1339</v>
      </c>
      <c r="C574" s="49" t="s">
        <v>1340</v>
      </c>
      <c r="D574" s="37" t="s">
        <v>42</v>
      </c>
      <c r="E574" s="37" t="s">
        <v>43</v>
      </c>
      <c r="F574" s="38">
        <v>0.21</v>
      </c>
      <c r="G574" s="65" t="s">
        <v>517</v>
      </c>
      <c r="H574" s="28"/>
      <c r="I574" s="28"/>
      <c r="J574" s="28"/>
      <c r="K574" s="28"/>
      <c r="L574" s="28"/>
      <c r="M574" s="28"/>
      <c r="N574" s="28"/>
      <c r="O574" s="28"/>
      <c r="P574" s="28"/>
      <c r="Q574" s="28"/>
      <c r="R574" s="28"/>
      <c r="S574" s="28"/>
    </row>
    <row r="575" ht="15.75" customHeight="1">
      <c r="A575" s="41" t="s">
        <v>31</v>
      </c>
      <c r="B575" s="42" t="s">
        <v>1341</v>
      </c>
      <c r="C575" s="43" t="s">
        <v>1342</v>
      </c>
      <c r="D575" s="44" t="s">
        <v>50</v>
      </c>
      <c r="E575" s="44" t="s">
        <v>51</v>
      </c>
      <c r="F575" s="45">
        <v>0.21</v>
      </c>
      <c r="G575" s="65" t="s">
        <v>517</v>
      </c>
      <c r="H575" s="28"/>
      <c r="I575" s="28"/>
      <c r="J575" s="28"/>
      <c r="K575" s="28"/>
      <c r="L575" s="28"/>
      <c r="M575" s="28"/>
      <c r="N575" s="28"/>
      <c r="O575" s="28"/>
      <c r="P575" s="28"/>
      <c r="Q575" s="28"/>
      <c r="R575" s="28"/>
      <c r="S575" s="28"/>
    </row>
    <row r="576" ht="15.75" customHeight="1">
      <c r="A576" s="47" t="s">
        <v>31</v>
      </c>
      <c r="B576" s="48" t="s">
        <v>1343</v>
      </c>
      <c r="C576" s="49" t="s">
        <v>328</v>
      </c>
      <c r="D576" s="37" t="s">
        <v>469</v>
      </c>
      <c r="E576" s="37" t="s">
        <v>470</v>
      </c>
      <c r="F576" s="38">
        <v>0.21</v>
      </c>
      <c r="G576" s="65" t="s">
        <v>517</v>
      </c>
      <c r="H576" s="28"/>
      <c r="I576" s="28"/>
      <c r="J576" s="28"/>
      <c r="K576" s="28"/>
      <c r="L576" s="28"/>
      <c r="M576" s="28"/>
      <c r="N576" s="28"/>
      <c r="O576" s="28"/>
      <c r="P576" s="28"/>
      <c r="Q576" s="28"/>
      <c r="R576" s="28"/>
      <c r="S576" s="28"/>
    </row>
    <row r="577" ht="15.75" customHeight="1">
      <c r="A577" s="41" t="s">
        <v>31</v>
      </c>
      <c r="B577" s="42" t="s">
        <v>1344</v>
      </c>
      <c r="C577" s="43" t="s">
        <v>328</v>
      </c>
      <c r="D577" s="44" t="s">
        <v>469</v>
      </c>
      <c r="E577" s="44" t="s">
        <v>470</v>
      </c>
      <c r="F577" s="45">
        <v>0.21</v>
      </c>
      <c r="G577" s="65" t="s">
        <v>517</v>
      </c>
      <c r="H577" s="28"/>
      <c r="I577" s="28"/>
      <c r="J577" s="28"/>
      <c r="K577" s="28"/>
      <c r="L577" s="28"/>
      <c r="M577" s="28"/>
      <c r="N577" s="28"/>
      <c r="O577" s="28"/>
      <c r="P577" s="28"/>
      <c r="Q577" s="28"/>
      <c r="R577" s="28"/>
      <c r="S577" s="28"/>
    </row>
    <row r="578" ht="15.75" customHeight="1">
      <c r="A578" s="47" t="s">
        <v>31</v>
      </c>
      <c r="B578" s="48" t="s">
        <v>1345</v>
      </c>
      <c r="C578" s="49" t="s">
        <v>328</v>
      </c>
      <c r="D578" s="37" t="s">
        <v>469</v>
      </c>
      <c r="E578" s="37" t="s">
        <v>470</v>
      </c>
      <c r="F578" s="38">
        <v>0.21</v>
      </c>
      <c r="G578" s="65" t="s">
        <v>517</v>
      </c>
      <c r="H578" s="28"/>
      <c r="I578" s="28"/>
      <c r="J578" s="28"/>
      <c r="K578" s="28"/>
      <c r="L578" s="28"/>
      <c r="M578" s="28"/>
      <c r="N578" s="28"/>
      <c r="O578" s="28"/>
      <c r="P578" s="28"/>
      <c r="Q578" s="28"/>
      <c r="R578" s="28"/>
      <c r="S578" s="28"/>
    </row>
    <row r="579" ht="15.75" customHeight="1">
      <c r="A579" s="41" t="s">
        <v>31</v>
      </c>
      <c r="B579" s="42" t="s">
        <v>1346</v>
      </c>
      <c r="C579" s="43" t="s">
        <v>1347</v>
      </c>
      <c r="D579" s="44" t="s">
        <v>448</v>
      </c>
      <c r="E579" s="44" t="s">
        <v>449</v>
      </c>
      <c r="F579" s="45">
        <v>0.21</v>
      </c>
      <c r="G579" s="65" t="s">
        <v>517</v>
      </c>
      <c r="H579" s="28"/>
      <c r="I579" s="28"/>
      <c r="J579" s="28"/>
      <c r="K579" s="28"/>
      <c r="L579" s="28"/>
      <c r="M579" s="28"/>
      <c r="N579" s="28"/>
      <c r="O579" s="28"/>
      <c r="P579" s="28"/>
      <c r="Q579" s="28"/>
      <c r="R579" s="28"/>
      <c r="S579" s="28"/>
    </row>
    <row r="580" ht="15.75" customHeight="1">
      <c r="A580" s="47" t="s">
        <v>31</v>
      </c>
      <c r="B580" s="48" t="s">
        <v>1348</v>
      </c>
      <c r="C580" s="49" t="s">
        <v>1349</v>
      </c>
      <c r="D580" s="37" t="s">
        <v>765</v>
      </c>
      <c r="E580" s="37" t="s">
        <v>766</v>
      </c>
      <c r="F580" s="38">
        <v>0.21</v>
      </c>
      <c r="G580" s="65" t="s">
        <v>517</v>
      </c>
      <c r="H580" s="28"/>
      <c r="I580" s="28"/>
      <c r="J580" s="28"/>
      <c r="K580" s="28"/>
      <c r="L580" s="28"/>
      <c r="M580" s="28"/>
      <c r="N580" s="28"/>
      <c r="O580" s="28"/>
      <c r="P580" s="28"/>
      <c r="Q580" s="28"/>
      <c r="R580" s="28"/>
      <c r="S580" s="28"/>
    </row>
    <row r="581" ht="15.75" customHeight="1">
      <c r="A581" s="41" t="s">
        <v>31</v>
      </c>
      <c r="B581" s="42" t="s">
        <v>1350</v>
      </c>
      <c r="C581" s="43" t="s">
        <v>1349</v>
      </c>
      <c r="D581" s="44" t="s">
        <v>765</v>
      </c>
      <c r="E581" s="44" t="s">
        <v>766</v>
      </c>
      <c r="F581" s="45">
        <v>0.21</v>
      </c>
      <c r="G581" s="65" t="s">
        <v>517</v>
      </c>
      <c r="H581" s="28"/>
      <c r="I581" s="28"/>
      <c r="J581" s="28"/>
      <c r="K581" s="28"/>
      <c r="L581" s="28"/>
      <c r="M581" s="28"/>
      <c r="N581" s="28"/>
      <c r="O581" s="28"/>
      <c r="P581" s="28"/>
      <c r="Q581" s="28"/>
      <c r="R581" s="28"/>
      <c r="S581" s="28"/>
    </row>
    <row r="582" ht="15.75" customHeight="1">
      <c r="A582" s="47" t="s">
        <v>31</v>
      </c>
      <c r="B582" s="48" t="s">
        <v>1351</v>
      </c>
      <c r="C582" s="49" t="s">
        <v>1352</v>
      </c>
      <c r="D582" s="37" t="s">
        <v>1353</v>
      </c>
      <c r="E582" s="37" t="s">
        <v>1354</v>
      </c>
      <c r="F582" s="38">
        <v>0.21</v>
      </c>
      <c r="G582" s="65" t="s">
        <v>517</v>
      </c>
      <c r="H582" s="28"/>
      <c r="I582" s="28"/>
      <c r="J582" s="28"/>
      <c r="K582" s="28"/>
      <c r="L582" s="28"/>
      <c r="M582" s="28"/>
      <c r="N582" s="28"/>
      <c r="O582" s="28"/>
      <c r="P582" s="28"/>
      <c r="Q582" s="28"/>
      <c r="R582" s="28"/>
      <c r="S582" s="28"/>
    </row>
    <row r="583" ht="15.75" customHeight="1">
      <c r="A583" s="41" t="s">
        <v>31</v>
      </c>
      <c r="B583" s="42" t="s">
        <v>1355</v>
      </c>
      <c r="C583" s="43" t="s">
        <v>1356</v>
      </c>
      <c r="D583" s="44" t="s">
        <v>448</v>
      </c>
      <c r="E583" s="44" t="s">
        <v>449</v>
      </c>
      <c r="F583" s="45">
        <v>0.21</v>
      </c>
      <c r="G583" s="65" t="s">
        <v>517</v>
      </c>
      <c r="H583" s="28"/>
      <c r="I583" s="28"/>
      <c r="J583" s="28"/>
      <c r="K583" s="28"/>
      <c r="L583" s="28"/>
      <c r="M583" s="28"/>
      <c r="N583" s="28"/>
      <c r="O583" s="28"/>
      <c r="P583" s="28"/>
      <c r="Q583" s="28"/>
      <c r="R583" s="28"/>
      <c r="S583" s="28"/>
    </row>
    <row r="584" ht="15.75" customHeight="1">
      <c r="A584" s="47" t="s">
        <v>31</v>
      </c>
      <c r="B584" s="48" t="s">
        <v>1357</v>
      </c>
      <c r="C584" s="49" t="s">
        <v>1358</v>
      </c>
      <c r="D584" s="37" t="s">
        <v>448</v>
      </c>
      <c r="E584" s="37" t="s">
        <v>449</v>
      </c>
      <c r="F584" s="38">
        <v>0.21</v>
      </c>
      <c r="G584" s="65" t="s">
        <v>517</v>
      </c>
      <c r="H584" s="28"/>
      <c r="I584" s="28"/>
      <c r="J584" s="28"/>
      <c r="K584" s="28"/>
      <c r="L584" s="28"/>
      <c r="M584" s="28"/>
      <c r="N584" s="28"/>
      <c r="O584" s="28"/>
      <c r="P584" s="28"/>
      <c r="Q584" s="28"/>
      <c r="R584" s="28"/>
      <c r="S584" s="28"/>
    </row>
    <row r="585" ht="15.75" customHeight="1">
      <c r="A585" s="41" t="s">
        <v>31</v>
      </c>
      <c r="B585" s="42" t="s">
        <v>1359</v>
      </c>
      <c r="C585" s="43" t="s">
        <v>1360</v>
      </c>
      <c r="D585" s="44" t="s">
        <v>448</v>
      </c>
      <c r="E585" s="44" t="s">
        <v>449</v>
      </c>
      <c r="F585" s="45">
        <v>0.21</v>
      </c>
      <c r="G585" s="65" t="s">
        <v>517</v>
      </c>
      <c r="H585" s="28"/>
      <c r="I585" s="28"/>
      <c r="J585" s="28"/>
      <c r="K585" s="28"/>
      <c r="L585" s="28"/>
      <c r="M585" s="28"/>
      <c r="N585" s="28"/>
      <c r="O585" s="28"/>
      <c r="P585" s="28"/>
      <c r="Q585" s="28"/>
      <c r="R585" s="28"/>
      <c r="S585" s="28"/>
    </row>
    <row r="586" ht="15.75" customHeight="1">
      <c r="A586" s="47" t="s">
        <v>31</v>
      </c>
      <c r="B586" s="48" t="s">
        <v>1361</v>
      </c>
      <c r="C586" s="49" t="s">
        <v>1362</v>
      </c>
      <c r="D586" s="37" t="s">
        <v>448</v>
      </c>
      <c r="E586" s="37" t="s">
        <v>449</v>
      </c>
      <c r="F586" s="38">
        <v>0.21</v>
      </c>
      <c r="G586" s="65" t="s">
        <v>517</v>
      </c>
      <c r="H586" s="28"/>
      <c r="I586" s="28"/>
      <c r="J586" s="28"/>
      <c r="K586" s="28"/>
      <c r="L586" s="28"/>
      <c r="M586" s="28"/>
      <c r="N586" s="28"/>
      <c r="O586" s="28"/>
      <c r="P586" s="28"/>
      <c r="Q586" s="28"/>
      <c r="R586" s="28"/>
      <c r="S586" s="28"/>
    </row>
    <row r="587" ht="15.75" customHeight="1">
      <c r="A587" s="41" t="s">
        <v>31</v>
      </c>
      <c r="B587" s="42" t="s">
        <v>1363</v>
      </c>
      <c r="C587" s="43" t="s">
        <v>1364</v>
      </c>
      <c r="D587" s="44" t="s">
        <v>448</v>
      </c>
      <c r="E587" s="44" t="s">
        <v>449</v>
      </c>
      <c r="F587" s="45">
        <v>0.21</v>
      </c>
      <c r="G587" s="65" t="s">
        <v>517</v>
      </c>
      <c r="H587" s="28"/>
      <c r="I587" s="28"/>
      <c r="J587" s="28"/>
      <c r="K587" s="28"/>
      <c r="L587" s="28"/>
      <c r="M587" s="28"/>
      <c r="N587" s="28"/>
      <c r="O587" s="28"/>
      <c r="P587" s="28"/>
      <c r="Q587" s="28"/>
      <c r="R587" s="28"/>
      <c r="S587" s="28"/>
    </row>
    <row r="588" ht="15.75" customHeight="1">
      <c r="A588" s="47" t="s">
        <v>31</v>
      </c>
      <c r="B588" s="48" t="s">
        <v>1365</v>
      </c>
      <c r="C588" s="49" t="s">
        <v>1366</v>
      </c>
      <c r="D588" s="37" t="s">
        <v>448</v>
      </c>
      <c r="E588" s="37" t="s">
        <v>449</v>
      </c>
      <c r="F588" s="38">
        <v>0.21</v>
      </c>
      <c r="G588" s="65" t="s">
        <v>517</v>
      </c>
      <c r="H588" s="28"/>
      <c r="I588" s="28"/>
      <c r="J588" s="28"/>
      <c r="K588" s="28"/>
      <c r="L588" s="28"/>
      <c r="M588" s="28"/>
      <c r="N588" s="28"/>
      <c r="O588" s="28"/>
      <c r="P588" s="28"/>
      <c r="Q588" s="28"/>
      <c r="R588" s="28"/>
      <c r="S588" s="28"/>
    </row>
    <row r="589" ht="15.75" customHeight="1">
      <c r="A589" s="41" t="s">
        <v>31</v>
      </c>
      <c r="B589" s="42" t="s">
        <v>1367</v>
      </c>
      <c r="C589" s="43" t="s">
        <v>1368</v>
      </c>
      <c r="D589" s="44" t="s">
        <v>448</v>
      </c>
      <c r="E589" s="44" t="s">
        <v>449</v>
      </c>
      <c r="F589" s="45">
        <v>0.21</v>
      </c>
      <c r="G589" s="65" t="s">
        <v>517</v>
      </c>
      <c r="H589" s="28"/>
      <c r="I589" s="28"/>
      <c r="J589" s="28"/>
      <c r="K589" s="28"/>
      <c r="L589" s="28"/>
      <c r="M589" s="28"/>
      <c r="N589" s="28"/>
      <c r="O589" s="28"/>
      <c r="P589" s="28"/>
      <c r="Q589" s="28"/>
      <c r="R589" s="28"/>
      <c r="S589" s="28"/>
    </row>
    <row r="590" ht="15.75" customHeight="1">
      <c r="A590" s="47" t="s">
        <v>31</v>
      </c>
      <c r="B590" s="56" t="s">
        <v>1369</v>
      </c>
      <c r="C590" s="49" t="s">
        <v>1370</v>
      </c>
      <c r="D590" s="37" t="s">
        <v>448</v>
      </c>
      <c r="E590" s="37" t="s">
        <v>449</v>
      </c>
      <c r="F590" s="38">
        <v>0.21</v>
      </c>
      <c r="G590" s="65" t="s">
        <v>517</v>
      </c>
      <c r="H590" s="28"/>
      <c r="I590" s="28"/>
      <c r="J590" s="28"/>
      <c r="K590" s="28"/>
      <c r="L590" s="28"/>
      <c r="M590" s="28"/>
      <c r="N590" s="28"/>
      <c r="O590" s="28"/>
      <c r="P590" s="28"/>
      <c r="Q590" s="28"/>
      <c r="R590" s="28"/>
      <c r="S590" s="28"/>
    </row>
    <row r="591" ht="15.75" customHeight="1">
      <c r="A591" s="41" t="s">
        <v>31</v>
      </c>
      <c r="B591" s="42" t="s">
        <v>1371</v>
      </c>
      <c r="C591" s="43" t="s">
        <v>1372</v>
      </c>
      <c r="D591" s="44" t="s">
        <v>132</v>
      </c>
      <c r="E591" s="44" t="s">
        <v>133</v>
      </c>
      <c r="F591" s="45">
        <v>0.21</v>
      </c>
      <c r="G591" s="65" t="s">
        <v>517</v>
      </c>
      <c r="H591" s="28"/>
      <c r="I591" s="28"/>
      <c r="J591" s="28"/>
      <c r="K591" s="28"/>
      <c r="L591" s="28"/>
      <c r="M591" s="28"/>
      <c r="N591" s="28"/>
      <c r="O591" s="28"/>
      <c r="P591" s="28"/>
      <c r="Q591" s="28"/>
      <c r="R591" s="28"/>
      <c r="S591" s="28"/>
    </row>
    <row r="592" ht="15.75" customHeight="1">
      <c r="A592" s="47" t="s">
        <v>31</v>
      </c>
      <c r="B592" s="48" t="s">
        <v>1373</v>
      </c>
      <c r="C592" s="49" t="s">
        <v>1374</v>
      </c>
      <c r="D592" s="37" t="s">
        <v>132</v>
      </c>
      <c r="E592" s="37" t="s">
        <v>133</v>
      </c>
      <c r="F592" s="38">
        <v>0.21</v>
      </c>
      <c r="G592" s="65" t="s">
        <v>517</v>
      </c>
      <c r="H592" s="28"/>
      <c r="I592" s="28"/>
      <c r="J592" s="28"/>
      <c r="K592" s="28"/>
      <c r="L592" s="28"/>
      <c r="M592" s="28"/>
      <c r="N592" s="28"/>
      <c r="O592" s="28"/>
      <c r="P592" s="28"/>
      <c r="Q592" s="28"/>
      <c r="R592" s="28"/>
      <c r="S592" s="28"/>
    </row>
    <row r="593" ht="15.75" customHeight="1">
      <c r="A593" s="41" t="s">
        <v>31</v>
      </c>
      <c r="B593" s="42" t="s">
        <v>1375</v>
      </c>
      <c r="C593" s="72" t="s">
        <v>1376</v>
      </c>
      <c r="D593" s="44" t="s">
        <v>132</v>
      </c>
      <c r="E593" s="44" t="s">
        <v>133</v>
      </c>
      <c r="F593" s="45">
        <v>0.21</v>
      </c>
      <c r="G593" s="65" t="s">
        <v>517</v>
      </c>
      <c r="H593" s="28"/>
      <c r="I593" s="28"/>
      <c r="J593" s="28"/>
      <c r="K593" s="28"/>
      <c r="L593" s="28"/>
      <c r="M593" s="28"/>
      <c r="N593" s="28"/>
      <c r="O593" s="28"/>
      <c r="P593" s="28"/>
      <c r="Q593" s="28"/>
      <c r="R593" s="28"/>
      <c r="S593" s="28"/>
    </row>
    <row r="594" ht="15.75" customHeight="1">
      <c r="A594" s="47" t="s">
        <v>31</v>
      </c>
      <c r="B594" s="48" t="s">
        <v>1377</v>
      </c>
      <c r="C594" s="73" t="s">
        <v>1378</v>
      </c>
      <c r="D594" s="37" t="s">
        <v>132</v>
      </c>
      <c r="E594" s="37" t="s">
        <v>133</v>
      </c>
      <c r="F594" s="38">
        <v>0.21</v>
      </c>
      <c r="G594" s="65" t="s">
        <v>517</v>
      </c>
      <c r="H594" s="28"/>
      <c r="I594" s="28"/>
      <c r="J594" s="28"/>
      <c r="K594" s="28"/>
      <c r="L594" s="28"/>
      <c r="M594" s="28"/>
      <c r="N594" s="28"/>
      <c r="O594" s="28"/>
      <c r="P594" s="28"/>
      <c r="Q594" s="28"/>
      <c r="R594" s="28"/>
      <c r="S594" s="28"/>
    </row>
    <row r="595" ht="15.75" customHeight="1">
      <c r="A595" s="41" t="s">
        <v>31</v>
      </c>
      <c r="B595" s="42" t="s">
        <v>1379</v>
      </c>
      <c r="C595" s="72" t="s">
        <v>1380</v>
      </c>
      <c r="D595" s="44" t="s">
        <v>554</v>
      </c>
      <c r="E595" s="44" t="s">
        <v>555</v>
      </c>
      <c r="F595" s="45">
        <v>0.21</v>
      </c>
      <c r="G595" s="65" t="s">
        <v>517</v>
      </c>
      <c r="H595" s="28"/>
      <c r="I595" s="28"/>
      <c r="J595" s="28"/>
      <c r="K595" s="28"/>
      <c r="L595" s="28"/>
      <c r="M595" s="28"/>
      <c r="N595" s="28"/>
      <c r="O595" s="28"/>
      <c r="P595" s="28"/>
      <c r="Q595" s="28"/>
      <c r="R595" s="28"/>
      <c r="S595" s="28"/>
    </row>
    <row r="596" ht="15.75" customHeight="1">
      <c r="A596" s="47" t="s">
        <v>31</v>
      </c>
      <c r="B596" s="48" t="s">
        <v>1381</v>
      </c>
      <c r="C596" s="73" t="s">
        <v>1382</v>
      </c>
      <c r="D596" s="37" t="s">
        <v>42</v>
      </c>
      <c r="E596" s="37" t="s">
        <v>43</v>
      </c>
      <c r="F596" s="38">
        <v>0.21</v>
      </c>
      <c r="G596" s="65" t="s">
        <v>517</v>
      </c>
      <c r="H596" s="28"/>
      <c r="I596" s="28"/>
      <c r="J596" s="28"/>
      <c r="K596" s="28"/>
      <c r="L596" s="28"/>
      <c r="M596" s="28"/>
      <c r="N596" s="28"/>
      <c r="O596" s="28"/>
      <c r="P596" s="28"/>
      <c r="Q596" s="28"/>
      <c r="R596" s="28"/>
      <c r="S596" s="28"/>
    </row>
    <row r="597" ht="15.75" customHeight="1">
      <c r="A597" s="41" t="s">
        <v>31</v>
      </c>
      <c r="B597" s="42" t="s">
        <v>1383</v>
      </c>
      <c r="C597" s="72" t="s">
        <v>1384</v>
      </c>
      <c r="D597" s="44" t="s">
        <v>532</v>
      </c>
      <c r="E597" s="44" t="s">
        <v>533</v>
      </c>
      <c r="F597" s="45">
        <v>0.21</v>
      </c>
      <c r="G597" s="65" t="s">
        <v>517</v>
      </c>
      <c r="H597" s="28"/>
      <c r="I597" s="28"/>
      <c r="J597" s="28"/>
      <c r="K597" s="28"/>
      <c r="L597" s="28"/>
      <c r="M597" s="28"/>
      <c r="N597" s="28"/>
      <c r="O597" s="28"/>
      <c r="P597" s="28"/>
      <c r="Q597" s="28"/>
      <c r="R597" s="28"/>
      <c r="S597" s="28"/>
    </row>
    <row r="598" ht="15.75" customHeight="1">
      <c r="A598" s="47" t="s">
        <v>31</v>
      </c>
      <c r="B598" s="60" t="s">
        <v>1385</v>
      </c>
      <c r="C598" s="73" t="s">
        <v>1386</v>
      </c>
      <c r="D598" s="37" t="s">
        <v>897</v>
      </c>
      <c r="E598" s="37" t="s">
        <v>898</v>
      </c>
      <c r="F598" s="38">
        <v>0.21</v>
      </c>
      <c r="G598" s="65" t="s">
        <v>517</v>
      </c>
      <c r="H598" s="28"/>
      <c r="I598" s="28"/>
      <c r="J598" s="28"/>
      <c r="K598" s="28"/>
      <c r="L598" s="28"/>
      <c r="M598" s="28"/>
      <c r="N598" s="28"/>
      <c r="O598" s="28"/>
      <c r="P598" s="28"/>
      <c r="Q598" s="28"/>
      <c r="R598" s="28"/>
      <c r="S598" s="28"/>
    </row>
    <row r="599" ht="15.75" customHeight="1">
      <c r="A599" s="41" t="s">
        <v>31</v>
      </c>
      <c r="B599" s="42" t="s">
        <v>1387</v>
      </c>
      <c r="C599" s="72" t="s">
        <v>1388</v>
      </c>
      <c r="D599" s="44" t="s">
        <v>886</v>
      </c>
      <c r="E599" s="44" t="s">
        <v>887</v>
      </c>
      <c r="F599" s="45">
        <v>0.21</v>
      </c>
      <c r="G599" s="65" t="s">
        <v>517</v>
      </c>
      <c r="H599" s="28"/>
      <c r="I599" s="28"/>
      <c r="J599" s="28"/>
      <c r="K599" s="28"/>
      <c r="L599" s="28"/>
      <c r="M599" s="28"/>
      <c r="N599" s="28"/>
      <c r="O599" s="28"/>
      <c r="P599" s="28"/>
      <c r="Q599" s="28"/>
      <c r="R599" s="28"/>
      <c r="S599" s="28"/>
    </row>
    <row r="600" ht="15.75" customHeight="1">
      <c r="A600" s="47" t="s">
        <v>31</v>
      </c>
      <c r="B600" s="48" t="s">
        <v>1389</v>
      </c>
      <c r="C600" s="73" t="s">
        <v>1390</v>
      </c>
      <c r="D600" s="37" t="s">
        <v>897</v>
      </c>
      <c r="E600" s="37" t="s">
        <v>898</v>
      </c>
      <c r="F600" s="38">
        <v>0.21</v>
      </c>
      <c r="G600" s="65" t="s">
        <v>517</v>
      </c>
      <c r="H600" s="28"/>
      <c r="I600" s="28"/>
      <c r="J600" s="28"/>
      <c r="K600" s="28"/>
      <c r="L600" s="28"/>
      <c r="M600" s="28"/>
      <c r="N600" s="28"/>
      <c r="O600" s="28"/>
      <c r="P600" s="28"/>
      <c r="Q600" s="28"/>
      <c r="R600" s="28"/>
      <c r="S600" s="28"/>
    </row>
    <row r="601" ht="15.75" customHeight="1">
      <c r="A601" s="41" t="s">
        <v>31</v>
      </c>
      <c r="B601" s="42" t="s">
        <v>1391</v>
      </c>
      <c r="C601" s="72" t="s">
        <v>1392</v>
      </c>
      <c r="D601" s="44" t="s">
        <v>886</v>
      </c>
      <c r="E601" s="44" t="s">
        <v>887</v>
      </c>
      <c r="F601" s="45">
        <v>0.21</v>
      </c>
      <c r="G601" s="65" t="s">
        <v>517</v>
      </c>
      <c r="H601" s="28"/>
      <c r="I601" s="28"/>
      <c r="J601" s="28"/>
      <c r="K601" s="28"/>
      <c r="L601" s="28"/>
      <c r="M601" s="28"/>
      <c r="N601" s="28"/>
      <c r="O601" s="28"/>
      <c r="P601" s="28"/>
      <c r="Q601" s="28"/>
      <c r="R601" s="28"/>
      <c r="S601" s="28"/>
    </row>
    <row r="602" ht="15.75" customHeight="1">
      <c r="A602" s="47" t="s">
        <v>31</v>
      </c>
      <c r="B602" s="48" t="s">
        <v>1393</v>
      </c>
      <c r="C602" s="73" t="s">
        <v>1394</v>
      </c>
      <c r="D602" s="37" t="s">
        <v>897</v>
      </c>
      <c r="E602" s="37" t="s">
        <v>898</v>
      </c>
      <c r="F602" s="38">
        <v>0.21</v>
      </c>
      <c r="G602" s="65" t="s">
        <v>517</v>
      </c>
      <c r="H602" s="28"/>
      <c r="I602" s="28"/>
      <c r="J602" s="28"/>
      <c r="K602" s="28"/>
      <c r="L602" s="28"/>
      <c r="M602" s="28"/>
      <c r="N602" s="28"/>
      <c r="O602" s="28"/>
      <c r="P602" s="28"/>
      <c r="Q602" s="28"/>
      <c r="R602" s="28"/>
      <c r="S602" s="28"/>
    </row>
    <row r="603" ht="15.75" customHeight="1">
      <c r="A603" s="41" t="s">
        <v>31</v>
      </c>
      <c r="B603" s="42" t="s">
        <v>1395</v>
      </c>
      <c r="C603" s="72" t="s">
        <v>1396</v>
      </c>
      <c r="D603" s="44" t="s">
        <v>886</v>
      </c>
      <c r="E603" s="44" t="s">
        <v>887</v>
      </c>
      <c r="F603" s="45">
        <v>0.21</v>
      </c>
      <c r="G603" s="65" t="s">
        <v>517</v>
      </c>
      <c r="H603" s="28"/>
      <c r="I603" s="28"/>
      <c r="J603" s="28"/>
      <c r="K603" s="28"/>
      <c r="L603" s="28"/>
      <c r="M603" s="28"/>
      <c r="N603" s="28"/>
      <c r="O603" s="28"/>
      <c r="P603" s="28"/>
      <c r="Q603" s="28"/>
      <c r="R603" s="28"/>
      <c r="S603" s="28"/>
    </row>
    <row r="604" ht="15.75" customHeight="1">
      <c r="A604" s="47" t="s">
        <v>31</v>
      </c>
      <c r="B604" s="48" t="s">
        <v>1397</v>
      </c>
      <c r="C604" s="73" t="s">
        <v>1398</v>
      </c>
      <c r="D604" s="37" t="s">
        <v>954</v>
      </c>
      <c r="E604" s="37" t="s">
        <v>955</v>
      </c>
      <c r="F604" s="38">
        <v>0.21</v>
      </c>
      <c r="G604" s="65" t="s">
        <v>517</v>
      </c>
      <c r="H604" s="28"/>
      <c r="I604" s="28"/>
      <c r="J604" s="28"/>
      <c r="K604" s="28"/>
      <c r="L604" s="28"/>
      <c r="M604" s="28"/>
      <c r="N604" s="28"/>
      <c r="O604" s="28"/>
      <c r="P604" s="28"/>
      <c r="Q604" s="28"/>
      <c r="R604" s="28"/>
      <c r="S604" s="28"/>
    </row>
    <row r="605" ht="15.75" customHeight="1">
      <c r="A605" s="41" t="s">
        <v>31</v>
      </c>
      <c r="B605" s="42" t="s">
        <v>1399</v>
      </c>
      <c r="C605" s="72" t="s">
        <v>1400</v>
      </c>
      <c r="D605" s="44" t="s">
        <v>954</v>
      </c>
      <c r="E605" s="44" t="s">
        <v>955</v>
      </c>
      <c r="F605" s="45">
        <v>0.21</v>
      </c>
      <c r="G605" s="65" t="s">
        <v>517</v>
      </c>
      <c r="H605" s="28"/>
      <c r="I605" s="28"/>
      <c r="J605" s="28"/>
      <c r="K605" s="28"/>
      <c r="L605" s="28"/>
      <c r="M605" s="28"/>
      <c r="N605" s="28"/>
      <c r="O605" s="28"/>
      <c r="P605" s="28"/>
      <c r="Q605" s="28"/>
      <c r="R605" s="28"/>
      <c r="S605" s="28"/>
    </row>
    <row r="606" ht="15.75" customHeight="1">
      <c r="A606" s="47" t="s">
        <v>31</v>
      </c>
      <c r="B606" s="48" t="s">
        <v>1401</v>
      </c>
      <c r="C606" s="73" t="s">
        <v>1402</v>
      </c>
      <c r="D606" s="37" t="s">
        <v>954</v>
      </c>
      <c r="E606" s="37" t="s">
        <v>955</v>
      </c>
      <c r="F606" s="38">
        <v>0.21</v>
      </c>
      <c r="G606" s="65" t="s">
        <v>517</v>
      </c>
      <c r="H606" s="28"/>
      <c r="I606" s="28"/>
      <c r="J606" s="28"/>
      <c r="K606" s="28"/>
      <c r="L606" s="28"/>
      <c r="M606" s="28"/>
      <c r="N606" s="28"/>
      <c r="O606" s="28"/>
      <c r="P606" s="28"/>
      <c r="Q606" s="28"/>
      <c r="R606" s="28"/>
      <c r="S606" s="28"/>
    </row>
    <row r="607" ht="15.75" customHeight="1">
      <c r="A607" s="29" t="s">
        <v>1403</v>
      </c>
      <c r="C607" s="74"/>
      <c r="D607" s="55"/>
      <c r="E607" s="32"/>
      <c r="F607" s="30"/>
      <c r="G607" s="30"/>
      <c r="H607" s="28"/>
      <c r="I607" s="28"/>
      <c r="J607" s="28"/>
      <c r="K607" s="28"/>
      <c r="L607" s="28"/>
      <c r="M607" s="28"/>
      <c r="N607" s="28"/>
      <c r="O607" s="28"/>
      <c r="P607" s="28"/>
      <c r="Q607" s="28"/>
      <c r="R607" s="28"/>
      <c r="S607" s="28"/>
    </row>
    <row r="608" ht="15.75" customHeight="1">
      <c r="A608" s="41" t="s">
        <v>1404</v>
      </c>
      <c r="B608" s="42" t="s">
        <v>1405</v>
      </c>
      <c r="C608" s="72" t="s">
        <v>1406</v>
      </c>
      <c r="D608" s="44" t="s">
        <v>223</v>
      </c>
      <c r="E608" s="44" t="s">
        <v>224</v>
      </c>
      <c r="F608" s="45">
        <v>0.21</v>
      </c>
      <c r="G608" s="65" t="s">
        <v>517</v>
      </c>
      <c r="H608" s="28"/>
      <c r="I608" s="28"/>
      <c r="J608" s="28"/>
      <c r="K608" s="28"/>
      <c r="L608" s="28"/>
      <c r="M608" s="28"/>
      <c r="N608" s="28"/>
      <c r="O608" s="28"/>
      <c r="P608" s="28"/>
      <c r="Q608" s="28"/>
      <c r="R608" s="28"/>
      <c r="S608" s="28"/>
    </row>
    <row r="609" ht="15.75" customHeight="1">
      <c r="A609" s="47" t="s">
        <v>1404</v>
      </c>
      <c r="B609" s="48" t="s">
        <v>1407</v>
      </c>
      <c r="C609" s="73" t="s">
        <v>1408</v>
      </c>
      <c r="D609" s="37" t="s">
        <v>223</v>
      </c>
      <c r="E609" s="37" t="s">
        <v>224</v>
      </c>
      <c r="F609" s="38">
        <v>0.21</v>
      </c>
      <c r="G609" s="65" t="s">
        <v>517</v>
      </c>
      <c r="H609" s="28"/>
      <c r="I609" s="28"/>
      <c r="J609" s="28"/>
      <c r="K609" s="28"/>
      <c r="L609" s="28"/>
      <c r="M609" s="28"/>
      <c r="N609" s="28"/>
      <c r="O609" s="28"/>
      <c r="P609" s="28"/>
      <c r="Q609" s="28"/>
      <c r="R609" s="28"/>
      <c r="S609" s="28"/>
    </row>
    <row r="610" ht="15.75" customHeight="1">
      <c r="A610" s="41" t="s">
        <v>1404</v>
      </c>
      <c r="B610" s="42" t="s">
        <v>1409</v>
      </c>
      <c r="C610" s="72" t="s">
        <v>1410</v>
      </c>
      <c r="D610" s="44" t="s">
        <v>223</v>
      </c>
      <c r="E610" s="44" t="s">
        <v>224</v>
      </c>
      <c r="F610" s="45">
        <v>0.21</v>
      </c>
      <c r="G610" s="65" t="s">
        <v>517</v>
      </c>
      <c r="H610" s="28"/>
      <c r="I610" s="28"/>
      <c r="J610" s="28"/>
      <c r="K610" s="28"/>
      <c r="L610" s="28"/>
      <c r="M610" s="28"/>
      <c r="N610" s="28"/>
      <c r="O610" s="28"/>
      <c r="P610" s="28"/>
      <c r="Q610" s="28"/>
      <c r="R610" s="28"/>
      <c r="S610" s="28"/>
    </row>
    <row r="611" ht="15.75" customHeight="1">
      <c r="A611" s="47" t="s">
        <v>1404</v>
      </c>
      <c r="B611" s="48" t="s">
        <v>1411</v>
      </c>
      <c r="C611" s="73" t="s">
        <v>1412</v>
      </c>
      <c r="D611" s="37" t="s">
        <v>223</v>
      </c>
      <c r="E611" s="37" t="s">
        <v>224</v>
      </c>
      <c r="F611" s="38">
        <v>0.21</v>
      </c>
      <c r="G611" s="65" t="s">
        <v>517</v>
      </c>
      <c r="H611" s="28"/>
      <c r="I611" s="28"/>
      <c r="J611" s="28"/>
      <c r="K611" s="28"/>
      <c r="L611" s="28"/>
      <c r="M611" s="28"/>
      <c r="N611" s="28"/>
      <c r="O611" s="28"/>
      <c r="P611" s="28"/>
      <c r="Q611" s="28"/>
      <c r="R611" s="28"/>
      <c r="S611" s="28"/>
    </row>
    <row r="612" ht="15.75" customHeight="1">
      <c r="A612" s="41" t="s">
        <v>31</v>
      </c>
      <c r="B612" s="42" t="s">
        <v>1413</v>
      </c>
      <c r="C612" s="72" t="s">
        <v>1414</v>
      </c>
      <c r="D612" s="44" t="s">
        <v>429</v>
      </c>
      <c r="E612" s="44" t="s">
        <v>430</v>
      </c>
      <c r="F612" s="45">
        <v>0.21</v>
      </c>
      <c r="G612" s="65" t="s">
        <v>517</v>
      </c>
      <c r="H612" s="28"/>
      <c r="I612" s="28"/>
      <c r="J612" s="28"/>
      <c r="K612" s="28"/>
      <c r="L612" s="28"/>
      <c r="M612" s="28"/>
      <c r="N612" s="28"/>
      <c r="O612" s="28"/>
      <c r="P612" s="28"/>
      <c r="Q612" s="28"/>
      <c r="R612" s="28"/>
      <c r="S612" s="28"/>
    </row>
    <row r="613" ht="15.75" customHeight="1">
      <c r="A613" s="47" t="s">
        <v>31</v>
      </c>
      <c r="B613" s="48" t="s">
        <v>1415</v>
      </c>
      <c r="C613" s="73" t="s">
        <v>328</v>
      </c>
      <c r="D613" s="37" t="s">
        <v>515</v>
      </c>
      <c r="E613" s="37" t="s">
        <v>516</v>
      </c>
      <c r="F613" s="38">
        <v>0.21</v>
      </c>
      <c r="G613" s="65" t="s">
        <v>517</v>
      </c>
      <c r="H613" s="28"/>
      <c r="I613" s="28"/>
      <c r="J613" s="28"/>
      <c r="K613" s="28"/>
      <c r="L613" s="28"/>
      <c r="M613" s="28"/>
      <c r="N613" s="28"/>
      <c r="O613" s="28"/>
      <c r="P613" s="28"/>
      <c r="Q613" s="28"/>
      <c r="R613" s="28"/>
      <c r="S613" s="28"/>
    </row>
    <row r="614" ht="15.75" customHeight="1">
      <c r="A614" s="41" t="s">
        <v>31</v>
      </c>
      <c r="B614" s="42" t="s">
        <v>1416</v>
      </c>
      <c r="C614" s="72" t="s">
        <v>328</v>
      </c>
      <c r="D614" s="44" t="s">
        <v>1417</v>
      </c>
      <c r="E614" s="44" t="s">
        <v>1418</v>
      </c>
      <c r="F614" s="45">
        <v>0.21</v>
      </c>
      <c r="G614" s="65" t="s">
        <v>517</v>
      </c>
      <c r="H614" s="28"/>
      <c r="I614" s="28"/>
      <c r="J614" s="28"/>
      <c r="K614" s="28"/>
      <c r="L614" s="28"/>
      <c r="M614" s="28"/>
      <c r="N614" s="28"/>
      <c r="O614" s="28"/>
      <c r="P614" s="28"/>
      <c r="Q614" s="28"/>
      <c r="R614" s="28"/>
      <c r="S614" s="28"/>
    </row>
    <row r="615" ht="15.75" customHeight="1">
      <c r="A615" s="47" t="s">
        <v>31</v>
      </c>
      <c r="B615" s="48" t="s">
        <v>1419</v>
      </c>
      <c r="C615" s="73" t="s">
        <v>1420</v>
      </c>
      <c r="D615" s="37" t="s">
        <v>429</v>
      </c>
      <c r="E615" s="37" t="s">
        <v>430</v>
      </c>
      <c r="F615" s="38">
        <v>0.21</v>
      </c>
      <c r="G615" s="65" t="s">
        <v>517</v>
      </c>
      <c r="H615" s="28"/>
      <c r="I615" s="28"/>
      <c r="J615" s="28"/>
      <c r="K615" s="28"/>
      <c r="L615" s="28"/>
      <c r="M615" s="28"/>
      <c r="N615" s="28"/>
      <c r="O615" s="28"/>
      <c r="P615" s="28"/>
      <c r="Q615" s="28"/>
      <c r="R615" s="28"/>
      <c r="S615" s="28"/>
    </row>
    <row r="616" ht="15.75" customHeight="1">
      <c r="A616" s="41" t="s">
        <v>31</v>
      </c>
      <c r="B616" s="42" t="s">
        <v>1421</v>
      </c>
      <c r="C616" s="72" t="s">
        <v>328</v>
      </c>
      <c r="D616" s="44" t="s">
        <v>515</v>
      </c>
      <c r="E616" s="44" t="s">
        <v>516</v>
      </c>
      <c r="F616" s="45">
        <v>0.21</v>
      </c>
      <c r="G616" s="65" t="s">
        <v>517</v>
      </c>
      <c r="H616" s="28"/>
      <c r="I616" s="28"/>
      <c r="J616" s="28"/>
      <c r="K616" s="28"/>
      <c r="L616" s="28"/>
      <c r="M616" s="28"/>
      <c r="N616" s="28"/>
      <c r="O616" s="28"/>
      <c r="P616" s="28"/>
      <c r="Q616" s="28"/>
      <c r="R616" s="28"/>
      <c r="S616" s="28"/>
    </row>
    <row r="617" ht="15.75" customHeight="1">
      <c r="A617" s="47" t="s">
        <v>31</v>
      </c>
      <c r="B617" s="48" t="s">
        <v>1422</v>
      </c>
      <c r="C617" s="73" t="s">
        <v>328</v>
      </c>
      <c r="D617" s="37" t="s">
        <v>1417</v>
      </c>
      <c r="E617" s="37" t="s">
        <v>1418</v>
      </c>
      <c r="F617" s="38">
        <v>0.21</v>
      </c>
      <c r="G617" s="65" t="s">
        <v>517</v>
      </c>
      <c r="H617" s="28"/>
      <c r="I617" s="28"/>
      <c r="J617" s="28"/>
      <c r="K617" s="28"/>
      <c r="L617" s="28"/>
      <c r="M617" s="28"/>
      <c r="N617" s="28"/>
      <c r="O617" s="28"/>
      <c r="P617" s="28"/>
      <c r="Q617" s="28"/>
      <c r="R617" s="28"/>
      <c r="S617" s="28"/>
    </row>
    <row r="618" ht="15.75" customHeight="1">
      <c r="A618" s="41" t="s">
        <v>31</v>
      </c>
      <c r="B618" s="42" t="s">
        <v>1423</v>
      </c>
      <c r="C618" s="72" t="s">
        <v>1424</v>
      </c>
      <c r="D618" s="44" t="s">
        <v>429</v>
      </c>
      <c r="E618" s="44" t="s">
        <v>430</v>
      </c>
      <c r="F618" s="45">
        <v>0.21</v>
      </c>
      <c r="G618" s="65" t="s">
        <v>517</v>
      </c>
      <c r="H618" s="28"/>
      <c r="I618" s="28"/>
      <c r="J618" s="28"/>
      <c r="K618" s="28"/>
      <c r="L618" s="28"/>
      <c r="M618" s="28"/>
      <c r="N618" s="28"/>
      <c r="O618" s="28"/>
      <c r="P618" s="28"/>
      <c r="Q618" s="28"/>
      <c r="R618" s="28"/>
      <c r="S618" s="28"/>
    </row>
    <row r="619" ht="15.75" customHeight="1">
      <c r="A619" s="47" t="s">
        <v>31</v>
      </c>
      <c r="B619" s="48" t="s">
        <v>1425</v>
      </c>
      <c r="C619" s="73" t="s">
        <v>328</v>
      </c>
      <c r="D619" s="37" t="s">
        <v>1417</v>
      </c>
      <c r="E619" s="37" t="s">
        <v>1418</v>
      </c>
      <c r="F619" s="38">
        <v>0.21</v>
      </c>
      <c r="G619" s="65" t="s">
        <v>517</v>
      </c>
      <c r="H619" s="28"/>
      <c r="I619" s="28"/>
      <c r="J619" s="28"/>
      <c r="K619" s="28"/>
      <c r="L619" s="28"/>
      <c r="M619" s="28"/>
      <c r="N619" s="28"/>
      <c r="O619" s="28"/>
      <c r="P619" s="28"/>
      <c r="Q619" s="28"/>
      <c r="R619" s="28"/>
      <c r="S619" s="28"/>
    </row>
    <row r="620" ht="15.75" customHeight="1">
      <c r="A620" s="41" t="s">
        <v>31</v>
      </c>
      <c r="B620" s="42" t="s">
        <v>1426</v>
      </c>
      <c r="C620" s="72" t="s">
        <v>328</v>
      </c>
      <c r="D620" s="44" t="s">
        <v>515</v>
      </c>
      <c r="E620" s="44" t="s">
        <v>516</v>
      </c>
      <c r="F620" s="45">
        <v>0.21</v>
      </c>
      <c r="G620" s="65" t="s">
        <v>517</v>
      </c>
      <c r="H620" s="28"/>
      <c r="I620" s="28"/>
      <c r="J620" s="28"/>
      <c r="K620" s="28"/>
      <c r="L620" s="28"/>
      <c r="M620" s="28"/>
      <c r="N620" s="28"/>
      <c r="O620" s="28"/>
      <c r="P620" s="28"/>
      <c r="Q620" s="28"/>
      <c r="R620" s="28"/>
      <c r="S620" s="28"/>
    </row>
    <row r="621" ht="15.75" customHeight="1">
      <c r="A621" s="47" t="s">
        <v>31</v>
      </c>
      <c r="B621" s="48" t="s">
        <v>1427</v>
      </c>
      <c r="C621" s="73" t="s">
        <v>1428</v>
      </c>
      <c r="D621" s="37" t="s">
        <v>429</v>
      </c>
      <c r="E621" s="37" t="s">
        <v>430</v>
      </c>
      <c r="F621" s="38">
        <v>0.21</v>
      </c>
      <c r="G621" s="65" t="s">
        <v>517</v>
      </c>
      <c r="H621" s="28"/>
      <c r="I621" s="28"/>
      <c r="J621" s="28"/>
      <c r="K621" s="28"/>
      <c r="L621" s="28"/>
      <c r="M621" s="28"/>
      <c r="N621" s="28"/>
      <c r="O621" s="28"/>
      <c r="P621" s="28"/>
      <c r="Q621" s="28"/>
      <c r="R621" s="28"/>
      <c r="S621" s="28"/>
    </row>
    <row r="622" ht="15.75" customHeight="1">
      <c r="A622" s="41" t="s">
        <v>31</v>
      </c>
      <c r="B622" s="42" t="s">
        <v>1429</v>
      </c>
      <c r="C622" s="72" t="s">
        <v>328</v>
      </c>
      <c r="D622" s="44" t="s">
        <v>1417</v>
      </c>
      <c r="E622" s="44" t="s">
        <v>1418</v>
      </c>
      <c r="F622" s="45">
        <v>0.21</v>
      </c>
      <c r="G622" s="65" t="s">
        <v>517</v>
      </c>
      <c r="H622" s="28"/>
      <c r="I622" s="28"/>
      <c r="J622" s="28"/>
      <c r="K622" s="28"/>
      <c r="L622" s="28"/>
      <c r="M622" s="28"/>
      <c r="N622" s="28"/>
      <c r="O622" s="28"/>
      <c r="P622" s="28"/>
      <c r="Q622" s="28"/>
      <c r="R622" s="28"/>
      <c r="S622" s="28"/>
    </row>
    <row r="623" ht="15.75" customHeight="1">
      <c r="A623" s="47" t="s">
        <v>31</v>
      </c>
      <c r="B623" s="48" t="s">
        <v>1430</v>
      </c>
      <c r="C623" s="73" t="s">
        <v>328</v>
      </c>
      <c r="D623" s="37" t="s">
        <v>515</v>
      </c>
      <c r="E623" s="37" t="s">
        <v>516</v>
      </c>
      <c r="F623" s="38">
        <v>0.21</v>
      </c>
      <c r="G623" s="65" t="s">
        <v>517</v>
      </c>
      <c r="H623" s="28"/>
      <c r="I623" s="28"/>
      <c r="J623" s="28"/>
      <c r="K623" s="28"/>
      <c r="L623" s="28"/>
      <c r="M623" s="28"/>
      <c r="N623" s="28"/>
      <c r="O623" s="28"/>
      <c r="P623" s="28"/>
      <c r="Q623" s="28"/>
      <c r="R623" s="28"/>
      <c r="S623" s="28"/>
    </row>
    <row r="624" ht="15.75" customHeight="1">
      <c r="A624" s="41" t="s">
        <v>31</v>
      </c>
      <c r="B624" s="57" t="s">
        <v>1431</v>
      </c>
      <c r="C624" s="72" t="s">
        <v>1432</v>
      </c>
      <c r="D624" s="44" t="s">
        <v>46</v>
      </c>
      <c r="E624" s="44" t="s">
        <v>47</v>
      </c>
      <c r="F624" s="45">
        <v>0.21</v>
      </c>
      <c r="G624" s="39" t="str">
        <f>IFERROR(VLOOKUP("MMD 835-1 BK",STOCK!B14:Q3704,3,FALSE),"SIN STOCK")</f>
        <v>Mayor a 5</v>
      </c>
      <c r="H624" s="28"/>
      <c r="I624" s="28"/>
      <c r="J624" s="28"/>
      <c r="K624" s="28"/>
      <c r="L624" s="28"/>
      <c r="M624" s="28"/>
      <c r="N624" s="28"/>
      <c r="O624" s="28"/>
      <c r="P624" s="28"/>
      <c r="Q624" s="28"/>
      <c r="R624" s="28"/>
      <c r="S624" s="28"/>
    </row>
    <row r="625" ht="15.75" customHeight="1">
      <c r="A625" s="47" t="s">
        <v>31</v>
      </c>
      <c r="B625" s="48" t="s">
        <v>1433</v>
      </c>
      <c r="C625" s="73" t="s">
        <v>1434</v>
      </c>
      <c r="D625" s="37" t="s">
        <v>46</v>
      </c>
      <c r="E625" s="37" t="s">
        <v>47</v>
      </c>
      <c r="F625" s="38">
        <v>0.21</v>
      </c>
      <c r="G625" s="39" t="str">
        <f>IFERROR(VLOOKUP("MMD 845-1 BK",STOCK!B15:Q3705,3,FALSE),"SIN STOCK")</f>
        <v>SIN STOCK</v>
      </c>
      <c r="H625" s="28"/>
      <c r="I625" s="28"/>
      <c r="J625" s="28"/>
      <c r="K625" s="28"/>
      <c r="L625" s="28"/>
      <c r="M625" s="28"/>
      <c r="N625" s="28"/>
      <c r="O625" s="28"/>
      <c r="P625" s="28"/>
      <c r="Q625" s="28"/>
      <c r="R625" s="28"/>
      <c r="S625" s="28"/>
    </row>
    <row r="626" ht="15.75" customHeight="1">
      <c r="A626" s="41" t="s">
        <v>31</v>
      </c>
      <c r="B626" s="57" t="s">
        <v>1435</v>
      </c>
      <c r="C626" s="72" t="s">
        <v>1432</v>
      </c>
      <c r="D626" s="44" t="s">
        <v>50</v>
      </c>
      <c r="E626" s="44" t="s">
        <v>51</v>
      </c>
      <c r="F626" s="45">
        <v>0.21</v>
      </c>
      <c r="G626" s="39" t="str">
        <f>IFERROR(VLOOKUP("MMD 935-1 BK",STOCK!B16:Q3706,3,FALSE),"SIN STOCK")</f>
        <v>Mayor a 5</v>
      </c>
      <c r="H626" s="28"/>
      <c r="I626" s="28"/>
      <c r="J626" s="28"/>
      <c r="K626" s="28"/>
      <c r="L626" s="28"/>
      <c r="M626" s="28"/>
      <c r="N626" s="28"/>
      <c r="O626" s="28"/>
      <c r="P626" s="28"/>
      <c r="Q626" s="28"/>
      <c r="R626" s="28"/>
      <c r="S626" s="28"/>
    </row>
    <row r="627" ht="15.75" customHeight="1">
      <c r="A627" s="47" t="s">
        <v>31</v>
      </c>
      <c r="B627" s="48" t="s">
        <v>1436</v>
      </c>
      <c r="C627" s="73" t="s">
        <v>1434</v>
      </c>
      <c r="D627" s="37" t="s">
        <v>50</v>
      </c>
      <c r="E627" s="37" t="s">
        <v>51</v>
      </c>
      <c r="F627" s="38">
        <v>0.21</v>
      </c>
      <c r="G627" s="50" t="str">
        <f>IFERROR(VLOOKUP("MMD945",STOCK!B17:Q3707,3,FALSE),"SIN STOCK")</f>
        <v>SIN STOCK</v>
      </c>
      <c r="H627" s="28"/>
      <c r="I627" s="28"/>
      <c r="J627" s="28"/>
      <c r="K627" s="28"/>
      <c r="L627" s="28"/>
      <c r="M627" s="28"/>
      <c r="N627" s="28"/>
      <c r="O627" s="28"/>
      <c r="P627" s="28"/>
      <c r="Q627" s="28"/>
      <c r="R627" s="28"/>
      <c r="S627" s="28"/>
    </row>
    <row r="628" ht="15.75" customHeight="1">
      <c r="A628" s="41" t="s">
        <v>31</v>
      </c>
      <c r="B628" s="42" t="s">
        <v>1437</v>
      </c>
      <c r="C628" s="72" t="s">
        <v>1438</v>
      </c>
      <c r="D628" s="44" t="s">
        <v>118</v>
      </c>
      <c r="E628" s="44" t="s">
        <v>119</v>
      </c>
      <c r="F628" s="45">
        <v>0.21</v>
      </c>
      <c r="G628" s="50" t="str">
        <f>IFERROR(VLOOKUP("MME865",STOCK!B18:Q3708,3,FALSE),"SIN STOCK")</f>
        <v>SIN STOCK</v>
      </c>
      <c r="H628" s="28"/>
      <c r="I628" s="28"/>
      <c r="J628" s="28"/>
      <c r="K628" s="28"/>
      <c r="L628" s="28"/>
      <c r="M628" s="28"/>
      <c r="N628" s="28"/>
      <c r="O628" s="28"/>
      <c r="P628" s="28"/>
      <c r="Q628" s="28"/>
      <c r="R628" s="28"/>
      <c r="S628" s="28"/>
    </row>
    <row r="629" ht="15.75" customHeight="1">
      <c r="A629" s="47" t="s">
        <v>31</v>
      </c>
      <c r="B629" s="48" t="s">
        <v>1439</v>
      </c>
      <c r="C629" s="73" t="s">
        <v>1440</v>
      </c>
      <c r="D629" s="37" t="s">
        <v>411</v>
      </c>
      <c r="E629" s="37" t="s">
        <v>412</v>
      </c>
      <c r="F629" s="38">
        <v>0.21</v>
      </c>
      <c r="G629" s="50" t="str">
        <f>IFERROR(VLOOKUP("MMK965",STOCK!B19:Q3709,3,FALSE),"SIN STOCK")</f>
        <v>SIN STOCK</v>
      </c>
      <c r="H629" s="28"/>
      <c r="I629" s="28"/>
      <c r="J629" s="28"/>
      <c r="K629" s="28"/>
      <c r="L629" s="28"/>
      <c r="M629" s="28"/>
      <c r="N629" s="28"/>
      <c r="O629" s="28"/>
      <c r="P629" s="28"/>
      <c r="Q629" s="28"/>
      <c r="R629" s="28"/>
      <c r="S629" s="28"/>
    </row>
    <row r="630" ht="15.75" customHeight="1">
      <c r="A630" s="41" t="s">
        <v>31</v>
      </c>
      <c r="B630" s="42" t="s">
        <v>1441</v>
      </c>
      <c r="C630" s="72" t="s">
        <v>1442</v>
      </c>
      <c r="D630" s="44" t="s">
        <v>411</v>
      </c>
      <c r="E630" s="44" t="s">
        <v>412</v>
      </c>
      <c r="F630" s="45">
        <v>0.21</v>
      </c>
      <c r="G630" s="50" t="str">
        <f>IFERROR(VLOOKUP("MMK 965-1 NI",STOCK!B20:Q3710,3,FALSE),"SIN STOCK")</f>
        <v>SIN STOCK</v>
      </c>
      <c r="H630" s="28"/>
      <c r="I630" s="28"/>
      <c r="J630" s="28"/>
      <c r="K630" s="28"/>
      <c r="L630" s="28"/>
      <c r="M630" s="28"/>
      <c r="N630" s="28"/>
      <c r="O630" s="28"/>
      <c r="P630" s="28"/>
      <c r="Q630" s="28"/>
      <c r="R630" s="28"/>
      <c r="S630" s="28"/>
    </row>
    <row r="631" ht="15.75" customHeight="1">
      <c r="A631" s="29" t="s">
        <v>1443</v>
      </c>
      <c r="C631" s="74"/>
      <c r="D631" s="55"/>
      <c r="E631" s="32"/>
      <c r="F631" s="30"/>
      <c r="G631" s="30"/>
      <c r="H631" s="28"/>
      <c r="I631" s="28"/>
      <c r="J631" s="28"/>
      <c r="K631" s="28"/>
      <c r="L631" s="28"/>
      <c r="M631" s="28"/>
      <c r="N631" s="28"/>
      <c r="O631" s="28"/>
      <c r="P631" s="28"/>
      <c r="Q631" s="28"/>
      <c r="R631" s="28"/>
      <c r="S631" s="28"/>
    </row>
    <row r="632" ht="15.75" customHeight="1">
      <c r="A632" s="41" t="s">
        <v>31</v>
      </c>
      <c r="B632" s="42" t="s">
        <v>1444</v>
      </c>
      <c r="C632" s="72" t="s">
        <v>1445</v>
      </c>
      <c r="D632" s="44" t="s">
        <v>273</v>
      </c>
      <c r="E632" s="44" t="s">
        <v>274</v>
      </c>
      <c r="F632" s="45">
        <v>0.21</v>
      </c>
      <c r="G632" s="50" t="str">
        <f>IFERROR(VLOOKUP("MMK 965-1 NI",STOCK!B20:Q3710,3,FALSE),"SIN STOCK")</f>
        <v>SIN STOCK</v>
      </c>
      <c r="H632" s="28"/>
      <c r="I632" s="28"/>
      <c r="J632" s="28"/>
      <c r="K632" s="28"/>
      <c r="L632" s="28"/>
      <c r="M632" s="28"/>
      <c r="N632" s="28"/>
      <c r="O632" s="28"/>
      <c r="P632" s="28"/>
      <c r="Q632" s="28"/>
      <c r="R632" s="28"/>
      <c r="S632" s="28"/>
    </row>
    <row r="633" ht="15.75" customHeight="1">
      <c r="A633" s="47" t="s">
        <v>31</v>
      </c>
      <c r="B633" s="48" t="s">
        <v>1446</v>
      </c>
      <c r="C633" s="73" t="s">
        <v>1447</v>
      </c>
      <c r="D633" s="37" t="s">
        <v>312</v>
      </c>
      <c r="E633" s="37" t="s">
        <v>313</v>
      </c>
      <c r="F633" s="38">
        <v>0.21</v>
      </c>
      <c r="G633" s="53" t="str">
        <f>IFERROR(VLOOKUP("AVX-835 SET-4-US",STOCK!B20:Q3710,3,FALSE),"SIN STOCK")</f>
        <v>SIN STOCK</v>
      </c>
      <c r="H633" s="28"/>
      <c r="I633" s="28"/>
      <c r="J633" s="28"/>
      <c r="K633" s="28"/>
      <c r="L633" s="28"/>
      <c r="M633" s="28"/>
      <c r="N633" s="28"/>
      <c r="O633" s="28"/>
      <c r="P633" s="28"/>
      <c r="Q633" s="28"/>
      <c r="R633" s="28"/>
      <c r="S633" s="28"/>
    </row>
    <row r="634" ht="15.75" customHeight="1">
      <c r="A634" s="41" t="s">
        <v>31</v>
      </c>
      <c r="B634" s="42" t="s">
        <v>1448</v>
      </c>
      <c r="C634" s="72" t="s">
        <v>1449</v>
      </c>
      <c r="D634" s="44" t="s">
        <v>358</v>
      </c>
      <c r="E634" s="44" t="s">
        <v>359</v>
      </c>
      <c r="F634" s="45">
        <v>0.21</v>
      </c>
      <c r="G634" s="53" t="str">
        <f>IFERROR(VLOOKUP("AVX-ME2 SET-4",STOCK!B20:Q3710,3,FALSE),"SIN STOCK")</f>
        <v>Menor a 5</v>
      </c>
      <c r="H634" s="28"/>
      <c r="I634" s="28"/>
      <c r="J634" s="28"/>
      <c r="K634" s="28"/>
      <c r="L634" s="28"/>
      <c r="M634" s="28"/>
      <c r="N634" s="28"/>
      <c r="O634" s="28"/>
      <c r="P634" s="28"/>
      <c r="Q634" s="28"/>
      <c r="R634" s="28"/>
      <c r="S634" s="28"/>
    </row>
    <row r="635" ht="15.75" customHeight="1">
      <c r="A635" s="47" t="s">
        <v>31</v>
      </c>
      <c r="B635" s="48" t="s">
        <v>1450</v>
      </c>
      <c r="C635" s="75"/>
      <c r="D635" s="37" t="s">
        <v>223</v>
      </c>
      <c r="E635" s="37" t="s">
        <v>224</v>
      </c>
      <c r="F635" s="38">
        <v>0.21</v>
      </c>
      <c r="G635" s="39" t="str">
        <f>IFERROR(VLOOKUP("AVX-COMBO",STOCK!B20:Q3710,3,FALSE),"SIN STOCK")</f>
        <v>Menor a 5</v>
      </c>
      <c r="H635" s="28"/>
      <c r="I635" s="28"/>
      <c r="J635" s="28"/>
      <c r="K635" s="28"/>
      <c r="L635" s="28"/>
      <c r="M635" s="28"/>
      <c r="N635" s="28"/>
      <c r="O635" s="28"/>
      <c r="P635" s="28"/>
      <c r="Q635" s="28"/>
      <c r="R635" s="28"/>
      <c r="S635" s="28"/>
    </row>
    <row r="636" ht="15.75" customHeight="1">
      <c r="A636" s="29" t="s">
        <v>1451</v>
      </c>
      <c r="B636" s="30"/>
      <c r="C636" s="74"/>
      <c r="D636" s="55"/>
      <c r="E636" s="32"/>
      <c r="F636" s="30"/>
      <c r="G636" s="30"/>
      <c r="H636" s="28"/>
      <c r="I636" s="28"/>
      <c r="J636" s="28"/>
      <c r="K636" s="28"/>
      <c r="L636" s="28"/>
      <c r="M636" s="28"/>
      <c r="N636" s="28"/>
      <c r="O636" s="28"/>
      <c r="P636" s="28"/>
      <c r="Q636" s="28"/>
      <c r="R636" s="28"/>
      <c r="S636" s="28"/>
    </row>
    <row r="637" ht="15.75" customHeight="1">
      <c r="A637" s="41" t="s">
        <v>31</v>
      </c>
      <c r="B637" s="42" t="s">
        <v>1452</v>
      </c>
      <c r="C637" s="72" t="s">
        <v>1453</v>
      </c>
      <c r="D637" s="44" t="s">
        <v>101</v>
      </c>
      <c r="E637" s="44" t="s">
        <v>102</v>
      </c>
      <c r="F637" s="45">
        <v>0.21</v>
      </c>
      <c r="G637" s="65" t="s">
        <v>517</v>
      </c>
      <c r="H637" s="28"/>
      <c r="I637" s="28"/>
      <c r="J637" s="28"/>
      <c r="K637" s="28"/>
      <c r="L637" s="28"/>
      <c r="M637" s="28"/>
      <c r="N637" s="28"/>
      <c r="O637" s="28"/>
      <c r="P637" s="28"/>
      <c r="Q637" s="28"/>
      <c r="R637" s="28"/>
      <c r="S637" s="28"/>
    </row>
    <row r="638" ht="15.75" customHeight="1">
      <c r="A638" s="47" t="s">
        <v>31</v>
      </c>
      <c r="B638" s="48" t="s">
        <v>1454</v>
      </c>
      <c r="C638" s="73" t="s">
        <v>1455</v>
      </c>
      <c r="D638" s="37" t="s">
        <v>101</v>
      </c>
      <c r="E638" s="37" t="s">
        <v>102</v>
      </c>
      <c r="F638" s="38">
        <v>0.21</v>
      </c>
      <c r="G638" s="65" t="s">
        <v>517</v>
      </c>
      <c r="H638" s="28"/>
      <c r="I638" s="28"/>
      <c r="J638" s="28"/>
      <c r="K638" s="28"/>
      <c r="L638" s="28"/>
      <c r="M638" s="28"/>
      <c r="N638" s="28"/>
      <c r="O638" s="28"/>
      <c r="P638" s="28"/>
      <c r="Q638" s="28"/>
      <c r="R638" s="28"/>
      <c r="S638" s="28"/>
    </row>
    <row r="639" ht="15.75" customHeight="1">
      <c r="A639" s="41" t="s">
        <v>31</v>
      </c>
      <c r="B639" s="42" t="s">
        <v>1456</v>
      </c>
      <c r="C639" s="72" t="s">
        <v>1457</v>
      </c>
      <c r="D639" s="44" t="s">
        <v>483</v>
      </c>
      <c r="E639" s="44" t="s">
        <v>484</v>
      </c>
      <c r="F639" s="45">
        <v>0.21</v>
      </c>
      <c r="G639" s="65" t="s">
        <v>517</v>
      </c>
      <c r="H639" s="28"/>
      <c r="I639" s="28"/>
      <c r="J639" s="28"/>
      <c r="K639" s="28"/>
      <c r="L639" s="28"/>
      <c r="M639" s="28"/>
      <c r="N639" s="28"/>
      <c r="O639" s="28"/>
      <c r="P639" s="28"/>
      <c r="Q639" s="28"/>
      <c r="R639" s="28"/>
      <c r="S639" s="28"/>
    </row>
    <row r="640" ht="15.75" customHeight="1">
      <c r="A640" s="47" t="s">
        <v>31</v>
      </c>
      <c r="B640" s="48" t="s">
        <v>1458</v>
      </c>
      <c r="C640" s="73" t="s">
        <v>1459</v>
      </c>
      <c r="D640" s="37" t="s">
        <v>1460</v>
      </c>
      <c r="E640" s="37" t="s">
        <v>1461</v>
      </c>
      <c r="F640" s="38">
        <v>0.21</v>
      </c>
      <c r="G640" s="65" t="s">
        <v>517</v>
      </c>
      <c r="H640" s="28"/>
      <c r="I640" s="28"/>
      <c r="J640" s="28"/>
      <c r="K640" s="28"/>
      <c r="L640" s="28"/>
      <c r="M640" s="28"/>
      <c r="N640" s="28"/>
      <c r="O640" s="28"/>
      <c r="P640" s="28"/>
      <c r="Q640" s="28"/>
      <c r="R640" s="28"/>
      <c r="S640" s="28"/>
    </row>
    <row r="641" ht="15.75" customHeight="1">
      <c r="A641" s="41" t="s">
        <v>31</v>
      </c>
      <c r="B641" s="42" t="s">
        <v>1462</v>
      </c>
      <c r="C641" s="72" t="s">
        <v>1463</v>
      </c>
      <c r="D641" s="44" t="s">
        <v>101</v>
      </c>
      <c r="E641" s="44" t="s">
        <v>102</v>
      </c>
      <c r="F641" s="45">
        <v>0.21</v>
      </c>
      <c r="G641" s="65" t="s">
        <v>517</v>
      </c>
      <c r="H641" s="28"/>
      <c r="I641" s="28"/>
      <c r="J641" s="28"/>
      <c r="K641" s="28"/>
      <c r="L641" s="28"/>
      <c r="M641" s="28"/>
      <c r="N641" s="28"/>
      <c r="O641" s="28"/>
      <c r="P641" s="28"/>
      <c r="Q641" s="28"/>
      <c r="R641" s="28"/>
      <c r="S641" s="28"/>
    </row>
    <row r="642" ht="15.75" customHeight="1">
      <c r="A642" s="47" t="s">
        <v>31</v>
      </c>
      <c r="B642" s="48" t="s">
        <v>1464</v>
      </c>
      <c r="C642" s="73" t="s">
        <v>1465</v>
      </c>
      <c r="D642" s="37" t="s">
        <v>101</v>
      </c>
      <c r="E642" s="37" t="s">
        <v>102</v>
      </c>
      <c r="F642" s="38">
        <v>0.21</v>
      </c>
      <c r="G642" s="65" t="s">
        <v>517</v>
      </c>
      <c r="H642" s="28"/>
      <c r="I642" s="28"/>
      <c r="J642" s="28"/>
      <c r="K642" s="28"/>
      <c r="L642" s="28"/>
      <c r="M642" s="28"/>
      <c r="N642" s="28"/>
      <c r="O642" s="28"/>
      <c r="P642" s="28"/>
      <c r="Q642" s="28"/>
      <c r="R642" s="28"/>
      <c r="S642" s="28"/>
    </row>
    <row r="643" ht="15.75" customHeight="1">
      <c r="A643" s="41" t="s">
        <v>31</v>
      </c>
      <c r="B643" s="42" t="s">
        <v>1466</v>
      </c>
      <c r="C643" s="72" t="s">
        <v>1467</v>
      </c>
      <c r="D643" s="44" t="s">
        <v>483</v>
      </c>
      <c r="E643" s="44" t="s">
        <v>484</v>
      </c>
      <c r="F643" s="45">
        <v>0.21</v>
      </c>
      <c r="G643" s="65" t="s">
        <v>517</v>
      </c>
      <c r="H643" s="28"/>
      <c r="I643" s="28"/>
      <c r="J643" s="28"/>
      <c r="K643" s="28"/>
      <c r="L643" s="28"/>
      <c r="M643" s="28"/>
      <c r="N643" s="28"/>
      <c r="O643" s="28"/>
      <c r="P643" s="28"/>
      <c r="Q643" s="28"/>
      <c r="R643" s="28"/>
      <c r="S643" s="28"/>
    </row>
    <row r="644" ht="15.75" customHeight="1">
      <c r="A644" s="47" t="s">
        <v>31</v>
      </c>
      <c r="B644" s="48" t="s">
        <v>1468</v>
      </c>
      <c r="C644" s="73" t="s">
        <v>1469</v>
      </c>
      <c r="D644" s="37" t="s">
        <v>1460</v>
      </c>
      <c r="E644" s="37" t="s">
        <v>1461</v>
      </c>
      <c r="F644" s="38">
        <v>0.21</v>
      </c>
      <c r="G644" s="65" t="s">
        <v>517</v>
      </c>
      <c r="H644" s="28"/>
      <c r="I644" s="28"/>
      <c r="J644" s="28"/>
      <c r="K644" s="28"/>
      <c r="L644" s="28"/>
      <c r="M644" s="28"/>
      <c r="N644" s="28"/>
      <c r="O644" s="28"/>
      <c r="P644" s="28"/>
      <c r="Q644" s="28"/>
      <c r="R644" s="28"/>
      <c r="S644" s="28"/>
    </row>
    <row r="645" ht="15.75" customHeight="1">
      <c r="A645" s="41" t="s">
        <v>31</v>
      </c>
      <c r="B645" s="42" t="s">
        <v>1470</v>
      </c>
      <c r="C645" s="72" t="s">
        <v>1471</v>
      </c>
      <c r="D645" s="44" t="s">
        <v>1472</v>
      </c>
      <c r="E645" s="44" t="s">
        <v>1473</v>
      </c>
      <c r="F645" s="45">
        <v>0.21</v>
      </c>
      <c r="G645" s="65" t="s">
        <v>517</v>
      </c>
      <c r="H645" s="28"/>
      <c r="I645" s="28"/>
      <c r="J645" s="28"/>
      <c r="K645" s="28"/>
      <c r="L645" s="28"/>
      <c r="M645" s="28"/>
      <c r="N645" s="28"/>
      <c r="O645" s="28"/>
      <c r="P645" s="28"/>
      <c r="Q645" s="28"/>
      <c r="R645" s="28"/>
      <c r="S645" s="28"/>
    </row>
    <row r="646" ht="15.75" customHeight="1">
      <c r="A646" s="47" t="s">
        <v>31</v>
      </c>
      <c r="B646" s="48" t="s">
        <v>1474</v>
      </c>
      <c r="C646" s="73" t="s">
        <v>1475</v>
      </c>
      <c r="D646" s="37" t="s">
        <v>1472</v>
      </c>
      <c r="E646" s="37" t="s">
        <v>1473</v>
      </c>
      <c r="F646" s="38">
        <v>0.21</v>
      </c>
      <c r="G646" s="65" t="s">
        <v>517</v>
      </c>
      <c r="H646" s="28"/>
      <c r="I646" s="28"/>
      <c r="J646" s="28"/>
      <c r="K646" s="28"/>
      <c r="L646" s="28"/>
      <c r="M646" s="28"/>
      <c r="N646" s="28"/>
      <c r="O646" s="28"/>
      <c r="P646" s="28"/>
      <c r="Q646" s="28"/>
      <c r="R646" s="28"/>
      <c r="S646" s="28"/>
    </row>
    <row r="647" ht="15.75" customHeight="1">
      <c r="A647" s="41" t="s">
        <v>31</v>
      </c>
      <c r="B647" s="42" t="s">
        <v>1476</v>
      </c>
      <c r="C647" s="72" t="s">
        <v>1477</v>
      </c>
      <c r="D647" s="44" t="s">
        <v>1478</v>
      </c>
      <c r="E647" s="44" t="s">
        <v>1479</v>
      </c>
      <c r="F647" s="45">
        <v>0.21</v>
      </c>
      <c r="G647" s="65" t="s">
        <v>517</v>
      </c>
      <c r="H647" s="28"/>
      <c r="I647" s="28"/>
      <c r="J647" s="28"/>
      <c r="K647" s="28"/>
      <c r="L647" s="28"/>
      <c r="M647" s="28"/>
      <c r="N647" s="28"/>
      <c r="O647" s="28"/>
      <c r="P647" s="28"/>
      <c r="Q647" s="28"/>
      <c r="R647" s="28"/>
      <c r="S647" s="28"/>
    </row>
    <row r="648" ht="15.75" customHeight="1">
      <c r="A648" s="47" t="s">
        <v>31</v>
      </c>
      <c r="B648" s="48" t="s">
        <v>1480</v>
      </c>
      <c r="C648" s="73" t="s">
        <v>1481</v>
      </c>
      <c r="D648" s="37" t="s">
        <v>1478</v>
      </c>
      <c r="E648" s="37" t="s">
        <v>1479</v>
      </c>
      <c r="F648" s="38">
        <v>0.21</v>
      </c>
      <c r="G648" s="65" t="s">
        <v>517</v>
      </c>
      <c r="H648" s="28"/>
      <c r="I648" s="28"/>
      <c r="J648" s="28"/>
      <c r="K648" s="28"/>
      <c r="L648" s="28"/>
      <c r="M648" s="28"/>
      <c r="N648" s="28"/>
      <c r="O648" s="28"/>
      <c r="P648" s="28"/>
      <c r="Q648" s="28"/>
      <c r="R648" s="28"/>
      <c r="S648" s="28"/>
    </row>
    <row r="649" ht="15.75" customHeight="1">
      <c r="A649" s="29" t="s">
        <v>1482</v>
      </c>
      <c r="C649" s="74"/>
      <c r="D649" s="55"/>
      <c r="E649" s="32"/>
      <c r="F649" s="30"/>
      <c r="G649" s="30"/>
      <c r="H649" s="28"/>
      <c r="I649" s="28"/>
      <c r="J649" s="28"/>
      <c r="K649" s="28"/>
      <c r="L649" s="28"/>
      <c r="M649" s="28"/>
      <c r="N649" s="28"/>
      <c r="O649" s="28"/>
      <c r="P649" s="28"/>
      <c r="Q649" s="28"/>
      <c r="R649" s="28"/>
      <c r="S649" s="28"/>
    </row>
    <row r="650" ht="15.75" customHeight="1">
      <c r="A650" s="41" t="s">
        <v>31</v>
      </c>
      <c r="B650" s="42" t="s">
        <v>1483</v>
      </c>
      <c r="C650" s="72" t="s">
        <v>1484</v>
      </c>
      <c r="D650" s="44" t="s">
        <v>1485</v>
      </c>
      <c r="E650" s="44" t="s">
        <v>1486</v>
      </c>
      <c r="F650" s="45">
        <v>0.21</v>
      </c>
      <c r="G650" s="65" t="s">
        <v>517</v>
      </c>
      <c r="H650" s="28"/>
      <c r="I650" s="28"/>
      <c r="J650" s="28"/>
      <c r="K650" s="28"/>
      <c r="L650" s="28"/>
      <c r="M650" s="28"/>
      <c r="N650" s="28"/>
      <c r="O650" s="28"/>
      <c r="P650" s="28"/>
      <c r="Q650" s="28"/>
      <c r="R650" s="28"/>
      <c r="S650" s="28"/>
    </row>
    <row r="651" ht="15.75" customHeight="1">
      <c r="A651" s="47" t="s">
        <v>31</v>
      </c>
      <c r="B651" s="48" t="s">
        <v>1487</v>
      </c>
      <c r="C651" s="73" t="s">
        <v>1488</v>
      </c>
      <c r="D651" s="37" t="s">
        <v>1485</v>
      </c>
      <c r="E651" s="37" t="s">
        <v>1486</v>
      </c>
      <c r="F651" s="38">
        <v>0.21</v>
      </c>
      <c r="G651" s="65" t="s">
        <v>517</v>
      </c>
      <c r="H651" s="28"/>
      <c r="I651" s="28"/>
      <c r="J651" s="28"/>
      <c r="K651" s="28"/>
      <c r="L651" s="28"/>
      <c r="M651" s="28"/>
      <c r="N651" s="28"/>
      <c r="O651" s="28"/>
      <c r="P651" s="28"/>
      <c r="Q651" s="28"/>
      <c r="R651" s="28"/>
      <c r="S651" s="28"/>
    </row>
    <row r="652" ht="15.75" customHeight="1">
      <c r="A652" s="41" t="s">
        <v>31</v>
      </c>
      <c r="B652" s="42" t="s">
        <v>1489</v>
      </c>
      <c r="C652" s="72" t="s">
        <v>1490</v>
      </c>
      <c r="D652" s="44" t="s">
        <v>1491</v>
      </c>
      <c r="E652" s="44" t="s">
        <v>1492</v>
      </c>
      <c r="F652" s="45">
        <v>0.21</v>
      </c>
      <c r="G652" s="65" t="s">
        <v>517</v>
      </c>
      <c r="H652" s="28"/>
      <c r="I652" s="28"/>
      <c r="J652" s="28"/>
      <c r="K652" s="28"/>
      <c r="L652" s="28"/>
      <c r="M652" s="28"/>
      <c r="N652" s="28"/>
      <c r="O652" s="28"/>
      <c r="P652" s="28"/>
      <c r="Q652" s="28"/>
      <c r="R652" s="28"/>
      <c r="S652" s="28"/>
    </row>
    <row r="653" ht="15.75" customHeight="1">
      <c r="A653" s="47" t="s">
        <v>31</v>
      </c>
      <c r="B653" s="48" t="s">
        <v>1493</v>
      </c>
      <c r="C653" s="73" t="s">
        <v>1494</v>
      </c>
      <c r="D653" s="37" t="s">
        <v>483</v>
      </c>
      <c r="E653" s="37" t="s">
        <v>484</v>
      </c>
      <c r="F653" s="38">
        <v>0.21</v>
      </c>
      <c r="G653" s="65" t="s">
        <v>517</v>
      </c>
      <c r="H653" s="28"/>
      <c r="I653" s="28"/>
      <c r="J653" s="28"/>
      <c r="K653" s="28"/>
      <c r="L653" s="28"/>
      <c r="M653" s="28"/>
      <c r="N653" s="28"/>
      <c r="O653" s="28"/>
      <c r="P653" s="28"/>
      <c r="Q653" s="28"/>
      <c r="R653" s="28"/>
      <c r="S653" s="28"/>
    </row>
    <row r="654" ht="15.75" customHeight="1">
      <c r="A654" s="41" t="s">
        <v>31</v>
      </c>
      <c r="B654" s="42" t="s">
        <v>1495</v>
      </c>
      <c r="C654" s="72" t="s">
        <v>1496</v>
      </c>
      <c r="D654" s="44" t="s">
        <v>162</v>
      </c>
      <c r="E654" s="44" t="s">
        <v>163</v>
      </c>
      <c r="F654" s="45">
        <v>0.21</v>
      </c>
      <c r="G654" s="65" t="s">
        <v>517</v>
      </c>
      <c r="H654" s="28"/>
      <c r="I654" s="28"/>
      <c r="J654" s="28"/>
      <c r="K654" s="28"/>
      <c r="L654" s="28"/>
      <c r="M654" s="28"/>
      <c r="N654" s="28"/>
      <c r="O654" s="28"/>
      <c r="P654" s="28"/>
      <c r="Q654" s="28"/>
      <c r="R654" s="28"/>
      <c r="S654" s="28"/>
    </row>
    <row r="655" ht="15.75" customHeight="1">
      <c r="A655" s="47" t="s">
        <v>31</v>
      </c>
      <c r="B655" s="48" t="s">
        <v>1497</v>
      </c>
      <c r="C655" s="73" t="s">
        <v>1498</v>
      </c>
      <c r="D655" s="37" t="s">
        <v>1499</v>
      </c>
      <c r="E655" s="37" t="s">
        <v>1500</v>
      </c>
      <c r="F655" s="38">
        <v>0.21</v>
      </c>
      <c r="G655" s="65" t="s">
        <v>517</v>
      </c>
      <c r="H655" s="28"/>
      <c r="I655" s="28"/>
      <c r="J655" s="28"/>
      <c r="K655" s="28"/>
      <c r="L655" s="28"/>
      <c r="M655" s="28"/>
      <c r="N655" s="28"/>
      <c r="O655" s="28"/>
      <c r="P655" s="28"/>
      <c r="Q655" s="28"/>
      <c r="R655" s="28"/>
      <c r="S655" s="28"/>
    </row>
    <row r="656" ht="15.75" customHeight="1">
      <c r="A656" s="58" t="s">
        <v>1501</v>
      </c>
      <c r="B656" s="30"/>
      <c r="C656" s="74"/>
      <c r="D656" s="55"/>
      <c r="E656" s="32"/>
      <c r="F656" s="30"/>
      <c r="G656" s="30"/>
      <c r="H656" s="28"/>
      <c r="I656" s="28"/>
      <c r="J656" s="28"/>
      <c r="K656" s="28"/>
      <c r="L656" s="28"/>
      <c r="M656" s="28"/>
      <c r="N656" s="28"/>
      <c r="O656" s="28"/>
      <c r="P656" s="28"/>
      <c r="Q656" s="28"/>
      <c r="R656" s="28"/>
      <c r="S656" s="28"/>
    </row>
    <row r="657" ht="15.75" customHeight="1">
      <c r="A657" s="41" t="s">
        <v>31</v>
      </c>
      <c r="B657" s="42" t="s">
        <v>1502</v>
      </c>
      <c r="C657" s="72" t="s">
        <v>1503</v>
      </c>
      <c r="D657" s="44" t="s">
        <v>469</v>
      </c>
      <c r="E657" s="44" t="s">
        <v>470</v>
      </c>
      <c r="F657" s="45">
        <v>0.21</v>
      </c>
      <c r="G657" s="65" t="s">
        <v>517</v>
      </c>
      <c r="H657" s="28"/>
      <c r="I657" s="28"/>
      <c r="J657" s="28"/>
      <c r="K657" s="28"/>
      <c r="L657" s="28"/>
      <c r="M657" s="28"/>
      <c r="N657" s="28"/>
      <c r="O657" s="28"/>
      <c r="P657" s="28"/>
      <c r="Q657" s="28"/>
      <c r="R657" s="28"/>
      <c r="S657" s="28"/>
    </row>
    <row r="658" ht="15.75" customHeight="1">
      <c r="A658" s="47" t="s">
        <v>31</v>
      </c>
      <c r="B658" s="48" t="s">
        <v>1504</v>
      </c>
      <c r="C658" s="73" t="s">
        <v>1505</v>
      </c>
      <c r="D658" s="37" t="s">
        <v>469</v>
      </c>
      <c r="E658" s="37" t="s">
        <v>470</v>
      </c>
      <c r="F658" s="38">
        <v>0.21</v>
      </c>
      <c r="G658" s="65" t="s">
        <v>517</v>
      </c>
      <c r="H658" s="28"/>
      <c r="I658" s="28"/>
      <c r="J658" s="28"/>
      <c r="K658" s="28"/>
      <c r="L658" s="28"/>
      <c r="M658" s="28"/>
      <c r="N658" s="28"/>
      <c r="O658" s="28"/>
      <c r="P658" s="28"/>
      <c r="Q658" s="28"/>
      <c r="R658" s="28"/>
      <c r="S658" s="28"/>
    </row>
    <row r="659" ht="15.75" customHeight="1">
      <c r="A659" s="41" t="s">
        <v>31</v>
      </c>
      <c r="B659" s="42" t="s">
        <v>1506</v>
      </c>
      <c r="C659" s="72" t="s">
        <v>1507</v>
      </c>
      <c r="D659" s="44" t="s">
        <v>469</v>
      </c>
      <c r="E659" s="44" t="s">
        <v>470</v>
      </c>
      <c r="F659" s="45">
        <v>0.21</v>
      </c>
      <c r="G659" s="65" t="s">
        <v>517</v>
      </c>
      <c r="H659" s="28"/>
      <c r="I659" s="28"/>
      <c r="J659" s="28"/>
      <c r="K659" s="28"/>
      <c r="L659" s="28"/>
      <c r="M659" s="28"/>
      <c r="N659" s="28"/>
      <c r="O659" s="28"/>
      <c r="P659" s="28"/>
      <c r="Q659" s="28"/>
      <c r="R659" s="28"/>
      <c r="S659" s="28"/>
    </row>
    <row r="660" ht="15.75" customHeight="1">
      <c r="A660" s="47" t="s">
        <v>31</v>
      </c>
      <c r="B660" s="48" t="s">
        <v>1508</v>
      </c>
      <c r="C660" s="73" t="s">
        <v>1509</v>
      </c>
      <c r="D660" s="37" t="s">
        <v>469</v>
      </c>
      <c r="E660" s="37" t="s">
        <v>470</v>
      </c>
      <c r="F660" s="38">
        <v>0.21</v>
      </c>
      <c r="G660" s="65" t="s">
        <v>517</v>
      </c>
      <c r="H660" s="28"/>
      <c r="I660" s="28"/>
      <c r="J660" s="28"/>
      <c r="K660" s="28"/>
      <c r="L660" s="28"/>
      <c r="M660" s="28"/>
      <c r="N660" s="28"/>
      <c r="O660" s="28"/>
      <c r="P660" s="28"/>
      <c r="Q660" s="28"/>
      <c r="R660" s="28"/>
      <c r="S660" s="28"/>
    </row>
    <row r="661" ht="15.75" customHeight="1">
      <c r="A661" s="41" t="s">
        <v>31</v>
      </c>
      <c r="B661" s="42" t="s">
        <v>1510</v>
      </c>
      <c r="C661" s="72" t="s">
        <v>1511</v>
      </c>
      <c r="D661" s="44" t="s">
        <v>132</v>
      </c>
      <c r="E661" s="44" t="s">
        <v>133</v>
      </c>
      <c r="F661" s="45">
        <v>0.21</v>
      </c>
      <c r="G661" s="65" t="s">
        <v>517</v>
      </c>
      <c r="H661" s="28"/>
      <c r="I661" s="28"/>
      <c r="J661" s="28"/>
      <c r="K661" s="28"/>
      <c r="L661" s="28"/>
      <c r="M661" s="28"/>
      <c r="N661" s="28"/>
      <c r="O661" s="28"/>
      <c r="P661" s="28"/>
      <c r="Q661" s="28"/>
      <c r="R661" s="28"/>
      <c r="S661" s="28"/>
    </row>
    <row r="662" ht="15.75" customHeight="1">
      <c r="A662" s="47" t="s">
        <v>31</v>
      </c>
      <c r="B662" s="48" t="s">
        <v>1512</v>
      </c>
      <c r="C662" s="73" t="s">
        <v>1513</v>
      </c>
      <c r="D662" s="37" t="s">
        <v>132</v>
      </c>
      <c r="E662" s="37" t="s">
        <v>133</v>
      </c>
      <c r="F662" s="38">
        <v>0.21</v>
      </c>
      <c r="G662" s="65" t="s">
        <v>517</v>
      </c>
      <c r="H662" s="28"/>
      <c r="I662" s="28"/>
      <c r="J662" s="28"/>
      <c r="K662" s="28"/>
      <c r="L662" s="28"/>
      <c r="M662" s="28"/>
      <c r="N662" s="28"/>
      <c r="O662" s="28"/>
      <c r="P662" s="28"/>
      <c r="Q662" s="28"/>
      <c r="R662" s="28"/>
      <c r="S662" s="28"/>
    </row>
    <row r="663" ht="15.75" customHeight="1">
      <c r="A663" s="29" t="s">
        <v>1514</v>
      </c>
      <c r="C663" s="74"/>
      <c r="D663" s="55"/>
      <c r="E663" s="32"/>
      <c r="F663" s="30"/>
      <c r="G663" s="30"/>
      <c r="H663" s="28"/>
      <c r="I663" s="28"/>
      <c r="J663" s="28"/>
      <c r="K663" s="28"/>
      <c r="L663" s="28"/>
      <c r="M663" s="28"/>
      <c r="N663" s="28"/>
      <c r="O663" s="28"/>
      <c r="P663" s="28"/>
      <c r="Q663" s="28"/>
      <c r="R663" s="28"/>
      <c r="S663" s="28"/>
    </row>
    <row r="664" ht="15.75" customHeight="1">
      <c r="A664" s="41" t="s">
        <v>31</v>
      </c>
      <c r="B664" s="42" t="s">
        <v>1515</v>
      </c>
      <c r="C664" s="72" t="s">
        <v>1516</v>
      </c>
      <c r="D664" s="44" t="s">
        <v>1517</v>
      </c>
      <c r="E664" s="44" t="s">
        <v>1518</v>
      </c>
      <c r="F664" s="45">
        <v>0.21</v>
      </c>
      <c r="G664" s="65" t="s">
        <v>517</v>
      </c>
      <c r="H664" s="28"/>
      <c r="I664" s="28"/>
      <c r="J664" s="28"/>
      <c r="K664" s="28"/>
      <c r="L664" s="28"/>
      <c r="M664" s="28"/>
      <c r="N664" s="28"/>
      <c r="O664" s="28"/>
      <c r="P664" s="28"/>
      <c r="Q664" s="28"/>
      <c r="R664" s="28"/>
      <c r="S664" s="28"/>
    </row>
    <row r="665" ht="15.75" customHeight="1">
      <c r="A665" s="47" t="s">
        <v>31</v>
      </c>
      <c r="B665" s="48" t="s">
        <v>1519</v>
      </c>
      <c r="C665" s="73" t="s">
        <v>1520</v>
      </c>
      <c r="D665" s="37" t="s">
        <v>659</v>
      </c>
      <c r="E665" s="37" t="s">
        <v>660</v>
      </c>
      <c r="F665" s="38">
        <v>0.21</v>
      </c>
      <c r="G665" s="65" t="s">
        <v>517</v>
      </c>
      <c r="H665" s="28"/>
      <c r="I665" s="28"/>
      <c r="J665" s="28"/>
      <c r="K665" s="28"/>
      <c r="L665" s="28"/>
      <c r="M665" s="28"/>
      <c r="N665" s="28"/>
      <c r="O665" s="28"/>
      <c r="P665" s="28"/>
      <c r="Q665" s="28"/>
      <c r="R665" s="28"/>
      <c r="S665" s="28"/>
    </row>
    <row r="666" ht="15.75" customHeight="1">
      <c r="A666" s="41" t="s">
        <v>31</v>
      </c>
      <c r="B666" s="42" t="s">
        <v>1521</v>
      </c>
      <c r="C666" s="72" t="s">
        <v>1520</v>
      </c>
      <c r="D666" s="44" t="s">
        <v>1472</v>
      </c>
      <c r="E666" s="44" t="s">
        <v>1473</v>
      </c>
      <c r="F666" s="45">
        <v>0.21</v>
      </c>
      <c r="G666" s="65" t="s">
        <v>517</v>
      </c>
      <c r="H666" s="28"/>
      <c r="I666" s="28"/>
      <c r="J666" s="28"/>
      <c r="K666" s="28"/>
      <c r="L666" s="28"/>
      <c r="M666" s="28"/>
      <c r="N666" s="28"/>
      <c r="O666" s="28"/>
      <c r="P666" s="28"/>
      <c r="Q666" s="28"/>
      <c r="R666" s="28"/>
      <c r="S666" s="28"/>
    </row>
    <row r="667" ht="15.75" customHeight="1">
      <c r="A667" s="47" t="s">
        <v>31</v>
      </c>
      <c r="B667" s="48" t="s">
        <v>1522</v>
      </c>
      <c r="C667" s="73" t="s">
        <v>1523</v>
      </c>
      <c r="D667" s="37" t="s">
        <v>1485</v>
      </c>
      <c r="E667" s="37" t="s">
        <v>1486</v>
      </c>
      <c r="F667" s="38">
        <v>0.21</v>
      </c>
      <c r="G667" s="65" t="s">
        <v>517</v>
      </c>
      <c r="H667" s="28"/>
      <c r="I667" s="28"/>
      <c r="J667" s="28"/>
      <c r="K667" s="28"/>
      <c r="L667" s="28"/>
      <c r="M667" s="28"/>
      <c r="N667" s="28"/>
      <c r="O667" s="28"/>
      <c r="P667" s="28"/>
      <c r="Q667" s="28"/>
      <c r="R667" s="28"/>
      <c r="S667" s="28"/>
    </row>
    <row r="668" ht="15.75" customHeight="1">
      <c r="A668" s="41" t="s">
        <v>31</v>
      </c>
      <c r="B668" s="42" t="s">
        <v>1524</v>
      </c>
      <c r="C668" s="72" t="s">
        <v>328</v>
      </c>
      <c r="D668" s="44" t="s">
        <v>515</v>
      </c>
      <c r="E668" s="44" t="s">
        <v>516</v>
      </c>
      <c r="F668" s="45">
        <v>0.21</v>
      </c>
      <c r="G668" s="65" t="s">
        <v>517</v>
      </c>
      <c r="H668" s="28"/>
      <c r="I668" s="28"/>
      <c r="J668" s="28"/>
      <c r="K668" s="28"/>
      <c r="L668" s="28"/>
      <c r="M668" s="28"/>
      <c r="N668" s="28"/>
      <c r="O668" s="28"/>
      <c r="P668" s="28"/>
      <c r="Q668" s="28"/>
      <c r="R668" s="28"/>
      <c r="S668" s="28"/>
    </row>
    <row r="669" ht="15.75" customHeight="1">
      <c r="A669" s="47" t="s">
        <v>31</v>
      </c>
      <c r="B669" s="48" t="s">
        <v>1525</v>
      </c>
      <c r="C669" s="73" t="s">
        <v>328</v>
      </c>
      <c r="D669" s="37" t="s">
        <v>918</v>
      </c>
      <c r="E669" s="37" t="s">
        <v>919</v>
      </c>
      <c r="F669" s="38">
        <v>0.21</v>
      </c>
      <c r="G669" s="65" t="s">
        <v>517</v>
      </c>
      <c r="H669" s="28"/>
      <c r="I669" s="28"/>
      <c r="J669" s="28"/>
      <c r="K669" s="28"/>
      <c r="L669" s="28"/>
      <c r="M669" s="28"/>
      <c r="N669" s="28"/>
      <c r="O669" s="28"/>
      <c r="P669" s="28"/>
      <c r="Q669" s="28"/>
      <c r="R669" s="28"/>
      <c r="S669" s="28"/>
    </row>
    <row r="670" ht="15.75" customHeight="1">
      <c r="A670" s="41" t="s">
        <v>31</v>
      </c>
      <c r="B670" s="42" t="s">
        <v>1526</v>
      </c>
      <c r="C670" s="72" t="s">
        <v>328</v>
      </c>
      <c r="D670" s="44" t="s">
        <v>918</v>
      </c>
      <c r="E670" s="44" t="s">
        <v>919</v>
      </c>
      <c r="F670" s="45">
        <v>0.21</v>
      </c>
      <c r="G670" s="65" t="s">
        <v>517</v>
      </c>
      <c r="H670" s="28"/>
      <c r="I670" s="28"/>
      <c r="J670" s="28"/>
      <c r="K670" s="28"/>
      <c r="L670" s="28"/>
      <c r="M670" s="28"/>
      <c r="N670" s="28"/>
      <c r="O670" s="28"/>
      <c r="P670" s="28"/>
      <c r="Q670" s="28"/>
      <c r="R670" s="28"/>
      <c r="S670" s="28"/>
    </row>
    <row r="671" ht="15.75" customHeight="1">
      <c r="A671" s="47" t="s">
        <v>31</v>
      </c>
      <c r="B671" s="47" t="s">
        <v>1527</v>
      </c>
      <c r="C671" s="73" t="s">
        <v>1528</v>
      </c>
      <c r="D671" s="37" t="s">
        <v>918</v>
      </c>
      <c r="E671" s="37" t="s">
        <v>919</v>
      </c>
      <c r="F671" s="38">
        <v>0.21</v>
      </c>
      <c r="G671" s="65" t="s">
        <v>517</v>
      </c>
      <c r="H671" s="28"/>
      <c r="I671" s="28"/>
      <c r="J671" s="28"/>
      <c r="K671" s="28"/>
      <c r="L671" s="28"/>
      <c r="M671" s="28"/>
      <c r="N671" s="28"/>
      <c r="O671" s="28"/>
      <c r="P671" s="28"/>
      <c r="Q671" s="28"/>
      <c r="R671" s="28"/>
      <c r="S671" s="28"/>
    </row>
    <row r="672" ht="15.75" customHeight="1">
      <c r="A672" s="29" t="s">
        <v>1529</v>
      </c>
      <c r="C672" s="74"/>
      <c r="D672" s="55"/>
      <c r="E672" s="32"/>
      <c r="F672" s="30"/>
      <c r="G672" s="30"/>
      <c r="H672" s="28"/>
      <c r="I672" s="28"/>
      <c r="J672" s="28"/>
      <c r="K672" s="28"/>
      <c r="L672" s="28"/>
      <c r="M672" s="28"/>
      <c r="N672" s="28"/>
      <c r="O672" s="28"/>
      <c r="P672" s="28"/>
      <c r="Q672" s="28"/>
      <c r="R672" s="28"/>
      <c r="S672" s="28"/>
    </row>
    <row r="673" ht="15.75" customHeight="1">
      <c r="A673" s="41" t="s">
        <v>31</v>
      </c>
      <c r="B673" s="71" t="s">
        <v>1530</v>
      </c>
      <c r="C673" s="72" t="s">
        <v>1531</v>
      </c>
      <c r="D673" s="44" t="s">
        <v>434</v>
      </c>
      <c r="E673" s="44" t="s">
        <v>435</v>
      </c>
      <c r="F673" s="45">
        <v>0.21</v>
      </c>
      <c r="G673" s="65" t="s">
        <v>517</v>
      </c>
      <c r="H673" s="28"/>
      <c r="I673" s="28"/>
      <c r="J673" s="28"/>
      <c r="K673" s="28"/>
      <c r="L673" s="28"/>
      <c r="M673" s="28"/>
      <c r="N673" s="28"/>
      <c r="O673" s="28"/>
      <c r="P673" s="28"/>
      <c r="Q673" s="28"/>
      <c r="R673" s="28"/>
      <c r="S673" s="28"/>
    </row>
    <row r="674" ht="15.75" customHeight="1">
      <c r="A674" s="47" t="s">
        <v>31</v>
      </c>
      <c r="B674" s="70" t="s">
        <v>1532</v>
      </c>
      <c r="C674" s="73" t="s">
        <v>1533</v>
      </c>
      <c r="D674" s="37" t="s">
        <v>1534</v>
      </c>
      <c r="E674" s="37" t="s">
        <v>1535</v>
      </c>
      <c r="F674" s="38">
        <v>0.21</v>
      </c>
      <c r="G674" s="65" t="s">
        <v>517</v>
      </c>
      <c r="H674" s="28"/>
      <c r="I674" s="28"/>
      <c r="J674" s="28"/>
      <c r="K674" s="28"/>
      <c r="L674" s="28"/>
      <c r="M674" s="28"/>
      <c r="N674" s="28"/>
      <c r="O674" s="28"/>
      <c r="P674" s="28"/>
      <c r="Q674" s="28"/>
      <c r="R674" s="28"/>
      <c r="S674" s="28"/>
    </row>
    <row r="675" ht="15.75" customHeight="1">
      <c r="A675" s="41" t="s">
        <v>31</v>
      </c>
      <c r="B675" s="41" t="s">
        <v>1536</v>
      </c>
      <c r="C675" s="72" t="s">
        <v>1537</v>
      </c>
      <c r="D675" s="44" t="s">
        <v>434</v>
      </c>
      <c r="E675" s="44" t="s">
        <v>435</v>
      </c>
      <c r="F675" s="45">
        <v>0.21</v>
      </c>
      <c r="G675" s="65" t="s">
        <v>517</v>
      </c>
      <c r="H675" s="28"/>
      <c r="I675" s="28"/>
      <c r="J675" s="28"/>
      <c r="K675" s="28"/>
      <c r="L675" s="28"/>
      <c r="M675" s="28"/>
      <c r="N675" s="28"/>
      <c r="O675" s="28"/>
      <c r="P675" s="28"/>
      <c r="Q675" s="28"/>
      <c r="R675" s="28"/>
      <c r="S675" s="28"/>
    </row>
    <row r="676" ht="15.75" customHeight="1">
      <c r="A676" s="47" t="s">
        <v>31</v>
      </c>
      <c r="B676" s="47" t="s">
        <v>1538</v>
      </c>
      <c r="C676" s="73" t="s">
        <v>1539</v>
      </c>
      <c r="D676" s="37" t="s">
        <v>1089</v>
      </c>
      <c r="E676" s="37" t="s">
        <v>1090</v>
      </c>
      <c r="F676" s="38">
        <v>0.21</v>
      </c>
      <c r="G676" s="65" t="s">
        <v>517</v>
      </c>
      <c r="H676" s="28"/>
      <c r="I676" s="28"/>
      <c r="J676" s="28"/>
      <c r="K676" s="28"/>
      <c r="L676" s="28"/>
      <c r="M676" s="28"/>
      <c r="N676" s="28"/>
      <c r="O676" s="28"/>
      <c r="P676" s="28"/>
      <c r="Q676" s="28"/>
      <c r="R676" s="28"/>
      <c r="S676" s="28"/>
    </row>
    <row r="677" ht="15.75" customHeight="1">
      <c r="A677" s="41" t="s">
        <v>31</v>
      </c>
      <c r="B677" s="71" t="s">
        <v>1540</v>
      </c>
      <c r="C677" s="72" t="s">
        <v>1541</v>
      </c>
      <c r="D677" s="44" t="s">
        <v>1265</v>
      </c>
      <c r="E677" s="44" t="s">
        <v>1266</v>
      </c>
      <c r="F677" s="45">
        <v>0.21</v>
      </c>
      <c r="G677" s="65" t="s">
        <v>517</v>
      </c>
      <c r="H677" s="28"/>
      <c r="I677" s="28"/>
      <c r="J677" s="28"/>
      <c r="K677" s="28"/>
      <c r="L677" s="28"/>
      <c r="M677" s="28"/>
      <c r="N677" s="28"/>
      <c r="O677" s="28"/>
      <c r="P677" s="28"/>
      <c r="Q677" s="28"/>
      <c r="R677" s="28"/>
      <c r="S677" s="28"/>
    </row>
    <row r="678" ht="15.75" customHeight="1">
      <c r="A678" s="47" t="s">
        <v>31</v>
      </c>
      <c r="B678" s="70" t="s">
        <v>1542</v>
      </c>
      <c r="C678" s="73" t="s">
        <v>1543</v>
      </c>
      <c r="D678" s="37" t="s">
        <v>1089</v>
      </c>
      <c r="E678" s="37" t="s">
        <v>1090</v>
      </c>
      <c r="F678" s="38">
        <v>0.21</v>
      </c>
      <c r="G678" s="65" t="s">
        <v>517</v>
      </c>
      <c r="H678" s="28"/>
      <c r="I678" s="28"/>
      <c r="J678" s="28"/>
      <c r="K678" s="28"/>
      <c r="L678" s="28"/>
      <c r="M678" s="28"/>
      <c r="N678" s="28"/>
      <c r="O678" s="28"/>
      <c r="P678" s="28"/>
      <c r="Q678" s="28"/>
      <c r="R678" s="28"/>
      <c r="S678" s="28"/>
    </row>
    <row r="679" ht="15.75" customHeight="1">
      <c r="A679" s="41" t="s">
        <v>31</v>
      </c>
      <c r="B679" s="71" t="s">
        <v>1544</v>
      </c>
      <c r="C679" s="72" t="s">
        <v>1545</v>
      </c>
      <c r="D679" s="44" t="s">
        <v>1277</v>
      </c>
      <c r="E679" s="44" t="s">
        <v>1278</v>
      </c>
      <c r="F679" s="45">
        <v>0.21</v>
      </c>
      <c r="G679" s="65" t="s">
        <v>517</v>
      </c>
      <c r="H679" s="28"/>
      <c r="I679" s="28"/>
      <c r="J679" s="28"/>
      <c r="K679" s="28"/>
      <c r="L679" s="28"/>
      <c r="M679" s="28"/>
      <c r="N679" s="28"/>
      <c r="O679" s="28"/>
      <c r="P679" s="28"/>
      <c r="Q679" s="28"/>
      <c r="R679" s="28"/>
      <c r="S679" s="28"/>
    </row>
    <row r="680" ht="15.75" customHeight="1">
      <c r="A680" s="47" t="s">
        <v>31</v>
      </c>
      <c r="B680" s="47" t="s">
        <v>1546</v>
      </c>
      <c r="C680" s="73" t="s">
        <v>1547</v>
      </c>
      <c r="D680" s="37" t="s">
        <v>1548</v>
      </c>
      <c r="E680" s="37" t="s">
        <v>1549</v>
      </c>
      <c r="F680" s="38">
        <v>0.21</v>
      </c>
      <c r="G680" s="65" t="s">
        <v>517</v>
      </c>
      <c r="H680" s="28"/>
      <c r="I680" s="28"/>
      <c r="J680" s="28"/>
      <c r="K680" s="28"/>
      <c r="L680" s="28"/>
      <c r="M680" s="28"/>
      <c r="N680" s="28"/>
      <c r="O680" s="28"/>
      <c r="P680" s="28"/>
      <c r="Q680" s="28"/>
      <c r="R680" s="28"/>
      <c r="S680" s="28"/>
    </row>
    <row r="681" ht="15.75" customHeight="1">
      <c r="A681" s="41" t="s">
        <v>31</v>
      </c>
      <c r="B681" s="71" t="s">
        <v>1550</v>
      </c>
      <c r="C681" s="72" t="s">
        <v>1551</v>
      </c>
      <c r="D681" s="44" t="s">
        <v>1277</v>
      </c>
      <c r="E681" s="44" t="s">
        <v>1278</v>
      </c>
      <c r="F681" s="45">
        <v>0.21</v>
      </c>
      <c r="G681" s="65" t="s">
        <v>517</v>
      </c>
      <c r="H681" s="28"/>
      <c r="I681" s="28"/>
      <c r="J681" s="28"/>
      <c r="K681" s="28"/>
      <c r="L681" s="28"/>
      <c r="M681" s="28"/>
      <c r="N681" s="28"/>
      <c r="O681" s="28"/>
      <c r="P681" s="28"/>
      <c r="Q681" s="28"/>
      <c r="R681" s="28"/>
      <c r="S681" s="28"/>
    </row>
    <row r="682" ht="15.75" customHeight="1">
      <c r="A682" s="58" t="s">
        <v>1552</v>
      </c>
      <c r="B682" s="30"/>
      <c r="C682" s="74"/>
      <c r="D682" s="55"/>
      <c r="E682" s="32"/>
      <c r="F682" s="30"/>
      <c r="G682" s="30"/>
      <c r="H682" s="28"/>
      <c r="I682" s="28"/>
      <c r="J682" s="28"/>
      <c r="K682" s="28"/>
      <c r="L682" s="28"/>
      <c r="M682" s="28"/>
      <c r="N682" s="28"/>
      <c r="O682" s="28"/>
      <c r="P682" s="28"/>
      <c r="Q682" s="28"/>
      <c r="R682" s="28"/>
      <c r="S682" s="28"/>
    </row>
    <row r="683" ht="15.75" customHeight="1">
      <c r="A683" s="41" t="s">
        <v>31</v>
      </c>
      <c r="B683" s="71" t="s">
        <v>1553</v>
      </c>
      <c r="C683" s="72" t="s">
        <v>1554</v>
      </c>
      <c r="D683" s="44" t="s">
        <v>434</v>
      </c>
      <c r="E683" s="44" t="s">
        <v>435</v>
      </c>
      <c r="F683" s="45">
        <v>0.21</v>
      </c>
      <c r="G683" s="65" t="s">
        <v>517</v>
      </c>
      <c r="H683" s="28"/>
      <c r="I683" s="28"/>
      <c r="J683" s="28"/>
      <c r="K683" s="28"/>
      <c r="L683" s="28"/>
      <c r="M683" s="28"/>
      <c r="N683" s="28"/>
      <c r="O683" s="28"/>
      <c r="P683" s="28"/>
      <c r="Q683" s="28"/>
      <c r="R683" s="28"/>
      <c r="S683" s="28"/>
    </row>
    <row r="684" ht="15.75" customHeight="1">
      <c r="A684" s="47" t="s">
        <v>31</v>
      </c>
      <c r="B684" s="70" t="s">
        <v>1555</v>
      </c>
      <c r="C684" s="73" t="s">
        <v>1556</v>
      </c>
      <c r="D684" s="37" t="s">
        <v>1534</v>
      </c>
      <c r="E684" s="37" t="s">
        <v>1535</v>
      </c>
      <c r="F684" s="38">
        <v>0.21</v>
      </c>
      <c r="G684" s="65" t="s">
        <v>517</v>
      </c>
      <c r="H684" s="28"/>
      <c r="I684" s="28"/>
      <c r="J684" s="28"/>
      <c r="K684" s="28"/>
      <c r="L684" s="28"/>
      <c r="M684" s="28"/>
      <c r="N684" s="28"/>
      <c r="O684" s="28"/>
      <c r="P684" s="28"/>
      <c r="Q684" s="28"/>
      <c r="R684" s="28"/>
      <c r="S684" s="28"/>
    </row>
    <row r="685" ht="15.75" customHeight="1">
      <c r="A685" s="41" t="s">
        <v>31</v>
      </c>
      <c r="B685" s="71" t="s">
        <v>1557</v>
      </c>
      <c r="C685" s="72" t="s">
        <v>1558</v>
      </c>
      <c r="D685" s="44" t="s">
        <v>434</v>
      </c>
      <c r="E685" s="44" t="s">
        <v>435</v>
      </c>
      <c r="F685" s="45">
        <v>0.21</v>
      </c>
      <c r="G685" s="65" t="s">
        <v>517</v>
      </c>
      <c r="H685" s="28"/>
      <c r="I685" s="28"/>
      <c r="J685" s="28"/>
      <c r="K685" s="28"/>
      <c r="L685" s="28"/>
      <c r="M685" s="28"/>
      <c r="N685" s="28"/>
      <c r="O685" s="28"/>
      <c r="P685" s="28"/>
      <c r="Q685" s="28"/>
      <c r="R685" s="28"/>
      <c r="S685" s="28"/>
    </row>
    <row r="686" ht="15.75" customHeight="1">
      <c r="A686" s="47" t="s">
        <v>31</v>
      </c>
      <c r="B686" s="48" t="s">
        <v>1559</v>
      </c>
      <c r="C686" s="73" t="s">
        <v>1560</v>
      </c>
      <c r="D686" s="37" t="s">
        <v>1561</v>
      </c>
      <c r="E686" s="37" t="s">
        <v>1562</v>
      </c>
      <c r="F686" s="38">
        <v>0.21</v>
      </c>
      <c r="G686" s="65" t="s">
        <v>517</v>
      </c>
      <c r="H686" s="28"/>
      <c r="I686" s="28"/>
      <c r="J686" s="28"/>
      <c r="K686" s="28"/>
      <c r="L686" s="28"/>
      <c r="M686" s="28"/>
      <c r="N686" s="28"/>
      <c r="O686" s="28"/>
      <c r="P686" s="28"/>
      <c r="Q686" s="28"/>
      <c r="R686" s="28"/>
      <c r="S686" s="28"/>
    </row>
    <row r="687" ht="15.75" customHeight="1">
      <c r="A687" s="41" t="s">
        <v>31</v>
      </c>
      <c r="B687" s="42" t="s">
        <v>1563</v>
      </c>
      <c r="C687" s="72" t="s">
        <v>1560</v>
      </c>
      <c r="D687" s="44" t="s">
        <v>1561</v>
      </c>
      <c r="E687" s="44" t="s">
        <v>1562</v>
      </c>
      <c r="F687" s="45">
        <v>0.21</v>
      </c>
      <c r="G687" s="65" t="s">
        <v>517</v>
      </c>
      <c r="H687" s="28"/>
      <c r="I687" s="28"/>
      <c r="J687" s="28"/>
      <c r="K687" s="28"/>
      <c r="L687" s="28"/>
      <c r="M687" s="28"/>
      <c r="N687" s="28"/>
      <c r="O687" s="28"/>
      <c r="P687" s="28"/>
      <c r="Q687" s="28"/>
      <c r="R687" s="28"/>
      <c r="S687" s="28"/>
    </row>
    <row r="688" ht="15.75" customHeight="1">
      <c r="A688" s="47" t="s">
        <v>31</v>
      </c>
      <c r="B688" s="70" t="s">
        <v>1564</v>
      </c>
      <c r="C688" s="73" t="s">
        <v>1565</v>
      </c>
      <c r="D688" s="37" t="s">
        <v>1485</v>
      </c>
      <c r="E688" s="37" t="s">
        <v>1486</v>
      </c>
      <c r="F688" s="38">
        <v>0.21</v>
      </c>
      <c r="G688" s="65" t="s">
        <v>517</v>
      </c>
      <c r="H688" s="28"/>
      <c r="I688" s="28"/>
      <c r="J688" s="28"/>
      <c r="K688" s="28"/>
      <c r="L688" s="28"/>
      <c r="M688" s="28"/>
      <c r="N688" s="28"/>
      <c r="O688" s="28"/>
      <c r="P688" s="28"/>
      <c r="Q688" s="28"/>
      <c r="R688" s="28"/>
      <c r="S688" s="28"/>
    </row>
    <row r="689" ht="15.75" customHeight="1">
      <c r="A689" s="29" t="s">
        <v>1566</v>
      </c>
      <c r="C689" s="74"/>
      <c r="D689" s="55"/>
      <c r="E689" s="32"/>
      <c r="F689" s="30"/>
      <c r="G689" s="30"/>
      <c r="H689" s="28"/>
      <c r="I689" s="28"/>
      <c r="J689" s="28"/>
      <c r="K689" s="28"/>
      <c r="L689" s="28"/>
      <c r="M689" s="28"/>
      <c r="N689" s="28"/>
      <c r="O689" s="28"/>
      <c r="P689" s="28"/>
      <c r="Q689" s="28"/>
      <c r="R689" s="28"/>
      <c r="S689" s="28"/>
    </row>
    <row r="690" ht="15.75" customHeight="1">
      <c r="A690" s="41" t="s">
        <v>31</v>
      </c>
      <c r="B690" s="42" t="s">
        <v>1567</v>
      </c>
      <c r="C690" s="72" t="s">
        <v>1568</v>
      </c>
      <c r="D690" s="44" t="s">
        <v>101</v>
      </c>
      <c r="E690" s="44" t="s">
        <v>102</v>
      </c>
      <c r="F690" s="45">
        <v>0.21</v>
      </c>
      <c r="G690" s="50" t="str">
        <f>IFERROR(VLOOKUP("MAT 133 B BLACK XLR 3",STOCK!B36:Q3726,3,FALSE),"SIN STOCK")</f>
        <v>Mayor a 5</v>
      </c>
      <c r="H690" s="28"/>
      <c r="I690" s="28"/>
      <c r="J690" s="28"/>
      <c r="K690" s="28"/>
      <c r="L690" s="28"/>
      <c r="M690" s="28"/>
      <c r="N690" s="28"/>
      <c r="O690" s="28"/>
      <c r="P690" s="28"/>
      <c r="Q690" s="28"/>
      <c r="R690" s="28"/>
      <c r="S690" s="28"/>
    </row>
    <row r="691" ht="15.75" customHeight="1">
      <c r="A691" s="47" t="s">
        <v>31</v>
      </c>
      <c r="B691" s="48" t="s">
        <v>1569</v>
      </c>
      <c r="C691" s="73" t="s">
        <v>1570</v>
      </c>
      <c r="D691" s="37" t="s">
        <v>58</v>
      </c>
      <c r="E691" s="37" t="s">
        <v>59</v>
      </c>
      <c r="F691" s="38">
        <v>0.21</v>
      </c>
      <c r="G691" s="39" t="str">
        <f>IFERROR(VLOOKUP("MAT 133-S B BLACK XLR3 PTT",STOCK!B37:Q3727,3,FALSE),"SIN STOCK")</f>
        <v>Menor a 5</v>
      </c>
      <c r="H691" s="28"/>
      <c r="I691" s="28"/>
      <c r="J691" s="28"/>
      <c r="K691" s="28"/>
      <c r="L691" s="28"/>
      <c r="M691" s="28"/>
      <c r="N691" s="28"/>
      <c r="O691" s="28"/>
      <c r="P691" s="28"/>
      <c r="Q691" s="28"/>
      <c r="R691" s="28"/>
      <c r="S691" s="28"/>
    </row>
    <row r="692" ht="15.75" customHeight="1">
      <c r="A692" s="41" t="s">
        <v>31</v>
      </c>
      <c r="B692" s="42" t="s">
        <v>1571</v>
      </c>
      <c r="C692" s="72" t="s">
        <v>1572</v>
      </c>
      <c r="D692" s="44" t="s">
        <v>1573</v>
      </c>
      <c r="E692" s="44" t="s">
        <v>1574</v>
      </c>
      <c r="F692" s="45">
        <v>0.21</v>
      </c>
      <c r="G692" s="39" t="str">
        <f>IFERROR(VLOOKUP("MAT 153-S B",STOCK!B38:Q3728,3,FALSE),"SIN STOCK")</f>
        <v>Mayor a 5</v>
      </c>
      <c r="H692" s="28"/>
      <c r="I692" s="28"/>
      <c r="J692" s="28"/>
      <c r="K692" s="28"/>
      <c r="L692" s="28"/>
      <c r="M692" s="28"/>
      <c r="N692" s="28"/>
      <c r="O692" s="28"/>
      <c r="P692" s="28"/>
      <c r="Q692" s="28"/>
      <c r="R692" s="28"/>
      <c r="S692" s="28"/>
    </row>
    <row r="693" ht="15.75" customHeight="1">
      <c r="A693" s="58" t="s">
        <v>1575</v>
      </c>
      <c r="B693" s="30"/>
      <c r="C693" s="74"/>
      <c r="D693" s="55"/>
      <c r="E693" s="32"/>
      <c r="F693" s="30"/>
      <c r="G693" s="30"/>
      <c r="H693" s="28"/>
      <c r="I693" s="28"/>
      <c r="J693" s="28"/>
      <c r="K693" s="28"/>
      <c r="L693" s="28"/>
      <c r="M693" s="28"/>
      <c r="N693" s="28"/>
      <c r="O693" s="28"/>
      <c r="P693" s="28"/>
      <c r="Q693" s="28"/>
      <c r="R693" s="28"/>
      <c r="S693" s="28"/>
    </row>
    <row r="694" ht="15.75" customHeight="1">
      <c r="A694" s="41" t="s">
        <v>31</v>
      </c>
      <c r="B694" s="42" t="s">
        <v>1576</v>
      </c>
      <c r="C694" s="72" t="s">
        <v>1577</v>
      </c>
      <c r="D694" s="44" t="s">
        <v>101</v>
      </c>
      <c r="E694" s="44" t="s">
        <v>102</v>
      </c>
      <c r="F694" s="45">
        <v>0.21</v>
      </c>
      <c r="G694" s="65" t="s">
        <v>517</v>
      </c>
      <c r="H694" s="28"/>
      <c r="I694" s="28"/>
      <c r="J694" s="28"/>
      <c r="K694" s="28"/>
      <c r="L694" s="28"/>
      <c r="M694" s="28"/>
      <c r="N694" s="28"/>
      <c r="O694" s="28"/>
      <c r="P694" s="28"/>
      <c r="Q694" s="28"/>
      <c r="R694" s="28"/>
      <c r="S694" s="28"/>
    </row>
    <row r="695" ht="15.75" customHeight="1">
      <c r="A695" s="47" t="s">
        <v>31</v>
      </c>
      <c r="B695" s="48" t="s">
        <v>1578</v>
      </c>
      <c r="C695" s="73" t="s">
        <v>1579</v>
      </c>
      <c r="D695" s="37" t="s">
        <v>101</v>
      </c>
      <c r="E695" s="37" t="s">
        <v>102</v>
      </c>
      <c r="F695" s="38">
        <v>0.21</v>
      </c>
      <c r="G695" s="65" t="s">
        <v>517</v>
      </c>
      <c r="H695" s="28"/>
      <c r="I695" s="28"/>
      <c r="J695" s="28"/>
      <c r="K695" s="28"/>
      <c r="L695" s="28"/>
      <c r="M695" s="28"/>
      <c r="N695" s="28"/>
      <c r="O695" s="28"/>
      <c r="P695" s="28"/>
      <c r="Q695" s="28"/>
      <c r="R695" s="28"/>
      <c r="S695" s="28"/>
    </row>
    <row r="696" ht="15.75" customHeight="1">
      <c r="A696" s="41" t="s">
        <v>31</v>
      </c>
      <c r="B696" s="42" t="s">
        <v>1580</v>
      </c>
      <c r="C696" s="72" t="s">
        <v>1581</v>
      </c>
      <c r="D696" s="44" t="s">
        <v>58</v>
      </c>
      <c r="E696" s="44" t="s">
        <v>59</v>
      </c>
      <c r="F696" s="45">
        <v>0.21</v>
      </c>
      <c r="G696" s="65" t="s">
        <v>517</v>
      </c>
      <c r="H696" s="28"/>
      <c r="I696" s="28"/>
      <c r="J696" s="28"/>
      <c r="K696" s="28"/>
      <c r="L696" s="28"/>
      <c r="M696" s="28"/>
      <c r="N696" s="28"/>
      <c r="O696" s="28"/>
      <c r="P696" s="28"/>
      <c r="Q696" s="28"/>
      <c r="R696" s="28"/>
      <c r="S696" s="28"/>
    </row>
    <row r="697" ht="15.75" customHeight="1">
      <c r="A697" s="47" t="s">
        <v>31</v>
      </c>
      <c r="B697" s="48" t="s">
        <v>1582</v>
      </c>
      <c r="C697" s="73" t="s">
        <v>1583</v>
      </c>
      <c r="D697" s="37" t="s">
        <v>659</v>
      </c>
      <c r="E697" s="37" t="s">
        <v>660</v>
      </c>
      <c r="F697" s="38">
        <v>0.21</v>
      </c>
      <c r="G697" s="65" t="s">
        <v>517</v>
      </c>
      <c r="H697" s="28"/>
      <c r="I697" s="28"/>
      <c r="J697" s="28"/>
      <c r="K697" s="28"/>
      <c r="L697" s="28"/>
      <c r="M697" s="28"/>
      <c r="N697" s="28"/>
      <c r="O697" s="28"/>
      <c r="P697" s="28"/>
      <c r="Q697" s="28"/>
      <c r="R697" s="28"/>
      <c r="S697" s="28"/>
    </row>
    <row r="698" ht="15.75" customHeight="1">
      <c r="A698" s="41" t="s">
        <v>31</v>
      </c>
      <c r="B698" s="42" t="s">
        <v>1584</v>
      </c>
      <c r="C698" s="72" t="s">
        <v>1585</v>
      </c>
      <c r="D698" s="44" t="s">
        <v>1586</v>
      </c>
      <c r="E698" s="44" t="s">
        <v>1587</v>
      </c>
      <c r="F698" s="45">
        <v>0.21</v>
      </c>
      <c r="G698" s="65" t="s">
        <v>517</v>
      </c>
      <c r="H698" s="28"/>
      <c r="I698" s="28"/>
      <c r="J698" s="28"/>
      <c r="K698" s="28"/>
      <c r="L698" s="28"/>
      <c r="M698" s="28"/>
      <c r="N698" s="28"/>
      <c r="O698" s="28"/>
      <c r="P698" s="28"/>
      <c r="Q698" s="28"/>
      <c r="R698" s="28"/>
      <c r="S698" s="28"/>
    </row>
    <row r="699" ht="15.75" customHeight="1">
      <c r="A699" s="47" t="s">
        <v>31</v>
      </c>
      <c r="B699" s="48" t="s">
        <v>1588</v>
      </c>
      <c r="C699" s="73" t="s">
        <v>1589</v>
      </c>
      <c r="D699" s="37" t="s">
        <v>1586</v>
      </c>
      <c r="E699" s="37" t="s">
        <v>1587</v>
      </c>
      <c r="F699" s="38">
        <v>0.21</v>
      </c>
      <c r="G699" s="65" t="s">
        <v>517</v>
      </c>
      <c r="H699" s="28"/>
      <c r="I699" s="28"/>
      <c r="J699" s="28"/>
      <c r="K699" s="28"/>
      <c r="L699" s="28"/>
      <c r="M699" s="28"/>
      <c r="N699" s="28"/>
      <c r="O699" s="28"/>
      <c r="P699" s="28"/>
      <c r="Q699" s="28"/>
      <c r="R699" s="28"/>
      <c r="S699" s="28"/>
    </row>
    <row r="700" ht="15.75" customHeight="1">
      <c r="A700" s="41" t="s">
        <v>31</v>
      </c>
      <c r="B700" s="42" t="s">
        <v>1590</v>
      </c>
      <c r="C700" s="72" t="s">
        <v>1591</v>
      </c>
      <c r="D700" s="44" t="s">
        <v>74</v>
      </c>
      <c r="E700" s="44" t="s">
        <v>75</v>
      </c>
      <c r="F700" s="45">
        <v>0.21</v>
      </c>
      <c r="G700" s="65" t="s">
        <v>517</v>
      </c>
      <c r="H700" s="28"/>
      <c r="I700" s="28"/>
      <c r="J700" s="28"/>
      <c r="K700" s="28"/>
      <c r="L700" s="28"/>
      <c r="M700" s="28"/>
      <c r="N700" s="28"/>
      <c r="O700" s="28"/>
      <c r="P700" s="28"/>
      <c r="Q700" s="28"/>
      <c r="R700" s="28"/>
      <c r="S700" s="28"/>
    </row>
    <row r="701" ht="15.75" customHeight="1">
      <c r="A701" s="47" t="s">
        <v>31</v>
      </c>
      <c r="B701" s="48" t="s">
        <v>1592</v>
      </c>
      <c r="C701" s="73" t="s">
        <v>1593</v>
      </c>
      <c r="D701" s="37" t="s">
        <v>931</v>
      </c>
      <c r="E701" s="37" t="s">
        <v>932</v>
      </c>
      <c r="F701" s="38">
        <v>0.21</v>
      </c>
      <c r="G701" s="65" t="s">
        <v>517</v>
      </c>
      <c r="H701" s="28"/>
      <c r="I701" s="28"/>
      <c r="J701" s="28"/>
      <c r="K701" s="28"/>
      <c r="L701" s="28"/>
      <c r="M701" s="28"/>
      <c r="N701" s="28"/>
      <c r="O701" s="28"/>
      <c r="P701" s="28"/>
      <c r="Q701" s="28"/>
      <c r="R701" s="28"/>
      <c r="S701" s="28"/>
    </row>
    <row r="702" ht="15.75" customHeight="1">
      <c r="A702" s="41" t="s">
        <v>31</v>
      </c>
      <c r="B702" s="42" t="s">
        <v>1594</v>
      </c>
      <c r="C702" s="72" t="s">
        <v>1595</v>
      </c>
      <c r="D702" s="44" t="s">
        <v>532</v>
      </c>
      <c r="E702" s="44" t="s">
        <v>533</v>
      </c>
      <c r="F702" s="45">
        <v>0.21</v>
      </c>
      <c r="G702" s="65" t="s">
        <v>517</v>
      </c>
      <c r="H702" s="28"/>
      <c r="I702" s="28"/>
      <c r="J702" s="28"/>
      <c r="K702" s="28"/>
      <c r="L702" s="28"/>
      <c r="M702" s="28"/>
      <c r="N702" s="28"/>
      <c r="O702" s="28"/>
      <c r="P702" s="28"/>
      <c r="Q702" s="28"/>
      <c r="R702" s="28"/>
      <c r="S702" s="28"/>
    </row>
    <row r="703" ht="15.75" customHeight="1">
      <c r="A703" s="47" t="s">
        <v>31</v>
      </c>
      <c r="B703" s="48" t="s">
        <v>1596</v>
      </c>
      <c r="C703" s="73" t="s">
        <v>1597</v>
      </c>
      <c r="D703" s="37" t="s">
        <v>739</v>
      </c>
      <c r="E703" s="37" t="s">
        <v>740</v>
      </c>
      <c r="F703" s="38">
        <v>0.21</v>
      </c>
      <c r="G703" s="65" t="s">
        <v>517</v>
      </c>
      <c r="H703" s="28"/>
      <c r="I703" s="28"/>
      <c r="J703" s="28"/>
      <c r="K703" s="28"/>
      <c r="L703" s="28"/>
      <c r="M703" s="28"/>
      <c r="N703" s="28"/>
      <c r="O703" s="28"/>
      <c r="P703" s="28"/>
      <c r="Q703" s="28"/>
      <c r="R703" s="28"/>
      <c r="S703" s="28"/>
    </row>
    <row r="704" ht="15.75" customHeight="1">
      <c r="A704" s="41" t="s">
        <v>31</v>
      </c>
      <c r="B704" s="42" t="s">
        <v>1598</v>
      </c>
      <c r="C704" s="72" t="s">
        <v>1599</v>
      </c>
      <c r="D704" s="44" t="s">
        <v>515</v>
      </c>
      <c r="E704" s="44" t="s">
        <v>516</v>
      </c>
      <c r="F704" s="45">
        <v>0.21</v>
      </c>
      <c r="G704" s="65" t="s">
        <v>517</v>
      </c>
      <c r="H704" s="28"/>
      <c r="I704" s="28"/>
      <c r="J704" s="28"/>
      <c r="K704" s="28"/>
      <c r="L704" s="28"/>
      <c r="M704" s="28"/>
      <c r="N704" s="28"/>
      <c r="O704" s="28"/>
      <c r="P704" s="28"/>
      <c r="Q704" s="28"/>
      <c r="R704" s="28"/>
      <c r="S704" s="28"/>
    </row>
    <row r="705" ht="15.75" customHeight="1">
      <c r="A705" s="47" t="s">
        <v>31</v>
      </c>
      <c r="B705" s="48" t="s">
        <v>1600</v>
      </c>
      <c r="C705" s="73" t="s">
        <v>1601</v>
      </c>
      <c r="D705" s="37" t="s">
        <v>941</v>
      </c>
      <c r="E705" s="37" t="s">
        <v>942</v>
      </c>
      <c r="F705" s="38">
        <v>0.21</v>
      </c>
      <c r="G705" s="65" t="s">
        <v>517</v>
      </c>
      <c r="H705" s="28"/>
      <c r="I705" s="28"/>
      <c r="J705" s="28"/>
      <c r="K705" s="28"/>
      <c r="L705" s="28"/>
      <c r="M705" s="28"/>
      <c r="N705" s="28"/>
      <c r="O705" s="28"/>
      <c r="P705" s="28"/>
      <c r="Q705" s="28"/>
      <c r="R705" s="28"/>
      <c r="S705" s="28"/>
    </row>
    <row r="706" ht="15.75" customHeight="1">
      <c r="A706" s="41" t="s">
        <v>31</v>
      </c>
      <c r="B706" s="42" t="s">
        <v>1602</v>
      </c>
      <c r="C706" s="72" t="s">
        <v>1603</v>
      </c>
      <c r="D706" s="44" t="s">
        <v>941</v>
      </c>
      <c r="E706" s="44" t="s">
        <v>942</v>
      </c>
      <c r="F706" s="45">
        <v>0.21</v>
      </c>
      <c r="G706" s="65" t="s">
        <v>517</v>
      </c>
      <c r="H706" s="28"/>
      <c r="I706" s="28"/>
      <c r="J706" s="28"/>
      <c r="K706" s="28"/>
      <c r="L706" s="28"/>
      <c r="M706" s="28"/>
      <c r="N706" s="28"/>
      <c r="O706" s="28"/>
      <c r="P706" s="28"/>
      <c r="Q706" s="28"/>
      <c r="R706" s="28"/>
      <c r="S706" s="28"/>
    </row>
    <row r="707" ht="15.75" customHeight="1">
      <c r="A707" s="47" t="s">
        <v>31</v>
      </c>
      <c r="B707" s="48" t="s">
        <v>1604</v>
      </c>
      <c r="C707" s="73" t="s">
        <v>1605</v>
      </c>
      <c r="D707" s="37" t="s">
        <v>1606</v>
      </c>
      <c r="E707" s="37" t="s">
        <v>1607</v>
      </c>
      <c r="F707" s="38">
        <v>0.21</v>
      </c>
      <c r="G707" s="65" t="s">
        <v>517</v>
      </c>
      <c r="H707" s="28"/>
      <c r="I707" s="28"/>
      <c r="J707" s="28"/>
      <c r="K707" s="28"/>
      <c r="L707" s="28"/>
      <c r="M707" s="28"/>
      <c r="N707" s="28"/>
      <c r="O707" s="28"/>
      <c r="P707" s="28"/>
      <c r="Q707" s="28"/>
      <c r="R707" s="28"/>
      <c r="S707" s="28"/>
    </row>
    <row r="708" ht="15.75" customHeight="1">
      <c r="A708" s="29" t="s">
        <v>1608</v>
      </c>
      <c r="C708" s="74"/>
      <c r="D708" s="55"/>
      <c r="E708" s="32"/>
      <c r="F708" s="30"/>
      <c r="G708" s="30"/>
      <c r="H708" s="28"/>
      <c r="I708" s="28"/>
      <c r="J708" s="28"/>
      <c r="K708" s="28"/>
      <c r="L708" s="28"/>
      <c r="M708" s="28"/>
      <c r="N708" s="28"/>
      <c r="O708" s="28"/>
      <c r="P708" s="28"/>
      <c r="Q708" s="28"/>
      <c r="R708" s="28"/>
      <c r="S708" s="28"/>
    </row>
    <row r="709" ht="15.75" customHeight="1">
      <c r="A709" s="41" t="s">
        <v>31</v>
      </c>
      <c r="B709" s="42" t="s">
        <v>1609</v>
      </c>
      <c r="C709" s="72" t="s">
        <v>1610</v>
      </c>
      <c r="D709" s="44" t="s">
        <v>1611</v>
      </c>
      <c r="E709" s="44" t="s">
        <v>1612</v>
      </c>
      <c r="F709" s="45">
        <v>0.21</v>
      </c>
      <c r="G709" s="65" t="s">
        <v>517</v>
      </c>
      <c r="H709" s="28"/>
      <c r="I709" s="28"/>
      <c r="J709" s="28"/>
      <c r="K709" s="28"/>
      <c r="L709" s="28"/>
      <c r="M709" s="28"/>
      <c r="N709" s="28"/>
      <c r="O709" s="28"/>
      <c r="P709" s="28"/>
      <c r="Q709" s="28"/>
      <c r="R709" s="28"/>
      <c r="S709" s="28"/>
    </row>
    <row r="710" ht="15.75" customHeight="1">
      <c r="A710" s="47" t="s">
        <v>31</v>
      </c>
      <c r="B710" s="48" t="s">
        <v>1613</v>
      </c>
      <c r="C710" s="73" t="s">
        <v>1614</v>
      </c>
      <c r="D710" s="37" t="s">
        <v>1615</v>
      </c>
      <c r="E710" s="37" t="s">
        <v>1616</v>
      </c>
      <c r="F710" s="38">
        <v>0.21</v>
      </c>
      <c r="G710" s="65" t="s">
        <v>517</v>
      </c>
      <c r="H710" s="28"/>
      <c r="I710" s="28"/>
      <c r="J710" s="28"/>
      <c r="K710" s="28"/>
      <c r="L710" s="28"/>
      <c r="M710" s="28"/>
      <c r="N710" s="28"/>
      <c r="O710" s="28"/>
      <c r="P710" s="28"/>
      <c r="Q710" s="28"/>
      <c r="R710" s="28"/>
      <c r="S710" s="28"/>
    </row>
    <row r="711" ht="15.75" customHeight="1">
      <c r="A711" s="41" t="s">
        <v>31</v>
      </c>
      <c r="B711" s="42" t="s">
        <v>1617</v>
      </c>
      <c r="C711" s="72" t="s">
        <v>1618</v>
      </c>
      <c r="D711" s="44" t="s">
        <v>1619</v>
      </c>
      <c r="E711" s="44" t="s">
        <v>1620</v>
      </c>
      <c r="F711" s="45">
        <v>0.21</v>
      </c>
      <c r="G711" s="65" t="s">
        <v>517</v>
      </c>
      <c r="H711" s="28"/>
      <c r="I711" s="28"/>
      <c r="J711" s="28"/>
      <c r="K711" s="28"/>
      <c r="L711" s="28"/>
      <c r="M711" s="28"/>
      <c r="N711" s="28"/>
      <c r="O711" s="28"/>
      <c r="P711" s="28"/>
      <c r="Q711" s="28"/>
      <c r="R711" s="28"/>
      <c r="S711" s="28"/>
    </row>
    <row r="712" ht="15.75" customHeight="1">
      <c r="A712" s="47" t="s">
        <v>31</v>
      </c>
      <c r="B712" s="48" t="s">
        <v>1621</v>
      </c>
      <c r="C712" s="73" t="s">
        <v>1622</v>
      </c>
      <c r="D712" s="37" t="s">
        <v>256</v>
      </c>
      <c r="E712" s="37" t="s">
        <v>257</v>
      </c>
      <c r="F712" s="38">
        <v>0.21</v>
      </c>
      <c r="G712" s="65" t="s">
        <v>517</v>
      </c>
      <c r="H712" s="28"/>
      <c r="I712" s="28"/>
      <c r="J712" s="28"/>
      <c r="K712" s="28"/>
      <c r="L712" s="28"/>
      <c r="M712" s="28"/>
      <c r="N712" s="28"/>
      <c r="O712" s="28"/>
      <c r="P712" s="28"/>
      <c r="Q712" s="28"/>
      <c r="R712" s="28"/>
      <c r="S712" s="28"/>
    </row>
    <row r="713" ht="15.75" customHeight="1">
      <c r="A713" s="41" t="s">
        <v>31</v>
      </c>
      <c r="B713" s="42" t="s">
        <v>1623</v>
      </c>
      <c r="C713" s="72" t="s">
        <v>1624</v>
      </c>
      <c r="D713" s="44" t="s">
        <v>1625</v>
      </c>
      <c r="E713" s="44" t="s">
        <v>1626</v>
      </c>
      <c r="F713" s="45">
        <v>0.21</v>
      </c>
      <c r="G713" s="65" t="s">
        <v>517</v>
      </c>
      <c r="H713" s="28"/>
      <c r="I713" s="28"/>
      <c r="J713" s="28"/>
      <c r="K713" s="28"/>
      <c r="L713" s="28"/>
      <c r="M713" s="28"/>
      <c r="N713" s="28"/>
      <c r="O713" s="28"/>
      <c r="P713" s="28"/>
      <c r="Q713" s="28"/>
      <c r="R713" s="28"/>
      <c r="S713" s="28"/>
    </row>
    <row r="714" ht="15.75" customHeight="1">
      <c r="A714" s="47" t="s">
        <v>31</v>
      </c>
      <c r="B714" s="48" t="s">
        <v>1627</v>
      </c>
      <c r="C714" s="73" t="s">
        <v>1628</v>
      </c>
      <c r="D714" s="37" t="s">
        <v>1629</v>
      </c>
      <c r="E714" s="37" t="s">
        <v>1630</v>
      </c>
      <c r="F714" s="38">
        <v>0.21</v>
      </c>
      <c r="G714" s="65" t="s">
        <v>517</v>
      </c>
      <c r="H714" s="28"/>
      <c r="I714" s="28"/>
      <c r="J714" s="28"/>
      <c r="K714" s="28"/>
      <c r="L714" s="28"/>
      <c r="M714" s="28"/>
      <c r="N714" s="28"/>
      <c r="O714" s="28"/>
      <c r="P714" s="28"/>
      <c r="Q714" s="28"/>
      <c r="R714" s="28"/>
      <c r="S714" s="28"/>
    </row>
    <row r="715" ht="15.75" customHeight="1">
      <c r="A715" s="41" t="s">
        <v>31</v>
      </c>
      <c r="B715" s="42" t="s">
        <v>1631</v>
      </c>
      <c r="C715" s="72" t="s">
        <v>1632</v>
      </c>
      <c r="D715" s="44" t="s">
        <v>180</v>
      </c>
      <c r="E715" s="44" t="s">
        <v>181</v>
      </c>
      <c r="F715" s="45">
        <v>0.21</v>
      </c>
      <c r="G715" s="65" t="s">
        <v>517</v>
      </c>
      <c r="H715" s="28"/>
      <c r="I715" s="28"/>
      <c r="J715" s="28"/>
      <c r="K715" s="28"/>
      <c r="L715" s="28"/>
      <c r="M715" s="28"/>
      <c r="N715" s="28"/>
      <c r="O715" s="28"/>
      <c r="P715" s="28"/>
      <c r="Q715" s="28"/>
      <c r="R715" s="28"/>
      <c r="S715" s="28"/>
    </row>
    <row r="716" ht="15.75" customHeight="1">
      <c r="A716" s="47" t="s">
        <v>31</v>
      </c>
      <c r="B716" s="48" t="s">
        <v>1633</v>
      </c>
      <c r="C716" s="73" t="s">
        <v>1634</v>
      </c>
      <c r="D716" s="37" t="s">
        <v>1083</v>
      </c>
      <c r="E716" s="37" t="s">
        <v>1084</v>
      </c>
      <c r="F716" s="38">
        <v>0.21</v>
      </c>
      <c r="G716" s="65" t="s">
        <v>517</v>
      </c>
      <c r="H716" s="28"/>
      <c r="I716" s="28"/>
      <c r="J716" s="28"/>
      <c r="K716" s="28"/>
      <c r="L716" s="28"/>
      <c r="M716" s="28"/>
      <c r="N716" s="28"/>
      <c r="O716" s="28"/>
      <c r="P716" s="28"/>
      <c r="Q716" s="28"/>
      <c r="R716" s="28"/>
      <c r="S716" s="28"/>
    </row>
    <row r="717" ht="15.75" customHeight="1">
      <c r="A717" s="41" t="s">
        <v>31</v>
      </c>
      <c r="B717" s="71" t="s">
        <v>1635</v>
      </c>
      <c r="C717" s="72" t="s">
        <v>328</v>
      </c>
      <c r="D717" s="44" t="s">
        <v>1636</v>
      </c>
      <c r="E717" s="44" t="s">
        <v>1637</v>
      </c>
      <c r="F717" s="45">
        <v>0.21</v>
      </c>
      <c r="G717" s="65" t="s">
        <v>517</v>
      </c>
      <c r="H717" s="28"/>
      <c r="I717" s="28"/>
      <c r="J717" s="28"/>
      <c r="K717" s="28"/>
      <c r="L717" s="28"/>
      <c r="M717" s="28"/>
      <c r="N717" s="28"/>
      <c r="O717" s="28"/>
      <c r="P717" s="28"/>
      <c r="Q717" s="28"/>
      <c r="R717" s="28"/>
      <c r="S717" s="28"/>
    </row>
    <row r="718" ht="15.75" customHeight="1">
      <c r="A718" s="47" t="s">
        <v>31</v>
      </c>
      <c r="B718" s="48" t="s">
        <v>1638</v>
      </c>
      <c r="C718" s="73" t="s">
        <v>1639</v>
      </c>
      <c r="D718" s="37" t="s">
        <v>46</v>
      </c>
      <c r="E718" s="37" t="s">
        <v>47</v>
      </c>
      <c r="F718" s="38">
        <v>0.21</v>
      </c>
      <c r="G718" s="65" t="s">
        <v>517</v>
      </c>
      <c r="H718" s="28"/>
      <c r="I718" s="28"/>
      <c r="J718" s="28"/>
      <c r="K718" s="28"/>
      <c r="L718" s="28"/>
      <c r="M718" s="28"/>
      <c r="N718" s="28"/>
      <c r="O718" s="28"/>
      <c r="P718" s="28"/>
      <c r="Q718" s="28"/>
      <c r="R718" s="28"/>
      <c r="S718" s="28"/>
    </row>
    <row r="719" ht="15.75" customHeight="1">
      <c r="A719" s="41" t="s">
        <v>31</v>
      </c>
      <c r="B719" s="42" t="s">
        <v>1640</v>
      </c>
      <c r="C719" s="72" t="s">
        <v>1641</v>
      </c>
      <c r="D719" s="44" t="s">
        <v>46</v>
      </c>
      <c r="E719" s="44" t="s">
        <v>47</v>
      </c>
      <c r="F719" s="45">
        <v>0.21</v>
      </c>
      <c r="G719" s="65" t="s">
        <v>517</v>
      </c>
      <c r="H719" s="28"/>
      <c r="I719" s="28"/>
      <c r="J719" s="28"/>
      <c r="K719" s="28"/>
      <c r="L719" s="28"/>
      <c r="M719" s="28"/>
      <c r="N719" s="28"/>
      <c r="O719" s="28"/>
      <c r="P719" s="28"/>
      <c r="Q719" s="28"/>
      <c r="R719" s="28"/>
      <c r="S719" s="28"/>
    </row>
    <row r="720" ht="15.75" customHeight="1">
      <c r="A720" s="29" t="s">
        <v>1642</v>
      </c>
      <c r="C720" s="74"/>
      <c r="D720" s="55"/>
      <c r="E720" s="32"/>
      <c r="F720" s="30"/>
      <c r="G720" s="30"/>
      <c r="H720" s="28"/>
      <c r="I720" s="28"/>
      <c r="J720" s="28"/>
      <c r="K720" s="28"/>
      <c r="L720" s="28"/>
      <c r="M720" s="28"/>
      <c r="N720" s="28"/>
      <c r="O720" s="28"/>
      <c r="P720" s="28"/>
      <c r="Q720" s="28"/>
      <c r="R720" s="28"/>
      <c r="S720" s="28"/>
    </row>
    <row r="721" ht="15.75" customHeight="1">
      <c r="A721" s="41" t="s">
        <v>31</v>
      </c>
      <c r="B721" s="42" t="s">
        <v>1643</v>
      </c>
      <c r="C721" s="76" t="s">
        <v>1644</v>
      </c>
      <c r="D721" s="44" t="s">
        <v>234</v>
      </c>
      <c r="E721" s="44" t="s">
        <v>235</v>
      </c>
      <c r="F721" s="45">
        <v>0.21</v>
      </c>
      <c r="G721" s="65" t="s">
        <v>517</v>
      </c>
      <c r="H721" s="28"/>
      <c r="I721" s="28"/>
      <c r="J721" s="28"/>
      <c r="K721" s="28"/>
      <c r="L721" s="28"/>
      <c r="M721" s="28"/>
      <c r="N721" s="28"/>
      <c r="O721" s="28"/>
      <c r="P721" s="28"/>
      <c r="Q721" s="28"/>
      <c r="R721" s="28"/>
      <c r="S721" s="28"/>
    </row>
    <row r="722" ht="15.75" customHeight="1">
      <c r="A722" s="47" t="s">
        <v>31</v>
      </c>
      <c r="B722" s="48" t="s">
        <v>1645</v>
      </c>
      <c r="C722" s="73" t="s">
        <v>328</v>
      </c>
      <c r="D722" s="37" t="s">
        <v>515</v>
      </c>
      <c r="E722" s="37" t="s">
        <v>516</v>
      </c>
      <c r="F722" s="38">
        <v>0.21</v>
      </c>
      <c r="G722" s="65" t="s">
        <v>517</v>
      </c>
      <c r="H722" s="28"/>
      <c r="I722" s="28"/>
      <c r="J722" s="28"/>
      <c r="K722" s="28"/>
      <c r="L722" s="28"/>
      <c r="M722" s="28"/>
      <c r="N722" s="28"/>
      <c r="O722" s="28"/>
      <c r="P722" s="28"/>
      <c r="Q722" s="28"/>
      <c r="R722" s="28"/>
      <c r="S722" s="28"/>
    </row>
    <row r="723" ht="15.75" customHeight="1">
      <c r="A723" s="41" t="s">
        <v>31</v>
      </c>
      <c r="B723" s="42" t="s">
        <v>1646</v>
      </c>
      <c r="C723" s="72" t="s">
        <v>1647</v>
      </c>
      <c r="D723" s="44" t="s">
        <v>273</v>
      </c>
      <c r="E723" s="44" t="s">
        <v>274</v>
      </c>
      <c r="F723" s="45">
        <v>0.21</v>
      </c>
      <c r="G723" s="65" t="s">
        <v>517</v>
      </c>
      <c r="H723" s="28"/>
      <c r="I723" s="28"/>
      <c r="J723" s="28"/>
      <c r="K723" s="28"/>
      <c r="L723" s="28"/>
      <c r="M723" s="28"/>
      <c r="N723" s="28"/>
      <c r="O723" s="28"/>
      <c r="P723" s="28"/>
      <c r="Q723" s="28"/>
      <c r="R723" s="28"/>
      <c r="S723" s="28"/>
    </row>
    <row r="724" ht="15.75" customHeight="1">
      <c r="A724" s="47" t="s">
        <v>31</v>
      </c>
      <c r="B724" s="48" t="s">
        <v>1648</v>
      </c>
      <c r="C724" s="73" t="s">
        <v>1649</v>
      </c>
      <c r="D724" s="37" t="s">
        <v>532</v>
      </c>
      <c r="E724" s="37" t="s">
        <v>533</v>
      </c>
      <c r="F724" s="38">
        <v>0.21</v>
      </c>
      <c r="G724" s="65" t="s">
        <v>517</v>
      </c>
      <c r="H724" s="28"/>
      <c r="I724" s="28"/>
      <c r="J724" s="28"/>
      <c r="K724" s="28"/>
      <c r="L724" s="28"/>
      <c r="M724" s="28"/>
      <c r="N724" s="28"/>
      <c r="O724" s="28"/>
      <c r="P724" s="28"/>
      <c r="Q724" s="28"/>
      <c r="R724" s="28"/>
      <c r="S724" s="28"/>
    </row>
    <row r="725" ht="15.75" customHeight="1">
      <c r="A725" s="41" t="s">
        <v>31</v>
      </c>
      <c r="B725" s="42" t="s">
        <v>1650</v>
      </c>
      <c r="C725" s="72" t="s">
        <v>1651</v>
      </c>
      <c r="D725" s="44" t="s">
        <v>532</v>
      </c>
      <c r="E725" s="44" t="s">
        <v>533</v>
      </c>
      <c r="F725" s="45">
        <v>0.21</v>
      </c>
      <c r="G725" s="65" t="s">
        <v>517</v>
      </c>
      <c r="H725" s="28"/>
      <c r="I725" s="28"/>
      <c r="J725" s="28"/>
      <c r="K725" s="28"/>
      <c r="L725" s="28"/>
      <c r="M725" s="28"/>
      <c r="N725" s="28"/>
      <c r="O725" s="28"/>
      <c r="P725" s="28"/>
      <c r="Q725" s="28"/>
      <c r="R725" s="28"/>
      <c r="S725" s="28"/>
    </row>
    <row r="726" ht="15.75" customHeight="1">
      <c r="A726" s="47" t="s">
        <v>31</v>
      </c>
      <c r="B726" s="48" t="s">
        <v>1652</v>
      </c>
      <c r="C726" s="73" t="s">
        <v>1653</v>
      </c>
      <c r="D726" s="37" t="s">
        <v>532</v>
      </c>
      <c r="E726" s="37" t="s">
        <v>533</v>
      </c>
      <c r="F726" s="38">
        <v>0.21</v>
      </c>
      <c r="G726" s="65" t="s">
        <v>517</v>
      </c>
      <c r="H726" s="28"/>
      <c r="I726" s="28"/>
      <c r="J726" s="28"/>
      <c r="K726" s="28"/>
      <c r="L726" s="28"/>
      <c r="M726" s="28"/>
      <c r="N726" s="28"/>
      <c r="O726" s="28"/>
      <c r="P726" s="28"/>
      <c r="Q726" s="28"/>
      <c r="R726" s="28"/>
      <c r="S726" s="28"/>
    </row>
    <row r="727" ht="15.75" customHeight="1">
      <c r="A727" s="41" t="s">
        <v>31</v>
      </c>
      <c r="B727" s="42" t="s">
        <v>1654</v>
      </c>
      <c r="C727" s="72" t="s">
        <v>1655</v>
      </c>
      <c r="D727" s="44" t="s">
        <v>532</v>
      </c>
      <c r="E727" s="44" t="s">
        <v>533</v>
      </c>
      <c r="F727" s="45">
        <v>0.21</v>
      </c>
      <c r="G727" s="65" t="s">
        <v>517</v>
      </c>
      <c r="H727" s="28"/>
      <c r="I727" s="28"/>
      <c r="J727" s="28"/>
      <c r="K727" s="28"/>
      <c r="L727" s="28"/>
      <c r="M727" s="28"/>
      <c r="N727" s="28"/>
      <c r="O727" s="28"/>
      <c r="P727" s="28"/>
      <c r="Q727" s="28"/>
      <c r="R727" s="28"/>
      <c r="S727" s="28"/>
    </row>
    <row r="728" ht="15.75" customHeight="1">
      <c r="A728" s="47" t="s">
        <v>31</v>
      </c>
      <c r="B728" s="48" t="s">
        <v>1656</v>
      </c>
      <c r="C728" s="73" t="s">
        <v>1657</v>
      </c>
      <c r="D728" s="37" t="s">
        <v>532</v>
      </c>
      <c r="E728" s="37" t="s">
        <v>533</v>
      </c>
      <c r="F728" s="38">
        <v>0.21</v>
      </c>
      <c r="G728" s="65" t="s">
        <v>517</v>
      </c>
      <c r="H728" s="28"/>
      <c r="I728" s="28"/>
      <c r="J728" s="28"/>
      <c r="K728" s="28"/>
      <c r="L728" s="28"/>
      <c r="M728" s="28"/>
      <c r="N728" s="28"/>
      <c r="O728" s="28"/>
      <c r="P728" s="28"/>
      <c r="Q728" s="28"/>
      <c r="R728" s="28"/>
      <c r="S728" s="28"/>
    </row>
    <row r="729" ht="15.75" customHeight="1">
      <c r="A729" s="41" t="s">
        <v>31</v>
      </c>
      <c r="B729" s="42" t="s">
        <v>1658</v>
      </c>
      <c r="C729" s="72" t="s">
        <v>1659</v>
      </c>
      <c r="D729" s="44" t="s">
        <v>42</v>
      </c>
      <c r="E729" s="44" t="s">
        <v>43</v>
      </c>
      <c r="F729" s="45">
        <v>0.21</v>
      </c>
      <c r="G729" s="65" t="s">
        <v>517</v>
      </c>
      <c r="H729" s="28"/>
      <c r="I729" s="28"/>
      <c r="J729" s="28"/>
      <c r="K729" s="28"/>
      <c r="L729" s="28"/>
      <c r="M729" s="28"/>
      <c r="N729" s="28"/>
      <c r="O729" s="28"/>
      <c r="P729" s="28"/>
      <c r="Q729" s="28"/>
      <c r="R729" s="28"/>
      <c r="S729" s="28"/>
    </row>
    <row r="730" ht="15.75" customHeight="1">
      <c r="A730" s="47" t="s">
        <v>31</v>
      </c>
      <c r="B730" s="48" t="s">
        <v>1660</v>
      </c>
      <c r="C730" s="73" t="s">
        <v>1661</v>
      </c>
      <c r="D730" s="37" t="s">
        <v>42</v>
      </c>
      <c r="E730" s="37" t="s">
        <v>43</v>
      </c>
      <c r="F730" s="38">
        <v>0.21</v>
      </c>
      <c r="G730" s="65" t="s">
        <v>517</v>
      </c>
      <c r="H730" s="28"/>
      <c r="I730" s="28"/>
      <c r="J730" s="28"/>
      <c r="K730" s="28"/>
      <c r="L730" s="28"/>
      <c r="M730" s="28"/>
      <c r="N730" s="28"/>
      <c r="O730" s="28"/>
      <c r="P730" s="28"/>
      <c r="Q730" s="28"/>
      <c r="R730" s="28"/>
      <c r="S730" s="28"/>
    </row>
    <row r="731" ht="15.75" customHeight="1">
      <c r="A731" s="41" t="s">
        <v>31</v>
      </c>
      <c r="B731" s="42" t="s">
        <v>1662</v>
      </c>
      <c r="C731" s="72" t="s">
        <v>1663</v>
      </c>
      <c r="D731" s="44" t="s">
        <v>42</v>
      </c>
      <c r="E731" s="44" t="s">
        <v>43</v>
      </c>
      <c r="F731" s="45">
        <v>0.21</v>
      </c>
      <c r="G731" s="65" t="s">
        <v>517</v>
      </c>
      <c r="H731" s="28"/>
      <c r="I731" s="28"/>
      <c r="J731" s="28"/>
      <c r="K731" s="28"/>
      <c r="L731" s="28"/>
      <c r="M731" s="28"/>
      <c r="N731" s="28"/>
      <c r="O731" s="28"/>
      <c r="P731" s="28"/>
      <c r="Q731" s="28"/>
      <c r="R731" s="28"/>
      <c r="S731" s="28"/>
    </row>
    <row r="732" ht="15.75" customHeight="1">
      <c r="A732" s="29" t="s">
        <v>1664</v>
      </c>
      <c r="C732" s="74"/>
      <c r="D732" s="55"/>
      <c r="E732" s="32"/>
      <c r="F732" s="30"/>
      <c r="G732" s="30"/>
      <c r="H732" s="28"/>
      <c r="I732" s="28"/>
      <c r="J732" s="28"/>
      <c r="K732" s="28"/>
      <c r="L732" s="28"/>
      <c r="M732" s="28"/>
      <c r="N732" s="28"/>
      <c r="O732" s="28"/>
      <c r="P732" s="28"/>
      <c r="Q732" s="28"/>
      <c r="R732" s="28"/>
      <c r="S732" s="28"/>
    </row>
    <row r="733" ht="15.75" customHeight="1">
      <c r="A733" s="41" t="s">
        <v>31</v>
      </c>
      <c r="B733" s="42" t="s">
        <v>1665</v>
      </c>
      <c r="C733" s="72" t="s">
        <v>1666</v>
      </c>
      <c r="D733" s="44" t="s">
        <v>89</v>
      </c>
      <c r="E733" s="44" t="s">
        <v>90</v>
      </c>
      <c r="F733" s="45">
        <v>0.21</v>
      </c>
      <c r="G733" s="65" t="s">
        <v>517</v>
      </c>
      <c r="H733" s="28"/>
      <c r="I733" s="28"/>
      <c r="J733" s="28"/>
      <c r="K733" s="28"/>
      <c r="L733" s="28"/>
      <c r="M733" s="28"/>
      <c r="N733" s="28"/>
      <c r="O733" s="28"/>
      <c r="P733" s="28"/>
      <c r="Q733" s="28"/>
      <c r="R733" s="28"/>
      <c r="S733" s="28"/>
    </row>
    <row r="734" ht="15.75" customHeight="1">
      <c r="A734" s="47" t="s">
        <v>31</v>
      </c>
      <c r="B734" s="48" t="s">
        <v>1667</v>
      </c>
      <c r="C734" s="73" t="s">
        <v>1668</v>
      </c>
      <c r="D734" s="37" t="s">
        <v>89</v>
      </c>
      <c r="E734" s="37" t="s">
        <v>90</v>
      </c>
      <c r="F734" s="38">
        <v>0.21</v>
      </c>
      <c r="G734" s="65" t="s">
        <v>517</v>
      </c>
      <c r="H734" s="28"/>
      <c r="I734" s="28"/>
      <c r="J734" s="28"/>
      <c r="K734" s="28"/>
      <c r="L734" s="28"/>
      <c r="M734" s="28"/>
      <c r="N734" s="28"/>
      <c r="O734" s="28"/>
      <c r="P734" s="28"/>
      <c r="Q734" s="28"/>
      <c r="R734" s="28"/>
      <c r="S734" s="28"/>
    </row>
    <row r="735" ht="15.75" customHeight="1">
      <c r="A735" s="41" t="s">
        <v>31</v>
      </c>
      <c r="B735" s="42" t="s">
        <v>1669</v>
      </c>
      <c r="C735" s="72" t="s">
        <v>1670</v>
      </c>
      <c r="D735" s="44" t="s">
        <v>89</v>
      </c>
      <c r="E735" s="44" t="s">
        <v>90</v>
      </c>
      <c r="F735" s="45">
        <v>0.21</v>
      </c>
      <c r="G735" s="65" t="s">
        <v>517</v>
      </c>
      <c r="H735" s="28"/>
      <c r="I735" s="28"/>
      <c r="J735" s="28"/>
      <c r="K735" s="28"/>
      <c r="L735" s="28"/>
      <c r="M735" s="28"/>
      <c r="N735" s="28"/>
      <c r="O735" s="28"/>
      <c r="P735" s="28"/>
      <c r="Q735" s="28"/>
      <c r="R735" s="28"/>
      <c r="S735" s="28"/>
    </row>
    <row r="736" ht="15.75" customHeight="1">
      <c r="A736" s="47" t="s">
        <v>31</v>
      </c>
      <c r="B736" s="48" t="s">
        <v>1671</v>
      </c>
      <c r="C736" s="73" t="s">
        <v>1672</v>
      </c>
      <c r="D736" s="37" t="s">
        <v>1673</v>
      </c>
      <c r="E736" s="37" t="s">
        <v>1674</v>
      </c>
      <c r="F736" s="38">
        <v>0.21</v>
      </c>
      <c r="G736" s="65" t="s">
        <v>517</v>
      </c>
      <c r="H736" s="28"/>
      <c r="I736" s="28"/>
      <c r="J736" s="28"/>
      <c r="K736" s="28"/>
      <c r="L736" s="28"/>
      <c r="M736" s="28"/>
      <c r="N736" s="28"/>
      <c r="O736" s="28"/>
      <c r="P736" s="28"/>
      <c r="Q736" s="28"/>
      <c r="R736" s="28"/>
      <c r="S736" s="28"/>
    </row>
    <row r="737" ht="15.75" customHeight="1">
      <c r="A737" s="41" t="s">
        <v>31</v>
      </c>
      <c r="B737" s="42" t="s">
        <v>1675</v>
      </c>
      <c r="C737" s="72" t="s">
        <v>1676</v>
      </c>
      <c r="D737" s="44" t="s">
        <v>564</v>
      </c>
      <c r="E737" s="44" t="s">
        <v>565</v>
      </c>
      <c r="F737" s="45">
        <v>0.21</v>
      </c>
      <c r="G737" s="65" t="s">
        <v>517</v>
      </c>
      <c r="H737" s="28"/>
      <c r="I737" s="28"/>
      <c r="J737" s="28"/>
      <c r="K737" s="28"/>
      <c r="L737" s="28"/>
      <c r="M737" s="28"/>
      <c r="N737" s="28"/>
      <c r="O737" s="28"/>
      <c r="P737" s="28"/>
      <c r="Q737" s="28"/>
      <c r="R737" s="28"/>
      <c r="S737" s="28"/>
    </row>
    <row r="738" ht="15.75" customHeight="1">
      <c r="A738" s="47" t="s">
        <v>31</v>
      </c>
      <c r="B738" s="48" t="s">
        <v>1677</v>
      </c>
      <c r="C738" s="73" t="s">
        <v>1678</v>
      </c>
      <c r="D738" s="37" t="s">
        <v>696</v>
      </c>
      <c r="E738" s="37" t="s">
        <v>697</v>
      </c>
      <c r="F738" s="38">
        <v>0.21</v>
      </c>
      <c r="G738" s="65" t="s">
        <v>517</v>
      </c>
      <c r="H738" s="28"/>
      <c r="I738" s="28"/>
      <c r="J738" s="28"/>
      <c r="K738" s="28"/>
      <c r="L738" s="28"/>
      <c r="M738" s="28"/>
      <c r="N738" s="28"/>
      <c r="O738" s="28"/>
      <c r="P738" s="28"/>
      <c r="Q738" s="28"/>
      <c r="R738" s="28"/>
      <c r="S738" s="28"/>
    </row>
    <row r="739" ht="15.75" customHeight="1">
      <c r="A739" s="41" t="s">
        <v>31</v>
      </c>
      <c r="B739" s="42" t="s">
        <v>1679</v>
      </c>
      <c r="C739" s="72" t="s">
        <v>1680</v>
      </c>
      <c r="D739" s="44" t="s">
        <v>696</v>
      </c>
      <c r="E739" s="44" t="s">
        <v>697</v>
      </c>
      <c r="F739" s="45">
        <v>0.21</v>
      </c>
      <c r="G739" s="65" t="s">
        <v>517</v>
      </c>
      <c r="H739" s="28"/>
      <c r="I739" s="28"/>
      <c r="J739" s="28"/>
      <c r="K739" s="28"/>
      <c r="L739" s="28"/>
      <c r="M739" s="28"/>
      <c r="N739" s="28"/>
      <c r="O739" s="28"/>
      <c r="P739" s="28"/>
      <c r="Q739" s="28"/>
      <c r="R739" s="28"/>
      <c r="S739" s="28"/>
    </row>
    <row r="740" ht="15.75" customHeight="1">
      <c r="A740" s="47" t="s">
        <v>31</v>
      </c>
      <c r="B740" s="48" t="s">
        <v>1681</v>
      </c>
      <c r="C740" s="73" t="s">
        <v>1682</v>
      </c>
      <c r="D740" s="37" t="s">
        <v>50</v>
      </c>
      <c r="E740" s="37" t="s">
        <v>51</v>
      </c>
      <c r="F740" s="38">
        <v>0.21</v>
      </c>
      <c r="G740" s="65" t="s">
        <v>517</v>
      </c>
      <c r="H740" s="28"/>
      <c r="I740" s="28"/>
      <c r="J740" s="28"/>
      <c r="K740" s="28"/>
      <c r="L740" s="28"/>
      <c r="M740" s="28"/>
      <c r="N740" s="28"/>
      <c r="O740" s="28"/>
      <c r="P740" s="28"/>
      <c r="Q740" s="28"/>
      <c r="R740" s="28"/>
      <c r="S740" s="28"/>
    </row>
    <row r="741" ht="15.75" customHeight="1">
      <c r="A741" s="41" t="s">
        <v>31</v>
      </c>
      <c r="B741" s="42" t="s">
        <v>1683</v>
      </c>
      <c r="C741" s="72" t="s">
        <v>1684</v>
      </c>
      <c r="D741" s="44" t="s">
        <v>448</v>
      </c>
      <c r="E741" s="44" t="s">
        <v>449</v>
      </c>
      <c r="F741" s="45">
        <v>0.21</v>
      </c>
      <c r="G741" s="65" t="s">
        <v>517</v>
      </c>
      <c r="H741" s="28"/>
      <c r="I741" s="28"/>
      <c r="J741" s="28"/>
      <c r="K741" s="28"/>
      <c r="L741" s="28"/>
      <c r="M741" s="28"/>
      <c r="N741" s="28"/>
      <c r="O741" s="28"/>
      <c r="P741" s="28"/>
      <c r="Q741" s="28"/>
      <c r="R741" s="28"/>
      <c r="S741" s="28"/>
    </row>
    <row r="742" ht="15.75" customHeight="1">
      <c r="A742" s="47" t="s">
        <v>31</v>
      </c>
      <c r="B742" s="48" t="s">
        <v>1685</v>
      </c>
      <c r="C742" s="73" t="s">
        <v>1686</v>
      </c>
      <c r="D742" s="37" t="s">
        <v>448</v>
      </c>
      <c r="E742" s="37" t="s">
        <v>449</v>
      </c>
      <c r="F742" s="38">
        <v>0.21</v>
      </c>
      <c r="G742" s="65" t="s">
        <v>517</v>
      </c>
      <c r="H742" s="28"/>
      <c r="I742" s="28"/>
      <c r="J742" s="28"/>
      <c r="K742" s="28"/>
      <c r="L742" s="28"/>
      <c r="M742" s="28"/>
      <c r="N742" s="28"/>
      <c r="O742" s="28"/>
      <c r="P742" s="28"/>
      <c r="Q742" s="28"/>
      <c r="R742" s="28"/>
      <c r="S742" s="28"/>
    </row>
    <row r="743" ht="15.75" customHeight="1">
      <c r="A743" s="41" t="s">
        <v>31</v>
      </c>
      <c r="B743" s="42" t="s">
        <v>1687</v>
      </c>
      <c r="C743" s="72" t="s">
        <v>1688</v>
      </c>
      <c r="D743" s="44" t="s">
        <v>448</v>
      </c>
      <c r="E743" s="44" t="s">
        <v>449</v>
      </c>
      <c r="F743" s="45">
        <v>0.21</v>
      </c>
      <c r="G743" s="65" t="s">
        <v>517</v>
      </c>
      <c r="H743" s="28"/>
      <c r="I743" s="28"/>
      <c r="J743" s="28"/>
      <c r="K743" s="28"/>
      <c r="L743" s="28"/>
      <c r="M743" s="28"/>
      <c r="N743" s="28"/>
      <c r="O743" s="28"/>
      <c r="P743" s="28"/>
      <c r="Q743" s="28"/>
      <c r="R743" s="28"/>
      <c r="S743" s="28"/>
    </row>
    <row r="744" ht="15.75" customHeight="1">
      <c r="A744" s="47" t="s">
        <v>31</v>
      </c>
      <c r="B744" s="48" t="s">
        <v>1689</v>
      </c>
      <c r="C744" s="73" t="s">
        <v>1690</v>
      </c>
      <c r="D744" s="37" t="s">
        <v>358</v>
      </c>
      <c r="E744" s="37" t="s">
        <v>359</v>
      </c>
      <c r="F744" s="38">
        <v>0.21</v>
      </c>
      <c r="G744" s="65" t="s">
        <v>517</v>
      </c>
      <c r="H744" s="28"/>
      <c r="I744" s="28"/>
      <c r="J744" s="28"/>
      <c r="K744" s="28"/>
      <c r="L744" s="28"/>
      <c r="M744" s="28"/>
      <c r="N744" s="28"/>
      <c r="O744" s="28"/>
      <c r="P744" s="28"/>
      <c r="Q744" s="28"/>
      <c r="R744" s="28"/>
      <c r="S744" s="28"/>
    </row>
    <row r="745" ht="15.75" customHeight="1">
      <c r="A745" s="29" t="s">
        <v>1691</v>
      </c>
      <c r="C745" s="74"/>
      <c r="D745" s="67"/>
      <c r="E745" s="32"/>
      <c r="F745" s="30"/>
      <c r="G745" s="30"/>
      <c r="H745" s="28"/>
      <c r="I745" s="28"/>
      <c r="J745" s="28"/>
      <c r="K745" s="28"/>
      <c r="L745" s="28"/>
      <c r="M745" s="28"/>
      <c r="N745" s="28"/>
      <c r="O745" s="28"/>
      <c r="P745" s="28"/>
      <c r="Q745" s="28"/>
      <c r="R745" s="28"/>
      <c r="S745" s="28"/>
    </row>
    <row r="746" ht="15.75" customHeight="1">
      <c r="A746" s="41" t="s">
        <v>31</v>
      </c>
      <c r="B746" s="42" t="s">
        <v>1692</v>
      </c>
      <c r="C746" s="72" t="s">
        <v>1693</v>
      </c>
      <c r="D746" s="44" t="s">
        <v>1694</v>
      </c>
      <c r="E746" s="44" t="s">
        <v>1695</v>
      </c>
      <c r="F746" s="45">
        <v>0.21</v>
      </c>
      <c r="G746" s="65" t="s">
        <v>517</v>
      </c>
      <c r="H746" s="28"/>
      <c r="I746" s="28"/>
      <c r="J746" s="28"/>
      <c r="K746" s="28"/>
      <c r="L746" s="28"/>
      <c r="M746" s="28"/>
      <c r="N746" s="28"/>
      <c r="O746" s="28"/>
      <c r="P746" s="28"/>
      <c r="Q746" s="28"/>
      <c r="R746" s="28"/>
      <c r="S746" s="28"/>
    </row>
    <row r="747" ht="15.75" customHeight="1">
      <c r="A747" s="47" t="s">
        <v>31</v>
      </c>
      <c r="B747" s="48" t="s">
        <v>1696</v>
      </c>
      <c r="C747" s="73" t="s">
        <v>1697</v>
      </c>
      <c r="D747" s="37" t="s">
        <v>1694</v>
      </c>
      <c r="E747" s="37" t="s">
        <v>1695</v>
      </c>
      <c r="F747" s="38">
        <v>0.21</v>
      </c>
      <c r="G747" s="65" t="s">
        <v>517</v>
      </c>
      <c r="H747" s="28"/>
      <c r="I747" s="28"/>
      <c r="J747" s="28"/>
      <c r="K747" s="28"/>
      <c r="L747" s="28"/>
      <c r="M747" s="28"/>
      <c r="N747" s="28"/>
      <c r="O747" s="28"/>
      <c r="P747" s="28"/>
      <c r="Q747" s="28"/>
      <c r="R747" s="28"/>
      <c r="S747" s="28"/>
    </row>
    <row r="748" ht="15.75" customHeight="1">
      <c r="A748" s="41" t="s">
        <v>31</v>
      </c>
      <c r="B748" s="42" t="s">
        <v>1698</v>
      </c>
      <c r="C748" s="72" t="s">
        <v>1699</v>
      </c>
      <c r="D748" s="44" t="s">
        <v>1625</v>
      </c>
      <c r="E748" s="44" t="s">
        <v>1626</v>
      </c>
      <c r="F748" s="45">
        <v>0.21</v>
      </c>
      <c r="G748" s="65" t="s">
        <v>517</v>
      </c>
      <c r="H748" s="28"/>
      <c r="I748" s="28"/>
      <c r="J748" s="28"/>
      <c r="K748" s="28"/>
      <c r="L748" s="28"/>
      <c r="M748" s="28"/>
      <c r="N748" s="28"/>
      <c r="O748" s="28"/>
      <c r="P748" s="28"/>
      <c r="Q748" s="28"/>
      <c r="R748" s="28"/>
      <c r="S748" s="28"/>
    </row>
    <row r="749" ht="15.75" customHeight="1">
      <c r="A749" s="47" t="s">
        <v>31</v>
      </c>
      <c r="B749" s="48" t="s">
        <v>1700</v>
      </c>
      <c r="C749" s="73" t="s">
        <v>1701</v>
      </c>
      <c r="D749" s="37" t="s">
        <v>1694</v>
      </c>
      <c r="E749" s="37" t="s">
        <v>1695</v>
      </c>
      <c r="F749" s="38">
        <v>0.21</v>
      </c>
      <c r="G749" s="65" t="s">
        <v>517</v>
      </c>
      <c r="H749" s="28"/>
      <c r="I749" s="28"/>
      <c r="J749" s="28"/>
      <c r="K749" s="28"/>
      <c r="L749" s="28"/>
      <c r="M749" s="28"/>
      <c r="N749" s="28"/>
      <c r="O749" s="28"/>
      <c r="P749" s="28"/>
      <c r="Q749" s="28"/>
      <c r="R749" s="28"/>
      <c r="S749" s="28"/>
    </row>
    <row r="750" ht="15.75" customHeight="1">
      <c r="A750" s="41" t="s">
        <v>31</v>
      </c>
      <c r="B750" s="42" t="s">
        <v>1702</v>
      </c>
      <c r="C750" s="72" t="s">
        <v>1703</v>
      </c>
      <c r="D750" s="37" t="s">
        <v>1704</v>
      </c>
      <c r="E750" s="37" t="s">
        <v>1705</v>
      </c>
      <c r="F750" s="45">
        <v>0.21</v>
      </c>
      <c r="G750" s="65" t="s">
        <v>517</v>
      </c>
      <c r="H750" s="28"/>
      <c r="I750" s="28"/>
      <c r="J750" s="28"/>
      <c r="K750" s="28"/>
      <c r="L750" s="28"/>
      <c r="M750" s="28"/>
      <c r="N750" s="28"/>
      <c r="O750" s="28"/>
      <c r="P750" s="28"/>
      <c r="Q750" s="28"/>
      <c r="R750" s="28"/>
      <c r="S750" s="28"/>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7" t="s">
        <v>23</v>
      </c>
      <c r="B1" s="77" t="s">
        <v>24</v>
      </c>
      <c r="C1" s="77" t="s">
        <v>25</v>
      </c>
      <c r="D1" s="78" t="s">
        <v>26</v>
      </c>
      <c r="E1" s="78" t="s">
        <v>27</v>
      </c>
      <c r="F1" s="8" t="s">
        <v>28</v>
      </c>
      <c r="G1" s="8" t="s">
        <v>29</v>
      </c>
    </row>
    <row r="2">
      <c r="A2" s="79" t="s">
        <v>30</v>
      </c>
      <c r="C2" s="80"/>
      <c r="D2" s="80"/>
      <c r="E2" s="80"/>
      <c r="F2" s="80"/>
      <c r="G2" s="80"/>
    </row>
    <row r="3">
      <c r="A3" s="81" t="s">
        <v>1706</v>
      </c>
      <c r="B3" s="82" t="s">
        <v>1707</v>
      </c>
      <c r="C3" s="83" t="s">
        <v>1708</v>
      </c>
      <c r="D3" s="44" t="s">
        <v>1709</v>
      </c>
      <c r="E3" s="44" t="s">
        <v>1710</v>
      </c>
      <c r="F3" s="84">
        <v>0.21</v>
      </c>
      <c r="G3" s="85" t="str">
        <f>IFERROR(VLOOKUP("DT 270 Pro",STOCK!$B$1:$Q$5647,3,FALSE),"SIN STOCK")</f>
        <v>Menor a 5</v>
      </c>
    </row>
    <row r="4">
      <c r="A4" s="86" t="s">
        <v>1706</v>
      </c>
      <c r="B4" s="87" t="s">
        <v>1711</v>
      </c>
      <c r="C4" s="88" t="s">
        <v>1712</v>
      </c>
      <c r="D4" s="36" t="s">
        <v>1713</v>
      </c>
      <c r="E4" s="37" t="s">
        <v>1714</v>
      </c>
      <c r="F4" s="38">
        <v>0.21</v>
      </c>
      <c r="G4" s="89" t="str">
        <f>IFERROR(VLOOKUP("DT 770 PRO 32 OHM",STOCK!$B$1:$Q$5647,3,FALSE),"SIN STOCK")</f>
        <v>Mayor a 5</v>
      </c>
    </row>
    <row r="5">
      <c r="A5" s="81" t="s">
        <v>1706</v>
      </c>
      <c r="B5" s="82" t="s">
        <v>1715</v>
      </c>
      <c r="C5" s="83" t="s">
        <v>1716</v>
      </c>
      <c r="D5" s="44" t="s">
        <v>1713</v>
      </c>
      <c r="E5" s="44" t="s">
        <v>1714</v>
      </c>
      <c r="F5" s="84">
        <v>0.21</v>
      </c>
      <c r="G5" s="89" t="str">
        <f>IFERROR(VLOOKUP("DT 770 PRO 80 OHM",STOCK!$B$1:$Q$5647,3,FALSE),"SIN STOCK")</f>
        <v>Mayor a 5</v>
      </c>
    </row>
    <row r="6">
      <c r="A6" s="86" t="s">
        <v>1706</v>
      </c>
      <c r="B6" s="87" t="s">
        <v>1717</v>
      </c>
      <c r="C6" s="88" t="s">
        <v>1718</v>
      </c>
      <c r="D6" s="36" t="s">
        <v>1713</v>
      </c>
      <c r="E6" s="37" t="s">
        <v>1714</v>
      </c>
      <c r="F6" s="38">
        <v>0.21</v>
      </c>
      <c r="G6" s="89" t="str">
        <f>IFERROR(VLOOKUP("DT 770 PRO 250 OHM",STOCK!$B$1:$Q$5647,3,FALSE),"SIN STOCK")</f>
        <v>Mayor a 5</v>
      </c>
    </row>
    <row r="7">
      <c r="A7" s="81" t="s">
        <v>1706</v>
      </c>
      <c r="B7" s="82" t="s">
        <v>1719</v>
      </c>
      <c r="C7" s="83" t="s">
        <v>1720</v>
      </c>
      <c r="D7" s="44" t="s">
        <v>1721</v>
      </c>
      <c r="E7" s="44" t="s">
        <v>1722</v>
      </c>
      <c r="F7" s="84">
        <v>0.21</v>
      </c>
      <c r="G7" s="89" t="str">
        <f>IFERROR(VLOOKUP("DT 990 PRO 250 OHM",STOCK!$B$1:$Q$5647,3,FALSE),"SIN STOCK")</f>
        <v>Mayor a 5</v>
      </c>
    </row>
    <row r="8">
      <c r="A8" s="79" t="s">
        <v>1723</v>
      </c>
      <c r="B8" s="80"/>
      <c r="C8" s="80"/>
      <c r="D8" s="67"/>
      <c r="E8" s="67"/>
      <c r="F8" s="90"/>
      <c r="G8" s="91"/>
    </row>
    <row r="9">
      <c r="A9" s="81" t="s">
        <v>1706</v>
      </c>
      <c r="B9" s="82" t="s">
        <v>1724</v>
      </c>
      <c r="C9" s="83" t="s">
        <v>1725</v>
      </c>
      <c r="D9" s="44" t="s">
        <v>1726</v>
      </c>
      <c r="E9" s="44" t="s">
        <v>1727</v>
      </c>
      <c r="F9" s="84">
        <v>0.21</v>
      </c>
      <c r="G9" s="89" t="str">
        <f>IFERROR(VLOOKUP("TG V35 s",STOCK!$B$1:$Q$5647,3,FALSE),"SIN STOCK")</f>
        <v>Mayor a 5</v>
      </c>
    </row>
    <row r="10">
      <c r="A10" s="86" t="s">
        <v>1706</v>
      </c>
      <c r="B10" s="87" t="s">
        <v>1728</v>
      </c>
      <c r="C10" s="88" t="s">
        <v>1729</v>
      </c>
      <c r="D10" s="36" t="s">
        <v>1730</v>
      </c>
      <c r="E10" s="37" t="s">
        <v>1731</v>
      </c>
      <c r="F10" s="38">
        <v>0.21</v>
      </c>
      <c r="G10" s="89" t="str">
        <f>IFERROR(VLOOKUP("TG V50",STOCK!$B$1:$Q$5647,3,FALSE),"SIN STOCK")</f>
        <v>Mayor a 5</v>
      </c>
    </row>
    <row r="11">
      <c r="A11" s="81" t="s">
        <v>1706</v>
      </c>
      <c r="B11" s="82" t="s">
        <v>1732</v>
      </c>
      <c r="C11" s="83" t="s">
        <v>1733</v>
      </c>
      <c r="D11" s="44" t="s">
        <v>1734</v>
      </c>
      <c r="E11" s="44" t="s">
        <v>1735</v>
      </c>
      <c r="F11" s="84">
        <v>0.21</v>
      </c>
      <c r="G11" s="89" t="str">
        <f>IFERROR(VLOOKUP("TG V70",STOCK!$B$1:$Q$5647,3,FALSE),"SIN STOCK")</f>
        <v>Mayor a 5</v>
      </c>
    </row>
    <row r="12">
      <c r="A12" s="86" t="s">
        <v>1706</v>
      </c>
      <c r="B12" s="87" t="s">
        <v>1736</v>
      </c>
      <c r="C12" s="88" t="s">
        <v>1737</v>
      </c>
      <c r="D12" s="36" t="s">
        <v>1738</v>
      </c>
      <c r="E12" s="37" t="s">
        <v>1739</v>
      </c>
      <c r="F12" s="38">
        <v>0.21</v>
      </c>
      <c r="G12" s="89" t="str">
        <f>IFERROR(VLOOKUP("MM 1",STOCK!$B$1:$Q$5647,3,FALSE),"SIN STOCK")</f>
        <v>Mayor a 5</v>
      </c>
    </row>
    <row r="13">
      <c r="A13" s="79" t="s">
        <v>1740</v>
      </c>
      <c r="B13" s="80"/>
      <c r="C13" s="80"/>
      <c r="D13" s="67"/>
      <c r="E13" s="67"/>
      <c r="F13" s="90"/>
      <c r="G13" s="91"/>
    </row>
    <row r="14">
      <c r="A14" s="81" t="s">
        <v>1706</v>
      </c>
      <c r="B14" s="82" t="s">
        <v>1741</v>
      </c>
      <c r="C14" s="83" t="s">
        <v>1742</v>
      </c>
      <c r="D14" s="44" t="s">
        <v>1743</v>
      </c>
      <c r="E14" s="44" t="s">
        <v>1744</v>
      </c>
      <c r="F14" s="84">
        <v>0.21</v>
      </c>
      <c r="G14" s="85" t="str">
        <f>IFERROR(VLOOKUP("TG DRUM SET PRO M",STOCK!$B$1:$Q$5647,3,FALSE),"SIN STOCK")</f>
        <v>Menor a 5</v>
      </c>
    </row>
    <row r="15">
      <c r="A15" s="86" t="s">
        <v>1706</v>
      </c>
      <c r="B15" s="87" t="s">
        <v>1745</v>
      </c>
      <c r="C15" s="88" t="s">
        <v>1746</v>
      </c>
      <c r="D15" s="36" t="s">
        <v>1747</v>
      </c>
      <c r="E15" s="37" t="s">
        <v>1748</v>
      </c>
      <c r="F15" s="38">
        <v>0.21</v>
      </c>
      <c r="G15" s="89" t="str">
        <f>IFERROR(VLOOKUP("TG DRUM SET PRO L",STOCK!$B$1:$Q$5647,3,FALSE),"SIN STOCK")</f>
        <v>Mayor a 5</v>
      </c>
    </row>
    <row r="16">
      <c r="A16" s="92"/>
      <c r="B16" s="92"/>
      <c r="C16" s="92"/>
    </row>
    <row r="17">
      <c r="A17" s="92"/>
      <c r="B17" s="92"/>
      <c r="C17" s="92"/>
    </row>
    <row r="18">
      <c r="A18" s="92"/>
      <c r="B18" s="92"/>
      <c r="C18" s="92"/>
    </row>
    <row r="19">
      <c r="A19" s="92"/>
      <c r="B19" s="92"/>
      <c r="C19" s="92"/>
    </row>
    <row r="20">
      <c r="A20" s="92"/>
      <c r="B20" s="92"/>
      <c r="C20" s="92"/>
    </row>
    <row r="21">
      <c r="A21" s="92"/>
      <c r="B21" s="92"/>
      <c r="C21" s="92"/>
    </row>
    <row r="22">
      <c r="A22" s="92"/>
      <c r="B22" s="92"/>
      <c r="C22" s="92"/>
    </row>
    <row r="23">
      <c r="A23" s="92"/>
      <c r="B23" s="92"/>
      <c r="C23" s="92"/>
    </row>
    <row r="24">
      <c r="A24" s="92"/>
      <c r="B24" s="92"/>
      <c r="C24" s="92"/>
    </row>
    <row r="25">
      <c r="A25" s="92"/>
      <c r="B25" s="92"/>
      <c r="C25" s="92"/>
    </row>
    <row r="26">
      <c r="A26" s="92"/>
      <c r="B26" s="92"/>
      <c r="C26" s="92"/>
    </row>
    <row r="27">
      <c r="A27" s="92"/>
      <c r="B27" s="92"/>
      <c r="C27" s="92"/>
    </row>
    <row r="28">
      <c r="A28" s="92"/>
      <c r="B28" s="92"/>
      <c r="C28" s="92"/>
    </row>
    <row r="29">
      <c r="A29" s="92"/>
      <c r="B29" s="92"/>
      <c r="C29" s="92"/>
    </row>
    <row r="30">
      <c r="A30" s="92"/>
      <c r="B30" s="92"/>
      <c r="C30" s="92"/>
    </row>
    <row r="31">
      <c r="A31" s="92"/>
      <c r="B31" s="92"/>
      <c r="C31" s="92"/>
    </row>
    <row r="32">
      <c r="A32" s="92"/>
      <c r="B32" s="92"/>
      <c r="C32" s="92"/>
    </row>
    <row r="33">
      <c r="A33" s="92"/>
      <c r="B33" s="92"/>
      <c r="C33" s="92"/>
    </row>
    <row r="34">
      <c r="A34" s="92"/>
      <c r="B34" s="92"/>
      <c r="C34" s="92"/>
    </row>
    <row r="35">
      <c r="A35" s="92"/>
      <c r="B35" s="92"/>
      <c r="C35" s="92"/>
    </row>
    <row r="36">
      <c r="A36" s="92"/>
      <c r="B36" s="92"/>
      <c r="C36" s="92"/>
    </row>
    <row r="37">
      <c r="A37" s="92"/>
      <c r="B37" s="92"/>
      <c r="C37" s="92"/>
    </row>
    <row r="38">
      <c r="A38" s="92"/>
      <c r="B38" s="92"/>
      <c r="C38" s="92"/>
    </row>
    <row r="39">
      <c r="A39" s="92"/>
      <c r="B39" s="92"/>
      <c r="C39" s="92"/>
    </row>
    <row r="40">
      <c r="A40" s="92"/>
      <c r="B40" s="92"/>
      <c r="C40" s="92"/>
    </row>
    <row r="41">
      <c r="A41" s="92"/>
      <c r="B41" s="92"/>
      <c r="C41" s="92"/>
    </row>
    <row r="42">
      <c r="A42" s="92"/>
      <c r="B42" s="92"/>
      <c r="C42" s="92"/>
    </row>
    <row r="43">
      <c r="A43" s="92"/>
      <c r="B43" s="92"/>
      <c r="C43" s="92"/>
    </row>
    <row r="44">
      <c r="A44" s="92"/>
      <c r="B44" s="92"/>
      <c r="C44" s="92"/>
    </row>
    <row r="45">
      <c r="A45" s="92"/>
      <c r="B45" s="92"/>
      <c r="C45" s="92"/>
    </row>
    <row r="46">
      <c r="A46" s="92"/>
      <c r="B46" s="92"/>
      <c r="C46" s="92"/>
    </row>
    <row r="47">
      <c r="A47" s="92"/>
      <c r="B47" s="92"/>
      <c r="C47" s="92"/>
    </row>
    <row r="48">
      <c r="A48" s="92"/>
      <c r="B48" s="92"/>
      <c r="C48" s="92"/>
    </row>
    <row r="49">
      <c r="A49" s="92"/>
      <c r="B49" s="92"/>
      <c r="C49" s="92"/>
    </row>
    <row r="50">
      <c r="A50" s="92"/>
      <c r="B50" s="92"/>
      <c r="C50" s="92"/>
    </row>
    <row r="51">
      <c r="A51" s="92"/>
      <c r="B51" s="92"/>
      <c r="C51" s="92"/>
    </row>
    <row r="52">
      <c r="A52" s="92"/>
      <c r="B52" s="92"/>
      <c r="C52" s="92"/>
    </row>
    <row r="53">
      <c r="A53" s="92"/>
      <c r="B53" s="92"/>
      <c r="C53" s="92"/>
    </row>
    <row r="54">
      <c r="A54" s="92"/>
      <c r="B54" s="92"/>
      <c r="C54" s="92"/>
    </row>
    <row r="55">
      <c r="A55" s="92"/>
      <c r="B55" s="92"/>
      <c r="C55" s="92"/>
    </row>
    <row r="56">
      <c r="A56" s="92"/>
      <c r="B56" s="92"/>
      <c r="C56" s="92"/>
    </row>
    <row r="57">
      <c r="A57" s="92"/>
      <c r="B57" s="92"/>
      <c r="C57" s="92"/>
    </row>
    <row r="58">
      <c r="A58" s="92"/>
      <c r="B58" s="92"/>
      <c r="C58" s="92"/>
    </row>
    <row r="59">
      <c r="A59" s="92"/>
      <c r="B59" s="92"/>
      <c r="C59" s="92"/>
    </row>
    <row r="60">
      <c r="A60" s="92"/>
      <c r="B60" s="92"/>
      <c r="C60" s="92"/>
    </row>
    <row r="61">
      <c r="A61" s="92"/>
      <c r="B61" s="92"/>
      <c r="C61" s="92"/>
    </row>
    <row r="62">
      <c r="A62" s="92"/>
      <c r="B62" s="92"/>
      <c r="C62" s="92"/>
    </row>
    <row r="63">
      <c r="A63" s="92"/>
      <c r="B63" s="92"/>
      <c r="C63" s="92"/>
    </row>
    <row r="64">
      <c r="A64" s="92"/>
      <c r="B64" s="92"/>
      <c r="C64" s="92"/>
    </row>
    <row r="65">
      <c r="A65" s="92"/>
      <c r="B65" s="92"/>
      <c r="C65" s="92"/>
    </row>
    <row r="66">
      <c r="A66" s="92"/>
      <c r="B66" s="92"/>
      <c r="C66" s="92"/>
    </row>
    <row r="67">
      <c r="A67" s="92"/>
      <c r="B67" s="92"/>
      <c r="C67" s="92"/>
    </row>
    <row r="68">
      <c r="A68" s="92"/>
      <c r="B68" s="92"/>
      <c r="C68" s="92"/>
    </row>
    <row r="69">
      <c r="A69" s="92"/>
      <c r="B69" s="92"/>
      <c r="C69" s="92"/>
    </row>
    <row r="70">
      <c r="A70" s="92"/>
      <c r="B70" s="92"/>
      <c r="C70" s="92"/>
    </row>
    <row r="71">
      <c r="A71" s="92"/>
      <c r="B71" s="92"/>
      <c r="C71" s="92"/>
    </row>
    <row r="72">
      <c r="A72" s="92"/>
      <c r="B72" s="92"/>
      <c r="C72" s="92"/>
    </row>
    <row r="73">
      <c r="A73" s="92"/>
      <c r="B73" s="92"/>
      <c r="C73" s="92"/>
    </row>
    <row r="74">
      <c r="A74" s="92"/>
      <c r="B74" s="92"/>
      <c r="C74" s="92"/>
    </row>
    <row r="75">
      <c r="A75" s="92"/>
      <c r="B75" s="92"/>
      <c r="C75" s="92"/>
    </row>
    <row r="76">
      <c r="A76" s="92"/>
      <c r="B76" s="92"/>
      <c r="C76" s="92"/>
    </row>
    <row r="77">
      <c r="A77" s="92"/>
      <c r="B77" s="92"/>
      <c r="C77" s="92"/>
    </row>
    <row r="78">
      <c r="A78" s="92"/>
      <c r="B78" s="92"/>
      <c r="C78" s="92"/>
    </row>
    <row r="79">
      <c r="A79" s="92"/>
      <c r="B79" s="92"/>
      <c r="C79" s="92"/>
    </row>
    <row r="80">
      <c r="A80" s="92"/>
      <c r="B80" s="92"/>
      <c r="C80" s="92"/>
    </row>
    <row r="81">
      <c r="A81" s="92"/>
      <c r="B81" s="92"/>
      <c r="C81" s="92"/>
    </row>
    <row r="82">
      <c r="A82" s="92"/>
      <c r="B82" s="92"/>
      <c r="C82" s="92"/>
    </row>
    <row r="83">
      <c r="A83" s="92"/>
      <c r="B83" s="92"/>
      <c r="C83" s="92"/>
    </row>
    <row r="84">
      <c r="A84" s="92"/>
      <c r="B84" s="92"/>
      <c r="C84" s="92"/>
    </row>
    <row r="85">
      <c r="A85" s="92"/>
      <c r="B85" s="92"/>
      <c r="C85" s="92"/>
    </row>
    <row r="86">
      <c r="A86" s="92"/>
      <c r="B86" s="92"/>
      <c r="C86" s="92"/>
    </row>
    <row r="87">
      <c r="A87" s="92"/>
      <c r="B87" s="92"/>
      <c r="C87" s="92"/>
    </row>
    <row r="88">
      <c r="A88" s="92"/>
      <c r="B88" s="92"/>
      <c r="C88" s="92"/>
    </row>
    <row r="89">
      <c r="A89" s="92"/>
      <c r="B89" s="92"/>
      <c r="C89" s="92"/>
    </row>
    <row r="90">
      <c r="A90" s="92"/>
      <c r="B90" s="92"/>
      <c r="C90" s="92"/>
    </row>
    <row r="91">
      <c r="A91" s="92"/>
      <c r="B91" s="92"/>
      <c r="C91" s="92"/>
    </row>
    <row r="92">
      <c r="A92" s="92"/>
      <c r="B92" s="92"/>
      <c r="C92" s="92"/>
    </row>
    <row r="93">
      <c r="A93" s="92"/>
      <c r="B93" s="92"/>
      <c r="C93" s="92"/>
    </row>
    <row r="94">
      <c r="A94" s="92"/>
      <c r="B94" s="92"/>
      <c r="C94" s="92"/>
    </row>
    <row r="95">
      <c r="A95" s="92"/>
      <c r="B95" s="92"/>
      <c r="C95" s="92"/>
    </row>
    <row r="96">
      <c r="A96" s="92"/>
      <c r="B96" s="92"/>
      <c r="C96" s="92"/>
    </row>
    <row r="97">
      <c r="A97" s="92"/>
      <c r="B97" s="92"/>
      <c r="C97" s="92"/>
    </row>
    <row r="98">
      <c r="A98" s="92"/>
      <c r="B98" s="92"/>
      <c r="C98" s="92"/>
    </row>
    <row r="99">
      <c r="A99" s="92"/>
      <c r="B99" s="92"/>
      <c r="C99" s="92"/>
    </row>
    <row r="100">
      <c r="A100" s="92"/>
      <c r="B100" s="92"/>
      <c r="C100" s="92"/>
    </row>
    <row r="101">
      <c r="A101" s="92"/>
      <c r="B101" s="92"/>
      <c r="C101" s="92"/>
    </row>
    <row r="102">
      <c r="A102" s="92"/>
      <c r="B102" s="92"/>
      <c r="C102" s="92"/>
    </row>
    <row r="103">
      <c r="A103" s="92"/>
      <c r="B103" s="92"/>
      <c r="C103" s="92"/>
    </row>
    <row r="104">
      <c r="A104" s="92"/>
      <c r="B104" s="92"/>
      <c r="C104" s="92"/>
    </row>
    <row r="105">
      <c r="A105" s="92"/>
      <c r="B105" s="92"/>
      <c r="C105" s="92"/>
    </row>
    <row r="106">
      <c r="A106" s="92"/>
      <c r="B106" s="92"/>
      <c r="C106" s="92"/>
    </row>
    <row r="107">
      <c r="A107" s="92"/>
      <c r="B107" s="92"/>
      <c r="C107" s="92"/>
    </row>
    <row r="108">
      <c r="A108" s="92"/>
      <c r="B108" s="92"/>
      <c r="C108" s="92"/>
    </row>
    <row r="109">
      <c r="A109" s="92"/>
      <c r="B109" s="92"/>
      <c r="C109" s="92"/>
    </row>
    <row r="110">
      <c r="A110" s="92"/>
      <c r="B110" s="92"/>
      <c r="C110" s="92"/>
    </row>
    <row r="111">
      <c r="A111" s="92"/>
      <c r="B111" s="92"/>
      <c r="C111" s="92"/>
    </row>
    <row r="112">
      <c r="A112" s="92"/>
      <c r="B112" s="92"/>
      <c r="C112" s="92"/>
    </row>
    <row r="113">
      <c r="A113" s="92"/>
      <c r="B113" s="92"/>
      <c r="C113" s="92"/>
    </row>
    <row r="114">
      <c r="A114" s="92"/>
      <c r="B114" s="92"/>
      <c r="C114" s="92"/>
    </row>
    <row r="115">
      <c r="A115" s="92"/>
      <c r="B115" s="92"/>
      <c r="C115" s="92"/>
    </row>
    <row r="116">
      <c r="A116" s="92"/>
      <c r="B116" s="92"/>
      <c r="C116" s="92"/>
    </row>
    <row r="117">
      <c r="A117" s="92"/>
      <c r="B117" s="92"/>
      <c r="C117" s="92"/>
    </row>
    <row r="118">
      <c r="A118" s="92"/>
      <c r="B118" s="92"/>
      <c r="C118" s="92"/>
    </row>
    <row r="119">
      <c r="A119" s="92"/>
      <c r="B119" s="92"/>
      <c r="C119" s="92"/>
    </row>
    <row r="120">
      <c r="A120" s="92"/>
      <c r="B120" s="92"/>
      <c r="C120" s="92"/>
    </row>
    <row r="121">
      <c r="A121" s="92"/>
      <c r="B121" s="92"/>
      <c r="C121" s="92"/>
    </row>
    <row r="122">
      <c r="A122" s="92"/>
      <c r="B122" s="92"/>
      <c r="C122" s="92"/>
    </row>
    <row r="123">
      <c r="A123" s="92"/>
      <c r="B123" s="92"/>
      <c r="C123" s="92"/>
    </row>
    <row r="124">
      <c r="A124" s="92"/>
      <c r="B124" s="92"/>
      <c r="C124" s="92"/>
    </row>
    <row r="125">
      <c r="A125" s="92"/>
      <c r="B125" s="92"/>
      <c r="C125" s="92"/>
    </row>
    <row r="126">
      <c r="A126" s="92"/>
      <c r="B126" s="92"/>
      <c r="C126" s="92"/>
    </row>
    <row r="127">
      <c r="A127" s="92"/>
      <c r="B127" s="92"/>
      <c r="C127" s="92"/>
    </row>
    <row r="128">
      <c r="A128" s="92"/>
      <c r="B128" s="92"/>
      <c r="C128" s="92"/>
    </row>
    <row r="129">
      <c r="A129" s="92"/>
      <c r="B129" s="92"/>
      <c r="C129" s="92"/>
    </row>
    <row r="130">
      <c r="A130" s="92"/>
      <c r="B130" s="92"/>
      <c r="C130" s="92"/>
    </row>
    <row r="131">
      <c r="A131" s="92"/>
      <c r="B131" s="92"/>
      <c r="C131" s="92"/>
    </row>
    <row r="132">
      <c r="A132" s="92"/>
      <c r="B132" s="92"/>
      <c r="C132" s="92"/>
    </row>
    <row r="133">
      <c r="A133" s="92"/>
      <c r="B133" s="92"/>
      <c r="C133" s="92"/>
    </row>
    <row r="134">
      <c r="A134" s="92"/>
      <c r="B134" s="92"/>
      <c r="C134" s="92"/>
    </row>
    <row r="135">
      <c r="A135" s="92"/>
      <c r="B135" s="92"/>
      <c r="C135" s="92"/>
    </row>
    <row r="136">
      <c r="A136" s="92"/>
      <c r="B136" s="92"/>
      <c r="C136" s="92"/>
    </row>
    <row r="137">
      <c r="A137" s="92"/>
      <c r="B137" s="92"/>
      <c r="C137" s="92"/>
    </row>
    <row r="138">
      <c r="A138" s="92"/>
      <c r="B138" s="92"/>
      <c r="C138" s="92"/>
    </row>
    <row r="139">
      <c r="A139" s="92"/>
      <c r="B139" s="92"/>
      <c r="C139" s="92"/>
    </row>
    <row r="140">
      <c r="A140" s="92"/>
      <c r="B140" s="92"/>
      <c r="C140" s="92"/>
    </row>
    <row r="141">
      <c r="A141" s="92"/>
      <c r="B141" s="92"/>
      <c r="C141" s="92"/>
    </row>
    <row r="142">
      <c r="A142" s="92"/>
      <c r="B142" s="92"/>
      <c r="C142" s="92"/>
    </row>
    <row r="143">
      <c r="A143" s="92"/>
      <c r="B143" s="92"/>
      <c r="C143" s="92"/>
    </row>
    <row r="144">
      <c r="A144" s="92"/>
      <c r="B144" s="92"/>
      <c r="C144" s="92"/>
    </row>
    <row r="145">
      <c r="A145" s="92"/>
      <c r="B145" s="92"/>
      <c r="C145" s="92"/>
    </row>
    <row r="146">
      <c r="A146" s="92"/>
      <c r="B146" s="92"/>
      <c r="C146" s="92"/>
    </row>
    <row r="147">
      <c r="A147" s="92"/>
      <c r="B147" s="92"/>
      <c r="C147" s="92"/>
    </row>
    <row r="148">
      <c r="A148" s="92"/>
      <c r="B148" s="92"/>
      <c r="C148" s="92"/>
    </row>
    <row r="149">
      <c r="A149" s="92"/>
      <c r="B149" s="92"/>
      <c r="C149" s="92"/>
    </row>
    <row r="150">
      <c r="A150" s="92"/>
      <c r="B150" s="92"/>
      <c r="C150" s="92"/>
    </row>
    <row r="151">
      <c r="A151" s="92"/>
      <c r="B151" s="92"/>
      <c r="C151" s="92"/>
    </row>
    <row r="152">
      <c r="A152" s="92"/>
      <c r="B152" s="92"/>
      <c r="C152" s="92"/>
    </row>
    <row r="153">
      <c r="A153" s="92"/>
      <c r="B153" s="92"/>
      <c r="C153" s="92"/>
    </row>
    <row r="154">
      <c r="A154" s="92"/>
      <c r="B154" s="92"/>
      <c r="C154" s="92"/>
    </row>
    <row r="155">
      <c r="A155" s="92"/>
      <c r="B155" s="92"/>
      <c r="C155" s="92"/>
    </row>
    <row r="156">
      <c r="A156" s="92"/>
      <c r="B156" s="92"/>
      <c r="C156" s="92"/>
    </row>
    <row r="157">
      <c r="A157" s="92"/>
      <c r="B157" s="92"/>
      <c r="C157" s="92"/>
    </row>
    <row r="158">
      <c r="A158" s="92"/>
      <c r="B158" s="92"/>
      <c r="C158" s="92"/>
    </row>
    <row r="159">
      <c r="A159" s="92"/>
      <c r="B159" s="92"/>
      <c r="C159" s="92"/>
    </row>
    <row r="160">
      <c r="A160" s="92"/>
      <c r="B160" s="92"/>
      <c r="C160" s="92"/>
    </row>
    <row r="161">
      <c r="A161" s="92"/>
      <c r="B161" s="92"/>
      <c r="C161" s="92"/>
    </row>
    <row r="162">
      <c r="A162" s="92"/>
      <c r="B162" s="92"/>
      <c r="C162" s="92"/>
    </row>
    <row r="163">
      <c r="A163" s="92"/>
      <c r="B163" s="92"/>
      <c r="C163" s="92"/>
    </row>
    <row r="164">
      <c r="A164" s="92"/>
      <c r="B164" s="92"/>
      <c r="C164" s="92"/>
    </row>
    <row r="165">
      <c r="A165" s="92"/>
      <c r="B165" s="92"/>
      <c r="C165" s="92"/>
    </row>
    <row r="166">
      <c r="A166" s="92"/>
      <c r="B166" s="92"/>
      <c r="C166" s="92"/>
    </row>
    <row r="167">
      <c r="A167" s="92"/>
      <c r="B167" s="92"/>
      <c r="C167" s="92"/>
    </row>
    <row r="168">
      <c r="A168" s="92"/>
      <c r="B168" s="92"/>
      <c r="C168" s="92"/>
    </row>
    <row r="169">
      <c r="A169" s="92"/>
      <c r="B169" s="92"/>
      <c r="C169" s="92"/>
    </row>
    <row r="170">
      <c r="A170" s="92"/>
      <c r="B170" s="92"/>
      <c r="C170" s="92"/>
    </row>
    <row r="171">
      <c r="A171" s="92"/>
      <c r="B171" s="92"/>
      <c r="C171" s="92"/>
    </row>
    <row r="172">
      <c r="A172" s="92"/>
      <c r="B172" s="92"/>
      <c r="C172" s="92"/>
    </row>
    <row r="173">
      <c r="A173" s="92"/>
      <c r="B173" s="92"/>
      <c r="C173" s="92"/>
    </row>
    <row r="174">
      <c r="A174" s="92"/>
      <c r="B174" s="92"/>
      <c r="C174" s="92"/>
    </row>
    <row r="175">
      <c r="A175" s="92"/>
      <c r="B175" s="92"/>
      <c r="C175" s="92"/>
    </row>
    <row r="176">
      <c r="A176" s="92"/>
      <c r="B176" s="92"/>
      <c r="C176" s="92"/>
    </row>
    <row r="177">
      <c r="A177" s="92"/>
      <c r="B177" s="92"/>
      <c r="C177" s="92"/>
    </row>
    <row r="178">
      <c r="A178" s="92"/>
      <c r="B178" s="92"/>
      <c r="C178" s="92"/>
    </row>
    <row r="179">
      <c r="A179" s="92"/>
      <c r="B179" s="92"/>
      <c r="C179" s="92"/>
    </row>
    <row r="180">
      <c r="A180" s="92"/>
      <c r="B180" s="92"/>
      <c r="C180" s="92"/>
    </row>
    <row r="181">
      <c r="A181" s="92"/>
      <c r="B181" s="92"/>
      <c r="C181" s="92"/>
    </row>
    <row r="182">
      <c r="A182" s="92"/>
      <c r="B182" s="92"/>
      <c r="C182" s="92"/>
    </row>
    <row r="183">
      <c r="A183" s="92"/>
      <c r="B183" s="92"/>
      <c r="C183" s="92"/>
    </row>
    <row r="184">
      <c r="A184" s="92"/>
      <c r="B184" s="92"/>
      <c r="C184" s="92"/>
    </row>
    <row r="185">
      <c r="A185" s="92"/>
      <c r="B185" s="92"/>
      <c r="C185" s="92"/>
    </row>
    <row r="186">
      <c r="A186" s="92"/>
      <c r="B186" s="92"/>
      <c r="C186" s="92"/>
    </row>
    <row r="187">
      <c r="A187" s="92"/>
      <c r="B187" s="92"/>
      <c r="C187" s="92"/>
    </row>
    <row r="188">
      <c r="A188" s="92"/>
      <c r="B188" s="92"/>
      <c r="C188" s="92"/>
    </row>
    <row r="189">
      <c r="A189" s="92"/>
      <c r="B189" s="92"/>
      <c r="C189" s="92"/>
    </row>
    <row r="190">
      <c r="A190" s="92"/>
      <c r="B190" s="92"/>
      <c r="C190" s="92"/>
    </row>
    <row r="191">
      <c r="A191" s="92"/>
      <c r="B191" s="92"/>
      <c r="C191" s="92"/>
    </row>
    <row r="192">
      <c r="A192" s="92"/>
      <c r="B192" s="92"/>
      <c r="C192" s="92"/>
    </row>
    <row r="193">
      <c r="A193" s="92"/>
      <c r="B193" s="92"/>
      <c r="C193" s="92"/>
    </row>
    <row r="194">
      <c r="A194" s="92"/>
      <c r="B194" s="92"/>
      <c r="C194" s="92"/>
    </row>
    <row r="195">
      <c r="A195" s="92"/>
      <c r="B195" s="92"/>
      <c r="C195" s="92"/>
    </row>
    <row r="196">
      <c r="A196" s="92"/>
      <c r="B196" s="92"/>
      <c r="C196" s="92"/>
    </row>
    <row r="197">
      <c r="A197" s="92"/>
      <c r="B197" s="92"/>
      <c r="C197" s="92"/>
    </row>
    <row r="198">
      <c r="A198" s="92"/>
      <c r="B198" s="92"/>
      <c r="C198" s="92"/>
    </row>
    <row r="199">
      <c r="A199" s="92"/>
      <c r="B199" s="92"/>
      <c r="C199" s="92"/>
    </row>
    <row r="200">
      <c r="A200" s="92"/>
      <c r="B200" s="92"/>
      <c r="C200" s="92"/>
    </row>
    <row r="201">
      <c r="A201" s="92"/>
      <c r="B201" s="92"/>
      <c r="C201" s="92"/>
    </row>
    <row r="202">
      <c r="A202" s="92"/>
      <c r="B202" s="92"/>
      <c r="C202" s="92"/>
    </row>
    <row r="203">
      <c r="A203" s="92"/>
      <c r="B203" s="92"/>
      <c r="C203" s="92"/>
    </row>
    <row r="204">
      <c r="A204" s="92"/>
      <c r="B204" s="92"/>
      <c r="C204" s="92"/>
    </row>
    <row r="205">
      <c r="A205" s="92"/>
      <c r="B205" s="92"/>
      <c r="C205" s="92"/>
    </row>
    <row r="206">
      <c r="A206" s="92"/>
      <c r="B206" s="92"/>
      <c r="C206" s="92"/>
    </row>
    <row r="207">
      <c r="A207" s="92"/>
      <c r="B207" s="92"/>
      <c r="C207" s="92"/>
    </row>
    <row r="208">
      <c r="A208" s="92"/>
      <c r="B208" s="92"/>
      <c r="C208" s="92"/>
    </row>
    <row r="209">
      <c r="A209" s="92"/>
      <c r="B209" s="92"/>
      <c r="C209" s="92"/>
    </row>
    <row r="210">
      <c r="A210" s="92"/>
      <c r="B210" s="92"/>
      <c r="C210" s="92"/>
    </row>
    <row r="211">
      <c r="A211" s="92"/>
      <c r="B211" s="92"/>
      <c r="C211" s="92"/>
    </row>
    <row r="212">
      <c r="A212" s="92"/>
      <c r="B212" s="92"/>
      <c r="C212" s="92"/>
    </row>
    <row r="213">
      <c r="A213" s="92"/>
      <c r="B213" s="92"/>
      <c r="C213" s="92"/>
    </row>
    <row r="214">
      <c r="A214" s="92"/>
      <c r="B214" s="92"/>
      <c r="C214" s="92"/>
    </row>
    <row r="215">
      <c r="A215" s="92"/>
      <c r="B215" s="92"/>
      <c r="C215" s="92"/>
    </row>
    <row r="216">
      <c r="A216" s="92"/>
      <c r="B216" s="92"/>
      <c r="C216" s="92"/>
    </row>
    <row r="217">
      <c r="A217" s="92"/>
      <c r="B217" s="92"/>
      <c r="C217" s="92"/>
    </row>
    <row r="218">
      <c r="A218" s="92"/>
      <c r="B218" s="92"/>
      <c r="C218" s="92"/>
    </row>
    <row r="219">
      <c r="A219" s="92"/>
      <c r="B219" s="92"/>
      <c r="C219" s="92"/>
    </row>
    <row r="220">
      <c r="A220" s="92"/>
      <c r="B220" s="92"/>
      <c r="C220" s="92"/>
    </row>
    <row r="221">
      <c r="A221" s="92"/>
      <c r="B221" s="92"/>
      <c r="C221" s="92"/>
    </row>
    <row r="222">
      <c r="A222" s="92"/>
      <c r="B222" s="92"/>
      <c r="C222" s="92"/>
    </row>
    <row r="223">
      <c r="A223" s="92"/>
      <c r="B223" s="92"/>
      <c r="C223" s="92"/>
    </row>
    <row r="224">
      <c r="A224" s="92"/>
      <c r="B224" s="92"/>
      <c r="C224" s="92"/>
    </row>
    <row r="225">
      <c r="A225" s="92"/>
      <c r="B225" s="92"/>
      <c r="C225" s="92"/>
    </row>
    <row r="226">
      <c r="A226" s="92"/>
      <c r="B226" s="92"/>
      <c r="C226" s="92"/>
    </row>
    <row r="227">
      <c r="A227" s="92"/>
      <c r="B227" s="92"/>
      <c r="C227" s="92"/>
    </row>
    <row r="228">
      <c r="A228" s="92"/>
      <c r="B228" s="92"/>
      <c r="C228" s="92"/>
    </row>
    <row r="229">
      <c r="A229" s="92"/>
      <c r="B229" s="92"/>
      <c r="C229" s="92"/>
    </row>
    <row r="230">
      <c r="A230" s="92"/>
      <c r="B230" s="92"/>
      <c r="C230" s="92"/>
    </row>
    <row r="231">
      <c r="A231" s="92"/>
      <c r="B231" s="92"/>
      <c r="C231" s="92"/>
    </row>
    <row r="232">
      <c r="A232" s="92"/>
      <c r="B232" s="92"/>
      <c r="C232" s="92"/>
    </row>
    <row r="233">
      <c r="A233" s="92"/>
      <c r="B233" s="92"/>
      <c r="C233" s="92"/>
    </row>
    <row r="234">
      <c r="A234" s="92"/>
      <c r="B234" s="92"/>
      <c r="C234" s="92"/>
    </row>
    <row r="235">
      <c r="A235" s="92"/>
      <c r="B235" s="92"/>
      <c r="C235" s="92"/>
    </row>
    <row r="236">
      <c r="A236" s="92"/>
      <c r="B236" s="92"/>
      <c r="C236" s="92"/>
    </row>
    <row r="237">
      <c r="A237" s="92"/>
      <c r="B237" s="92"/>
      <c r="C237" s="92"/>
    </row>
    <row r="238">
      <c r="A238" s="92"/>
      <c r="B238" s="92"/>
      <c r="C238" s="92"/>
    </row>
    <row r="239">
      <c r="A239" s="92"/>
      <c r="B239" s="92"/>
      <c r="C239" s="92"/>
    </row>
    <row r="240">
      <c r="A240" s="92"/>
      <c r="B240" s="92"/>
      <c r="C240" s="92"/>
    </row>
    <row r="241">
      <c r="A241" s="92"/>
      <c r="B241" s="92"/>
      <c r="C241" s="92"/>
    </row>
    <row r="242">
      <c r="A242" s="92"/>
      <c r="B242" s="92"/>
      <c r="C242" s="92"/>
    </row>
    <row r="243">
      <c r="A243" s="92"/>
      <c r="B243" s="92"/>
      <c r="C243" s="92"/>
    </row>
    <row r="244">
      <c r="A244" s="92"/>
      <c r="B244" s="92"/>
      <c r="C244" s="92"/>
    </row>
    <row r="245">
      <c r="A245" s="92"/>
      <c r="B245" s="92"/>
      <c r="C245" s="92"/>
    </row>
    <row r="246">
      <c r="A246" s="92"/>
      <c r="B246" s="92"/>
      <c r="C246" s="92"/>
    </row>
    <row r="247">
      <c r="A247" s="92"/>
      <c r="B247" s="92"/>
      <c r="C247" s="92"/>
    </row>
    <row r="248">
      <c r="A248" s="92"/>
      <c r="B248" s="92"/>
      <c r="C248" s="92"/>
    </row>
    <row r="249">
      <c r="A249" s="92"/>
      <c r="B249" s="92"/>
      <c r="C249" s="92"/>
    </row>
    <row r="250">
      <c r="A250" s="92"/>
      <c r="B250" s="92"/>
      <c r="C250" s="92"/>
    </row>
    <row r="251">
      <c r="A251" s="92"/>
      <c r="B251" s="92"/>
      <c r="C251" s="92"/>
    </row>
    <row r="252">
      <c r="A252" s="92"/>
      <c r="B252" s="92"/>
      <c r="C252" s="92"/>
    </row>
    <row r="253">
      <c r="A253" s="92"/>
      <c r="B253" s="92"/>
      <c r="C253" s="92"/>
    </row>
    <row r="254">
      <c r="A254" s="92"/>
      <c r="B254" s="92"/>
      <c r="C254" s="92"/>
    </row>
    <row r="255">
      <c r="A255" s="92"/>
      <c r="B255" s="92"/>
      <c r="C255" s="92"/>
    </row>
    <row r="256">
      <c r="A256" s="92"/>
      <c r="B256" s="92"/>
      <c r="C256" s="92"/>
    </row>
    <row r="257">
      <c r="A257" s="92"/>
      <c r="B257" s="92"/>
      <c r="C257" s="92"/>
    </row>
    <row r="258">
      <c r="A258" s="92"/>
      <c r="B258" s="92"/>
      <c r="C258" s="92"/>
    </row>
    <row r="259">
      <c r="A259" s="92"/>
      <c r="B259" s="92"/>
      <c r="C259" s="92"/>
    </row>
    <row r="260">
      <c r="A260" s="92"/>
      <c r="B260" s="92"/>
      <c r="C260" s="92"/>
    </row>
    <row r="261">
      <c r="A261" s="92"/>
      <c r="B261" s="92"/>
      <c r="C261" s="92"/>
    </row>
    <row r="262">
      <c r="A262" s="92"/>
      <c r="B262" s="92"/>
      <c r="C262" s="92"/>
    </row>
    <row r="263">
      <c r="A263" s="92"/>
      <c r="B263" s="92"/>
      <c r="C263" s="92"/>
    </row>
    <row r="264">
      <c r="A264" s="92"/>
      <c r="B264" s="92"/>
      <c r="C264" s="92"/>
    </row>
    <row r="265">
      <c r="A265" s="92"/>
      <c r="B265" s="92"/>
      <c r="C265" s="92"/>
    </row>
    <row r="266">
      <c r="A266" s="92"/>
      <c r="B266" s="92"/>
      <c r="C266" s="92"/>
    </row>
    <row r="267">
      <c r="A267" s="92"/>
      <c r="B267" s="92"/>
      <c r="C267" s="92"/>
    </row>
    <row r="268">
      <c r="A268" s="92"/>
      <c r="B268" s="92"/>
      <c r="C268" s="92"/>
    </row>
    <row r="269">
      <c r="A269" s="92"/>
      <c r="B269" s="92"/>
      <c r="C269" s="92"/>
    </row>
    <row r="270">
      <c r="A270" s="92"/>
      <c r="B270" s="92"/>
      <c r="C270" s="92"/>
    </row>
    <row r="271">
      <c r="A271" s="92"/>
      <c r="B271" s="92"/>
      <c r="C271" s="92"/>
    </row>
    <row r="272">
      <c r="A272" s="92"/>
      <c r="B272" s="92"/>
      <c r="C272" s="92"/>
    </row>
    <row r="273">
      <c r="A273" s="92"/>
      <c r="B273" s="92"/>
      <c r="C273" s="92"/>
    </row>
    <row r="274">
      <c r="A274" s="92"/>
      <c r="B274" s="92"/>
      <c r="C274" s="92"/>
    </row>
    <row r="275">
      <c r="A275" s="92"/>
      <c r="B275" s="92"/>
      <c r="C275" s="92"/>
    </row>
    <row r="276">
      <c r="A276" s="92"/>
      <c r="B276" s="92"/>
      <c r="C276" s="92"/>
    </row>
    <row r="277">
      <c r="A277" s="92"/>
      <c r="B277" s="92"/>
      <c r="C277" s="92"/>
    </row>
    <row r="278">
      <c r="A278" s="92"/>
      <c r="B278" s="92"/>
      <c r="C278" s="92"/>
    </row>
    <row r="279">
      <c r="A279" s="92"/>
      <c r="B279" s="92"/>
      <c r="C279" s="92"/>
    </row>
    <row r="280">
      <c r="A280" s="92"/>
      <c r="B280" s="92"/>
      <c r="C280" s="92"/>
    </row>
    <row r="281">
      <c r="A281" s="92"/>
      <c r="B281" s="92"/>
      <c r="C281" s="92"/>
    </row>
    <row r="282">
      <c r="A282" s="92"/>
      <c r="B282" s="92"/>
      <c r="C282" s="92"/>
    </row>
    <row r="283">
      <c r="A283" s="92"/>
      <c r="B283" s="92"/>
      <c r="C283" s="92"/>
    </row>
    <row r="284">
      <c r="A284" s="92"/>
      <c r="B284" s="92"/>
      <c r="C284" s="92"/>
    </row>
    <row r="285">
      <c r="A285" s="92"/>
      <c r="B285" s="92"/>
      <c r="C285" s="92"/>
    </row>
    <row r="286">
      <c r="A286" s="92"/>
      <c r="B286" s="92"/>
      <c r="C286" s="92"/>
    </row>
    <row r="287">
      <c r="A287" s="92"/>
      <c r="B287" s="92"/>
      <c r="C287" s="92"/>
    </row>
    <row r="288">
      <c r="A288" s="92"/>
      <c r="B288" s="92"/>
      <c r="C288" s="92"/>
    </row>
    <row r="289">
      <c r="A289" s="92"/>
      <c r="B289" s="92"/>
      <c r="C289" s="92"/>
    </row>
    <row r="290">
      <c r="A290" s="92"/>
      <c r="B290" s="92"/>
      <c r="C290" s="92"/>
    </row>
    <row r="291">
      <c r="A291" s="92"/>
      <c r="B291" s="92"/>
      <c r="C291" s="92"/>
    </row>
    <row r="292">
      <c r="A292" s="92"/>
      <c r="B292" s="92"/>
      <c r="C292" s="92"/>
    </row>
    <row r="293">
      <c r="A293" s="92"/>
      <c r="B293" s="92"/>
      <c r="C293" s="92"/>
    </row>
    <row r="294">
      <c r="A294" s="92"/>
      <c r="B294" s="92"/>
      <c r="C294" s="92"/>
    </row>
    <row r="295">
      <c r="A295" s="92"/>
      <c r="B295" s="92"/>
      <c r="C295" s="92"/>
    </row>
    <row r="296">
      <c r="A296" s="92"/>
      <c r="B296" s="92"/>
      <c r="C296" s="92"/>
    </row>
    <row r="297">
      <c r="A297" s="92"/>
      <c r="B297" s="92"/>
      <c r="C297" s="92"/>
    </row>
    <row r="298">
      <c r="A298" s="92"/>
      <c r="B298" s="92"/>
      <c r="C298" s="92"/>
    </row>
    <row r="299">
      <c r="A299" s="92"/>
      <c r="B299" s="92"/>
      <c r="C299" s="92"/>
    </row>
    <row r="300">
      <c r="A300" s="92"/>
      <c r="B300" s="92"/>
      <c r="C300" s="92"/>
    </row>
    <row r="301">
      <c r="A301" s="92"/>
      <c r="B301" s="92"/>
      <c r="C301" s="92"/>
    </row>
    <row r="302">
      <c r="A302" s="92"/>
      <c r="B302" s="92"/>
      <c r="C302" s="92"/>
    </row>
    <row r="303">
      <c r="A303" s="92"/>
      <c r="B303" s="92"/>
      <c r="C303" s="92"/>
    </row>
    <row r="304">
      <c r="A304" s="92"/>
      <c r="B304" s="92"/>
      <c r="C304" s="92"/>
    </row>
    <row r="305">
      <c r="A305" s="92"/>
      <c r="B305" s="92"/>
      <c r="C305" s="92"/>
    </row>
    <row r="306">
      <c r="A306" s="92"/>
      <c r="B306" s="92"/>
      <c r="C306" s="92"/>
    </row>
    <row r="307">
      <c r="A307" s="92"/>
      <c r="B307" s="92"/>
      <c r="C307" s="92"/>
    </row>
    <row r="308">
      <c r="A308" s="92"/>
      <c r="B308" s="92"/>
      <c r="C308" s="92"/>
    </row>
    <row r="309">
      <c r="A309" s="92"/>
      <c r="B309" s="92"/>
      <c r="C309" s="92"/>
    </row>
    <row r="310">
      <c r="A310" s="92"/>
      <c r="B310" s="92"/>
      <c r="C310" s="92"/>
    </row>
    <row r="311">
      <c r="A311" s="92"/>
      <c r="B311" s="92"/>
      <c r="C311" s="92"/>
    </row>
    <row r="312">
      <c r="A312" s="92"/>
      <c r="B312" s="92"/>
      <c r="C312" s="92"/>
    </row>
    <row r="313">
      <c r="A313" s="92"/>
      <c r="B313" s="92"/>
      <c r="C313" s="92"/>
    </row>
    <row r="314">
      <c r="A314" s="92"/>
      <c r="B314" s="92"/>
      <c r="C314" s="92"/>
    </row>
    <row r="315">
      <c r="A315" s="92"/>
      <c r="B315" s="92"/>
      <c r="C315" s="92"/>
    </row>
    <row r="316">
      <c r="A316" s="92"/>
      <c r="B316" s="92"/>
      <c r="C316" s="92"/>
    </row>
    <row r="317">
      <c r="A317" s="92"/>
      <c r="B317" s="92"/>
      <c r="C317" s="92"/>
    </row>
    <row r="318">
      <c r="A318" s="92"/>
      <c r="B318" s="92"/>
      <c r="C318" s="92"/>
    </row>
    <row r="319">
      <c r="A319" s="92"/>
      <c r="B319" s="92"/>
      <c r="C319" s="92"/>
    </row>
    <row r="320">
      <c r="A320" s="92"/>
      <c r="B320" s="92"/>
      <c r="C320" s="92"/>
    </row>
    <row r="321">
      <c r="A321" s="92"/>
      <c r="B321" s="92"/>
      <c r="C321" s="92"/>
    </row>
    <row r="322">
      <c r="A322" s="92"/>
      <c r="B322" s="92"/>
      <c r="C322" s="92"/>
    </row>
    <row r="323">
      <c r="A323" s="92"/>
      <c r="B323" s="92"/>
      <c r="C323" s="92"/>
    </row>
    <row r="324">
      <c r="A324" s="92"/>
      <c r="B324" s="92"/>
      <c r="C324" s="92"/>
    </row>
    <row r="325">
      <c r="A325" s="92"/>
      <c r="B325" s="92"/>
      <c r="C325" s="92"/>
    </row>
    <row r="326">
      <c r="A326" s="92"/>
      <c r="B326" s="92"/>
      <c r="C326" s="92"/>
    </row>
    <row r="327">
      <c r="A327" s="92"/>
      <c r="B327" s="92"/>
      <c r="C327" s="92"/>
    </row>
    <row r="328">
      <c r="A328" s="92"/>
      <c r="B328" s="92"/>
      <c r="C328" s="92"/>
    </row>
    <row r="329">
      <c r="A329" s="92"/>
      <c r="B329" s="92"/>
      <c r="C329" s="92"/>
    </row>
    <row r="330">
      <c r="A330" s="92"/>
      <c r="B330" s="92"/>
      <c r="C330" s="92"/>
    </row>
    <row r="331">
      <c r="A331" s="92"/>
      <c r="B331" s="92"/>
      <c r="C331" s="92"/>
    </row>
    <row r="332">
      <c r="A332" s="92"/>
      <c r="B332" s="92"/>
      <c r="C332" s="92"/>
    </row>
    <row r="333">
      <c r="A333" s="92"/>
      <c r="B333" s="92"/>
      <c r="C333" s="92"/>
    </row>
    <row r="334">
      <c r="A334" s="92"/>
      <c r="B334" s="92"/>
      <c r="C334" s="92"/>
    </row>
    <row r="335">
      <c r="A335" s="92"/>
      <c r="B335" s="92"/>
      <c r="C335" s="92"/>
    </row>
    <row r="336">
      <c r="A336" s="92"/>
      <c r="B336" s="92"/>
      <c r="C336" s="92"/>
    </row>
    <row r="337">
      <c r="A337" s="92"/>
      <c r="B337" s="92"/>
      <c r="C337" s="92"/>
    </row>
    <row r="338">
      <c r="A338" s="92"/>
      <c r="B338" s="92"/>
      <c r="C338" s="92"/>
    </row>
    <row r="339">
      <c r="A339" s="92"/>
      <c r="B339" s="92"/>
      <c r="C339" s="92"/>
    </row>
    <row r="340">
      <c r="A340" s="92"/>
      <c r="B340" s="92"/>
      <c r="C340" s="92"/>
    </row>
    <row r="341">
      <c r="A341" s="92"/>
      <c r="B341" s="92"/>
      <c r="C341" s="92"/>
    </row>
    <row r="342">
      <c r="A342" s="92"/>
      <c r="B342" s="92"/>
      <c r="C342" s="92"/>
    </row>
    <row r="343">
      <c r="A343" s="92"/>
      <c r="B343" s="92"/>
      <c r="C343" s="92"/>
    </row>
    <row r="344">
      <c r="A344" s="92"/>
      <c r="B344" s="92"/>
      <c r="C344" s="92"/>
    </row>
    <row r="345">
      <c r="A345" s="92"/>
      <c r="B345" s="92"/>
      <c r="C345" s="92"/>
    </row>
    <row r="346">
      <c r="A346" s="92"/>
      <c r="B346" s="92"/>
      <c r="C346" s="92"/>
    </row>
    <row r="347">
      <c r="A347" s="92"/>
      <c r="B347" s="92"/>
      <c r="C347" s="92"/>
    </row>
    <row r="348">
      <c r="A348" s="92"/>
      <c r="B348" s="92"/>
      <c r="C348" s="92"/>
    </row>
    <row r="349">
      <c r="A349" s="92"/>
      <c r="B349" s="92"/>
      <c r="C349" s="92"/>
    </row>
    <row r="350">
      <c r="A350" s="92"/>
      <c r="B350" s="92"/>
      <c r="C350" s="92"/>
    </row>
    <row r="351">
      <c r="A351" s="92"/>
      <c r="B351" s="92"/>
      <c r="C351" s="92"/>
    </row>
    <row r="352">
      <c r="A352" s="92"/>
      <c r="B352" s="92"/>
      <c r="C352" s="92"/>
    </row>
    <row r="353">
      <c r="A353" s="92"/>
      <c r="B353" s="92"/>
      <c r="C353" s="92"/>
    </row>
    <row r="354">
      <c r="A354" s="92"/>
      <c r="B354" s="92"/>
      <c r="C354" s="92"/>
    </row>
    <row r="355">
      <c r="A355" s="92"/>
      <c r="B355" s="92"/>
      <c r="C355" s="92"/>
    </row>
    <row r="356">
      <c r="A356" s="92"/>
      <c r="B356" s="92"/>
      <c r="C356" s="92"/>
    </row>
    <row r="357">
      <c r="A357" s="92"/>
      <c r="B357" s="92"/>
      <c r="C357" s="92"/>
    </row>
    <row r="358">
      <c r="A358" s="92"/>
      <c r="B358" s="92"/>
      <c r="C358" s="92"/>
    </row>
    <row r="359">
      <c r="A359" s="92"/>
      <c r="B359" s="92"/>
      <c r="C359" s="92"/>
    </row>
    <row r="360">
      <c r="A360" s="92"/>
      <c r="B360" s="92"/>
      <c r="C360" s="92"/>
    </row>
    <row r="361">
      <c r="A361" s="92"/>
      <c r="B361" s="92"/>
      <c r="C361" s="92"/>
    </row>
    <row r="362">
      <c r="A362" s="92"/>
      <c r="B362" s="92"/>
      <c r="C362" s="92"/>
    </row>
    <row r="363">
      <c r="A363" s="92"/>
      <c r="B363" s="92"/>
      <c r="C363" s="92"/>
    </row>
    <row r="364">
      <c r="A364" s="92"/>
      <c r="B364" s="92"/>
      <c r="C364" s="92"/>
    </row>
    <row r="365">
      <c r="A365" s="92"/>
      <c r="B365" s="92"/>
      <c r="C365" s="92"/>
    </row>
    <row r="366">
      <c r="A366" s="92"/>
      <c r="B366" s="92"/>
      <c r="C366" s="92"/>
    </row>
    <row r="367">
      <c r="A367" s="92"/>
      <c r="B367" s="92"/>
      <c r="C367" s="92"/>
    </row>
    <row r="368">
      <c r="A368" s="92"/>
      <c r="B368" s="92"/>
      <c r="C368" s="92"/>
    </row>
    <row r="369">
      <c r="A369" s="92"/>
      <c r="B369" s="92"/>
      <c r="C369" s="92"/>
    </row>
    <row r="370">
      <c r="A370" s="92"/>
      <c r="B370" s="92"/>
      <c r="C370" s="92"/>
    </row>
    <row r="371">
      <c r="A371" s="92"/>
      <c r="B371" s="92"/>
      <c r="C371" s="92"/>
    </row>
    <row r="372">
      <c r="A372" s="92"/>
      <c r="B372" s="92"/>
      <c r="C372" s="92"/>
    </row>
    <row r="373">
      <c r="A373" s="92"/>
      <c r="B373" s="92"/>
      <c r="C373" s="92"/>
    </row>
    <row r="374">
      <c r="A374" s="92"/>
      <c r="B374" s="92"/>
      <c r="C374" s="92"/>
    </row>
    <row r="375">
      <c r="A375" s="92"/>
      <c r="B375" s="92"/>
      <c r="C375" s="92"/>
    </row>
    <row r="376">
      <c r="A376" s="92"/>
      <c r="B376" s="92"/>
      <c r="C376" s="92"/>
    </row>
    <row r="377">
      <c r="A377" s="92"/>
      <c r="B377" s="92"/>
      <c r="C377" s="92"/>
    </row>
    <row r="378">
      <c r="A378" s="92"/>
      <c r="B378" s="92"/>
      <c r="C378" s="92"/>
    </row>
    <row r="379">
      <c r="A379" s="92"/>
      <c r="B379" s="92"/>
      <c r="C379" s="92"/>
    </row>
    <row r="380">
      <c r="A380" s="92"/>
      <c r="B380" s="92"/>
      <c r="C380" s="92"/>
    </row>
    <row r="381">
      <c r="A381" s="92"/>
      <c r="B381" s="92"/>
      <c r="C381" s="92"/>
    </row>
    <row r="382">
      <c r="A382" s="92"/>
      <c r="B382" s="92"/>
      <c r="C382" s="92"/>
    </row>
    <row r="383">
      <c r="A383" s="92"/>
      <c r="B383" s="92"/>
      <c r="C383" s="92"/>
    </row>
    <row r="384">
      <c r="A384" s="92"/>
      <c r="B384" s="92"/>
      <c r="C384" s="92"/>
    </row>
    <row r="385">
      <c r="A385" s="92"/>
      <c r="B385" s="92"/>
      <c r="C385" s="92"/>
    </row>
    <row r="386">
      <c r="A386" s="92"/>
      <c r="B386" s="92"/>
      <c r="C386" s="92"/>
    </row>
    <row r="387">
      <c r="A387" s="92"/>
      <c r="B387" s="92"/>
      <c r="C387" s="92"/>
    </row>
    <row r="388">
      <c r="A388" s="92"/>
      <c r="B388" s="92"/>
      <c r="C388" s="92"/>
    </row>
    <row r="389">
      <c r="A389" s="92"/>
      <c r="B389" s="92"/>
      <c r="C389" s="92"/>
    </row>
    <row r="390">
      <c r="A390" s="92"/>
      <c r="B390" s="92"/>
      <c r="C390" s="92"/>
    </row>
    <row r="391">
      <c r="A391" s="92"/>
      <c r="B391" s="92"/>
      <c r="C391" s="92"/>
    </row>
    <row r="392">
      <c r="A392" s="92"/>
      <c r="B392" s="92"/>
      <c r="C392" s="92"/>
    </row>
    <row r="393">
      <c r="A393" s="92"/>
      <c r="B393" s="92"/>
      <c r="C393" s="92"/>
    </row>
    <row r="394">
      <c r="A394" s="92"/>
      <c r="B394" s="92"/>
      <c r="C394" s="92"/>
    </row>
    <row r="395">
      <c r="A395" s="92"/>
      <c r="B395" s="92"/>
      <c r="C395" s="92"/>
    </row>
    <row r="396">
      <c r="A396" s="92"/>
      <c r="B396" s="92"/>
      <c r="C396" s="92"/>
    </row>
    <row r="397">
      <c r="A397" s="92"/>
      <c r="B397" s="92"/>
      <c r="C397" s="92"/>
    </row>
    <row r="398">
      <c r="A398" s="92"/>
      <c r="B398" s="92"/>
      <c r="C398" s="92"/>
    </row>
    <row r="399">
      <c r="A399" s="92"/>
      <c r="B399" s="92"/>
      <c r="C399" s="92"/>
    </row>
    <row r="400">
      <c r="A400" s="92"/>
      <c r="B400" s="92"/>
      <c r="C400" s="92"/>
    </row>
    <row r="401">
      <c r="A401" s="92"/>
      <c r="B401" s="92"/>
      <c r="C401" s="92"/>
    </row>
    <row r="402">
      <c r="A402" s="92"/>
      <c r="B402" s="92"/>
      <c r="C402" s="92"/>
    </row>
    <row r="403">
      <c r="A403" s="92"/>
      <c r="B403" s="92"/>
      <c r="C403" s="92"/>
    </row>
    <row r="404">
      <c r="A404" s="92"/>
      <c r="B404" s="92"/>
      <c r="C404" s="92"/>
    </row>
    <row r="405">
      <c r="A405" s="92"/>
      <c r="B405" s="92"/>
      <c r="C405" s="92"/>
    </row>
    <row r="406">
      <c r="A406" s="92"/>
      <c r="B406" s="92"/>
      <c r="C406" s="92"/>
    </row>
    <row r="407">
      <c r="A407" s="92"/>
      <c r="B407" s="92"/>
      <c r="C407" s="92"/>
    </row>
    <row r="408">
      <c r="A408" s="92"/>
      <c r="B408" s="92"/>
      <c r="C408" s="92"/>
    </row>
    <row r="409">
      <c r="A409" s="92"/>
      <c r="B409" s="92"/>
      <c r="C409" s="92"/>
    </row>
    <row r="410">
      <c r="A410" s="92"/>
      <c r="B410" s="92"/>
      <c r="C410" s="92"/>
    </row>
    <row r="411">
      <c r="A411" s="92"/>
      <c r="B411" s="92"/>
      <c r="C411" s="92"/>
    </row>
    <row r="412">
      <c r="A412" s="92"/>
      <c r="B412" s="92"/>
      <c r="C412" s="92"/>
    </row>
    <row r="413">
      <c r="A413" s="92"/>
      <c r="B413" s="92"/>
      <c r="C413" s="92"/>
    </row>
    <row r="414">
      <c r="A414" s="92"/>
      <c r="B414" s="92"/>
      <c r="C414" s="92"/>
    </row>
    <row r="415">
      <c r="A415" s="92"/>
      <c r="B415" s="92"/>
      <c r="C415" s="92"/>
    </row>
    <row r="416">
      <c r="A416" s="92"/>
      <c r="B416" s="92"/>
      <c r="C416" s="92"/>
    </row>
    <row r="417">
      <c r="A417" s="92"/>
      <c r="B417" s="92"/>
      <c r="C417" s="92"/>
    </row>
    <row r="418">
      <c r="A418" s="92"/>
      <c r="B418" s="92"/>
      <c r="C418" s="92"/>
    </row>
    <row r="419">
      <c r="A419" s="92"/>
      <c r="B419" s="92"/>
      <c r="C419" s="92"/>
    </row>
    <row r="420">
      <c r="A420" s="92"/>
      <c r="B420" s="92"/>
      <c r="C420" s="92"/>
    </row>
    <row r="421">
      <c r="A421" s="92"/>
      <c r="B421" s="92"/>
      <c r="C421" s="92"/>
    </row>
    <row r="422">
      <c r="A422" s="92"/>
      <c r="B422" s="92"/>
      <c r="C422" s="92"/>
    </row>
    <row r="423">
      <c r="A423" s="92"/>
      <c r="B423" s="92"/>
      <c r="C423" s="92"/>
    </row>
    <row r="424">
      <c r="A424" s="92"/>
      <c r="B424" s="92"/>
      <c r="C424" s="92"/>
    </row>
    <row r="425">
      <c r="A425" s="92"/>
      <c r="B425" s="92"/>
      <c r="C425" s="92"/>
    </row>
    <row r="426">
      <c r="A426" s="92"/>
      <c r="B426" s="92"/>
      <c r="C426" s="92"/>
    </row>
    <row r="427">
      <c r="A427" s="92"/>
      <c r="B427" s="92"/>
      <c r="C427" s="92"/>
    </row>
    <row r="428">
      <c r="A428" s="92"/>
      <c r="B428" s="92"/>
      <c r="C428" s="92"/>
    </row>
    <row r="429">
      <c r="A429" s="92"/>
      <c r="B429" s="92"/>
      <c r="C429" s="92"/>
    </row>
    <row r="430">
      <c r="A430" s="92"/>
      <c r="B430" s="92"/>
      <c r="C430" s="92"/>
    </row>
    <row r="431">
      <c r="A431" s="92"/>
      <c r="B431" s="92"/>
      <c r="C431" s="92"/>
    </row>
    <row r="432">
      <c r="A432" s="92"/>
      <c r="B432" s="92"/>
      <c r="C432" s="92"/>
    </row>
    <row r="433">
      <c r="A433" s="92"/>
      <c r="B433" s="92"/>
      <c r="C433" s="92"/>
    </row>
    <row r="434">
      <c r="A434" s="92"/>
      <c r="B434" s="92"/>
      <c r="C434" s="92"/>
    </row>
    <row r="435">
      <c r="A435" s="92"/>
      <c r="B435" s="92"/>
      <c r="C435" s="92"/>
    </row>
    <row r="436">
      <c r="A436" s="92"/>
      <c r="B436" s="92"/>
      <c r="C436" s="92"/>
    </row>
    <row r="437">
      <c r="A437" s="92"/>
      <c r="B437" s="92"/>
      <c r="C437" s="92"/>
    </row>
    <row r="438">
      <c r="A438" s="92"/>
      <c r="B438" s="92"/>
      <c r="C438" s="92"/>
    </row>
    <row r="439">
      <c r="A439" s="92"/>
      <c r="B439" s="92"/>
      <c r="C439" s="92"/>
    </row>
    <row r="440">
      <c r="A440" s="92"/>
      <c r="B440" s="92"/>
      <c r="C440" s="92"/>
    </row>
    <row r="441">
      <c r="A441" s="92"/>
      <c r="B441" s="92"/>
      <c r="C441" s="92"/>
    </row>
    <row r="442">
      <c r="A442" s="92"/>
      <c r="B442" s="92"/>
      <c r="C442" s="92"/>
    </row>
    <row r="443">
      <c r="A443" s="92"/>
      <c r="B443" s="92"/>
      <c r="C443" s="92"/>
    </row>
    <row r="444">
      <c r="A444" s="92"/>
      <c r="B444" s="92"/>
      <c r="C444" s="92"/>
    </row>
    <row r="445">
      <c r="A445" s="92"/>
      <c r="B445" s="92"/>
      <c r="C445" s="92"/>
    </row>
    <row r="446">
      <c r="A446" s="92"/>
      <c r="B446" s="92"/>
      <c r="C446" s="92"/>
    </row>
    <row r="447">
      <c r="A447" s="92"/>
      <c r="B447" s="92"/>
      <c r="C447" s="92"/>
    </row>
    <row r="448">
      <c r="A448" s="92"/>
      <c r="B448" s="92"/>
      <c r="C448" s="92"/>
    </row>
    <row r="449">
      <c r="A449" s="92"/>
      <c r="B449" s="92"/>
      <c r="C449" s="92"/>
    </row>
    <row r="450">
      <c r="A450" s="92"/>
      <c r="B450" s="92"/>
      <c r="C450" s="92"/>
    </row>
    <row r="451">
      <c r="A451" s="92"/>
      <c r="B451" s="92"/>
      <c r="C451" s="92"/>
    </row>
    <row r="452">
      <c r="A452" s="92"/>
      <c r="B452" s="92"/>
      <c r="C452" s="92"/>
    </row>
    <row r="453">
      <c r="A453" s="92"/>
      <c r="B453" s="92"/>
      <c r="C453" s="92"/>
    </row>
    <row r="454">
      <c r="A454" s="92"/>
      <c r="B454" s="92"/>
      <c r="C454" s="92"/>
    </row>
    <row r="455">
      <c r="A455" s="92"/>
      <c r="B455" s="92"/>
      <c r="C455" s="92"/>
    </row>
    <row r="456">
      <c r="A456" s="92"/>
      <c r="B456" s="92"/>
      <c r="C456" s="92"/>
    </row>
    <row r="457">
      <c r="A457" s="92"/>
      <c r="B457" s="92"/>
      <c r="C457" s="92"/>
    </row>
    <row r="458">
      <c r="A458" s="92"/>
      <c r="B458" s="92"/>
      <c r="C458" s="92"/>
    </row>
    <row r="459">
      <c r="A459" s="92"/>
      <c r="B459" s="92"/>
      <c r="C459" s="92"/>
    </row>
    <row r="460">
      <c r="A460" s="92"/>
      <c r="B460" s="92"/>
      <c r="C460" s="92"/>
    </row>
    <row r="461">
      <c r="A461" s="92"/>
      <c r="B461" s="92"/>
      <c r="C461" s="92"/>
    </row>
    <row r="462">
      <c r="A462" s="92"/>
      <c r="B462" s="92"/>
      <c r="C462" s="92"/>
    </row>
    <row r="463">
      <c r="A463" s="92"/>
      <c r="B463" s="92"/>
      <c r="C463" s="92"/>
    </row>
    <row r="464">
      <c r="A464" s="92"/>
      <c r="B464" s="92"/>
      <c r="C464" s="92"/>
    </row>
    <row r="465">
      <c r="A465" s="92"/>
      <c r="B465" s="92"/>
      <c r="C465" s="92"/>
    </row>
    <row r="466">
      <c r="A466" s="92"/>
      <c r="B466" s="92"/>
      <c r="C466" s="92"/>
    </row>
    <row r="467">
      <c r="A467" s="92"/>
      <c r="B467" s="92"/>
      <c r="C467" s="92"/>
    </row>
    <row r="468">
      <c r="A468" s="92"/>
      <c r="B468" s="92"/>
      <c r="C468" s="92"/>
    </row>
    <row r="469">
      <c r="A469" s="92"/>
      <c r="B469" s="92"/>
      <c r="C469" s="92"/>
    </row>
    <row r="470">
      <c r="A470" s="92"/>
      <c r="B470" s="92"/>
      <c r="C470" s="92"/>
    </row>
    <row r="471">
      <c r="A471" s="92"/>
      <c r="B471" s="92"/>
      <c r="C471" s="92"/>
    </row>
    <row r="472">
      <c r="A472" s="92"/>
      <c r="B472" s="92"/>
      <c r="C472" s="92"/>
    </row>
    <row r="473">
      <c r="A473" s="92"/>
      <c r="B473" s="92"/>
      <c r="C473" s="92"/>
    </row>
    <row r="474">
      <c r="A474" s="92"/>
      <c r="B474" s="92"/>
      <c r="C474" s="92"/>
    </row>
    <row r="475">
      <c r="A475" s="92"/>
      <c r="B475" s="92"/>
      <c r="C475" s="92"/>
    </row>
    <row r="476">
      <c r="A476" s="92"/>
      <c r="B476" s="92"/>
      <c r="C476" s="92"/>
    </row>
    <row r="477">
      <c r="A477" s="92"/>
      <c r="B477" s="92"/>
      <c r="C477" s="92"/>
    </row>
    <row r="478">
      <c r="A478" s="92"/>
      <c r="B478" s="92"/>
      <c r="C478" s="92"/>
    </row>
    <row r="479">
      <c r="A479" s="92"/>
      <c r="B479" s="92"/>
      <c r="C479" s="92"/>
    </row>
    <row r="480">
      <c r="A480" s="92"/>
      <c r="B480" s="92"/>
      <c r="C480" s="92"/>
    </row>
    <row r="481">
      <c r="A481" s="92"/>
      <c r="B481" s="92"/>
      <c r="C481" s="92"/>
    </row>
    <row r="482">
      <c r="A482" s="92"/>
      <c r="B482" s="92"/>
      <c r="C482" s="92"/>
    </row>
    <row r="483">
      <c r="A483" s="92"/>
      <c r="B483" s="92"/>
      <c r="C483" s="92"/>
    </row>
    <row r="484">
      <c r="A484" s="92"/>
      <c r="B484" s="92"/>
      <c r="C484" s="92"/>
    </row>
    <row r="485">
      <c r="A485" s="92"/>
      <c r="B485" s="92"/>
      <c r="C485" s="92"/>
    </row>
    <row r="486">
      <c r="A486" s="92"/>
      <c r="B486" s="92"/>
      <c r="C486" s="92"/>
    </row>
    <row r="487">
      <c r="A487" s="92"/>
      <c r="B487" s="92"/>
      <c r="C487" s="92"/>
    </row>
    <row r="488">
      <c r="A488" s="92"/>
      <c r="B488" s="92"/>
      <c r="C488" s="92"/>
    </row>
    <row r="489">
      <c r="A489" s="92"/>
      <c r="B489" s="92"/>
      <c r="C489" s="92"/>
    </row>
    <row r="490">
      <c r="A490" s="92"/>
      <c r="B490" s="92"/>
      <c r="C490" s="92"/>
    </row>
    <row r="491">
      <c r="A491" s="92"/>
      <c r="B491" s="92"/>
      <c r="C491" s="92"/>
    </row>
    <row r="492">
      <c r="A492" s="92"/>
      <c r="B492" s="92"/>
      <c r="C492" s="92"/>
    </row>
    <row r="493">
      <c r="A493" s="92"/>
      <c r="B493" s="92"/>
      <c r="C493" s="92"/>
    </row>
    <row r="494">
      <c r="A494" s="92"/>
      <c r="B494" s="92"/>
      <c r="C494" s="92"/>
    </row>
    <row r="495">
      <c r="A495" s="92"/>
      <c r="B495" s="92"/>
      <c r="C495" s="92"/>
    </row>
    <row r="496">
      <c r="A496" s="92"/>
      <c r="B496" s="92"/>
      <c r="C496" s="92"/>
    </row>
    <row r="497">
      <c r="A497" s="92"/>
      <c r="B497" s="92"/>
      <c r="C497" s="92"/>
    </row>
    <row r="498">
      <c r="A498" s="92"/>
      <c r="B498" s="92"/>
      <c r="C498" s="92"/>
    </row>
    <row r="499">
      <c r="A499" s="92"/>
      <c r="B499" s="92"/>
      <c r="C499" s="92"/>
    </row>
    <row r="500">
      <c r="A500" s="92"/>
      <c r="B500" s="92"/>
      <c r="C500" s="92"/>
    </row>
    <row r="501">
      <c r="A501" s="92"/>
      <c r="B501" s="92"/>
      <c r="C501" s="92"/>
    </row>
    <row r="502">
      <c r="A502" s="92"/>
      <c r="B502" s="92"/>
      <c r="C502" s="92"/>
    </row>
    <row r="503">
      <c r="A503" s="92"/>
      <c r="B503" s="92"/>
      <c r="C503" s="92"/>
    </row>
    <row r="504">
      <c r="A504" s="92"/>
      <c r="B504" s="92"/>
      <c r="C504" s="92"/>
    </row>
    <row r="505">
      <c r="A505" s="92"/>
      <c r="B505" s="92"/>
      <c r="C505" s="92"/>
    </row>
    <row r="506">
      <c r="A506" s="92"/>
      <c r="B506" s="92"/>
      <c r="C506" s="92"/>
    </row>
    <row r="507">
      <c r="A507" s="92"/>
      <c r="B507" s="92"/>
      <c r="C507" s="92"/>
    </row>
    <row r="508">
      <c r="A508" s="92"/>
      <c r="B508" s="92"/>
      <c r="C508" s="92"/>
    </row>
    <row r="509">
      <c r="A509" s="92"/>
      <c r="B509" s="92"/>
      <c r="C509" s="92"/>
    </row>
    <row r="510">
      <c r="A510" s="92"/>
      <c r="B510" s="92"/>
      <c r="C510" s="92"/>
    </row>
    <row r="511">
      <c r="A511" s="92"/>
      <c r="B511" s="92"/>
      <c r="C511" s="92"/>
    </row>
    <row r="512">
      <c r="A512" s="92"/>
      <c r="B512" s="92"/>
      <c r="C512" s="92"/>
    </row>
    <row r="513">
      <c r="A513" s="92"/>
      <c r="B513" s="92"/>
      <c r="C513" s="92"/>
    </row>
    <row r="514">
      <c r="A514" s="92"/>
      <c r="B514" s="92"/>
      <c r="C514" s="92"/>
    </row>
    <row r="515">
      <c r="A515" s="92"/>
      <c r="B515" s="92"/>
      <c r="C515" s="92"/>
    </row>
    <row r="516">
      <c r="A516" s="92"/>
      <c r="B516" s="92"/>
      <c r="C516" s="92"/>
    </row>
    <row r="517">
      <c r="A517" s="92"/>
      <c r="B517" s="92"/>
      <c r="C517" s="92"/>
    </row>
    <row r="518">
      <c r="A518" s="92"/>
      <c r="B518" s="92"/>
      <c r="C518" s="92"/>
    </row>
    <row r="519">
      <c r="A519" s="92"/>
      <c r="B519" s="92"/>
      <c r="C519" s="92"/>
    </row>
    <row r="520">
      <c r="A520" s="92"/>
      <c r="B520" s="92"/>
      <c r="C520" s="92"/>
    </row>
    <row r="521">
      <c r="A521" s="92"/>
      <c r="B521" s="92"/>
      <c r="C521" s="92"/>
    </row>
    <row r="522">
      <c r="A522" s="92"/>
      <c r="B522" s="92"/>
      <c r="C522" s="92"/>
    </row>
    <row r="523">
      <c r="A523" s="92"/>
      <c r="B523" s="92"/>
      <c r="C523" s="92"/>
    </row>
    <row r="524">
      <c r="A524" s="92"/>
      <c r="B524" s="92"/>
      <c r="C524" s="92"/>
    </row>
    <row r="525">
      <c r="A525" s="92"/>
      <c r="B525" s="92"/>
      <c r="C525" s="92"/>
    </row>
    <row r="526">
      <c r="A526" s="92"/>
      <c r="B526" s="92"/>
      <c r="C526" s="92"/>
    </row>
    <row r="527">
      <c r="A527" s="92"/>
      <c r="B527" s="92"/>
      <c r="C527" s="92"/>
    </row>
    <row r="528">
      <c r="A528" s="92"/>
      <c r="B528" s="92"/>
      <c r="C528" s="92"/>
    </row>
    <row r="529">
      <c r="A529" s="92"/>
      <c r="B529" s="92"/>
      <c r="C529" s="92"/>
    </row>
    <row r="530">
      <c r="A530" s="92"/>
      <c r="B530" s="92"/>
      <c r="C530" s="92"/>
    </row>
    <row r="531">
      <c r="A531" s="92"/>
      <c r="B531" s="92"/>
      <c r="C531" s="92"/>
    </row>
    <row r="532">
      <c r="A532" s="92"/>
      <c r="B532" s="92"/>
      <c r="C532" s="92"/>
    </row>
    <row r="533">
      <c r="A533" s="92"/>
      <c r="B533" s="92"/>
      <c r="C533" s="92"/>
    </row>
    <row r="534">
      <c r="A534" s="92"/>
      <c r="B534" s="92"/>
      <c r="C534" s="92"/>
    </row>
    <row r="535">
      <c r="A535" s="92"/>
      <c r="B535" s="92"/>
      <c r="C535" s="92"/>
    </row>
    <row r="536">
      <c r="A536" s="92"/>
      <c r="B536" s="92"/>
      <c r="C536" s="92"/>
    </row>
    <row r="537">
      <c r="A537" s="92"/>
      <c r="B537" s="92"/>
      <c r="C537" s="92"/>
    </row>
    <row r="538">
      <c r="A538" s="92"/>
      <c r="B538" s="92"/>
      <c r="C538" s="92"/>
    </row>
    <row r="539">
      <c r="A539" s="92"/>
      <c r="B539" s="92"/>
      <c r="C539" s="92"/>
    </row>
    <row r="540">
      <c r="A540" s="92"/>
      <c r="B540" s="92"/>
      <c r="C540" s="92"/>
    </row>
    <row r="541">
      <c r="A541" s="92"/>
      <c r="B541" s="92"/>
      <c r="C541" s="92"/>
    </row>
    <row r="542">
      <c r="A542" s="92"/>
      <c r="B542" s="92"/>
      <c r="C542" s="92"/>
    </row>
    <row r="543">
      <c r="A543" s="92"/>
      <c r="B543" s="92"/>
      <c r="C543" s="92"/>
    </row>
    <row r="544">
      <c r="A544" s="92"/>
      <c r="B544" s="92"/>
      <c r="C544" s="92"/>
    </row>
    <row r="545">
      <c r="A545" s="92"/>
      <c r="B545" s="92"/>
      <c r="C545" s="92"/>
    </row>
    <row r="546">
      <c r="A546" s="92"/>
      <c r="B546" s="92"/>
      <c r="C546" s="92"/>
    </row>
    <row r="547">
      <c r="A547" s="92"/>
      <c r="B547" s="92"/>
      <c r="C547" s="92"/>
    </row>
    <row r="548">
      <c r="A548" s="92"/>
      <c r="B548" s="92"/>
      <c r="C548" s="92"/>
    </row>
    <row r="549">
      <c r="A549" s="92"/>
      <c r="B549" s="92"/>
      <c r="C549" s="92"/>
    </row>
    <row r="550">
      <c r="A550" s="92"/>
      <c r="B550" s="92"/>
      <c r="C550" s="92"/>
    </row>
    <row r="551">
      <c r="A551" s="92"/>
      <c r="B551" s="92"/>
      <c r="C551" s="92"/>
    </row>
    <row r="552">
      <c r="A552" s="92"/>
      <c r="B552" s="92"/>
      <c r="C552" s="92"/>
    </row>
    <row r="553">
      <c r="A553" s="92"/>
      <c r="B553" s="92"/>
      <c r="C553" s="92"/>
    </row>
    <row r="554">
      <c r="A554" s="92"/>
      <c r="B554" s="92"/>
      <c r="C554" s="92"/>
    </row>
    <row r="555">
      <c r="A555" s="92"/>
      <c r="B555" s="92"/>
      <c r="C555" s="92"/>
    </row>
    <row r="556">
      <c r="A556" s="92"/>
      <c r="B556" s="92"/>
      <c r="C556" s="92"/>
    </row>
    <row r="557">
      <c r="A557" s="92"/>
      <c r="B557" s="92"/>
      <c r="C557" s="92"/>
    </row>
    <row r="558">
      <c r="A558" s="92"/>
      <c r="B558" s="92"/>
      <c r="C558" s="92"/>
    </row>
    <row r="559">
      <c r="A559" s="92"/>
      <c r="B559" s="92"/>
      <c r="C559" s="92"/>
    </row>
    <row r="560">
      <c r="A560" s="92"/>
      <c r="B560" s="92"/>
      <c r="C560" s="92"/>
    </row>
    <row r="561">
      <c r="A561" s="92"/>
      <c r="B561" s="92"/>
      <c r="C561" s="92"/>
    </row>
    <row r="562">
      <c r="A562" s="92"/>
      <c r="B562" s="92"/>
      <c r="C562" s="92"/>
    </row>
    <row r="563">
      <c r="A563" s="92"/>
      <c r="B563" s="92"/>
      <c r="C563" s="92"/>
    </row>
    <row r="564">
      <c r="A564" s="92"/>
      <c r="B564" s="92"/>
      <c r="C564" s="92"/>
    </row>
    <row r="565">
      <c r="A565" s="92"/>
      <c r="B565" s="92"/>
      <c r="C565" s="92"/>
    </row>
    <row r="566">
      <c r="A566" s="92"/>
      <c r="B566" s="92"/>
      <c r="C566" s="92"/>
    </row>
    <row r="567">
      <c r="A567" s="92"/>
      <c r="B567" s="92"/>
      <c r="C567" s="92"/>
    </row>
    <row r="568">
      <c r="A568" s="92"/>
      <c r="B568" s="92"/>
      <c r="C568" s="92"/>
    </row>
    <row r="569">
      <c r="A569" s="92"/>
      <c r="B569" s="92"/>
      <c r="C569" s="92"/>
    </row>
    <row r="570">
      <c r="A570" s="92"/>
      <c r="B570" s="92"/>
      <c r="C570" s="92"/>
    </row>
    <row r="571">
      <c r="A571" s="92"/>
      <c r="B571" s="92"/>
      <c r="C571" s="92"/>
    </row>
    <row r="572">
      <c r="A572" s="92"/>
      <c r="B572" s="92"/>
      <c r="C572" s="92"/>
    </row>
    <row r="573">
      <c r="A573" s="92"/>
      <c r="B573" s="92"/>
      <c r="C573" s="92"/>
    </row>
    <row r="574">
      <c r="A574" s="92"/>
      <c r="B574" s="92"/>
      <c r="C574" s="92"/>
    </row>
    <row r="575">
      <c r="A575" s="92"/>
      <c r="B575" s="92"/>
      <c r="C575" s="92"/>
    </row>
    <row r="576">
      <c r="A576" s="92"/>
      <c r="B576" s="92"/>
      <c r="C576" s="92"/>
    </row>
    <row r="577">
      <c r="A577" s="92"/>
      <c r="B577" s="92"/>
      <c r="C577" s="92"/>
    </row>
    <row r="578">
      <c r="A578" s="92"/>
      <c r="B578" s="92"/>
      <c r="C578" s="92"/>
    </row>
    <row r="579">
      <c r="A579" s="92"/>
      <c r="B579" s="92"/>
      <c r="C579" s="92"/>
    </row>
    <row r="580">
      <c r="A580" s="92"/>
      <c r="B580" s="92"/>
      <c r="C580" s="92"/>
    </row>
    <row r="581">
      <c r="A581" s="92"/>
      <c r="B581" s="92"/>
      <c r="C581" s="92"/>
    </row>
    <row r="582">
      <c r="A582" s="92"/>
      <c r="B582" s="92"/>
      <c r="C582" s="92"/>
    </row>
    <row r="583">
      <c r="A583" s="92"/>
      <c r="B583" s="92"/>
      <c r="C583" s="92"/>
    </row>
    <row r="584">
      <c r="A584" s="92"/>
      <c r="B584" s="92"/>
      <c r="C584" s="92"/>
    </row>
    <row r="585">
      <c r="A585" s="92"/>
      <c r="B585" s="92"/>
      <c r="C585" s="92"/>
    </row>
    <row r="586">
      <c r="A586" s="92"/>
      <c r="B586" s="92"/>
      <c r="C586" s="92"/>
    </row>
    <row r="587">
      <c r="A587" s="92"/>
      <c r="B587" s="92"/>
      <c r="C587" s="92"/>
    </row>
    <row r="588">
      <c r="A588" s="92"/>
      <c r="B588" s="92"/>
      <c r="C588" s="92"/>
    </row>
    <row r="589">
      <c r="A589" s="92"/>
      <c r="B589" s="92"/>
      <c r="C589" s="92"/>
    </row>
    <row r="590">
      <c r="A590" s="92"/>
      <c r="B590" s="92"/>
      <c r="C590" s="92"/>
    </row>
    <row r="591">
      <c r="A591" s="92"/>
      <c r="B591" s="92"/>
      <c r="C591" s="92"/>
    </row>
    <row r="592">
      <c r="A592" s="92"/>
      <c r="B592" s="92"/>
      <c r="C592" s="92"/>
    </row>
    <row r="593">
      <c r="A593" s="92"/>
      <c r="B593" s="92"/>
      <c r="C593" s="92"/>
    </row>
    <row r="594">
      <c r="A594" s="92"/>
      <c r="B594" s="92"/>
      <c r="C594" s="92"/>
    </row>
    <row r="595">
      <c r="A595" s="92"/>
      <c r="B595" s="92"/>
      <c r="C595" s="92"/>
    </row>
    <row r="596">
      <c r="A596" s="92"/>
      <c r="B596" s="92"/>
      <c r="C596" s="92"/>
    </row>
    <row r="597">
      <c r="A597" s="92"/>
      <c r="B597" s="92"/>
      <c r="C597" s="92"/>
    </row>
    <row r="598">
      <c r="A598" s="92"/>
      <c r="B598" s="92"/>
      <c r="C598" s="92"/>
    </row>
    <row r="599">
      <c r="A599" s="92"/>
      <c r="B599" s="92"/>
      <c r="C599" s="92"/>
    </row>
    <row r="600">
      <c r="A600" s="92"/>
      <c r="B600" s="92"/>
      <c r="C600" s="92"/>
    </row>
    <row r="601">
      <c r="A601" s="92"/>
      <c r="B601" s="92"/>
      <c r="C601" s="92"/>
    </row>
    <row r="602">
      <c r="A602" s="92"/>
      <c r="B602" s="92"/>
      <c r="C602" s="92"/>
    </row>
    <row r="603">
      <c r="A603" s="92"/>
      <c r="B603" s="92"/>
      <c r="C603" s="92"/>
    </row>
    <row r="604">
      <c r="A604" s="92"/>
      <c r="B604" s="92"/>
      <c r="C604" s="92"/>
    </row>
    <row r="605">
      <c r="A605" s="92"/>
      <c r="B605" s="92"/>
      <c r="C605" s="92"/>
    </row>
    <row r="606">
      <c r="A606" s="92"/>
      <c r="B606" s="92"/>
      <c r="C606" s="92"/>
    </row>
    <row r="607">
      <c r="A607" s="92"/>
      <c r="B607" s="92"/>
      <c r="C607" s="92"/>
    </row>
    <row r="608">
      <c r="A608" s="92"/>
      <c r="B608" s="92"/>
      <c r="C608" s="92"/>
    </row>
    <row r="609">
      <c r="A609" s="92"/>
      <c r="B609" s="92"/>
      <c r="C609" s="92"/>
    </row>
    <row r="610">
      <c r="A610" s="92"/>
      <c r="B610" s="92"/>
      <c r="C610" s="92"/>
    </row>
    <row r="611">
      <c r="A611" s="92"/>
      <c r="B611" s="92"/>
      <c r="C611" s="92"/>
    </row>
    <row r="612">
      <c r="A612" s="92"/>
      <c r="B612" s="92"/>
      <c r="C612" s="92"/>
    </row>
    <row r="613">
      <c r="A613" s="92"/>
      <c r="B613" s="92"/>
      <c r="C613" s="92"/>
    </row>
    <row r="614">
      <c r="A614" s="92"/>
      <c r="B614" s="92"/>
      <c r="C614" s="92"/>
    </row>
    <row r="615">
      <c r="A615" s="92"/>
      <c r="B615" s="92"/>
      <c r="C615" s="92"/>
    </row>
    <row r="616">
      <c r="A616" s="92"/>
      <c r="B616" s="92"/>
      <c r="C616" s="92"/>
    </row>
    <row r="617">
      <c r="A617" s="92"/>
      <c r="B617" s="92"/>
      <c r="C617" s="92"/>
    </row>
    <row r="618">
      <c r="A618" s="92"/>
      <c r="B618" s="92"/>
      <c r="C618" s="92"/>
    </row>
    <row r="619">
      <c r="A619" s="92"/>
      <c r="B619" s="92"/>
      <c r="C619" s="92"/>
    </row>
    <row r="620">
      <c r="A620" s="92"/>
      <c r="B620" s="92"/>
      <c r="C620" s="92"/>
    </row>
    <row r="621">
      <c r="A621" s="92"/>
      <c r="B621" s="92"/>
      <c r="C621" s="92"/>
    </row>
    <row r="622">
      <c r="A622" s="92"/>
      <c r="B622" s="92"/>
      <c r="C622" s="92"/>
    </row>
    <row r="623">
      <c r="A623" s="92"/>
      <c r="B623" s="92"/>
      <c r="C623" s="92"/>
    </row>
    <row r="624">
      <c r="A624" s="92"/>
      <c r="B624" s="92"/>
      <c r="C624" s="92"/>
    </row>
    <row r="625">
      <c r="A625" s="92"/>
      <c r="B625" s="92"/>
      <c r="C625" s="92"/>
    </row>
    <row r="626">
      <c r="A626" s="92"/>
      <c r="B626" s="92"/>
      <c r="C626" s="92"/>
    </row>
    <row r="627">
      <c r="A627" s="92"/>
      <c r="B627" s="92"/>
      <c r="C627" s="92"/>
    </row>
    <row r="628">
      <c r="A628" s="92"/>
      <c r="B628" s="92"/>
      <c r="C628" s="92"/>
    </row>
    <row r="629">
      <c r="A629" s="92"/>
      <c r="B629" s="92"/>
      <c r="C629" s="92"/>
    </row>
    <row r="630">
      <c r="A630" s="92"/>
      <c r="B630" s="92"/>
      <c r="C630" s="92"/>
    </row>
    <row r="631">
      <c r="A631" s="92"/>
      <c r="B631" s="92"/>
      <c r="C631" s="92"/>
    </row>
    <row r="632">
      <c r="A632" s="92"/>
      <c r="B632" s="92"/>
      <c r="C632" s="92"/>
    </row>
    <row r="633">
      <c r="A633" s="92"/>
      <c r="B633" s="92"/>
      <c r="C633" s="92"/>
    </row>
    <row r="634">
      <c r="A634" s="92"/>
      <c r="B634" s="92"/>
      <c r="C634" s="92"/>
    </row>
    <row r="635">
      <c r="A635" s="92"/>
      <c r="B635" s="92"/>
      <c r="C635" s="92"/>
    </row>
    <row r="636">
      <c r="A636" s="92"/>
      <c r="B636" s="92"/>
      <c r="C636" s="92"/>
    </row>
    <row r="637">
      <c r="A637" s="92"/>
      <c r="B637" s="92"/>
      <c r="C637" s="92"/>
    </row>
    <row r="638">
      <c r="A638" s="92"/>
      <c r="B638" s="92"/>
      <c r="C638" s="92"/>
    </row>
    <row r="639">
      <c r="A639" s="92"/>
      <c r="B639" s="92"/>
      <c r="C639" s="92"/>
    </row>
    <row r="640">
      <c r="A640" s="92"/>
      <c r="B640" s="92"/>
      <c r="C640" s="92"/>
    </row>
    <row r="641">
      <c r="A641" s="92"/>
      <c r="B641" s="92"/>
      <c r="C641" s="92"/>
    </row>
    <row r="642">
      <c r="A642" s="92"/>
      <c r="B642" s="92"/>
      <c r="C642" s="92"/>
    </row>
    <row r="643">
      <c r="A643" s="92"/>
      <c r="B643" s="92"/>
      <c r="C643" s="92"/>
    </row>
    <row r="644">
      <c r="A644" s="92"/>
      <c r="B644" s="92"/>
      <c r="C644" s="92"/>
    </row>
    <row r="645">
      <c r="A645" s="92"/>
      <c r="B645" s="92"/>
      <c r="C645" s="92"/>
    </row>
    <row r="646">
      <c r="A646" s="92"/>
      <c r="B646" s="92"/>
      <c r="C646" s="92"/>
    </row>
    <row r="647">
      <c r="A647" s="92"/>
      <c r="B647" s="92"/>
      <c r="C647" s="92"/>
    </row>
    <row r="648">
      <c r="A648" s="92"/>
      <c r="B648" s="92"/>
      <c r="C648" s="92"/>
    </row>
    <row r="649">
      <c r="A649" s="92"/>
      <c r="B649" s="92"/>
      <c r="C649" s="92"/>
    </row>
    <row r="650">
      <c r="A650" s="92"/>
      <c r="B650" s="92"/>
      <c r="C650" s="92"/>
    </row>
    <row r="651">
      <c r="A651" s="92"/>
      <c r="B651" s="92"/>
      <c r="C651" s="92"/>
    </row>
    <row r="652">
      <c r="A652" s="92"/>
      <c r="B652" s="92"/>
      <c r="C652" s="92"/>
    </row>
    <row r="653">
      <c r="A653" s="92"/>
      <c r="B653" s="92"/>
      <c r="C653" s="92"/>
    </row>
    <row r="654">
      <c r="A654" s="92"/>
      <c r="B654" s="92"/>
      <c r="C654" s="92"/>
    </row>
    <row r="655">
      <c r="A655" s="92"/>
      <c r="B655" s="92"/>
      <c r="C655" s="92"/>
    </row>
    <row r="656">
      <c r="A656" s="92"/>
      <c r="B656" s="92"/>
      <c r="C656" s="92"/>
    </row>
    <row r="657">
      <c r="A657" s="92"/>
      <c r="B657" s="92"/>
      <c r="C657" s="92"/>
    </row>
    <row r="658">
      <c r="A658" s="92"/>
      <c r="B658" s="92"/>
      <c r="C658" s="92"/>
    </row>
    <row r="659">
      <c r="A659" s="92"/>
      <c r="B659" s="92"/>
      <c r="C659" s="92"/>
    </row>
    <row r="660">
      <c r="A660" s="92"/>
      <c r="B660" s="92"/>
      <c r="C660" s="92"/>
    </row>
    <row r="661">
      <c r="A661" s="92"/>
      <c r="B661" s="92"/>
      <c r="C661" s="92"/>
    </row>
    <row r="662">
      <c r="A662" s="92"/>
      <c r="B662" s="92"/>
      <c r="C662" s="92"/>
    </row>
    <row r="663">
      <c r="A663" s="92"/>
      <c r="B663" s="92"/>
      <c r="C663" s="92"/>
    </row>
    <row r="664">
      <c r="A664" s="92"/>
      <c r="B664" s="92"/>
      <c r="C664" s="92"/>
    </row>
    <row r="665">
      <c r="A665" s="92"/>
      <c r="B665" s="92"/>
      <c r="C665" s="92"/>
    </row>
    <row r="666">
      <c r="A666" s="92"/>
      <c r="B666" s="92"/>
      <c r="C666" s="92"/>
    </row>
    <row r="667">
      <c r="A667" s="92"/>
      <c r="B667" s="92"/>
      <c r="C667" s="92"/>
    </row>
    <row r="668">
      <c r="A668" s="92"/>
      <c r="B668" s="92"/>
      <c r="C668" s="92"/>
    </row>
    <row r="669">
      <c r="A669" s="92"/>
      <c r="B669" s="92"/>
      <c r="C669" s="92"/>
    </row>
    <row r="670">
      <c r="A670" s="92"/>
      <c r="B670" s="92"/>
      <c r="C670" s="92"/>
    </row>
    <row r="671">
      <c r="A671" s="92"/>
      <c r="B671" s="92"/>
      <c r="C671" s="92"/>
    </row>
    <row r="672">
      <c r="A672" s="92"/>
      <c r="B672" s="92"/>
      <c r="C672" s="92"/>
    </row>
    <row r="673">
      <c r="A673" s="92"/>
      <c r="B673" s="92"/>
      <c r="C673" s="92"/>
    </row>
    <row r="674">
      <c r="A674" s="92"/>
      <c r="B674" s="92"/>
      <c r="C674" s="92"/>
    </row>
    <row r="675">
      <c r="A675" s="92"/>
      <c r="B675" s="92"/>
      <c r="C675" s="92"/>
    </row>
    <row r="676">
      <c r="A676" s="92"/>
      <c r="B676" s="92"/>
      <c r="C676" s="92"/>
    </row>
    <row r="677">
      <c r="A677" s="92"/>
      <c r="B677" s="92"/>
      <c r="C677" s="92"/>
    </row>
    <row r="678">
      <c r="A678" s="92"/>
      <c r="B678" s="92"/>
      <c r="C678" s="92"/>
    </row>
    <row r="679">
      <c r="A679" s="92"/>
      <c r="B679" s="92"/>
      <c r="C679" s="92"/>
    </row>
    <row r="680">
      <c r="A680" s="92"/>
      <c r="B680" s="92"/>
      <c r="C680" s="92"/>
    </row>
    <row r="681">
      <c r="A681" s="92"/>
      <c r="B681" s="92"/>
      <c r="C681" s="92"/>
    </row>
    <row r="682">
      <c r="A682" s="92"/>
      <c r="B682" s="92"/>
      <c r="C682" s="92"/>
    </row>
    <row r="683">
      <c r="A683" s="92"/>
      <c r="B683" s="92"/>
      <c r="C683" s="92"/>
    </row>
    <row r="684">
      <c r="A684" s="92"/>
      <c r="B684" s="92"/>
      <c r="C684" s="92"/>
    </row>
    <row r="685">
      <c r="A685" s="92"/>
      <c r="B685" s="92"/>
      <c r="C685" s="92"/>
    </row>
    <row r="686">
      <c r="A686" s="92"/>
      <c r="B686" s="92"/>
      <c r="C686" s="92"/>
    </row>
    <row r="687">
      <c r="A687" s="92"/>
      <c r="B687" s="92"/>
      <c r="C687" s="92"/>
    </row>
    <row r="688">
      <c r="A688" s="92"/>
      <c r="B688" s="92"/>
      <c r="C688" s="92"/>
    </row>
    <row r="689">
      <c r="A689" s="92"/>
      <c r="B689" s="92"/>
      <c r="C689" s="92"/>
    </row>
    <row r="690">
      <c r="A690" s="92"/>
      <c r="B690" s="92"/>
      <c r="C690" s="92"/>
    </row>
    <row r="691">
      <c r="A691" s="92"/>
      <c r="B691" s="92"/>
      <c r="C691" s="92"/>
    </row>
    <row r="692">
      <c r="A692" s="92"/>
      <c r="B692" s="92"/>
      <c r="C692" s="92"/>
    </row>
    <row r="693">
      <c r="A693" s="92"/>
      <c r="B693" s="92"/>
      <c r="C693" s="92"/>
    </row>
    <row r="694">
      <c r="A694" s="92"/>
      <c r="B694" s="92"/>
      <c r="C694" s="92"/>
    </row>
    <row r="695">
      <c r="A695" s="92"/>
      <c r="B695" s="92"/>
      <c r="C695" s="92"/>
    </row>
    <row r="696">
      <c r="A696" s="92"/>
      <c r="B696" s="92"/>
      <c r="C696" s="92"/>
    </row>
    <row r="697">
      <c r="A697" s="92"/>
      <c r="B697" s="92"/>
      <c r="C697" s="92"/>
    </row>
    <row r="698">
      <c r="A698" s="92"/>
      <c r="B698" s="92"/>
      <c r="C698" s="92"/>
    </row>
    <row r="699">
      <c r="A699" s="92"/>
      <c r="B699" s="92"/>
      <c r="C699" s="92"/>
    </row>
    <row r="700">
      <c r="A700" s="92"/>
      <c r="B700" s="92"/>
      <c r="C700" s="92"/>
    </row>
    <row r="701">
      <c r="A701" s="92"/>
      <c r="B701" s="92"/>
      <c r="C701" s="92"/>
    </row>
    <row r="702">
      <c r="A702" s="92"/>
      <c r="B702" s="92"/>
      <c r="C702" s="92"/>
    </row>
    <row r="703">
      <c r="A703" s="92"/>
      <c r="B703" s="92"/>
      <c r="C703" s="92"/>
    </row>
    <row r="704">
      <c r="A704" s="92"/>
      <c r="B704" s="92"/>
      <c r="C704" s="92"/>
    </row>
    <row r="705">
      <c r="A705" s="92"/>
      <c r="B705" s="92"/>
      <c r="C705" s="92"/>
    </row>
    <row r="706">
      <c r="A706" s="92"/>
      <c r="B706" s="92"/>
      <c r="C706" s="92"/>
    </row>
    <row r="707">
      <c r="A707" s="92"/>
      <c r="B707" s="92"/>
      <c r="C707" s="92"/>
    </row>
    <row r="708">
      <c r="A708" s="92"/>
      <c r="B708" s="92"/>
      <c r="C708" s="92"/>
    </row>
    <row r="709">
      <c r="A709" s="92"/>
      <c r="B709" s="92"/>
      <c r="C709" s="92"/>
    </row>
    <row r="710">
      <c r="A710" s="92"/>
      <c r="B710" s="92"/>
      <c r="C710" s="92"/>
    </row>
    <row r="711">
      <c r="A711" s="92"/>
      <c r="B711" s="92"/>
      <c r="C711" s="92"/>
    </row>
    <row r="712">
      <c r="A712" s="92"/>
      <c r="B712" s="92"/>
      <c r="C712" s="92"/>
    </row>
    <row r="713">
      <c r="A713" s="92"/>
      <c r="B713" s="92"/>
      <c r="C713" s="92"/>
    </row>
    <row r="714">
      <c r="A714" s="92"/>
      <c r="B714" s="92"/>
      <c r="C714" s="92"/>
    </row>
    <row r="715">
      <c r="A715" s="92"/>
      <c r="B715" s="92"/>
      <c r="C715" s="92"/>
    </row>
    <row r="716">
      <c r="A716" s="92"/>
      <c r="B716" s="92"/>
      <c r="C716" s="92"/>
    </row>
    <row r="717">
      <c r="A717" s="92"/>
      <c r="B717" s="92"/>
      <c r="C717" s="92"/>
    </row>
    <row r="718">
      <c r="A718" s="92"/>
      <c r="B718" s="92"/>
      <c r="C718" s="92"/>
    </row>
    <row r="719">
      <c r="A719" s="92"/>
      <c r="B719" s="92"/>
      <c r="C719" s="92"/>
    </row>
    <row r="720">
      <c r="A720" s="92"/>
      <c r="B720" s="92"/>
      <c r="C720" s="92"/>
    </row>
    <row r="721">
      <c r="A721" s="92"/>
      <c r="B721" s="92"/>
      <c r="C721" s="92"/>
    </row>
    <row r="722">
      <c r="A722" s="92"/>
      <c r="B722" s="92"/>
      <c r="C722" s="92"/>
    </row>
    <row r="723">
      <c r="A723" s="92"/>
      <c r="B723" s="92"/>
      <c r="C723" s="92"/>
    </row>
    <row r="724">
      <c r="A724" s="92"/>
      <c r="B724" s="92"/>
      <c r="C724" s="92"/>
    </row>
    <row r="725">
      <c r="A725" s="92"/>
      <c r="B725" s="92"/>
      <c r="C725" s="92"/>
    </row>
    <row r="726">
      <c r="A726" s="92"/>
      <c r="B726" s="92"/>
      <c r="C726" s="92"/>
    </row>
    <row r="727">
      <c r="A727" s="92"/>
      <c r="B727" s="92"/>
      <c r="C727" s="92"/>
    </row>
    <row r="728">
      <c r="A728" s="92"/>
      <c r="B728" s="92"/>
      <c r="C728" s="92"/>
    </row>
    <row r="729">
      <c r="A729" s="92"/>
      <c r="B729" s="92"/>
      <c r="C729" s="92"/>
    </row>
    <row r="730">
      <c r="A730" s="92"/>
      <c r="B730" s="92"/>
      <c r="C730" s="92"/>
    </row>
    <row r="731">
      <c r="A731" s="92"/>
      <c r="B731" s="92"/>
      <c r="C731" s="92"/>
    </row>
    <row r="732">
      <c r="A732" s="92"/>
      <c r="B732" s="92"/>
      <c r="C732" s="92"/>
    </row>
    <row r="733">
      <c r="A733" s="92"/>
      <c r="B733" s="92"/>
      <c r="C733" s="92"/>
    </row>
    <row r="734">
      <c r="A734" s="92"/>
      <c r="B734" s="92"/>
      <c r="C734" s="92"/>
    </row>
    <row r="735">
      <c r="A735" s="92"/>
      <c r="B735" s="92"/>
      <c r="C735" s="92"/>
    </row>
    <row r="736">
      <c r="A736" s="92"/>
      <c r="B736" s="92"/>
      <c r="C736" s="92"/>
    </row>
    <row r="737">
      <c r="A737" s="92"/>
      <c r="B737" s="92"/>
      <c r="C737" s="92"/>
    </row>
    <row r="738">
      <c r="A738" s="92"/>
      <c r="B738" s="92"/>
      <c r="C738" s="92"/>
    </row>
    <row r="739">
      <c r="A739" s="92"/>
      <c r="B739" s="92"/>
      <c r="C739" s="92"/>
    </row>
    <row r="740">
      <c r="A740" s="92"/>
      <c r="B740" s="92"/>
      <c r="C740" s="92"/>
    </row>
    <row r="741">
      <c r="A741" s="92"/>
      <c r="B741" s="92"/>
      <c r="C741" s="92"/>
    </row>
    <row r="742">
      <c r="A742" s="92"/>
      <c r="B742" s="92"/>
      <c r="C742" s="92"/>
    </row>
    <row r="743">
      <c r="A743" s="92"/>
      <c r="B743" s="92"/>
      <c r="C743" s="92"/>
    </row>
    <row r="744">
      <c r="A744" s="92"/>
      <c r="B744" s="92"/>
      <c r="C744" s="92"/>
    </row>
    <row r="745">
      <c r="A745" s="92"/>
      <c r="B745" s="92"/>
      <c r="C745" s="92"/>
    </row>
    <row r="746">
      <c r="A746" s="92"/>
      <c r="B746" s="92"/>
      <c r="C746" s="92"/>
    </row>
    <row r="747">
      <c r="A747" s="92"/>
      <c r="B747" s="92"/>
      <c r="C747" s="92"/>
    </row>
    <row r="748">
      <c r="A748" s="92"/>
      <c r="B748" s="92"/>
      <c r="C748" s="92"/>
    </row>
    <row r="749">
      <c r="A749" s="92"/>
      <c r="B749" s="92"/>
      <c r="C749" s="92"/>
    </row>
    <row r="750">
      <c r="A750" s="92"/>
      <c r="B750" s="92"/>
      <c r="C750" s="92"/>
    </row>
    <row r="751">
      <c r="A751" s="92"/>
      <c r="B751" s="92"/>
      <c r="C751" s="92"/>
    </row>
    <row r="752">
      <c r="A752" s="92"/>
      <c r="B752" s="92"/>
      <c r="C752" s="92"/>
    </row>
    <row r="753">
      <c r="A753" s="92"/>
      <c r="B753" s="92"/>
      <c r="C753" s="92"/>
    </row>
    <row r="754">
      <c r="A754" s="92"/>
      <c r="B754" s="92"/>
      <c r="C754" s="92"/>
    </row>
    <row r="755">
      <c r="A755" s="92"/>
      <c r="B755" s="92"/>
      <c r="C755" s="92"/>
    </row>
    <row r="756">
      <c r="A756" s="92"/>
      <c r="B756" s="92"/>
      <c r="C756" s="92"/>
    </row>
    <row r="757">
      <c r="A757" s="92"/>
      <c r="B757" s="92"/>
      <c r="C757" s="92"/>
    </row>
    <row r="758">
      <c r="A758" s="92"/>
      <c r="B758" s="92"/>
      <c r="C758" s="92"/>
    </row>
    <row r="759">
      <c r="A759" s="92"/>
      <c r="B759" s="92"/>
      <c r="C759" s="92"/>
    </row>
    <row r="760">
      <c r="A760" s="92"/>
      <c r="B760" s="92"/>
      <c r="C760" s="92"/>
    </row>
    <row r="761">
      <c r="A761" s="92"/>
      <c r="B761" s="92"/>
      <c r="C761" s="92"/>
    </row>
    <row r="762">
      <c r="A762" s="92"/>
      <c r="B762" s="92"/>
      <c r="C762" s="92"/>
    </row>
    <row r="763">
      <c r="A763" s="92"/>
      <c r="B763" s="92"/>
      <c r="C763" s="92"/>
    </row>
    <row r="764">
      <c r="A764" s="92"/>
      <c r="B764" s="92"/>
      <c r="C764" s="92"/>
    </row>
    <row r="765">
      <c r="A765" s="92"/>
      <c r="B765" s="92"/>
      <c r="C765" s="92"/>
    </row>
    <row r="766">
      <c r="A766" s="92"/>
      <c r="B766" s="92"/>
      <c r="C766" s="92"/>
    </row>
    <row r="767">
      <c r="A767" s="92"/>
      <c r="B767" s="92"/>
      <c r="C767" s="92"/>
    </row>
    <row r="768">
      <c r="A768" s="92"/>
      <c r="B768" s="92"/>
      <c r="C768" s="92"/>
    </row>
    <row r="769">
      <c r="A769" s="92"/>
      <c r="B769" s="92"/>
      <c r="C769" s="92"/>
    </row>
    <row r="770">
      <c r="A770" s="92"/>
      <c r="B770" s="92"/>
      <c r="C770" s="92"/>
    </row>
    <row r="771">
      <c r="A771" s="92"/>
      <c r="B771" s="92"/>
      <c r="C771" s="92"/>
    </row>
    <row r="772">
      <c r="A772" s="92"/>
      <c r="B772" s="92"/>
      <c r="C772" s="92"/>
    </row>
    <row r="773">
      <c r="A773" s="92"/>
      <c r="B773" s="92"/>
      <c r="C773" s="92"/>
    </row>
    <row r="774">
      <c r="A774" s="92"/>
      <c r="B774" s="92"/>
      <c r="C774" s="92"/>
    </row>
    <row r="775">
      <c r="A775" s="92"/>
      <c r="B775" s="92"/>
      <c r="C775" s="92"/>
    </row>
    <row r="776">
      <c r="A776" s="92"/>
      <c r="B776" s="92"/>
      <c r="C776" s="92"/>
    </row>
    <row r="777">
      <c r="A777" s="92"/>
      <c r="B777" s="92"/>
      <c r="C777" s="92"/>
    </row>
    <row r="778">
      <c r="A778" s="92"/>
      <c r="B778" s="92"/>
      <c r="C778" s="92"/>
    </row>
    <row r="779">
      <c r="A779" s="92"/>
      <c r="B779" s="92"/>
      <c r="C779" s="92"/>
    </row>
    <row r="780">
      <c r="A780" s="92"/>
      <c r="B780" s="92"/>
      <c r="C780" s="92"/>
    </row>
    <row r="781">
      <c r="A781" s="92"/>
      <c r="B781" s="92"/>
      <c r="C781" s="92"/>
    </row>
    <row r="782">
      <c r="A782" s="92"/>
      <c r="B782" s="92"/>
      <c r="C782" s="92"/>
    </row>
    <row r="783">
      <c r="A783" s="92"/>
      <c r="B783" s="92"/>
      <c r="C783" s="92"/>
    </row>
    <row r="784">
      <c r="A784" s="92"/>
      <c r="B784" s="92"/>
      <c r="C784" s="92"/>
    </row>
    <row r="785">
      <c r="A785" s="92"/>
      <c r="B785" s="92"/>
      <c r="C785" s="92"/>
    </row>
    <row r="786">
      <c r="A786" s="92"/>
      <c r="B786" s="92"/>
      <c r="C786" s="92"/>
    </row>
    <row r="787">
      <c r="A787" s="92"/>
      <c r="B787" s="92"/>
      <c r="C787" s="92"/>
    </row>
    <row r="788">
      <c r="A788" s="92"/>
      <c r="B788" s="92"/>
      <c r="C788" s="92"/>
    </row>
    <row r="789">
      <c r="A789" s="92"/>
      <c r="B789" s="92"/>
      <c r="C789" s="92"/>
    </row>
    <row r="790">
      <c r="A790" s="92"/>
      <c r="B790" s="92"/>
      <c r="C790" s="92"/>
    </row>
    <row r="791">
      <c r="A791" s="92"/>
      <c r="B791" s="92"/>
      <c r="C791" s="92"/>
    </row>
    <row r="792">
      <c r="A792" s="92"/>
      <c r="B792" s="92"/>
      <c r="C792" s="92"/>
    </row>
    <row r="793">
      <c r="A793" s="92"/>
      <c r="B793" s="92"/>
      <c r="C793" s="92"/>
    </row>
    <row r="794">
      <c r="A794" s="92"/>
      <c r="B794" s="92"/>
      <c r="C794" s="92"/>
    </row>
    <row r="795">
      <c r="A795" s="92"/>
      <c r="B795" s="92"/>
      <c r="C795" s="92"/>
    </row>
    <row r="796">
      <c r="A796" s="92"/>
      <c r="B796" s="92"/>
      <c r="C796" s="92"/>
    </row>
    <row r="797">
      <c r="A797" s="92"/>
      <c r="B797" s="92"/>
      <c r="C797" s="92"/>
    </row>
    <row r="798">
      <c r="A798" s="92"/>
      <c r="B798" s="92"/>
      <c r="C798" s="92"/>
    </row>
    <row r="799">
      <c r="A799" s="92"/>
      <c r="B799" s="92"/>
      <c r="C799" s="92"/>
    </row>
    <row r="800">
      <c r="A800" s="92"/>
      <c r="B800" s="92"/>
      <c r="C800" s="92"/>
    </row>
    <row r="801">
      <c r="A801" s="92"/>
      <c r="B801" s="92"/>
      <c r="C801" s="92"/>
    </row>
    <row r="802">
      <c r="A802" s="92"/>
      <c r="B802" s="92"/>
      <c r="C802" s="92"/>
    </row>
    <row r="803">
      <c r="A803" s="92"/>
      <c r="B803" s="92"/>
      <c r="C803" s="92"/>
    </row>
    <row r="804">
      <c r="A804" s="92"/>
      <c r="B804" s="92"/>
      <c r="C804" s="92"/>
    </row>
    <row r="805">
      <c r="A805" s="92"/>
      <c r="B805" s="92"/>
      <c r="C805" s="92"/>
    </row>
    <row r="806">
      <c r="A806" s="92"/>
      <c r="B806" s="92"/>
      <c r="C806" s="92"/>
    </row>
    <row r="807">
      <c r="A807" s="92"/>
      <c r="B807" s="92"/>
      <c r="C807" s="92"/>
    </row>
    <row r="808">
      <c r="A808" s="92"/>
      <c r="B808" s="92"/>
      <c r="C808" s="92"/>
    </row>
    <row r="809">
      <c r="A809" s="92"/>
      <c r="B809" s="92"/>
      <c r="C809" s="92"/>
    </row>
    <row r="810">
      <c r="A810" s="92"/>
      <c r="B810" s="92"/>
      <c r="C810" s="92"/>
    </row>
    <row r="811">
      <c r="A811" s="92"/>
      <c r="B811" s="92"/>
      <c r="C811" s="92"/>
    </row>
    <row r="812">
      <c r="A812" s="92"/>
      <c r="B812" s="92"/>
      <c r="C812" s="92"/>
    </row>
    <row r="813">
      <c r="A813" s="92"/>
      <c r="B813" s="92"/>
      <c r="C813" s="92"/>
    </row>
    <row r="814">
      <c r="A814" s="92"/>
      <c r="B814" s="92"/>
      <c r="C814" s="92"/>
    </row>
    <row r="815">
      <c r="A815" s="92"/>
      <c r="B815" s="92"/>
      <c r="C815" s="92"/>
    </row>
    <row r="816">
      <c r="A816" s="92"/>
      <c r="B816" s="92"/>
      <c r="C816" s="92"/>
    </row>
    <row r="817">
      <c r="A817" s="92"/>
      <c r="B817" s="92"/>
      <c r="C817" s="92"/>
    </row>
    <row r="818">
      <c r="A818" s="92"/>
      <c r="B818" s="92"/>
      <c r="C818" s="92"/>
    </row>
    <row r="819">
      <c r="A819" s="92"/>
      <c r="B819" s="92"/>
      <c r="C819" s="92"/>
    </row>
    <row r="820">
      <c r="A820" s="92"/>
      <c r="B820" s="92"/>
      <c r="C820" s="92"/>
    </row>
    <row r="821">
      <c r="A821" s="92"/>
      <c r="B821" s="92"/>
      <c r="C821" s="92"/>
    </row>
    <row r="822">
      <c r="A822" s="92"/>
      <c r="B822" s="92"/>
      <c r="C822" s="92"/>
    </row>
    <row r="823">
      <c r="A823" s="92"/>
      <c r="B823" s="92"/>
      <c r="C823" s="92"/>
    </row>
    <row r="824">
      <c r="A824" s="92"/>
      <c r="B824" s="92"/>
      <c r="C824" s="92"/>
    </row>
    <row r="825">
      <c r="A825" s="92"/>
      <c r="B825" s="92"/>
      <c r="C825" s="92"/>
    </row>
    <row r="826">
      <c r="A826" s="92"/>
      <c r="B826" s="92"/>
      <c r="C826" s="92"/>
    </row>
    <row r="827">
      <c r="A827" s="92"/>
      <c r="B827" s="92"/>
      <c r="C827" s="92"/>
    </row>
    <row r="828">
      <c r="A828" s="92"/>
      <c r="B828" s="92"/>
      <c r="C828" s="92"/>
    </row>
    <row r="829">
      <c r="A829" s="92"/>
      <c r="B829" s="92"/>
      <c r="C829" s="92"/>
    </row>
    <row r="830">
      <c r="A830" s="92"/>
      <c r="B830" s="92"/>
      <c r="C830" s="92"/>
    </row>
    <row r="831">
      <c r="A831" s="92"/>
      <c r="B831" s="92"/>
      <c r="C831" s="92"/>
    </row>
    <row r="832">
      <c r="A832" s="92"/>
      <c r="B832" s="92"/>
      <c r="C832" s="92"/>
    </row>
    <row r="833">
      <c r="A833" s="92"/>
      <c r="B833" s="92"/>
      <c r="C833" s="92"/>
    </row>
    <row r="834">
      <c r="A834" s="92"/>
      <c r="B834" s="92"/>
      <c r="C834" s="92"/>
    </row>
    <row r="835">
      <c r="A835" s="92"/>
      <c r="B835" s="92"/>
      <c r="C835" s="92"/>
    </row>
    <row r="836">
      <c r="A836" s="92"/>
      <c r="B836" s="92"/>
      <c r="C836" s="92"/>
    </row>
    <row r="837">
      <c r="A837" s="92"/>
      <c r="B837" s="92"/>
      <c r="C837" s="92"/>
    </row>
    <row r="838">
      <c r="A838" s="92"/>
      <c r="B838" s="92"/>
      <c r="C838" s="92"/>
    </row>
    <row r="839">
      <c r="A839" s="92"/>
      <c r="B839" s="92"/>
      <c r="C839" s="92"/>
    </row>
    <row r="840">
      <c r="A840" s="92"/>
      <c r="B840" s="92"/>
      <c r="C840" s="92"/>
    </row>
    <row r="841">
      <c r="A841" s="92"/>
      <c r="B841" s="92"/>
      <c r="C841" s="92"/>
    </row>
    <row r="842">
      <c r="A842" s="92"/>
      <c r="B842" s="92"/>
      <c r="C842" s="92"/>
    </row>
    <row r="843">
      <c r="A843" s="92"/>
      <c r="B843" s="92"/>
      <c r="C843" s="92"/>
    </row>
    <row r="844">
      <c r="A844" s="92"/>
      <c r="B844" s="92"/>
      <c r="C844" s="92"/>
    </row>
    <row r="845">
      <c r="A845" s="92"/>
      <c r="B845" s="92"/>
      <c r="C845" s="92"/>
    </row>
    <row r="846">
      <c r="A846" s="92"/>
      <c r="B846" s="92"/>
      <c r="C846" s="92"/>
    </row>
    <row r="847">
      <c r="A847" s="92"/>
      <c r="B847" s="92"/>
      <c r="C847" s="92"/>
    </row>
    <row r="848">
      <c r="A848" s="92"/>
      <c r="B848" s="92"/>
      <c r="C848" s="92"/>
    </row>
    <row r="849">
      <c r="A849" s="92"/>
      <c r="B849" s="92"/>
      <c r="C849" s="92"/>
    </row>
    <row r="850">
      <c r="A850" s="92"/>
      <c r="B850" s="92"/>
      <c r="C850" s="92"/>
    </row>
    <row r="851">
      <c r="A851" s="92"/>
      <c r="B851" s="92"/>
      <c r="C851" s="92"/>
    </row>
    <row r="852">
      <c r="A852" s="92"/>
      <c r="B852" s="92"/>
      <c r="C852" s="92"/>
    </row>
    <row r="853">
      <c r="A853" s="92"/>
      <c r="B853" s="92"/>
      <c r="C853" s="92"/>
    </row>
    <row r="854">
      <c r="A854" s="92"/>
      <c r="B854" s="92"/>
      <c r="C854" s="92"/>
    </row>
    <row r="855">
      <c r="A855" s="92"/>
      <c r="B855" s="92"/>
      <c r="C855" s="92"/>
    </row>
    <row r="856">
      <c r="A856" s="92"/>
      <c r="B856" s="92"/>
      <c r="C856" s="92"/>
    </row>
    <row r="857">
      <c r="A857" s="92"/>
      <c r="B857" s="92"/>
      <c r="C857" s="92"/>
    </row>
    <row r="858">
      <c r="A858" s="92"/>
      <c r="B858" s="92"/>
      <c r="C858" s="92"/>
    </row>
    <row r="859">
      <c r="A859" s="92"/>
      <c r="B859" s="92"/>
      <c r="C859" s="92"/>
    </row>
    <row r="860">
      <c r="A860" s="92"/>
      <c r="B860" s="92"/>
      <c r="C860" s="92"/>
    </row>
    <row r="861">
      <c r="A861" s="92"/>
      <c r="B861" s="92"/>
      <c r="C861" s="92"/>
    </row>
    <row r="862">
      <c r="A862" s="92"/>
      <c r="B862" s="92"/>
      <c r="C862" s="92"/>
    </row>
    <row r="863">
      <c r="A863" s="92"/>
      <c r="B863" s="92"/>
      <c r="C863" s="92"/>
    </row>
    <row r="864">
      <c r="A864" s="92"/>
      <c r="B864" s="92"/>
      <c r="C864" s="92"/>
    </row>
    <row r="865">
      <c r="A865" s="92"/>
      <c r="B865" s="92"/>
      <c r="C865" s="92"/>
    </row>
    <row r="866">
      <c r="A866" s="92"/>
      <c r="B866" s="92"/>
      <c r="C866" s="92"/>
    </row>
    <row r="867">
      <c r="A867" s="92"/>
      <c r="B867" s="92"/>
      <c r="C867" s="92"/>
    </row>
    <row r="868">
      <c r="A868" s="92"/>
      <c r="B868" s="92"/>
      <c r="C868" s="92"/>
    </row>
    <row r="869">
      <c r="A869" s="92"/>
      <c r="B869" s="92"/>
      <c r="C869" s="92"/>
    </row>
    <row r="870">
      <c r="A870" s="92"/>
      <c r="B870" s="92"/>
      <c r="C870" s="92"/>
    </row>
    <row r="871">
      <c r="A871" s="92"/>
      <c r="B871" s="92"/>
      <c r="C871" s="92"/>
    </row>
    <row r="872">
      <c r="A872" s="92"/>
      <c r="B872" s="92"/>
      <c r="C872" s="92"/>
    </row>
    <row r="873">
      <c r="A873" s="92"/>
      <c r="B873" s="92"/>
      <c r="C873" s="92"/>
    </row>
    <row r="874">
      <c r="A874" s="92"/>
      <c r="B874" s="92"/>
      <c r="C874" s="92"/>
    </row>
    <row r="875">
      <c r="A875" s="92"/>
      <c r="B875" s="92"/>
      <c r="C875" s="92"/>
    </row>
    <row r="876">
      <c r="A876" s="92"/>
      <c r="B876" s="92"/>
      <c r="C876" s="92"/>
    </row>
    <row r="877">
      <c r="A877" s="92"/>
      <c r="B877" s="92"/>
      <c r="C877" s="92"/>
    </row>
    <row r="878">
      <c r="A878" s="92"/>
      <c r="B878" s="92"/>
      <c r="C878" s="92"/>
    </row>
    <row r="879">
      <c r="A879" s="92"/>
      <c r="B879" s="92"/>
      <c r="C879" s="92"/>
    </row>
    <row r="880">
      <c r="A880" s="92"/>
      <c r="B880" s="92"/>
      <c r="C880" s="92"/>
    </row>
    <row r="881">
      <c r="A881" s="92"/>
      <c r="B881" s="92"/>
      <c r="C881" s="92"/>
    </row>
    <row r="882">
      <c r="A882" s="92"/>
      <c r="B882" s="92"/>
      <c r="C882" s="92"/>
    </row>
    <row r="883">
      <c r="A883" s="92"/>
      <c r="B883" s="92"/>
      <c r="C883" s="92"/>
    </row>
    <row r="884">
      <c r="A884" s="92"/>
      <c r="B884" s="92"/>
      <c r="C884" s="92"/>
    </row>
    <row r="885">
      <c r="A885" s="92"/>
      <c r="B885" s="92"/>
      <c r="C885" s="92"/>
    </row>
    <row r="886">
      <c r="A886" s="92"/>
      <c r="B886" s="92"/>
      <c r="C886" s="92"/>
    </row>
    <row r="887">
      <c r="A887" s="92"/>
      <c r="B887" s="92"/>
      <c r="C887" s="92"/>
    </row>
    <row r="888">
      <c r="A888" s="92"/>
      <c r="B888" s="92"/>
      <c r="C888" s="92"/>
    </row>
    <row r="889">
      <c r="A889" s="92"/>
      <c r="B889" s="92"/>
      <c r="C889" s="92"/>
    </row>
    <row r="890">
      <c r="A890" s="92"/>
      <c r="B890" s="92"/>
      <c r="C890" s="92"/>
    </row>
    <row r="891">
      <c r="A891" s="92"/>
      <c r="B891" s="92"/>
      <c r="C891" s="92"/>
    </row>
    <row r="892">
      <c r="A892" s="92"/>
      <c r="B892" s="92"/>
      <c r="C892" s="92"/>
    </row>
    <row r="893">
      <c r="A893" s="92"/>
      <c r="B893" s="92"/>
      <c r="C893" s="92"/>
    </row>
    <row r="894">
      <c r="A894" s="92"/>
      <c r="B894" s="92"/>
      <c r="C894" s="92"/>
    </row>
    <row r="895">
      <c r="A895" s="92"/>
      <c r="B895" s="92"/>
      <c r="C895" s="92"/>
    </row>
    <row r="896">
      <c r="A896" s="92"/>
      <c r="B896" s="92"/>
      <c r="C896" s="92"/>
    </row>
    <row r="897">
      <c r="A897" s="92"/>
      <c r="B897" s="92"/>
      <c r="C897" s="92"/>
    </row>
    <row r="898">
      <c r="A898" s="92"/>
      <c r="B898" s="92"/>
      <c r="C898" s="92"/>
    </row>
    <row r="899">
      <c r="A899" s="92"/>
      <c r="B899" s="92"/>
      <c r="C899" s="92"/>
    </row>
    <row r="900">
      <c r="A900" s="92"/>
      <c r="B900" s="92"/>
      <c r="C900" s="92"/>
    </row>
    <row r="901">
      <c r="A901" s="92"/>
      <c r="B901" s="92"/>
      <c r="C901" s="92"/>
    </row>
    <row r="902">
      <c r="A902" s="92"/>
      <c r="B902" s="92"/>
      <c r="C902" s="92"/>
    </row>
    <row r="903">
      <c r="A903" s="92"/>
      <c r="B903" s="92"/>
      <c r="C903" s="92"/>
    </row>
    <row r="904">
      <c r="A904" s="92"/>
      <c r="B904" s="92"/>
      <c r="C904" s="92"/>
    </row>
    <row r="905">
      <c r="A905" s="92"/>
      <c r="B905" s="92"/>
      <c r="C905" s="92"/>
    </row>
    <row r="906">
      <c r="A906" s="92"/>
      <c r="B906" s="92"/>
      <c r="C906" s="92"/>
    </row>
    <row r="907">
      <c r="A907" s="92"/>
      <c r="B907" s="92"/>
      <c r="C907" s="92"/>
    </row>
    <row r="908">
      <c r="A908" s="92"/>
      <c r="B908" s="92"/>
      <c r="C908" s="92"/>
    </row>
    <row r="909">
      <c r="A909" s="92"/>
      <c r="B909" s="92"/>
      <c r="C909" s="92"/>
    </row>
    <row r="910">
      <c r="A910" s="92"/>
      <c r="B910" s="92"/>
      <c r="C910" s="92"/>
    </row>
    <row r="911">
      <c r="A911" s="92"/>
      <c r="B911" s="92"/>
      <c r="C911" s="92"/>
    </row>
    <row r="912">
      <c r="A912" s="92"/>
      <c r="B912" s="92"/>
      <c r="C912" s="92"/>
    </row>
    <row r="913">
      <c r="A913" s="92"/>
      <c r="B913" s="92"/>
      <c r="C913" s="92"/>
    </row>
    <row r="914">
      <c r="A914" s="92"/>
      <c r="B914" s="92"/>
      <c r="C914" s="92"/>
    </row>
    <row r="915">
      <c r="A915" s="92"/>
      <c r="B915" s="92"/>
      <c r="C915" s="92"/>
    </row>
    <row r="916">
      <c r="A916" s="92"/>
      <c r="B916" s="92"/>
      <c r="C916" s="92"/>
    </row>
    <row r="917">
      <c r="A917" s="92"/>
      <c r="B917" s="92"/>
      <c r="C917" s="92"/>
    </row>
    <row r="918">
      <c r="A918" s="92"/>
      <c r="B918" s="92"/>
      <c r="C918" s="92"/>
    </row>
    <row r="919">
      <c r="A919" s="92"/>
      <c r="B919" s="92"/>
      <c r="C919" s="92"/>
    </row>
    <row r="920">
      <c r="A920" s="92"/>
      <c r="B920" s="92"/>
      <c r="C920" s="92"/>
    </row>
    <row r="921">
      <c r="A921" s="92"/>
      <c r="B921" s="92"/>
      <c r="C921" s="92"/>
    </row>
    <row r="922">
      <c r="A922" s="92"/>
      <c r="B922" s="92"/>
      <c r="C922" s="92"/>
    </row>
    <row r="923">
      <c r="A923" s="92"/>
      <c r="B923" s="92"/>
      <c r="C923" s="92"/>
    </row>
    <row r="924">
      <c r="A924" s="92"/>
      <c r="B924" s="92"/>
      <c r="C924" s="92"/>
    </row>
    <row r="925">
      <c r="A925" s="92"/>
      <c r="B925" s="92"/>
      <c r="C925" s="92"/>
    </row>
    <row r="926">
      <c r="A926" s="92"/>
      <c r="B926" s="92"/>
      <c r="C926" s="92"/>
    </row>
    <row r="927">
      <c r="A927" s="92"/>
      <c r="B927" s="92"/>
      <c r="C927" s="92"/>
    </row>
    <row r="928">
      <c r="A928" s="92"/>
      <c r="B928" s="92"/>
      <c r="C928" s="92"/>
    </row>
    <row r="929">
      <c r="A929" s="92"/>
      <c r="B929" s="92"/>
      <c r="C929" s="92"/>
    </row>
    <row r="930">
      <c r="A930" s="92"/>
      <c r="B930" s="92"/>
      <c r="C930" s="92"/>
    </row>
    <row r="931">
      <c r="A931" s="92"/>
      <c r="B931" s="92"/>
      <c r="C931" s="92"/>
    </row>
    <row r="932">
      <c r="A932" s="92"/>
      <c r="B932" s="92"/>
      <c r="C932" s="92"/>
    </row>
    <row r="933">
      <c r="A933" s="92"/>
      <c r="B933" s="92"/>
      <c r="C933" s="92"/>
    </row>
    <row r="934">
      <c r="A934" s="92"/>
      <c r="B934" s="92"/>
      <c r="C934" s="92"/>
    </row>
    <row r="935">
      <c r="A935" s="92"/>
      <c r="B935" s="92"/>
      <c r="C935" s="92"/>
    </row>
    <row r="936">
      <c r="A936" s="92"/>
      <c r="B936" s="92"/>
      <c r="C936" s="92"/>
    </row>
    <row r="937">
      <c r="A937" s="92"/>
      <c r="B937" s="92"/>
      <c r="C937" s="92"/>
    </row>
    <row r="938">
      <c r="A938" s="92"/>
      <c r="B938" s="92"/>
      <c r="C938" s="92"/>
    </row>
    <row r="939">
      <c r="A939" s="92"/>
      <c r="B939" s="92"/>
      <c r="C939" s="92"/>
    </row>
    <row r="940">
      <c r="A940" s="92"/>
      <c r="B940" s="92"/>
      <c r="C940" s="92"/>
    </row>
    <row r="941">
      <c r="A941" s="92"/>
      <c r="B941" s="92"/>
      <c r="C941" s="92"/>
    </row>
    <row r="942">
      <c r="A942" s="92"/>
      <c r="B942" s="92"/>
      <c r="C942" s="92"/>
    </row>
    <row r="943">
      <c r="A943" s="92"/>
      <c r="B943" s="92"/>
      <c r="C943" s="92"/>
    </row>
    <row r="944">
      <c r="A944" s="92"/>
      <c r="B944" s="92"/>
      <c r="C944" s="92"/>
    </row>
    <row r="945">
      <c r="A945" s="92"/>
      <c r="B945" s="92"/>
      <c r="C945" s="92"/>
    </row>
    <row r="946">
      <c r="A946" s="92"/>
      <c r="B946" s="92"/>
      <c r="C946" s="92"/>
    </row>
    <row r="947">
      <c r="A947" s="92"/>
      <c r="B947" s="92"/>
      <c r="C947" s="92"/>
    </row>
    <row r="948">
      <c r="A948" s="92"/>
      <c r="B948" s="92"/>
      <c r="C948" s="92"/>
    </row>
    <row r="949">
      <c r="A949" s="92"/>
      <c r="B949" s="92"/>
      <c r="C949" s="92"/>
    </row>
    <row r="950">
      <c r="A950" s="92"/>
      <c r="B950" s="92"/>
      <c r="C950" s="92"/>
    </row>
    <row r="951">
      <c r="A951" s="92"/>
      <c r="B951" s="92"/>
      <c r="C951" s="92"/>
    </row>
    <row r="952">
      <c r="A952" s="92"/>
      <c r="B952" s="92"/>
      <c r="C952" s="92"/>
    </row>
    <row r="953">
      <c r="A953" s="92"/>
      <c r="B953" s="92"/>
      <c r="C953" s="92"/>
    </row>
    <row r="954">
      <c r="A954" s="92"/>
      <c r="B954" s="92"/>
      <c r="C954" s="92"/>
    </row>
    <row r="955">
      <c r="A955" s="92"/>
      <c r="B955" s="92"/>
      <c r="C955" s="92"/>
    </row>
    <row r="956">
      <c r="A956" s="92"/>
      <c r="B956" s="92"/>
      <c r="C956" s="92"/>
    </row>
    <row r="957">
      <c r="A957" s="92"/>
      <c r="B957" s="92"/>
      <c r="C957" s="92"/>
    </row>
    <row r="958">
      <c r="A958" s="92"/>
      <c r="B958" s="92"/>
      <c r="C958" s="92"/>
    </row>
    <row r="959">
      <c r="A959" s="92"/>
      <c r="B959" s="92"/>
      <c r="C959" s="92"/>
    </row>
    <row r="960">
      <c r="A960" s="92"/>
      <c r="B960" s="92"/>
      <c r="C960" s="92"/>
    </row>
    <row r="961">
      <c r="A961" s="92"/>
      <c r="B961" s="92"/>
      <c r="C961" s="92"/>
    </row>
    <row r="962">
      <c r="A962" s="92"/>
      <c r="B962" s="92"/>
      <c r="C962" s="92"/>
    </row>
    <row r="963">
      <c r="A963" s="92"/>
      <c r="B963" s="92"/>
      <c r="C963" s="92"/>
    </row>
    <row r="964">
      <c r="A964" s="92"/>
      <c r="B964" s="92"/>
      <c r="C964" s="92"/>
    </row>
    <row r="965">
      <c r="A965" s="92"/>
      <c r="B965" s="92"/>
      <c r="C965" s="92"/>
    </row>
    <row r="966">
      <c r="A966" s="92"/>
      <c r="B966" s="92"/>
      <c r="C966" s="92"/>
    </row>
    <row r="967">
      <c r="A967" s="92"/>
      <c r="B967" s="92"/>
      <c r="C967" s="92"/>
    </row>
    <row r="968">
      <c r="A968" s="92"/>
      <c r="B968" s="92"/>
      <c r="C968" s="92"/>
    </row>
    <row r="969">
      <c r="A969" s="92"/>
      <c r="B969" s="92"/>
      <c r="C969" s="92"/>
    </row>
    <row r="970">
      <c r="A970" s="92"/>
      <c r="B970" s="92"/>
      <c r="C970" s="92"/>
    </row>
    <row r="971">
      <c r="A971" s="92"/>
      <c r="B971" s="92"/>
      <c r="C971" s="92"/>
    </row>
    <row r="972">
      <c r="A972" s="92"/>
      <c r="B972" s="92"/>
      <c r="C972" s="92"/>
    </row>
    <row r="973">
      <c r="A973" s="92"/>
      <c r="B973" s="92"/>
      <c r="C973" s="92"/>
    </row>
    <row r="974">
      <c r="A974" s="92"/>
      <c r="B974" s="92"/>
      <c r="C974" s="92"/>
    </row>
    <row r="975">
      <c r="A975" s="92"/>
      <c r="B975" s="92"/>
      <c r="C975" s="92"/>
    </row>
    <row r="976">
      <c r="A976" s="92"/>
      <c r="B976" s="92"/>
      <c r="C976" s="92"/>
    </row>
    <row r="977">
      <c r="A977" s="92"/>
      <c r="B977" s="92"/>
      <c r="C977" s="92"/>
    </row>
    <row r="978">
      <c r="A978" s="92"/>
      <c r="B978" s="92"/>
      <c r="C978" s="92"/>
    </row>
    <row r="979">
      <c r="A979" s="92"/>
      <c r="B979" s="92"/>
      <c r="C979" s="92"/>
    </row>
    <row r="980">
      <c r="A980" s="92"/>
      <c r="B980" s="92"/>
      <c r="C980" s="92"/>
    </row>
    <row r="981">
      <c r="A981" s="92"/>
      <c r="B981" s="92"/>
      <c r="C981" s="92"/>
    </row>
    <row r="982">
      <c r="A982" s="92"/>
      <c r="B982" s="92"/>
      <c r="C982" s="92"/>
    </row>
    <row r="983">
      <c r="A983" s="92"/>
      <c r="B983" s="92"/>
      <c r="C983" s="92"/>
    </row>
    <row r="984">
      <c r="A984" s="92"/>
      <c r="B984" s="92"/>
      <c r="C984" s="92"/>
    </row>
    <row r="985">
      <c r="A985" s="92"/>
      <c r="B985" s="92"/>
      <c r="C985" s="92"/>
    </row>
    <row r="986">
      <c r="A986" s="92"/>
      <c r="B986" s="92"/>
      <c r="C986" s="92"/>
    </row>
    <row r="987">
      <c r="A987" s="92"/>
      <c r="B987" s="92"/>
      <c r="C987" s="92"/>
    </row>
    <row r="988">
      <c r="A988" s="92"/>
      <c r="B988" s="92"/>
      <c r="C988" s="92"/>
    </row>
    <row r="989">
      <c r="A989" s="92"/>
      <c r="B989" s="92"/>
      <c r="C989" s="92"/>
    </row>
    <row r="990">
      <c r="A990" s="92"/>
      <c r="B990" s="92"/>
      <c r="C990" s="92"/>
    </row>
    <row r="991">
      <c r="A991" s="92"/>
      <c r="B991" s="92"/>
      <c r="C991" s="92"/>
    </row>
    <row r="992">
      <c r="A992" s="92"/>
      <c r="B992" s="92"/>
      <c r="C992" s="92"/>
    </row>
    <row r="993">
      <c r="A993" s="92"/>
      <c r="B993" s="92"/>
      <c r="C993" s="92"/>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3" t="s">
        <v>23</v>
      </c>
      <c r="B1" s="93" t="s">
        <v>24</v>
      </c>
      <c r="C1" s="93" t="s">
        <v>25</v>
      </c>
      <c r="D1" s="78" t="s">
        <v>26</v>
      </c>
      <c r="E1" s="78" t="s">
        <v>27</v>
      </c>
      <c r="F1" s="94" t="s">
        <v>28</v>
      </c>
      <c r="G1" s="94" t="s">
        <v>29</v>
      </c>
      <c r="H1" s="95"/>
      <c r="I1" s="95"/>
      <c r="J1" s="95"/>
      <c r="K1" s="95"/>
      <c r="L1" s="95"/>
      <c r="M1" s="95"/>
      <c r="N1" s="95"/>
      <c r="O1" s="95"/>
      <c r="P1" s="95"/>
      <c r="Q1" s="95"/>
      <c r="R1" s="95"/>
      <c r="S1" s="95"/>
      <c r="T1" s="95"/>
      <c r="U1" s="95"/>
      <c r="V1" s="95"/>
      <c r="W1" s="95"/>
      <c r="X1" s="95"/>
      <c r="Y1" s="95"/>
      <c r="Z1" s="95"/>
    </row>
    <row r="2" ht="15.75" customHeight="1">
      <c r="A2" s="96" t="s">
        <v>1749</v>
      </c>
      <c r="B2" s="97"/>
      <c r="C2" s="97"/>
      <c r="D2" s="98"/>
      <c r="E2" s="98"/>
      <c r="F2" s="98"/>
      <c r="G2" s="99"/>
      <c r="H2" s="28"/>
      <c r="I2" s="28"/>
      <c r="J2" s="28"/>
      <c r="K2" s="28"/>
      <c r="L2" s="28"/>
      <c r="M2" s="28"/>
      <c r="N2" s="28"/>
      <c r="O2" s="28"/>
      <c r="P2" s="28"/>
      <c r="Q2" s="28"/>
      <c r="R2" s="28"/>
      <c r="S2" s="28"/>
      <c r="T2" s="28"/>
      <c r="U2" s="28"/>
      <c r="V2" s="28"/>
      <c r="W2" s="28"/>
      <c r="X2" s="28"/>
      <c r="Y2" s="28"/>
      <c r="Z2" s="28"/>
    </row>
    <row r="3" ht="15.75" customHeight="1">
      <c r="A3" s="100" t="s">
        <v>1750</v>
      </c>
      <c r="B3" s="101" t="s">
        <v>1751</v>
      </c>
      <c r="C3" s="41" t="s">
        <v>1752</v>
      </c>
      <c r="D3" s="102" t="s">
        <v>1753</v>
      </c>
      <c r="E3" s="102" t="s">
        <v>1754</v>
      </c>
      <c r="F3" s="103">
        <v>0.21</v>
      </c>
      <c r="G3" s="50" t="str">
        <f>VLOOKUP("EVIVA12P",STOCK!$B$2:$Q$3692,3,FALSE)</f>
        <v>Mayor a 5</v>
      </c>
      <c r="H3" s="28"/>
      <c r="I3" s="28"/>
      <c r="J3" s="28"/>
      <c r="K3" s="28"/>
      <c r="L3" s="28"/>
      <c r="M3" s="28"/>
      <c r="N3" s="28"/>
      <c r="O3" s="28"/>
      <c r="P3" s="28"/>
      <c r="Q3" s="28"/>
      <c r="R3" s="28"/>
      <c r="S3" s="28"/>
      <c r="T3" s="28"/>
      <c r="U3" s="28"/>
      <c r="V3" s="28"/>
      <c r="W3" s="28"/>
      <c r="X3" s="28"/>
      <c r="Y3" s="28"/>
      <c r="Z3" s="28"/>
    </row>
    <row r="4" ht="15.75" customHeight="1">
      <c r="A4" s="104" t="s">
        <v>1750</v>
      </c>
      <c r="B4" s="64" t="s">
        <v>1755</v>
      </c>
      <c r="C4" s="47" t="s">
        <v>1756</v>
      </c>
      <c r="D4" s="105" t="s">
        <v>1757</v>
      </c>
      <c r="E4" s="105" t="s">
        <v>1758</v>
      </c>
      <c r="F4" s="106">
        <v>0.21</v>
      </c>
      <c r="G4" s="50" t="str">
        <f>VLOOKUP("EVIVA15P",STOCK!$B$2:$Q$3692,3,FALSE)</f>
        <v>Mayor a 5</v>
      </c>
      <c r="H4" s="28"/>
      <c r="I4" s="28"/>
      <c r="J4" s="28"/>
      <c r="K4" s="28"/>
      <c r="L4" s="28"/>
      <c r="M4" s="28"/>
      <c r="N4" s="28"/>
      <c r="O4" s="28"/>
      <c r="P4" s="28"/>
      <c r="Q4" s="28"/>
      <c r="R4" s="28"/>
      <c r="S4" s="28"/>
      <c r="T4" s="28"/>
      <c r="U4" s="28"/>
      <c r="V4" s="28"/>
      <c r="W4" s="28"/>
      <c r="X4" s="28"/>
      <c r="Y4" s="28"/>
      <c r="Z4" s="28"/>
    </row>
    <row r="5" ht="15.75" customHeight="1">
      <c r="A5" s="100" t="s">
        <v>1750</v>
      </c>
      <c r="B5" s="101" t="s">
        <v>1759</v>
      </c>
      <c r="C5" s="41" t="s">
        <v>1760</v>
      </c>
      <c r="D5" s="102" t="s">
        <v>1761</v>
      </c>
      <c r="E5" s="102" t="s">
        <v>1762</v>
      </c>
      <c r="F5" s="103">
        <v>0.21</v>
      </c>
      <c r="G5" s="50" t="str">
        <f>VLOOKUP("EVIVA18SP",STOCK!$B$2:$Q$3692,3,FALSE)</f>
        <v>Mayor a 5</v>
      </c>
      <c r="H5" s="28"/>
      <c r="I5" s="28"/>
      <c r="J5" s="28"/>
      <c r="K5" s="28"/>
      <c r="L5" s="28"/>
      <c r="M5" s="28"/>
      <c r="N5" s="28"/>
      <c r="O5" s="28"/>
      <c r="P5" s="28"/>
      <c r="Q5" s="28"/>
      <c r="R5" s="28"/>
      <c r="S5" s="28"/>
      <c r="T5" s="28"/>
      <c r="U5" s="28"/>
      <c r="V5" s="28"/>
      <c r="W5" s="28"/>
      <c r="X5" s="28"/>
      <c r="Y5" s="28"/>
      <c r="Z5" s="28"/>
    </row>
    <row r="6" ht="15.75" customHeight="1">
      <c r="A6" s="107" t="s">
        <v>1763</v>
      </c>
      <c r="C6" s="108"/>
      <c r="D6" s="55"/>
      <c r="E6" s="55"/>
      <c r="F6" s="55"/>
      <c r="G6" s="32"/>
      <c r="H6" s="28"/>
      <c r="I6" s="28"/>
      <c r="J6" s="28"/>
      <c r="K6" s="28"/>
      <c r="L6" s="28"/>
      <c r="M6" s="28"/>
      <c r="N6" s="28"/>
      <c r="O6" s="28"/>
      <c r="P6" s="28"/>
      <c r="Q6" s="28"/>
      <c r="R6" s="28"/>
      <c r="S6" s="28"/>
      <c r="T6" s="28"/>
      <c r="U6" s="28"/>
      <c r="V6" s="28"/>
      <c r="W6" s="28"/>
      <c r="X6" s="28"/>
      <c r="Y6" s="28"/>
      <c r="Z6" s="28"/>
    </row>
    <row r="7" ht="15.75" customHeight="1">
      <c r="A7" s="100" t="s">
        <v>1750</v>
      </c>
      <c r="B7" s="101" t="s">
        <v>1764</v>
      </c>
      <c r="C7" s="100" t="s">
        <v>1765</v>
      </c>
      <c r="D7" s="102" t="s">
        <v>1766</v>
      </c>
      <c r="E7" s="102" t="s">
        <v>1767</v>
      </c>
      <c r="F7" s="103">
        <v>0.21</v>
      </c>
      <c r="G7" s="109" t="str">
        <f>VLOOKUP("ZLX-8P-G2-US",STOCK!$B$2:$Q$3692,3,FALSE)</f>
        <v>SIN STOCK</v>
      </c>
      <c r="H7" s="28"/>
      <c r="I7" s="28"/>
      <c r="J7" s="28"/>
      <c r="K7" s="28"/>
      <c r="L7" s="28"/>
      <c r="M7" s="28"/>
      <c r="N7" s="28"/>
      <c r="O7" s="28"/>
      <c r="P7" s="28"/>
      <c r="Q7" s="28"/>
      <c r="R7" s="28"/>
      <c r="S7" s="28"/>
      <c r="T7" s="28"/>
      <c r="U7" s="28"/>
      <c r="V7" s="28"/>
      <c r="W7" s="28"/>
      <c r="X7" s="28"/>
      <c r="Y7" s="28"/>
      <c r="Z7" s="28"/>
    </row>
    <row r="8" ht="15.75" customHeight="1">
      <c r="A8" s="104" t="s">
        <v>1750</v>
      </c>
      <c r="B8" s="64" t="s">
        <v>1768</v>
      </c>
      <c r="C8" s="104" t="s">
        <v>1769</v>
      </c>
      <c r="D8" s="105" t="s">
        <v>1770</v>
      </c>
      <c r="E8" s="105" t="s">
        <v>1771</v>
      </c>
      <c r="F8" s="106">
        <v>0.21</v>
      </c>
      <c r="G8" s="110" t="str">
        <f>VLOOKUP("ZLX-12P-G2",STOCK!$B$2:$Q$3692,3,FALSE)</f>
        <v>Mayor a 5</v>
      </c>
      <c r="H8" s="28"/>
      <c r="I8" s="28"/>
      <c r="J8" s="28"/>
      <c r="K8" s="28"/>
      <c r="L8" s="28"/>
      <c r="M8" s="28"/>
      <c r="N8" s="28"/>
      <c r="O8" s="28"/>
      <c r="P8" s="28"/>
      <c r="Q8" s="28"/>
      <c r="R8" s="28"/>
      <c r="S8" s="28"/>
      <c r="T8" s="28"/>
      <c r="U8" s="28"/>
      <c r="V8" s="28"/>
      <c r="W8" s="28"/>
      <c r="X8" s="28"/>
      <c r="Y8" s="28"/>
      <c r="Z8" s="28"/>
    </row>
    <row r="9" ht="15.75" customHeight="1">
      <c r="A9" s="100" t="s">
        <v>1750</v>
      </c>
      <c r="B9" s="101" t="s">
        <v>1772</v>
      </c>
      <c r="C9" s="100" t="s">
        <v>1773</v>
      </c>
      <c r="D9" s="102" t="s">
        <v>1774</v>
      </c>
      <c r="E9" s="102" t="s">
        <v>1775</v>
      </c>
      <c r="F9" s="103">
        <v>0.21</v>
      </c>
      <c r="G9" s="110" t="str">
        <f>VLOOKUP("ZLX-15P-G2",STOCK!$B$2:$Q$3692,3,FALSE)</f>
        <v>Mayor a 5</v>
      </c>
      <c r="H9" s="28"/>
      <c r="I9" s="28"/>
      <c r="J9" s="28"/>
      <c r="K9" s="28"/>
      <c r="L9" s="28"/>
      <c r="M9" s="28"/>
      <c r="N9" s="28"/>
      <c r="O9" s="28"/>
      <c r="P9" s="28"/>
      <c r="Q9" s="28"/>
      <c r="R9" s="28"/>
      <c r="S9" s="28"/>
      <c r="T9" s="28"/>
      <c r="U9" s="28"/>
      <c r="V9" s="28"/>
      <c r="W9" s="28"/>
      <c r="X9" s="28"/>
      <c r="Y9" s="28"/>
      <c r="Z9" s="28"/>
    </row>
    <row r="10">
      <c r="A10" s="107" t="s">
        <v>1776</v>
      </c>
      <c r="C10" s="108"/>
      <c r="D10" s="32"/>
      <c r="E10" s="32"/>
      <c r="F10" s="32"/>
      <c r="G10" s="32"/>
      <c r="H10" s="28"/>
      <c r="I10" s="28"/>
      <c r="J10" s="28"/>
      <c r="K10" s="28"/>
      <c r="L10" s="28"/>
      <c r="M10" s="28"/>
      <c r="N10" s="28"/>
      <c r="O10" s="28"/>
      <c r="P10" s="28"/>
      <c r="Q10" s="28"/>
      <c r="R10" s="28"/>
      <c r="S10" s="28"/>
      <c r="T10" s="28"/>
      <c r="U10" s="28"/>
      <c r="V10" s="28"/>
      <c r="W10" s="28"/>
      <c r="X10" s="28"/>
      <c r="Y10" s="28"/>
      <c r="Z10" s="28"/>
    </row>
    <row r="11" ht="15.75" customHeight="1">
      <c r="A11" s="100" t="s">
        <v>1750</v>
      </c>
      <c r="B11" s="101" t="s">
        <v>1777</v>
      </c>
      <c r="C11" s="100" t="s">
        <v>1778</v>
      </c>
      <c r="D11" s="102" t="s">
        <v>1779</v>
      </c>
      <c r="E11" s="102" t="s">
        <v>1780</v>
      </c>
      <c r="F11" s="103">
        <v>0.21</v>
      </c>
      <c r="G11" s="110" t="str">
        <f>VLOOKUP("ELX200-10p",STOCK!$B$2:$Q$3692,3,FALSE)</f>
        <v>Mayor a 5</v>
      </c>
      <c r="H11" s="28"/>
      <c r="I11" s="28"/>
      <c r="J11" s="28"/>
      <c r="K11" s="28"/>
      <c r="L11" s="28"/>
      <c r="M11" s="28"/>
      <c r="N11" s="28"/>
      <c r="O11" s="28"/>
      <c r="P11" s="28"/>
      <c r="Q11" s="28"/>
      <c r="R11" s="28"/>
      <c r="S11" s="28"/>
      <c r="T11" s="28"/>
      <c r="U11" s="28"/>
      <c r="V11" s="28"/>
      <c r="W11" s="28"/>
      <c r="X11" s="28"/>
      <c r="Y11" s="28"/>
      <c r="Z11" s="28"/>
    </row>
    <row r="12" ht="15.75" customHeight="1">
      <c r="A12" s="104" t="s">
        <v>1750</v>
      </c>
      <c r="B12" s="64" t="s">
        <v>1781</v>
      </c>
      <c r="C12" s="104" t="s">
        <v>1782</v>
      </c>
      <c r="D12" s="105" t="s">
        <v>1783</v>
      </c>
      <c r="E12" s="105" t="s">
        <v>1784</v>
      </c>
      <c r="F12" s="106">
        <v>0.21</v>
      </c>
      <c r="G12" s="110" t="str">
        <f>VLOOKUP("ELX200-12p",STOCK!$B$2:$Q$3692,3,FALSE)</f>
        <v>Mayor a 5</v>
      </c>
      <c r="H12" s="28"/>
      <c r="I12" s="28"/>
      <c r="J12" s="28"/>
      <c r="K12" s="28"/>
      <c r="L12" s="28"/>
      <c r="M12" s="28"/>
      <c r="N12" s="28"/>
      <c r="O12" s="28"/>
      <c r="P12" s="28"/>
      <c r="Q12" s="28"/>
      <c r="R12" s="28"/>
      <c r="S12" s="28"/>
      <c r="T12" s="28"/>
      <c r="U12" s="28"/>
      <c r="V12" s="28"/>
      <c r="W12" s="28"/>
      <c r="X12" s="28"/>
      <c r="Y12" s="28"/>
      <c r="Z12" s="28"/>
    </row>
    <row r="13" ht="15.75" customHeight="1">
      <c r="A13" s="100" t="s">
        <v>1750</v>
      </c>
      <c r="B13" s="101" t="s">
        <v>1785</v>
      </c>
      <c r="C13" s="100" t="s">
        <v>1786</v>
      </c>
      <c r="D13" s="102" t="s">
        <v>1787</v>
      </c>
      <c r="E13" s="102" t="s">
        <v>1788</v>
      </c>
      <c r="F13" s="103">
        <v>0.21</v>
      </c>
      <c r="G13" s="110" t="str">
        <f>VLOOKUP("ELX200-15p",STOCK!$B$2:$Q$3692,3,FALSE)</f>
        <v>Mayor a 5</v>
      </c>
      <c r="H13" s="28"/>
      <c r="I13" s="28"/>
      <c r="J13" s="28"/>
      <c r="K13" s="28"/>
      <c r="L13" s="28"/>
      <c r="M13" s="28"/>
      <c r="N13" s="28"/>
      <c r="O13" s="28"/>
      <c r="P13" s="28"/>
      <c r="Q13" s="28"/>
      <c r="R13" s="28"/>
      <c r="S13" s="28"/>
      <c r="T13" s="28"/>
      <c r="U13" s="28"/>
      <c r="V13" s="28"/>
      <c r="W13" s="28"/>
      <c r="X13" s="28"/>
      <c r="Y13" s="28"/>
      <c r="Z13" s="28"/>
    </row>
    <row r="14" ht="15.75" customHeight="1">
      <c r="A14" s="104" t="s">
        <v>1750</v>
      </c>
      <c r="B14" s="64" t="s">
        <v>1789</v>
      </c>
      <c r="C14" s="104" t="s">
        <v>1790</v>
      </c>
      <c r="D14" s="105" t="s">
        <v>1791</v>
      </c>
      <c r="E14" s="105" t="s">
        <v>1792</v>
      </c>
      <c r="F14" s="106">
        <v>0.21</v>
      </c>
      <c r="G14" s="110" t="str">
        <f>VLOOKUP("ELX200-12Sp",STOCK!$B$2:$Q$3692,3,FALSE)</f>
        <v>Mayor a 5</v>
      </c>
      <c r="H14" s="28"/>
      <c r="I14" s="28"/>
      <c r="J14" s="28"/>
      <c r="K14" s="28"/>
      <c r="L14" s="28"/>
      <c r="M14" s="28"/>
      <c r="N14" s="28"/>
      <c r="O14" s="28"/>
      <c r="P14" s="28"/>
      <c r="Q14" s="28"/>
      <c r="R14" s="28"/>
      <c r="S14" s="28"/>
      <c r="T14" s="28"/>
      <c r="U14" s="28"/>
      <c r="V14" s="28"/>
      <c r="W14" s="28"/>
      <c r="X14" s="28"/>
      <c r="Y14" s="28"/>
      <c r="Z14" s="28"/>
    </row>
    <row r="15" ht="15.75" customHeight="1">
      <c r="A15" s="100" t="s">
        <v>1750</v>
      </c>
      <c r="B15" s="101" t="s">
        <v>1793</v>
      </c>
      <c r="C15" s="100" t="s">
        <v>1794</v>
      </c>
      <c r="D15" s="102" t="s">
        <v>1795</v>
      </c>
      <c r="E15" s="102" t="s">
        <v>1796</v>
      </c>
      <c r="F15" s="103">
        <v>0.21</v>
      </c>
      <c r="G15" s="110" t="str">
        <f>VLOOKUP("ELX200-18SP",STOCK!$B$2:$Q$3692,3,FALSE)</f>
        <v>Mayor a 5</v>
      </c>
      <c r="H15" s="28"/>
      <c r="I15" s="28"/>
      <c r="J15" s="28"/>
      <c r="K15" s="28"/>
      <c r="L15" s="28"/>
      <c r="M15" s="28"/>
      <c r="N15" s="28"/>
      <c r="O15" s="28"/>
      <c r="P15" s="28"/>
      <c r="Q15" s="28"/>
      <c r="R15" s="28"/>
      <c r="S15" s="28"/>
      <c r="T15" s="28"/>
      <c r="U15" s="28"/>
      <c r="V15" s="28"/>
      <c r="W15" s="28"/>
      <c r="X15" s="28"/>
      <c r="Y15" s="28"/>
      <c r="Z15" s="28"/>
    </row>
    <row r="16" ht="15.75" customHeight="1">
      <c r="A16" s="107" t="s">
        <v>1797</v>
      </c>
      <c r="C16" s="111"/>
      <c r="D16" s="112"/>
      <c r="E16" s="112"/>
      <c r="F16" s="112"/>
      <c r="G16" s="32"/>
      <c r="H16" s="28"/>
      <c r="I16" s="28"/>
      <c r="J16" s="28"/>
      <c r="K16" s="28"/>
      <c r="L16" s="28"/>
      <c r="M16" s="28"/>
      <c r="N16" s="28"/>
      <c r="O16" s="28"/>
      <c r="P16" s="28"/>
      <c r="Q16" s="28"/>
      <c r="R16" s="28"/>
      <c r="S16" s="28"/>
      <c r="T16" s="28"/>
      <c r="U16" s="28"/>
      <c r="V16" s="28"/>
      <c r="W16" s="28"/>
      <c r="X16" s="28"/>
      <c r="Y16" s="28"/>
      <c r="Z16" s="28"/>
    </row>
    <row r="17" ht="15.75" customHeight="1">
      <c r="A17" s="100" t="s">
        <v>1750</v>
      </c>
      <c r="B17" s="101" t="s">
        <v>1798</v>
      </c>
      <c r="C17" s="100" t="s">
        <v>1799</v>
      </c>
      <c r="D17" s="102" t="s">
        <v>1800</v>
      </c>
      <c r="E17" s="102" t="s">
        <v>1801</v>
      </c>
      <c r="F17" s="103">
        <v>0.21</v>
      </c>
      <c r="G17" s="109" t="str">
        <f>VLOOKUP("ELX200-10",STOCK!$B$2:$Q$3692,3,FALSE)</f>
        <v>SIN STOCK</v>
      </c>
      <c r="H17" s="28"/>
      <c r="I17" s="28"/>
      <c r="J17" s="28"/>
      <c r="K17" s="28"/>
      <c r="L17" s="28"/>
      <c r="M17" s="28"/>
      <c r="N17" s="28"/>
      <c r="O17" s="28"/>
      <c r="P17" s="28"/>
      <c r="Q17" s="28"/>
      <c r="R17" s="28"/>
      <c r="S17" s="28"/>
      <c r="T17" s="28"/>
      <c r="U17" s="28"/>
      <c r="V17" s="28"/>
      <c r="W17" s="28"/>
      <c r="X17" s="28"/>
      <c r="Y17" s="28"/>
      <c r="Z17" s="28"/>
    </row>
    <row r="18" ht="15.75" customHeight="1">
      <c r="A18" s="104" t="s">
        <v>1750</v>
      </c>
      <c r="B18" s="64" t="s">
        <v>1802</v>
      </c>
      <c r="C18" s="104" t="s">
        <v>1803</v>
      </c>
      <c r="D18" s="105" t="s">
        <v>1804</v>
      </c>
      <c r="E18" s="105" t="s">
        <v>1805</v>
      </c>
      <c r="F18" s="106">
        <v>0.21</v>
      </c>
      <c r="G18" s="110" t="str">
        <f>VLOOKUP("ELX200-12",STOCK!$B$2:$Q$3692,3,FALSE)</f>
        <v>Mayor a 5</v>
      </c>
      <c r="H18" s="28"/>
      <c r="I18" s="28"/>
      <c r="J18" s="28"/>
      <c r="K18" s="28"/>
      <c r="L18" s="28"/>
      <c r="M18" s="28"/>
      <c r="N18" s="28"/>
      <c r="O18" s="28"/>
      <c r="P18" s="28"/>
      <c r="Q18" s="28"/>
      <c r="R18" s="28"/>
      <c r="S18" s="28"/>
      <c r="T18" s="28"/>
      <c r="U18" s="28"/>
      <c r="V18" s="28"/>
      <c r="W18" s="28"/>
      <c r="X18" s="28"/>
      <c r="Y18" s="28"/>
      <c r="Z18" s="28"/>
    </row>
    <row r="19" ht="15.75" customHeight="1">
      <c r="A19" s="100" t="s">
        <v>1750</v>
      </c>
      <c r="B19" s="101" t="s">
        <v>1806</v>
      </c>
      <c r="C19" s="100" t="s">
        <v>1807</v>
      </c>
      <c r="D19" s="102" t="s">
        <v>1808</v>
      </c>
      <c r="E19" s="102" t="s">
        <v>1809</v>
      </c>
      <c r="F19" s="103">
        <v>0.21</v>
      </c>
      <c r="G19" s="110" t="str">
        <f>VLOOKUP("ELX200-15",STOCK!$B$2:$Q$3692,3,FALSE)</f>
        <v>Mayor a 5</v>
      </c>
      <c r="H19" s="28"/>
      <c r="I19" s="28"/>
      <c r="J19" s="28"/>
      <c r="K19" s="28"/>
      <c r="L19" s="28"/>
      <c r="M19" s="28"/>
      <c r="N19" s="28"/>
      <c r="O19" s="28"/>
      <c r="P19" s="28"/>
      <c r="Q19" s="28"/>
      <c r="R19" s="28"/>
      <c r="S19" s="28"/>
      <c r="T19" s="28"/>
      <c r="U19" s="28"/>
      <c r="V19" s="28"/>
      <c r="W19" s="28"/>
      <c r="X19" s="28"/>
      <c r="Y19" s="28"/>
      <c r="Z19" s="28"/>
    </row>
    <row r="20" ht="15.75" customHeight="1">
      <c r="A20" s="104" t="s">
        <v>1750</v>
      </c>
      <c r="B20" s="64" t="s">
        <v>1810</v>
      </c>
      <c r="C20" s="104" t="s">
        <v>1811</v>
      </c>
      <c r="D20" s="105" t="s">
        <v>1812</v>
      </c>
      <c r="E20" s="105" t="s">
        <v>1813</v>
      </c>
      <c r="F20" s="106">
        <v>0.21</v>
      </c>
      <c r="G20" s="113" t="str">
        <f>VLOOKUP("ELX200-12S",STOCK!$B$2:$Q$3692,3,FALSE)</f>
        <v>SIN STOCK</v>
      </c>
      <c r="H20" s="28"/>
      <c r="I20" s="28"/>
      <c r="J20" s="28"/>
      <c r="K20" s="28"/>
      <c r="L20" s="28"/>
      <c r="M20" s="28"/>
      <c r="N20" s="28"/>
      <c r="O20" s="28"/>
      <c r="P20" s="28"/>
      <c r="Q20" s="28"/>
      <c r="R20" s="28"/>
      <c r="S20" s="28"/>
      <c r="T20" s="28"/>
      <c r="U20" s="28"/>
      <c r="V20" s="28"/>
      <c r="W20" s="28"/>
      <c r="X20" s="28"/>
      <c r="Y20" s="28"/>
      <c r="Z20" s="28"/>
    </row>
    <row r="21" ht="15.75" customHeight="1">
      <c r="A21" s="107" t="s">
        <v>1814</v>
      </c>
      <c r="C21" s="108"/>
      <c r="D21" s="55"/>
      <c r="E21" s="55"/>
      <c r="F21" s="114"/>
      <c r="G21" s="32"/>
      <c r="H21" s="28"/>
      <c r="I21" s="28"/>
      <c r="J21" s="28"/>
      <c r="K21" s="28"/>
      <c r="L21" s="28"/>
      <c r="M21" s="28"/>
      <c r="N21" s="28"/>
      <c r="O21" s="28"/>
      <c r="P21" s="28"/>
      <c r="Q21" s="28"/>
      <c r="R21" s="28"/>
      <c r="S21" s="28"/>
      <c r="T21" s="28"/>
      <c r="U21" s="28"/>
      <c r="V21" s="28"/>
      <c r="W21" s="28"/>
      <c r="X21" s="28"/>
      <c r="Y21" s="28"/>
      <c r="Z21" s="28"/>
    </row>
    <row r="22" ht="15.75" customHeight="1">
      <c r="A22" s="100" t="s">
        <v>1750</v>
      </c>
      <c r="B22" s="101" t="s">
        <v>1815</v>
      </c>
      <c r="C22" s="100" t="s">
        <v>1782</v>
      </c>
      <c r="D22" s="102" t="s">
        <v>1816</v>
      </c>
      <c r="E22" s="102" t="s">
        <v>1817</v>
      </c>
      <c r="F22" s="103">
        <v>0.21</v>
      </c>
      <c r="G22" s="110" t="str">
        <f>VLOOKUP("EKX-12P",STOCK!$B$2:$Q$3692,3,FALSE)</f>
        <v>Mayor a 5</v>
      </c>
      <c r="H22" s="28"/>
      <c r="I22" s="28"/>
      <c r="J22" s="28"/>
      <c r="K22" s="28"/>
      <c r="L22" s="28"/>
      <c r="M22" s="28"/>
      <c r="N22" s="28"/>
      <c r="O22" s="28"/>
      <c r="P22" s="28"/>
      <c r="Q22" s="28"/>
      <c r="R22" s="28"/>
      <c r="S22" s="28"/>
      <c r="T22" s="28"/>
      <c r="U22" s="28"/>
      <c r="V22" s="28"/>
      <c r="W22" s="28"/>
      <c r="X22" s="28"/>
      <c r="Y22" s="28"/>
      <c r="Z22" s="28"/>
    </row>
    <row r="23" ht="15.75" customHeight="1">
      <c r="A23" s="104" t="s">
        <v>1750</v>
      </c>
      <c r="B23" s="64" t="s">
        <v>1818</v>
      </c>
      <c r="C23" s="104" t="s">
        <v>1786</v>
      </c>
      <c r="D23" s="105" t="s">
        <v>1819</v>
      </c>
      <c r="E23" s="105" t="s">
        <v>1820</v>
      </c>
      <c r="F23" s="106">
        <v>0.21</v>
      </c>
      <c r="G23" s="110" t="str">
        <f>VLOOKUP("EKX-15P",STOCK!$B$2:$Q$3692,3,FALSE)</f>
        <v>Mayor a 5</v>
      </c>
      <c r="H23" s="28"/>
      <c r="I23" s="28"/>
      <c r="J23" s="28"/>
      <c r="K23" s="28"/>
      <c r="L23" s="28"/>
      <c r="M23" s="28"/>
      <c r="N23" s="28"/>
      <c r="O23" s="28"/>
      <c r="P23" s="28"/>
      <c r="Q23" s="28"/>
      <c r="R23" s="28"/>
      <c r="S23" s="28"/>
      <c r="T23" s="28"/>
      <c r="U23" s="28"/>
      <c r="V23" s="28"/>
      <c r="W23" s="28"/>
      <c r="X23" s="28"/>
      <c r="Y23" s="28"/>
      <c r="Z23" s="28"/>
    </row>
    <row r="24" ht="15.75" customHeight="1">
      <c r="A24" s="100" t="s">
        <v>1750</v>
      </c>
      <c r="B24" s="101" t="s">
        <v>1821</v>
      </c>
      <c r="C24" s="100" t="s">
        <v>1822</v>
      </c>
      <c r="D24" s="102" t="s">
        <v>1823</v>
      </c>
      <c r="E24" s="102" t="s">
        <v>1824</v>
      </c>
      <c r="F24" s="103">
        <v>0.21</v>
      </c>
      <c r="G24" s="110" t="str">
        <f>VLOOKUP("EKX-15SP",STOCK!$B$2:$Q$3692,3,FALSE)</f>
        <v>Mayor a 5</v>
      </c>
      <c r="H24" s="28"/>
      <c r="I24" s="28"/>
      <c r="J24" s="28"/>
      <c r="K24" s="28"/>
      <c r="L24" s="28"/>
      <c r="M24" s="28"/>
      <c r="N24" s="28"/>
      <c r="O24" s="28"/>
      <c r="P24" s="28"/>
      <c r="Q24" s="28"/>
      <c r="R24" s="28"/>
      <c r="S24" s="28"/>
      <c r="T24" s="28"/>
      <c r="U24" s="28"/>
      <c r="V24" s="28"/>
      <c r="W24" s="28"/>
      <c r="X24" s="28"/>
      <c r="Y24" s="28"/>
      <c r="Z24" s="28"/>
    </row>
    <row r="25" ht="15.75" customHeight="1">
      <c r="A25" s="104" t="s">
        <v>1750</v>
      </c>
      <c r="B25" s="64" t="s">
        <v>1825</v>
      </c>
      <c r="C25" s="104" t="s">
        <v>1794</v>
      </c>
      <c r="D25" s="105" t="s">
        <v>1826</v>
      </c>
      <c r="E25" s="105" t="s">
        <v>1827</v>
      </c>
      <c r="F25" s="106">
        <v>0.21</v>
      </c>
      <c r="G25" s="110" t="str">
        <f>VLOOKUP("EKX-18SP",STOCK!$B$2:$Q$3692,3,FALSE)</f>
        <v>Mayor a 5</v>
      </c>
      <c r="H25" s="28"/>
      <c r="I25" s="28"/>
      <c r="J25" s="28"/>
      <c r="K25" s="28"/>
      <c r="L25" s="28"/>
      <c r="M25" s="28"/>
      <c r="N25" s="28"/>
      <c r="O25" s="28"/>
      <c r="P25" s="28"/>
      <c r="Q25" s="28"/>
      <c r="R25" s="28"/>
      <c r="S25" s="28"/>
      <c r="T25" s="28"/>
      <c r="U25" s="28"/>
      <c r="V25" s="28"/>
      <c r="W25" s="28"/>
      <c r="X25" s="28"/>
      <c r="Y25" s="28"/>
      <c r="Z25" s="28"/>
    </row>
    <row r="26" ht="15.75" customHeight="1">
      <c r="A26" s="107" t="s">
        <v>1828</v>
      </c>
      <c r="C26" s="111"/>
      <c r="D26" s="55"/>
      <c r="E26" s="55"/>
      <c r="F26" s="114"/>
      <c r="G26" s="32"/>
      <c r="H26" s="28"/>
      <c r="I26" s="28"/>
      <c r="J26" s="28"/>
      <c r="K26" s="28"/>
      <c r="L26" s="28"/>
      <c r="M26" s="28"/>
      <c r="N26" s="28"/>
      <c r="O26" s="28"/>
      <c r="P26" s="28"/>
      <c r="Q26" s="28"/>
      <c r="R26" s="28"/>
      <c r="S26" s="28"/>
      <c r="T26" s="28"/>
      <c r="U26" s="28"/>
      <c r="V26" s="28"/>
      <c r="W26" s="28"/>
      <c r="X26" s="28"/>
      <c r="Y26" s="28"/>
      <c r="Z26" s="28"/>
    </row>
    <row r="27" ht="15.75" customHeight="1">
      <c r="A27" s="100" t="s">
        <v>1750</v>
      </c>
      <c r="B27" s="101" t="s">
        <v>1829</v>
      </c>
      <c r="C27" s="100" t="s">
        <v>1778</v>
      </c>
      <c r="D27" s="102" t="s">
        <v>1830</v>
      </c>
      <c r="E27" s="102" t="s">
        <v>1831</v>
      </c>
      <c r="F27" s="103">
        <v>0.21</v>
      </c>
      <c r="G27" s="113" t="str">
        <f>VLOOKUP("ETX-10P",STOCK!$B$2:$Q$3692,3,FALSE)</f>
        <v>Menor a 5</v>
      </c>
      <c r="H27" s="28"/>
      <c r="I27" s="28"/>
      <c r="J27" s="28"/>
      <c r="K27" s="28"/>
      <c r="L27" s="28"/>
      <c r="M27" s="28"/>
      <c r="N27" s="28"/>
      <c r="O27" s="28"/>
      <c r="P27" s="28"/>
      <c r="Q27" s="28"/>
      <c r="R27" s="28"/>
      <c r="S27" s="28"/>
      <c r="T27" s="28"/>
      <c r="U27" s="28"/>
      <c r="V27" s="28"/>
      <c r="W27" s="28"/>
      <c r="X27" s="28"/>
      <c r="Y27" s="28"/>
      <c r="Z27" s="28"/>
    </row>
    <row r="28" ht="15.75" customHeight="1">
      <c r="A28" s="104" t="s">
        <v>1750</v>
      </c>
      <c r="B28" s="64" t="s">
        <v>1832</v>
      </c>
      <c r="C28" s="104" t="s">
        <v>1782</v>
      </c>
      <c r="D28" s="105" t="s">
        <v>1833</v>
      </c>
      <c r="E28" s="105" t="s">
        <v>1834</v>
      </c>
      <c r="F28" s="106">
        <v>0.21</v>
      </c>
      <c r="G28" s="110" t="str">
        <f>VLOOKUP("ETX-12P",STOCK!$B$2:$Q$3692,3,FALSE)</f>
        <v>Mayor a 5</v>
      </c>
      <c r="H28" s="28"/>
      <c r="I28" s="28"/>
      <c r="J28" s="28"/>
      <c r="K28" s="28"/>
      <c r="L28" s="28"/>
      <c r="M28" s="28"/>
      <c r="N28" s="28"/>
      <c r="O28" s="28"/>
      <c r="P28" s="28"/>
      <c r="Q28" s="28"/>
      <c r="R28" s="28"/>
      <c r="S28" s="28"/>
      <c r="T28" s="28"/>
      <c r="U28" s="28"/>
      <c r="V28" s="28"/>
      <c r="W28" s="28"/>
      <c r="X28" s="28"/>
      <c r="Y28" s="28"/>
      <c r="Z28" s="28"/>
    </row>
    <row r="29" ht="15.75" customHeight="1">
      <c r="A29" s="100" t="s">
        <v>1750</v>
      </c>
      <c r="B29" s="101" t="s">
        <v>1835</v>
      </c>
      <c r="C29" s="100" t="s">
        <v>1786</v>
      </c>
      <c r="D29" s="102" t="s">
        <v>1836</v>
      </c>
      <c r="E29" s="102" t="s">
        <v>1837</v>
      </c>
      <c r="F29" s="103">
        <v>0.21</v>
      </c>
      <c r="G29" s="113" t="str">
        <f>VLOOKUP("ETX-15P",STOCK!$B$2:$Q$3692,3,FALSE)</f>
        <v>Menor a 5</v>
      </c>
      <c r="H29" s="28"/>
      <c r="I29" s="28"/>
      <c r="J29" s="28"/>
      <c r="K29" s="28"/>
      <c r="L29" s="28"/>
      <c r="M29" s="28"/>
      <c r="N29" s="28"/>
      <c r="O29" s="28"/>
      <c r="P29" s="28"/>
      <c r="Q29" s="28"/>
      <c r="R29" s="28"/>
      <c r="S29" s="28"/>
      <c r="T29" s="28"/>
      <c r="U29" s="28"/>
      <c r="V29" s="28"/>
      <c r="W29" s="28"/>
      <c r="X29" s="28"/>
      <c r="Y29" s="28"/>
      <c r="Z29" s="28"/>
    </row>
    <row r="30" ht="15.75" customHeight="1">
      <c r="A30" s="104" t="s">
        <v>1750</v>
      </c>
      <c r="B30" s="64" t="s">
        <v>1838</v>
      </c>
      <c r="C30" s="104" t="s">
        <v>1839</v>
      </c>
      <c r="D30" s="105" t="s">
        <v>1840</v>
      </c>
      <c r="E30" s="105" t="s">
        <v>1841</v>
      </c>
      <c r="F30" s="106">
        <v>0.21</v>
      </c>
      <c r="G30" s="113" t="str">
        <f>VLOOKUP("ETX-35p",STOCK!$B$2:$Q$3692,3,FALSE)</f>
        <v>Menor a 5</v>
      </c>
      <c r="H30" s="28"/>
      <c r="I30" s="28"/>
      <c r="J30" s="28"/>
      <c r="K30" s="28"/>
      <c r="L30" s="28"/>
      <c r="M30" s="28"/>
      <c r="N30" s="28"/>
      <c r="O30" s="28"/>
      <c r="P30" s="28"/>
      <c r="Q30" s="28"/>
      <c r="R30" s="28"/>
      <c r="S30" s="28"/>
      <c r="T30" s="28"/>
      <c r="U30" s="28"/>
      <c r="V30" s="28"/>
      <c r="W30" s="28"/>
      <c r="X30" s="28"/>
      <c r="Y30" s="28"/>
      <c r="Z30" s="28"/>
    </row>
    <row r="31" ht="15.75" customHeight="1">
      <c r="A31" s="100" t="s">
        <v>1750</v>
      </c>
      <c r="B31" s="101" t="s">
        <v>1842</v>
      </c>
      <c r="C31" s="100" t="s">
        <v>1794</v>
      </c>
      <c r="D31" s="102" t="s">
        <v>1843</v>
      </c>
      <c r="E31" s="102" t="s">
        <v>1844</v>
      </c>
      <c r="F31" s="103">
        <v>0.21</v>
      </c>
      <c r="G31" s="109" t="str">
        <f>VLOOKUP("ETX-18SP",STOCK!$B$2:$Q$3692,3,FALSE)</f>
        <v>SIN STOCK</v>
      </c>
      <c r="H31" s="28"/>
      <c r="I31" s="28"/>
      <c r="J31" s="28"/>
      <c r="K31" s="28"/>
      <c r="L31" s="28"/>
      <c r="M31" s="28"/>
      <c r="N31" s="28"/>
      <c r="O31" s="28"/>
      <c r="P31" s="28"/>
      <c r="Q31" s="28"/>
      <c r="R31" s="28"/>
      <c r="S31" s="28"/>
      <c r="T31" s="28"/>
      <c r="U31" s="28"/>
      <c r="V31" s="28"/>
      <c r="W31" s="28"/>
      <c r="X31" s="28"/>
      <c r="Y31" s="28"/>
      <c r="Z31" s="28"/>
    </row>
    <row r="32" ht="15.75" customHeight="1">
      <c r="A32" s="107" t="s">
        <v>1845</v>
      </c>
      <c r="C32" s="111"/>
      <c r="D32" s="55"/>
      <c r="E32" s="55"/>
      <c r="F32" s="114"/>
      <c r="G32" s="32"/>
      <c r="H32" s="28"/>
      <c r="I32" s="28"/>
      <c r="J32" s="28"/>
      <c r="K32" s="28"/>
      <c r="L32" s="28"/>
      <c r="M32" s="28"/>
      <c r="N32" s="28"/>
      <c r="O32" s="28"/>
      <c r="P32" s="28"/>
      <c r="Q32" s="28"/>
      <c r="R32" s="28"/>
      <c r="S32" s="28"/>
      <c r="T32" s="28"/>
      <c r="U32" s="28"/>
      <c r="V32" s="28"/>
      <c r="W32" s="28"/>
      <c r="X32" s="28"/>
      <c r="Y32" s="28"/>
      <c r="Z32" s="28"/>
    </row>
    <row r="33" ht="15.75" customHeight="1">
      <c r="A33" s="100" t="s">
        <v>1750</v>
      </c>
      <c r="B33" s="101" t="s">
        <v>1846</v>
      </c>
      <c r="C33" s="100" t="s">
        <v>1847</v>
      </c>
      <c r="D33" s="102" t="s">
        <v>1848</v>
      </c>
      <c r="E33" s="102" t="s">
        <v>1849</v>
      </c>
      <c r="F33" s="103">
        <v>0.21</v>
      </c>
      <c r="G33" s="109" t="str">
        <f>VLOOKUP("EVOLVE50-TB",STOCK!$B$2:$Q$3692,3,FALSE)</f>
        <v>SIN STOCK</v>
      </c>
      <c r="H33" s="28"/>
      <c r="I33" s="28"/>
      <c r="J33" s="28"/>
      <c r="K33" s="28"/>
      <c r="L33" s="28"/>
      <c r="M33" s="28"/>
      <c r="N33" s="28"/>
      <c r="O33" s="28"/>
      <c r="P33" s="28"/>
      <c r="Q33" s="28"/>
      <c r="R33" s="28"/>
      <c r="S33" s="28"/>
      <c r="T33" s="28"/>
      <c r="U33" s="28"/>
      <c r="V33" s="28"/>
      <c r="W33" s="28"/>
      <c r="X33" s="28"/>
      <c r="Y33" s="28"/>
      <c r="Z33" s="28"/>
    </row>
    <row r="34" ht="15.75" customHeight="1">
      <c r="A34" s="104" t="s">
        <v>1750</v>
      </c>
      <c r="B34" s="64" t="s">
        <v>1850</v>
      </c>
      <c r="C34" s="104" t="s">
        <v>1851</v>
      </c>
      <c r="D34" s="105" t="s">
        <v>1852</v>
      </c>
      <c r="E34" s="105" t="s">
        <v>1853</v>
      </c>
      <c r="F34" s="106">
        <v>0.21</v>
      </c>
      <c r="G34" s="109" t="str">
        <f>VLOOKUP("EVOLVE50M-SB-US",STOCK!$B$2:$Q$3692,3,FALSE)</f>
        <v>SIN STOCK</v>
      </c>
      <c r="H34" s="28"/>
      <c r="I34" s="28"/>
      <c r="J34" s="28"/>
      <c r="K34" s="28"/>
      <c r="L34" s="28"/>
      <c r="M34" s="28"/>
      <c r="N34" s="28"/>
      <c r="O34" s="28"/>
      <c r="P34" s="28"/>
      <c r="Q34" s="28"/>
      <c r="R34" s="28"/>
      <c r="S34" s="28"/>
      <c r="T34" s="28"/>
      <c r="U34" s="28"/>
      <c r="V34" s="28"/>
      <c r="W34" s="28"/>
      <c r="X34" s="28"/>
      <c r="Y34" s="28"/>
      <c r="Z34" s="28"/>
    </row>
    <row r="35" ht="15.75" customHeight="1">
      <c r="A35" s="100" t="s">
        <v>1750</v>
      </c>
      <c r="B35" s="100" t="s">
        <v>1854</v>
      </c>
      <c r="C35" s="100" t="s">
        <v>1851</v>
      </c>
      <c r="D35" s="102" t="s">
        <v>1855</v>
      </c>
      <c r="E35" s="102" t="s">
        <v>1856</v>
      </c>
      <c r="F35" s="103">
        <v>0.21</v>
      </c>
      <c r="G35" s="109" t="str">
        <f>VLOOKUP("EVOLVE50M-SB-US",STOCK!$B$2:$Q$3692,3,FALSE)</f>
        <v>SIN STOCK</v>
      </c>
      <c r="H35" s="28"/>
      <c r="I35" s="28"/>
      <c r="J35" s="28"/>
      <c r="K35" s="28"/>
      <c r="L35" s="28"/>
      <c r="M35" s="28"/>
      <c r="N35" s="28"/>
      <c r="O35" s="28"/>
      <c r="P35" s="28"/>
      <c r="Q35" s="28"/>
      <c r="R35" s="28"/>
      <c r="S35" s="28"/>
      <c r="T35" s="28"/>
      <c r="U35" s="28"/>
      <c r="V35" s="28"/>
      <c r="W35" s="28"/>
      <c r="X35" s="28"/>
      <c r="Y35" s="28"/>
      <c r="Z35" s="28"/>
    </row>
    <row r="36" ht="15.75" customHeight="1">
      <c r="A36" s="104" t="s">
        <v>1750</v>
      </c>
      <c r="B36" s="104" t="s">
        <v>1857</v>
      </c>
      <c r="C36" s="104" t="s">
        <v>1858</v>
      </c>
      <c r="D36" s="105" t="s">
        <v>1859</v>
      </c>
      <c r="E36" s="105" t="s">
        <v>1860</v>
      </c>
      <c r="F36" s="106">
        <v>0.21</v>
      </c>
      <c r="G36" s="109" t="str">
        <f>VLOOKUP("EVOLVE50PL-SB",STOCK!$B$2:$Q$3692,3,FALSE)</f>
        <v>SIN STOCK</v>
      </c>
      <c r="H36" s="28"/>
      <c r="I36" s="28"/>
      <c r="J36" s="28"/>
      <c r="K36" s="28"/>
      <c r="L36" s="28"/>
      <c r="M36" s="28"/>
      <c r="N36" s="28"/>
      <c r="O36" s="28"/>
      <c r="P36" s="28"/>
      <c r="Q36" s="28"/>
      <c r="R36" s="28"/>
      <c r="S36" s="28"/>
      <c r="T36" s="28"/>
      <c r="U36" s="28"/>
      <c r="V36" s="28"/>
      <c r="W36" s="28"/>
      <c r="X36" s="28"/>
      <c r="Y36" s="28"/>
      <c r="Z36" s="28"/>
    </row>
    <row r="37" ht="15.75" customHeight="1">
      <c r="A37" s="100" t="s">
        <v>1750</v>
      </c>
      <c r="B37" s="101" t="s">
        <v>1861</v>
      </c>
      <c r="C37" s="100" t="s">
        <v>1862</v>
      </c>
      <c r="D37" s="102" t="s">
        <v>1863</v>
      </c>
      <c r="E37" s="102" t="s">
        <v>1864</v>
      </c>
      <c r="F37" s="103">
        <v>0.21</v>
      </c>
      <c r="G37" s="109" t="str">
        <f>VLOOKUP("EVOLVE50-CASE",STOCK!$B$2:$Q$3692,3,FALSE)</f>
        <v>SIN STOCK</v>
      </c>
      <c r="H37" s="28"/>
      <c r="I37" s="28"/>
      <c r="J37" s="28"/>
      <c r="K37" s="28"/>
      <c r="L37" s="28"/>
      <c r="M37" s="28"/>
      <c r="N37" s="28"/>
      <c r="O37" s="28"/>
      <c r="P37" s="28"/>
      <c r="Q37" s="28"/>
      <c r="R37" s="28"/>
      <c r="S37" s="28"/>
      <c r="T37" s="28"/>
      <c r="U37" s="28"/>
      <c r="V37" s="28"/>
      <c r="W37" s="28"/>
      <c r="X37" s="28"/>
      <c r="Y37" s="28"/>
      <c r="Z37" s="28"/>
    </row>
    <row r="38" ht="15.75" customHeight="1">
      <c r="A38" s="104" t="s">
        <v>1750</v>
      </c>
      <c r="B38" s="64" t="s">
        <v>1865</v>
      </c>
      <c r="C38" s="104" t="s">
        <v>1866</v>
      </c>
      <c r="D38" s="105" t="s">
        <v>1867</v>
      </c>
      <c r="E38" s="105" t="s">
        <v>1868</v>
      </c>
      <c r="F38" s="106">
        <v>0.21</v>
      </c>
      <c r="G38" s="113" t="str">
        <f>VLOOKUP("EVOLVE30M-US",STOCK!$B$2:$Q$3692,3,FALSE)</f>
        <v>Menor a 5</v>
      </c>
      <c r="H38" s="28"/>
      <c r="I38" s="28"/>
      <c r="J38" s="28"/>
      <c r="K38" s="28"/>
      <c r="L38" s="28"/>
      <c r="M38" s="28"/>
      <c r="N38" s="28"/>
      <c r="O38" s="28"/>
      <c r="P38" s="28"/>
      <c r="Q38" s="28"/>
      <c r="R38" s="28"/>
      <c r="S38" s="28"/>
      <c r="T38" s="28"/>
      <c r="U38" s="28"/>
      <c r="V38" s="28"/>
      <c r="W38" s="28"/>
      <c r="X38" s="28"/>
      <c r="Y38" s="28"/>
      <c r="Z38" s="28"/>
    </row>
    <row r="39" ht="15.75" customHeight="1">
      <c r="A39" s="100" t="s">
        <v>1750</v>
      </c>
      <c r="B39" s="100" t="s">
        <v>1869</v>
      </c>
      <c r="C39" s="100" t="s">
        <v>1870</v>
      </c>
      <c r="D39" s="102" t="s">
        <v>1871</v>
      </c>
      <c r="E39" s="102" t="s">
        <v>1872</v>
      </c>
      <c r="F39" s="103">
        <v>0.21</v>
      </c>
      <c r="G39" s="109" t="str">
        <f>IFERROR(VLOOKUP("EVOLVE30M-SUBCVR",STOCK!$B$1:$Q$5647,3,FALSE),"SIN STOCK")</f>
        <v>SIN STOCK</v>
      </c>
      <c r="H39" s="28"/>
      <c r="I39" s="28"/>
      <c r="J39" s="28"/>
      <c r="K39" s="28"/>
      <c r="L39" s="28"/>
      <c r="M39" s="28"/>
      <c r="N39" s="28"/>
      <c r="O39" s="28"/>
      <c r="P39" s="28"/>
      <c r="Q39" s="28"/>
      <c r="R39" s="28"/>
      <c r="S39" s="28"/>
      <c r="T39" s="28"/>
      <c r="U39" s="28"/>
      <c r="V39" s="28"/>
      <c r="W39" s="28"/>
      <c r="X39" s="28"/>
      <c r="Y39" s="28"/>
      <c r="Z39" s="28"/>
    </row>
    <row r="40" ht="15.75" customHeight="1">
      <c r="A40" s="104" t="s">
        <v>1750</v>
      </c>
      <c r="B40" s="104" t="s">
        <v>1873</v>
      </c>
      <c r="C40" s="104" t="s">
        <v>1874</v>
      </c>
      <c r="D40" s="105" t="s">
        <v>1863</v>
      </c>
      <c r="E40" s="105" t="s">
        <v>1864</v>
      </c>
      <c r="F40" s="106">
        <v>0.21</v>
      </c>
      <c r="G40" s="109" t="str">
        <f>IFERROR(VLOOKUP("EVOLVE-CASE",STOCK!$B$1:$Q$5647,3,FALSE),"SIN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100" t="s">
        <v>1750</v>
      </c>
      <c r="B41" s="100" t="s">
        <v>1875</v>
      </c>
      <c r="C41" s="115"/>
      <c r="D41" s="102" t="s">
        <v>1876</v>
      </c>
      <c r="E41" s="102" t="s">
        <v>1877</v>
      </c>
      <c r="F41" s="103">
        <v>0.21</v>
      </c>
      <c r="G41" s="109" t="str">
        <f>IFERROR(VLOOKUP("EVOLVE70-SB-US",STOCK!$B$1:$Q$5647,3,FALSE),"SIN STOCK")</f>
        <v>SIN STOCK</v>
      </c>
      <c r="H41" s="28"/>
      <c r="I41" s="28"/>
      <c r="J41" s="28"/>
      <c r="K41" s="28"/>
      <c r="L41" s="28"/>
      <c r="M41" s="28"/>
      <c r="N41" s="28"/>
      <c r="O41" s="28"/>
      <c r="P41" s="28"/>
      <c r="Q41" s="28"/>
      <c r="R41" s="28"/>
      <c r="S41" s="28"/>
      <c r="T41" s="28"/>
      <c r="U41" s="28"/>
      <c r="V41" s="28"/>
      <c r="W41" s="28"/>
      <c r="X41" s="28"/>
      <c r="Y41" s="28"/>
      <c r="Z41" s="28"/>
    </row>
    <row r="42" ht="15.75" customHeight="1">
      <c r="A42" s="104" t="s">
        <v>1750</v>
      </c>
      <c r="B42" s="116" t="s">
        <v>1878</v>
      </c>
      <c r="C42" s="117"/>
      <c r="D42" s="105" t="s">
        <v>1879</v>
      </c>
      <c r="E42" s="105" t="s">
        <v>1880</v>
      </c>
      <c r="F42" s="106">
        <v>0.21</v>
      </c>
      <c r="G42" s="109" t="str">
        <f>IFERROR(VLOOKUP("EVOLVE90-SB-US",STOCK!$B$1:$Q$5647,3,FALSE),"SIN STOCK")</f>
        <v>SIN STOCK</v>
      </c>
      <c r="I42" s="28"/>
      <c r="J42" s="28"/>
      <c r="K42" s="28"/>
      <c r="L42" s="28"/>
      <c r="M42" s="28"/>
      <c r="N42" s="28"/>
      <c r="O42" s="28"/>
      <c r="P42" s="28"/>
      <c r="Q42" s="28"/>
      <c r="R42" s="28"/>
      <c r="S42" s="28"/>
      <c r="T42" s="28"/>
      <c r="U42" s="28"/>
      <c r="V42" s="28"/>
      <c r="W42" s="28"/>
      <c r="X42" s="28"/>
      <c r="Y42" s="28"/>
      <c r="Z42" s="28"/>
    </row>
    <row r="43" ht="15.75" customHeight="1">
      <c r="A43" s="100" t="s">
        <v>1750</v>
      </c>
      <c r="B43" s="118" t="s">
        <v>1881</v>
      </c>
      <c r="C43" s="119"/>
      <c r="D43" s="44" t="s">
        <v>1882</v>
      </c>
      <c r="E43" s="44" t="s">
        <v>1883</v>
      </c>
      <c r="F43" s="45">
        <v>0.21</v>
      </c>
      <c r="G43" s="109" t="str">
        <f>IFERROR(VLOOKUP("EVOLVE70-90-TB",STOCK!$B$1:$Q$5647,3,FALSE),"SIN STOCK")</f>
        <v>SIN STOCK</v>
      </c>
      <c r="I43" s="28"/>
      <c r="J43" s="28"/>
      <c r="K43" s="28"/>
      <c r="L43" s="28"/>
      <c r="M43" s="28"/>
      <c r="N43" s="28"/>
      <c r="O43" s="28"/>
      <c r="P43" s="28"/>
      <c r="Q43" s="28"/>
      <c r="R43" s="28"/>
      <c r="S43" s="28"/>
      <c r="T43" s="28"/>
      <c r="U43" s="28"/>
      <c r="V43" s="28"/>
      <c r="W43" s="28"/>
      <c r="X43" s="28"/>
      <c r="Y43" s="28"/>
      <c r="Z43" s="28"/>
    </row>
    <row r="44" ht="15.75" customHeight="1">
      <c r="A44" s="107" t="s">
        <v>1884</v>
      </c>
      <c r="C44" s="111"/>
      <c r="D44" s="55"/>
      <c r="E44" s="55"/>
      <c r="F44" s="55"/>
      <c r="G44" s="32"/>
      <c r="H44" s="28"/>
      <c r="I44" s="28"/>
      <c r="J44" s="28"/>
      <c r="K44" s="28"/>
      <c r="L44" s="28"/>
      <c r="M44" s="28"/>
      <c r="N44" s="28"/>
      <c r="O44" s="28"/>
      <c r="P44" s="28"/>
      <c r="Q44" s="28"/>
      <c r="R44" s="28"/>
      <c r="S44" s="28"/>
      <c r="T44" s="28"/>
      <c r="U44" s="28"/>
      <c r="V44" s="28"/>
      <c r="W44" s="28"/>
      <c r="X44" s="28"/>
      <c r="Y44" s="28"/>
      <c r="Z44" s="28"/>
    </row>
    <row r="45" ht="15.75" customHeight="1">
      <c r="A45" s="100" t="s">
        <v>1750</v>
      </c>
      <c r="B45" s="101" t="s">
        <v>1885</v>
      </c>
      <c r="C45" s="100" t="s">
        <v>1886</v>
      </c>
      <c r="D45" s="102" t="s">
        <v>1887</v>
      </c>
      <c r="E45" s="102" t="s">
        <v>1888</v>
      </c>
      <c r="F45" s="103">
        <v>0.21</v>
      </c>
      <c r="G45" s="109" t="str">
        <f>VLOOKUP("EVERSE8-US",STOCK!$B$2:$Q$3692,3,FALSE)</f>
        <v>SIN STOCK</v>
      </c>
      <c r="H45" s="28"/>
      <c r="I45" s="28"/>
      <c r="J45" s="28"/>
      <c r="K45" s="28"/>
      <c r="L45" s="28"/>
      <c r="M45" s="28"/>
      <c r="N45" s="28"/>
      <c r="O45" s="28"/>
      <c r="P45" s="28"/>
      <c r="Q45" s="28"/>
      <c r="R45" s="28"/>
      <c r="S45" s="28"/>
      <c r="T45" s="28"/>
      <c r="U45" s="28"/>
      <c r="V45" s="28"/>
      <c r="W45" s="28"/>
      <c r="X45" s="28"/>
      <c r="Y45" s="28"/>
      <c r="Z45" s="28"/>
    </row>
    <row r="46" ht="15.75" customHeight="1">
      <c r="A46" s="104" t="s">
        <v>1750</v>
      </c>
      <c r="B46" s="104" t="s">
        <v>1889</v>
      </c>
      <c r="C46" s="47" t="s">
        <v>1890</v>
      </c>
      <c r="D46" s="105" t="s">
        <v>1887</v>
      </c>
      <c r="E46" s="105" t="s">
        <v>1888</v>
      </c>
      <c r="F46" s="106">
        <v>0.21</v>
      </c>
      <c r="G46" s="110" t="str">
        <f>VLOOKUP("EVERSE 8-W",STOCK!$B$2:$Q$3692,3,FALSE)</f>
        <v>Mayor a 5</v>
      </c>
      <c r="H46" s="28"/>
      <c r="I46" s="28"/>
      <c r="J46" s="28"/>
      <c r="K46" s="28"/>
      <c r="L46" s="28"/>
      <c r="M46" s="28"/>
      <c r="N46" s="28"/>
      <c r="O46" s="28"/>
      <c r="P46" s="28"/>
      <c r="Q46" s="28"/>
      <c r="R46" s="28"/>
      <c r="S46" s="28"/>
      <c r="T46" s="28"/>
      <c r="U46" s="28"/>
      <c r="V46" s="28"/>
      <c r="W46" s="28"/>
      <c r="X46" s="28"/>
      <c r="Y46" s="28"/>
      <c r="Z46" s="28"/>
    </row>
    <row r="47" ht="15.75" customHeight="1">
      <c r="A47" s="100" t="s">
        <v>1750</v>
      </c>
      <c r="B47" s="101" t="s">
        <v>1891</v>
      </c>
      <c r="C47" s="100" t="s">
        <v>1892</v>
      </c>
      <c r="D47" s="102" t="s">
        <v>1893</v>
      </c>
      <c r="E47" s="102" t="s">
        <v>1761</v>
      </c>
      <c r="F47" s="103">
        <v>0.21</v>
      </c>
      <c r="G47" s="110" t="str">
        <f>VLOOKUP("EVERSE 12",STOCK!$B$2:$Q$3692,3,FALSE)</f>
        <v>Mayor a 5</v>
      </c>
      <c r="H47" s="28"/>
      <c r="I47" s="28"/>
      <c r="J47" s="28"/>
      <c r="K47" s="28"/>
      <c r="L47" s="28"/>
      <c r="M47" s="28"/>
      <c r="N47" s="28"/>
      <c r="O47" s="28"/>
      <c r="P47" s="28"/>
      <c r="Q47" s="28"/>
      <c r="R47" s="28"/>
      <c r="S47" s="28"/>
      <c r="T47" s="28"/>
      <c r="U47" s="28"/>
      <c r="V47" s="28"/>
      <c r="W47" s="28"/>
      <c r="X47" s="28"/>
      <c r="Y47" s="28"/>
      <c r="Z47" s="28"/>
    </row>
    <row r="48" ht="15.75" customHeight="1">
      <c r="A48" s="107" t="s">
        <v>1894</v>
      </c>
      <c r="C48" s="111"/>
      <c r="D48" s="55"/>
      <c r="E48" s="55"/>
      <c r="F48" s="114"/>
      <c r="G48" s="32"/>
      <c r="H48" s="28"/>
      <c r="I48" s="28"/>
      <c r="J48" s="28"/>
      <c r="K48" s="28"/>
      <c r="L48" s="28"/>
      <c r="M48" s="28"/>
      <c r="N48" s="28"/>
      <c r="O48" s="28"/>
      <c r="P48" s="28"/>
      <c r="Q48" s="28"/>
      <c r="R48" s="28"/>
      <c r="S48" s="28"/>
      <c r="T48" s="28"/>
      <c r="U48" s="28"/>
      <c r="V48" s="28"/>
      <c r="W48" s="28"/>
      <c r="X48" s="28"/>
      <c r="Y48" s="28"/>
      <c r="Z48" s="28"/>
    </row>
    <row r="49" ht="15.75" customHeight="1">
      <c r="A49" s="100" t="s">
        <v>1750</v>
      </c>
      <c r="B49" s="101" t="s">
        <v>1895</v>
      </c>
      <c r="C49" s="100" t="s">
        <v>1896</v>
      </c>
      <c r="D49" s="102" t="s">
        <v>1897</v>
      </c>
      <c r="E49" s="102" t="s">
        <v>1898</v>
      </c>
      <c r="F49" s="103">
        <v>0.21</v>
      </c>
      <c r="G49" s="113" t="str">
        <f>VLOOKUP("PXM-12MP",STOCK!$B$2:$Q$3692,3,FALSE)</f>
        <v>Menor a 5</v>
      </c>
      <c r="H49" s="28"/>
      <c r="I49" s="28"/>
      <c r="J49" s="28"/>
      <c r="K49" s="28"/>
      <c r="L49" s="28"/>
      <c r="M49" s="28"/>
      <c r="N49" s="28"/>
      <c r="O49" s="28"/>
      <c r="P49" s="28"/>
      <c r="Q49" s="28"/>
      <c r="R49" s="28"/>
      <c r="S49" s="28"/>
      <c r="T49" s="28"/>
      <c r="U49" s="28"/>
      <c r="V49" s="28"/>
      <c r="W49" s="28"/>
      <c r="X49" s="28"/>
      <c r="Y49" s="28"/>
      <c r="Z49" s="28"/>
    </row>
    <row r="50" ht="15.75" customHeight="1">
      <c r="A50" s="107" t="s">
        <v>1899</v>
      </c>
      <c r="C50" s="111"/>
      <c r="D50" s="55"/>
      <c r="E50" s="55"/>
      <c r="F50" s="114"/>
      <c r="G50" s="32"/>
      <c r="H50" s="28"/>
      <c r="I50" s="28"/>
      <c r="J50" s="28"/>
      <c r="K50" s="28"/>
      <c r="L50" s="28"/>
      <c r="M50" s="28"/>
      <c r="N50" s="28"/>
      <c r="O50" s="28"/>
      <c r="P50" s="28"/>
      <c r="Q50" s="28"/>
      <c r="R50" s="28"/>
      <c r="S50" s="28"/>
      <c r="T50" s="28"/>
      <c r="U50" s="28"/>
      <c r="V50" s="28"/>
      <c r="W50" s="28"/>
      <c r="X50" s="28"/>
      <c r="Y50" s="28"/>
      <c r="Z50" s="28"/>
    </row>
    <row r="51" ht="15.75" customHeight="1">
      <c r="A51" s="100" t="s">
        <v>1750</v>
      </c>
      <c r="B51" s="100" t="s">
        <v>1900</v>
      </c>
      <c r="C51" s="100" t="s">
        <v>1901</v>
      </c>
      <c r="D51" s="102" t="s">
        <v>1902</v>
      </c>
      <c r="E51" s="102" t="s">
        <v>1903</v>
      </c>
      <c r="F51" s="103">
        <v>0.21</v>
      </c>
      <c r="G51" s="110" t="str">
        <f>VLOOKUP("ASP-58",STOCK!$B$2:$Q$3692,3,FALSE)</f>
        <v>Mayor a 5</v>
      </c>
      <c r="H51" s="28"/>
      <c r="I51" s="28"/>
      <c r="J51" s="28"/>
      <c r="K51" s="28"/>
      <c r="L51" s="28"/>
      <c r="M51" s="28"/>
      <c r="N51" s="28"/>
      <c r="O51" s="28"/>
      <c r="P51" s="28"/>
      <c r="Q51" s="28"/>
      <c r="R51" s="28"/>
      <c r="S51" s="28"/>
      <c r="T51" s="28"/>
      <c r="U51" s="28"/>
      <c r="V51" s="28"/>
      <c r="W51" s="28"/>
      <c r="X51" s="28"/>
      <c r="Y51" s="28"/>
      <c r="Z51" s="28"/>
    </row>
    <row r="52" ht="15.75" customHeight="1">
      <c r="A52" s="104" t="s">
        <v>1750</v>
      </c>
      <c r="B52" s="104" t="s">
        <v>1904</v>
      </c>
      <c r="C52" s="104" t="s">
        <v>1905</v>
      </c>
      <c r="D52" s="105" t="s">
        <v>1906</v>
      </c>
      <c r="E52" s="105" t="s">
        <v>1907</v>
      </c>
      <c r="F52" s="106">
        <v>0.21</v>
      </c>
      <c r="G52" s="109" t="str">
        <f>VLOOKUP("ZLX-BRKT",STOCK!$B$2:$Q$3692,3,FALSE)</f>
        <v>SIN STOCK</v>
      </c>
      <c r="I52" s="28"/>
      <c r="J52" s="28"/>
      <c r="K52" s="28"/>
      <c r="L52" s="28"/>
      <c r="M52" s="28"/>
      <c r="N52" s="28"/>
      <c r="O52" s="28"/>
      <c r="P52" s="28"/>
      <c r="Q52" s="28"/>
      <c r="R52" s="28"/>
      <c r="S52" s="28"/>
      <c r="T52" s="28"/>
      <c r="U52" s="28"/>
      <c r="V52" s="28"/>
      <c r="W52" s="28"/>
      <c r="X52" s="28"/>
      <c r="Y52" s="28"/>
      <c r="Z52" s="28"/>
    </row>
    <row r="53" ht="15.75" customHeight="1">
      <c r="A53" s="100" t="s">
        <v>1750</v>
      </c>
      <c r="B53" s="100" t="s">
        <v>1908</v>
      </c>
      <c r="C53" s="100" t="s">
        <v>1909</v>
      </c>
      <c r="D53" s="102" t="s">
        <v>1910</v>
      </c>
      <c r="E53" s="102" t="s">
        <v>1911</v>
      </c>
      <c r="F53" s="103">
        <v>0.21</v>
      </c>
      <c r="G53" s="109" t="str">
        <f>IFERROR(VLOOKUP("ELX200-BRKT",STOCK!$B$1:$Q$5647,3,FALSE),"SIN STOCK")</f>
        <v>SIN STOCK</v>
      </c>
      <c r="I53" s="28"/>
      <c r="J53" s="28"/>
      <c r="K53" s="28"/>
      <c r="L53" s="28"/>
      <c r="M53" s="28"/>
      <c r="N53" s="28"/>
      <c r="O53" s="28"/>
      <c r="P53" s="28"/>
      <c r="Q53" s="28"/>
      <c r="R53" s="28"/>
      <c r="S53" s="28"/>
      <c r="T53" s="28"/>
      <c r="U53" s="28"/>
      <c r="V53" s="28"/>
      <c r="W53" s="28"/>
      <c r="X53" s="28"/>
      <c r="Y53" s="28"/>
      <c r="Z53" s="28"/>
    </row>
    <row r="54" ht="15.75" customHeight="1">
      <c r="A54" s="104" t="s">
        <v>1750</v>
      </c>
      <c r="B54" s="104" t="s">
        <v>1912</v>
      </c>
      <c r="C54" s="104" t="s">
        <v>1913</v>
      </c>
      <c r="D54" s="105" t="s">
        <v>1914</v>
      </c>
      <c r="E54" s="105" t="s">
        <v>1915</v>
      </c>
      <c r="F54" s="106">
        <v>0.21</v>
      </c>
      <c r="G54" s="109" t="str">
        <f>IFERROR(VLOOKUP("EKX-BRKT12",STOCK!$B$1:$Q$5647,3,FALSE),"SIN STOCK")</f>
        <v>SIN STOCK</v>
      </c>
      <c r="H54" s="28"/>
      <c r="I54" s="28"/>
      <c r="J54" s="28"/>
      <c r="K54" s="28"/>
      <c r="L54" s="28"/>
      <c r="M54" s="28"/>
      <c r="N54" s="28"/>
      <c r="O54" s="28"/>
      <c r="P54" s="28"/>
      <c r="Q54" s="28"/>
      <c r="R54" s="28"/>
      <c r="S54" s="28"/>
      <c r="T54" s="28"/>
      <c r="U54" s="28"/>
      <c r="V54" s="28"/>
      <c r="W54" s="28"/>
      <c r="X54" s="28"/>
      <c r="Y54" s="28"/>
      <c r="Z54" s="28"/>
    </row>
    <row r="55" ht="15.75" customHeight="1">
      <c r="A55" s="100" t="s">
        <v>1750</v>
      </c>
      <c r="B55" s="100" t="s">
        <v>1916</v>
      </c>
      <c r="C55" s="100" t="s">
        <v>1917</v>
      </c>
      <c r="D55" s="102" t="s">
        <v>1918</v>
      </c>
      <c r="E55" s="102" t="s">
        <v>1919</v>
      </c>
      <c r="F55" s="103">
        <v>0.21</v>
      </c>
      <c r="G55" s="113" t="str">
        <f>IFERROR(VLOOKUP("EKX-BRKT15",STOCK!$B$1:$Q$5647,3,FALSE),"SIN STOCK")</f>
        <v>Menor a 5</v>
      </c>
      <c r="H55" s="28"/>
      <c r="I55" s="28"/>
      <c r="J55" s="28"/>
      <c r="K55" s="28"/>
      <c r="L55" s="28"/>
      <c r="M55" s="28"/>
      <c r="N55" s="28"/>
      <c r="O55" s="28"/>
      <c r="P55" s="28"/>
      <c r="Q55" s="28"/>
      <c r="R55" s="28"/>
      <c r="S55" s="28"/>
      <c r="T55" s="28"/>
      <c r="U55" s="28"/>
      <c r="V55" s="28"/>
      <c r="W55" s="28"/>
      <c r="X55" s="28"/>
      <c r="Y55" s="28"/>
      <c r="Z55" s="28"/>
    </row>
    <row r="56" ht="15.75" customHeight="1">
      <c r="A56" s="104" t="s">
        <v>1750</v>
      </c>
      <c r="B56" s="104" t="s">
        <v>1920</v>
      </c>
      <c r="C56" s="104" t="s">
        <v>1921</v>
      </c>
      <c r="D56" s="105" t="s">
        <v>1922</v>
      </c>
      <c r="E56" s="105" t="s">
        <v>1923</v>
      </c>
      <c r="F56" s="106">
        <v>0.21</v>
      </c>
      <c r="G56" s="109" t="str">
        <f>IFERROR(VLOOKUP("EKX-TCA",STOCK!$B$1:$Q$5647,3,FALSE),"SIN STOCK")</f>
        <v>SIN STOCK</v>
      </c>
      <c r="H56" s="28"/>
      <c r="I56" s="28"/>
      <c r="J56" s="28"/>
      <c r="K56" s="28"/>
      <c r="L56" s="28"/>
      <c r="M56" s="28"/>
      <c r="N56" s="28"/>
      <c r="O56" s="28"/>
      <c r="P56" s="28"/>
      <c r="Q56" s="28"/>
      <c r="R56" s="28"/>
      <c r="S56" s="28"/>
      <c r="T56" s="28"/>
      <c r="U56" s="28"/>
      <c r="V56" s="28"/>
      <c r="W56" s="28"/>
      <c r="X56" s="28"/>
      <c r="Y56" s="28"/>
      <c r="Z56" s="28"/>
    </row>
    <row r="57" ht="15.75" customHeight="1">
      <c r="A57" s="100" t="s">
        <v>1750</v>
      </c>
      <c r="B57" s="100" t="s">
        <v>1924</v>
      </c>
      <c r="C57" s="100" t="s">
        <v>1925</v>
      </c>
      <c r="D57" s="102" t="s">
        <v>1926</v>
      </c>
      <c r="E57" s="102" t="s">
        <v>1927</v>
      </c>
      <c r="F57" s="103">
        <v>0.21</v>
      </c>
      <c r="G57" s="109" t="str">
        <f>IFERROR(VLOOKUP("ETX-BRKT10",STOCK!$B$1:$Q$5647,3,FALSE),"SIN STOCK")</f>
        <v>SIN STOCK</v>
      </c>
      <c r="H57" s="28"/>
      <c r="I57" s="28"/>
      <c r="J57" s="28"/>
      <c r="K57" s="28"/>
      <c r="L57" s="28"/>
      <c r="M57" s="28"/>
      <c r="N57" s="28"/>
      <c r="O57" s="28"/>
      <c r="P57" s="28"/>
      <c r="Q57" s="28"/>
      <c r="R57" s="28"/>
      <c r="S57" s="28"/>
      <c r="T57" s="28"/>
      <c r="U57" s="28"/>
      <c r="V57" s="28"/>
      <c r="W57" s="28"/>
      <c r="X57" s="28"/>
      <c r="Y57" s="28"/>
      <c r="Z57" s="28"/>
    </row>
    <row r="58" ht="15.75" customHeight="1">
      <c r="A58" s="104" t="s">
        <v>1750</v>
      </c>
      <c r="B58" s="104" t="s">
        <v>1928</v>
      </c>
      <c r="C58" s="104" t="s">
        <v>1929</v>
      </c>
      <c r="D58" s="105" t="s">
        <v>1930</v>
      </c>
      <c r="E58" s="105" t="s">
        <v>1931</v>
      </c>
      <c r="F58" s="106">
        <v>0.21</v>
      </c>
      <c r="G58" s="109" t="str">
        <f>IFERROR(VLOOKUP("ETX-BRKT12",STOCK!$B$1:$Q$5647,3,FALSE),"SIN STOCK")</f>
        <v>SIN STOCK</v>
      </c>
      <c r="H58" s="28"/>
      <c r="I58" s="28"/>
      <c r="J58" s="28"/>
      <c r="K58" s="28"/>
      <c r="L58" s="28"/>
      <c r="M58" s="28"/>
      <c r="N58" s="28"/>
      <c r="O58" s="28"/>
      <c r="P58" s="28"/>
      <c r="Q58" s="28"/>
      <c r="R58" s="28"/>
      <c r="S58" s="28"/>
      <c r="T58" s="28"/>
      <c r="U58" s="28"/>
      <c r="V58" s="28"/>
      <c r="W58" s="28"/>
      <c r="X58" s="28"/>
      <c r="Y58" s="28"/>
      <c r="Z58" s="28"/>
    </row>
    <row r="59" ht="15.75" customHeight="1">
      <c r="A59" s="100" t="s">
        <v>1750</v>
      </c>
      <c r="B59" s="100" t="s">
        <v>1932</v>
      </c>
      <c r="C59" s="100" t="s">
        <v>1933</v>
      </c>
      <c r="D59" s="102" t="s">
        <v>1934</v>
      </c>
      <c r="E59" s="102" t="s">
        <v>1935</v>
      </c>
      <c r="F59" s="103">
        <v>0.21</v>
      </c>
      <c r="G59" s="109" t="str">
        <f>IFERROR(VLOOKUP("ETX-BRKT15",STOCK!$B$1:$Q$5647,3,FALSE),"SIN STOCK")</f>
        <v>SIN STOCK</v>
      </c>
      <c r="H59" s="28"/>
      <c r="I59" s="28"/>
      <c r="J59" s="28"/>
      <c r="K59" s="28"/>
      <c r="L59" s="28"/>
      <c r="M59" s="28"/>
      <c r="N59" s="28"/>
      <c r="O59" s="28"/>
      <c r="P59" s="28"/>
      <c r="Q59" s="28"/>
      <c r="R59" s="28"/>
      <c r="S59" s="28"/>
      <c r="T59" s="28"/>
      <c r="U59" s="28"/>
      <c r="V59" s="28"/>
      <c r="W59" s="28"/>
      <c r="X59" s="28"/>
      <c r="Y59" s="28"/>
      <c r="Z59" s="28"/>
    </row>
    <row r="60" ht="15.75" customHeight="1">
      <c r="A60" s="104" t="s">
        <v>1750</v>
      </c>
      <c r="B60" s="104" t="s">
        <v>1936</v>
      </c>
      <c r="C60" s="104" t="s">
        <v>1937</v>
      </c>
      <c r="D60" s="105" t="s">
        <v>1926</v>
      </c>
      <c r="E60" s="105" t="s">
        <v>1927</v>
      </c>
      <c r="F60" s="106">
        <v>0.21</v>
      </c>
      <c r="G60" s="109" t="str">
        <f>IFERROR(VLOOKUP("ETX-BRKT35",STOCK!$B$1:$Q$5647,3,FALSE),"SIN STOCK")</f>
        <v>SIN STOCK</v>
      </c>
      <c r="H60" s="28"/>
      <c r="I60" s="28"/>
      <c r="J60" s="28"/>
      <c r="K60" s="28"/>
      <c r="L60" s="28"/>
      <c r="M60" s="28"/>
      <c r="N60" s="28"/>
      <c r="O60" s="28"/>
      <c r="P60" s="28"/>
      <c r="Q60" s="28"/>
      <c r="R60" s="28"/>
      <c r="S60" s="28"/>
      <c r="T60" s="28"/>
      <c r="U60" s="28"/>
      <c r="V60" s="28"/>
      <c r="W60" s="28"/>
      <c r="X60" s="28"/>
      <c r="Y60" s="28"/>
      <c r="Z60" s="28"/>
    </row>
    <row r="61" ht="15.75" customHeight="1">
      <c r="A61" s="100" t="s">
        <v>1750</v>
      </c>
      <c r="B61" s="100" t="s">
        <v>1924</v>
      </c>
      <c r="C61" s="100" t="s">
        <v>1925</v>
      </c>
      <c r="D61" s="102" t="s">
        <v>1926</v>
      </c>
      <c r="E61" s="102" t="s">
        <v>1927</v>
      </c>
      <c r="F61" s="103">
        <v>0.21</v>
      </c>
      <c r="G61" s="109" t="str">
        <f>IFERROR(VLOOKUP("ETX-BRKT10",STOCK!$B$1:$Q$5647,3,FALSE),"SIN STOCK")</f>
        <v>SIN STOCK</v>
      </c>
      <c r="H61" s="28"/>
      <c r="I61" s="28"/>
      <c r="J61" s="28"/>
      <c r="K61" s="28"/>
      <c r="L61" s="28"/>
      <c r="M61" s="28"/>
      <c r="N61" s="28"/>
      <c r="O61" s="28"/>
      <c r="P61" s="28"/>
      <c r="Q61" s="28"/>
      <c r="R61" s="28"/>
      <c r="S61" s="28"/>
      <c r="T61" s="28"/>
      <c r="U61" s="28"/>
      <c r="V61" s="28"/>
      <c r="W61" s="28"/>
      <c r="X61" s="28"/>
      <c r="Y61" s="28"/>
      <c r="Z61" s="28"/>
    </row>
    <row r="62" ht="15.75" customHeight="1">
      <c r="A62" s="104" t="s">
        <v>1750</v>
      </c>
      <c r="B62" s="104" t="s">
        <v>1928</v>
      </c>
      <c r="C62" s="104" t="s">
        <v>1929</v>
      </c>
      <c r="D62" s="105" t="s">
        <v>1930</v>
      </c>
      <c r="E62" s="105" t="s">
        <v>1931</v>
      </c>
      <c r="F62" s="106">
        <v>0.21</v>
      </c>
      <c r="G62" s="109" t="str">
        <f>IFERROR(VLOOKUP("ETX-BRKT12",STOCK!$B$1:$Q$5647,3,FALSE),"SIN STOCK")</f>
        <v>SIN STOCK</v>
      </c>
      <c r="H62" s="28"/>
      <c r="I62" s="28"/>
      <c r="J62" s="28"/>
      <c r="K62" s="28"/>
      <c r="L62" s="28"/>
      <c r="M62" s="28"/>
      <c r="N62" s="28"/>
      <c r="O62" s="28"/>
      <c r="P62" s="28"/>
      <c r="Q62" s="28"/>
      <c r="R62" s="28"/>
      <c r="S62" s="28"/>
      <c r="T62" s="28"/>
      <c r="U62" s="28"/>
      <c r="V62" s="28"/>
      <c r="W62" s="28"/>
      <c r="X62" s="28"/>
      <c r="Y62" s="28"/>
      <c r="Z62" s="28"/>
    </row>
    <row r="63" ht="15.75" customHeight="1">
      <c r="A63" s="100" t="s">
        <v>1750</v>
      </c>
      <c r="B63" s="41" t="s">
        <v>1932</v>
      </c>
      <c r="C63" s="41" t="s">
        <v>1933</v>
      </c>
      <c r="D63" s="102" t="s">
        <v>1934</v>
      </c>
      <c r="E63" s="102" t="s">
        <v>1935</v>
      </c>
      <c r="F63" s="103">
        <v>0.21</v>
      </c>
      <c r="G63" s="109" t="str">
        <f>IFERROR(VLOOKUP("ETX-BRKT15",STOCK!$B$1:$Q$5647,3,FALSE),"SIN STOCK")</f>
        <v>SIN STOCK</v>
      </c>
      <c r="H63" s="28"/>
      <c r="I63" s="28"/>
      <c r="J63" s="28"/>
      <c r="K63" s="28"/>
      <c r="L63" s="28"/>
      <c r="M63" s="28"/>
      <c r="N63" s="28"/>
      <c r="O63" s="28"/>
      <c r="P63" s="28"/>
      <c r="Q63" s="28"/>
      <c r="R63" s="28"/>
      <c r="S63" s="28"/>
      <c r="T63" s="28"/>
      <c r="U63" s="28"/>
      <c r="V63" s="28"/>
      <c r="W63" s="28"/>
      <c r="X63" s="28"/>
      <c r="Y63" s="28"/>
      <c r="Z63" s="28"/>
    </row>
    <row r="64" ht="15.75" customHeight="1">
      <c r="A64" s="104" t="s">
        <v>1750</v>
      </c>
      <c r="B64" s="104" t="s">
        <v>1936</v>
      </c>
      <c r="C64" s="47" t="s">
        <v>1937</v>
      </c>
      <c r="D64" s="105" t="s">
        <v>1926</v>
      </c>
      <c r="E64" s="105" t="s">
        <v>1927</v>
      </c>
      <c r="F64" s="106">
        <v>0.21</v>
      </c>
      <c r="G64" s="109" t="str">
        <f>IFERROR(VLOOKUP("ETX-BRKT35",STOCK!$B$1:$Q$5647,3,FALSE),"SIN STOCK")</f>
        <v>SIN STOCK</v>
      </c>
      <c r="H64" s="28"/>
      <c r="I64" s="28"/>
      <c r="J64" s="28"/>
      <c r="K64" s="28"/>
      <c r="L64" s="28"/>
      <c r="M64" s="28"/>
      <c r="N64" s="28"/>
      <c r="O64" s="28"/>
      <c r="P64" s="28"/>
      <c r="Q64" s="28"/>
      <c r="R64" s="28"/>
      <c r="S64" s="28"/>
      <c r="T64" s="28"/>
      <c r="U64" s="28"/>
      <c r="V64" s="28"/>
      <c r="W64" s="28"/>
      <c r="X64" s="28"/>
      <c r="Y64" s="28"/>
      <c r="Z64" s="28"/>
    </row>
    <row r="65" ht="15.75" customHeight="1">
      <c r="A65" s="100" t="s">
        <v>1750</v>
      </c>
      <c r="B65" s="118" t="s">
        <v>1938</v>
      </c>
      <c r="C65" s="100" t="s">
        <v>1939</v>
      </c>
      <c r="D65" s="102" t="s">
        <v>1940</v>
      </c>
      <c r="E65" s="102" t="s">
        <v>1941</v>
      </c>
      <c r="F65" s="103">
        <v>0.21</v>
      </c>
      <c r="G65" s="109" t="str">
        <f>IFERROR(VLOOKUP("ETX-TCA-S",STOCK!$B$1:$Q$5647,3,FALSE),"SIN STOCK")</f>
        <v>SIN STOCK</v>
      </c>
      <c r="H65" s="28"/>
      <c r="I65" s="28"/>
      <c r="J65" s="28"/>
      <c r="K65" s="28"/>
      <c r="L65" s="28"/>
      <c r="M65" s="28"/>
      <c r="N65" s="28"/>
      <c r="O65" s="28"/>
      <c r="P65" s="28"/>
      <c r="Q65" s="28"/>
      <c r="R65" s="28"/>
      <c r="S65" s="28"/>
      <c r="T65" s="28"/>
      <c r="U65" s="28"/>
      <c r="V65" s="28"/>
      <c r="W65" s="28"/>
      <c r="X65" s="28"/>
      <c r="Y65" s="28"/>
      <c r="Z65" s="28"/>
    </row>
    <row r="66" ht="15.75" customHeight="1">
      <c r="A66" s="104" t="s">
        <v>1750</v>
      </c>
      <c r="B66" s="116" t="s">
        <v>1942</v>
      </c>
      <c r="C66" s="104" t="s">
        <v>1943</v>
      </c>
      <c r="D66" s="105" t="s">
        <v>1944</v>
      </c>
      <c r="E66" s="105" t="s">
        <v>1945</v>
      </c>
      <c r="F66" s="106">
        <v>0.21</v>
      </c>
      <c r="G66" s="109" t="str">
        <f>IFERROR(VLOOKUP("ETX-TCA-L",STOCK!$B$1:$Q$5647,3,FALSE),"SIN STOCK")</f>
        <v>SIN STOCK</v>
      </c>
      <c r="H66" s="28"/>
      <c r="I66" s="28"/>
      <c r="J66" s="28"/>
      <c r="K66" s="28"/>
      <c r="L66" s="28"/>
      <c r="M66" s="28"/>
      <c r="N66" s="28"/>
      <c r="O66" s="28"/>
      <c r="P66" s="28"/>
      <c r="Q66" s="28"/>
      <c r="R66" s="28"/>
      <c r="S66" s="28"/>
      <c r="T66" s="28"/>
      <c r="U66" s="28"/>
      <c r="V66" s="28"/>
      <c r="W66" s="28"/>
      <c r="X66" s="28"/>
      <c r="Y66" s="28"/>
      <c r="Z66" s="28"/>
    </row>
    <row r="67" ht="15.75" customHeight="1">
      <c r="A67" s="96" t="s">
        <v>1946</v>
      </c>
      <c r="B67" s="120"/>
      <c r="C67" s="120"/>
      <c r="D67" s="98"/>
      <c r="E67" s="98"/>
      <c r="F67" s="121"/>
      <c r="G67" s="99"/>
      <c r="H67" s="28"/>
      <c r="I67" s="28"/>
      <c r="J67" s="28"/>
      <c r="K67" s="28"/>
      <c r="L67" s="28"/>
      <c r="M67" s="28"/>
      <c r="N67" s="28"/>
      <c r="O67" s="28"/>
      <c r="P67" s="28"/>
      <c r="Q67" s="28"/>
      <c r="R67" s="28"/>
      <c r="S67" s="28"/>
      <c r="T67" s="28"/>
      <c r="U67" s="28"/>
      <c r="V67" s="28"/>
      <c r="W67" s="28"/>
      <c r="X67" s="28"/>
      <c r="Y67" s="28"/>
      <c r="Z67" s="28"/>
    </row>
    <row r="68" ht="15.75" customHeight="1">
      <c r="A68" s="107" t="s">
        <v>1947</v>
      </c>
      <c r="C68" s="111"/>
      <c r="D68" s="55"/>
      <c r="E68" s="55"/>
      <c r="F68" s="114"/>
      <c r="G68" s="32"/>
      <c r="H68" s="28"/>
      <c r="I68" s="28"/>
      <c r="J68" s="28"/>
      <c r="K68" s="28"/>
      <c r="L68" s="28"/>
      <c r="M68" s="28"/>
      <c r="N68" s="28"/>
      <c r="O68" s="28"/>
      <c r="P68" s="28"/>
      <c r="Q68" s="28"/>
      <c r="R68" s="28"/>
      <c r="S68" s="28"/>
      <c r="T68" s="28"/>
      <c r="U68" s="28"/>
      <c r="V68" s="28"/>
      <c r="W68" s="28"/>
      <c r="X68" s="28"/>
      <c r="Y68" s="28"/>
      <c r="Z68" s="28"/>
    </row>
    <row r="69" ht="15.75" customHeight="1">
      <c r="A69" s="100" t="s">
        <v>1750</v>
      </c>
      <c r="B69" s="101" t="s">
        <v>1948</v>
      </c>
      <c r="C69" s="100" t="s">
        <v>1949</v>
      </c>
      <c r="D69" s="102" t="s">
        <v>1950</v>
      </c>
      <c r="E69" s="102" t="s">
        <v>1951</v>
      </c>
      <c r="F69" s="103">
        <v>0.21</v>
      </c>
      <c r="G69" s="110" t="str">
        <f>VLOOKUP("EVIDS4.2B",STOCK!$B$2:$Q$3692,3,FALSE)</f>
        <v>Mayor a 5</v>
      </c>
      <c r="H69" s="28"/>
      <c r="I69" s="28"/>
      <c r="J69" s="28"/>
      <c r="K69" s="28"/>
      <c r="L69" s="28"/>
      <c r="M69" s="28"/>
      <c r="N69" s="28"/>
      <c r="O69" s="28"/>
      <c r="P69" s="28"/>
      <c r="Q69" s="28"/>
      <c r="R69" s="28"/>
      <c r="S69" s="28"/>
      <c r="T69" s="28"/>
      <c r="U69" s="28"/>
      <c r="V69" s="28"/>
      <c r="W69" s="28"/>
      <c r="X69" s="28"/>
      <c r="Y69" s="28"/>
      <c r="Z69" s="28"/>
    </row>
    <row r="70" ht="15.75" customHeight="1">
      <c r="A70" s="104" t="s">
        <v>1750</v>
      </c>
      <c r="B70" s="64" t="s">
        <v>1952</v>
      </c>
      <c r="C70" s="104" t="s">
        <v>1953</v>
      </c>
      <c r="D70" s="105" t="s">
        <v>1950</v>
      </c>
      <c r="E70" s="105" t="s">
        <v>1951</v>
      </c>
      <c r="F70" s="106">
        <v>0.21</v>
      </c>
      <c r="G70" s="113" t="str">
        <f>VLOOKUP("EVIDS4.2W",STOCK!$B$2:$Q$3692,3,FALSE)</f>
        <v>Menor a 5</v>
      </c>
      <c r="H70" s="28"/>
      <c r="I70" s="28"/>
      <c r="J70" s="28"/>
      <c r="K70" s="28"/>
      <c r="L70" s="28"/>
      <c r="M70" s="28"/>
      <c r="N70" s="28"/>
      <c r="O70" s="28"/>
      <c r="P70" s="28"/>
      <c r="Q70" s="28"/>
      <c r="R70" s="28"/>
      <c r="S70" s="28"/>
      <c r="T70" s="28"/>
      <c r="U70" s="28"/>
      <c r="V70" s="28"/>
      <c r="W70" s="28"/>
      <c r="X70" s="28"/>
      <c r="Y70" s="28"/>
      <c r="Z70" s="28"/>
    </row>
    <row r="71" ht="15.75" customHeight="1">
      <c r="A71" s="100" t="s">
        <v>1750</v>
      </c>
      <c r="B71" s="101" t="s">
        <v>1954</v>
      </c>
      <c r="C71" s="100" t="s">
        <v>1955</v>
      </c>
      <c r="D71" s="102" t="s">
        <v>1956</v>
      </c>
      <c r="E71" s="102" t="s">
        <v>1957</v>
      </c>
      <c r="F71" s="103">
        <v>0.21</v>
      </c>
      <c r="G71" s="110" t="str">
        <f>VLOOKUP("EVIDS4.2TB",STOCK!$B$2:$Q$3692,3,FALSE)</f>
        <v>Mayor a 5</v>
      </c>
      <c r="H71" s="28"/>
      <c r="I71" s="28"/>
      <c r="J71" s="28"/>
      <c r="K71" s="28"/>
      <c r="L71" s="28"/>
      <c r="M71" s="28"/>
      <c r="N71" s="28"/>
      <c r="O71" s="28"/>
      <c r="P71" s="28"/>
      <c r="Q71" s="28"/>
      <c r="R71" s="28"/>
      <c r="S71" s="28"/>
      <c r="T71" s="28"/>
      <c r="U71" s="28"/>
      <c r="V71" s="28"/>
      <c r="W71" s="28"/>
      <c r="X71" s="28"/>
      <c r="Y71" s="28"/>
      <c r="Z71" s="28"/>
    </row>
    <row r="72" ht="15.75" customHeight="1">
      <c r="A72" s="104" t="s">
        <v>1750</v>
      </c>
      <c r="B72" s="64" t="s">
        <v>1958</v>
      </c>
      <c r="C72" s="104" t="s">
        <v>1959</v>
      </c>
      <c r="D72" s="105" t="s">
        <v>1956</v>
      </c>
      <c r="E72" s="105" t="s">
        <v>1957</v>
      </c>
      <c r="F72" s="106">
        <v>0.21</v>
      </c>
      <c r="G72" s="110" t="str">
        <f>VLOOKUP("EVIDS4.2TW",STOCK!$B$2:$Q$3692,3,FALSE)</f>
        <v>Mayor a 5</v>
      </c>
      <c r="H72" s="28"/>
      <c r="I72" s="28"/>
      <c r="J72" s="28"/>
      <c r="K72" s="28"/>
      <c r="L72" s="28"/>
      <c r="M72" s="28"/>
      <c r="N72" s="28"/>
      <c r="O72" s="28"/>
      <c r="P72" s="28"/>
      <c r="Q72" s="28"/>
      <c r="R72" s="28"/>
      <c r="S72" s="28"/>
      <c r="T72" s="28"/>
      <c r="U72" s="28"/>
      <c r="V72" s="28"/>
      <c r="W72" s="28"/>
      <c r="X72" s="28"/>
      <c r="Y72" s="28"/>
      <c r="Z72" s="28"/>
    </row>
    <row r="73" ht="15.75" customHeight="1">
      <c r="A73" s="100" t="s">
        <v>1750</v>
      </c>
      <c r="B73" s="101" t="s">
        <v>1960</v>
      </c>
      <c r="C73" s="100" t="s">
        <v>1961</v>
      </c>
      <c r="D73" s="102" t="s">
        <v>1962</v>
      </c>
      <c r="E73" s="102" t="s">
        <v>1963</v>
      </c>
      <c r="F73" s="103">
        <v>0.21</v>
      </c>
      <c r="G73" s="110" t="str">
        <f>VLOOKUP("EVIDS5.2B",STOCK!$B$2:$Q$3692,3,FALSE)</f>
        <v>Mayor a 5</v>
      </c>
      <c r="H73" s="28"/>
      <c r="I73" s="28"/>
      <c r="J73" s="28"/>
      <c r="K73" s="28"/>
      <c r="L73" s="28"/>
      <c r="M73" s="28"/>
      <c r="N73" s="28"/>
      <c r="O73" s="28"/>
      <c r="P73" s="28"/>
      <c r="Q73" s="28"/>
      <c r="R73" s="28"/>
      <c r="S73" s="28"/>
      <c r="T73" s="28"/>
      <c r="U73" s="28"/>
      <c r="V73" s="28"/>
      <c r="W73" s="28"/>
      <c r="X73" s="28"/>
      <c r="Y73" s="28"/>
      <c r="Z73" s="28"/>
    </row>
    <row r="74" ht="15.75" customHeight="1">
      <c r="A74" s="104" t="s">
        <v>1750</v>
      </c>
      <c r="B74" s="64" t="s">
        <v>1964</v>
      </c>
      <c r="C74" s="104" t="s">
        <v>1965</v>
      </c>
      <c r="D74" s="105" t="s">
        <v>1962</v>
      </c>
      <c r="E74" s="105" t="s">
        <v>1963</v>
      </c>
      <c r="F74" s="106">
        <v>0.21</v>
      </c>
      <c r="G74" s="109" t="str">
        <f>VLOOKUP("EVIDS5.2W",STOCK!$B$2:$Q$3692,3,FALSE)</f>
        <v>SIN STOCK</v>
      </c>
      <c r="H74" s="28"/>
      <c r="I74" s="28"/>
      <c r="J74" s="28"/>
      <c r="K74" s="28"/>
      <c r="L74" s="28"/>
      <c r="M74" s="28"/>
      <c r="N74" s="28"/>
      <c r="O74" s="28"/>
      <c r="P74" s="28"/>
      <c r="Q74" s="28"/>
      <c r="R74" s="28"/>
      <c r="S74" s="28"/>
      <c r="T74" s="28"/>
      <c r="U74" s="28"/>
      <c r="V74" s="28"/>
      <c r="W74" s="28"/>
      <c r="X74" s="28"/>
      <c r="Y74" s="28"/>
      <c r="Z74" s="28"/>
    </row>
    <row r="75" ht="15.75" customHeight="1">
      <c r="A75" s="100" t="s">
        <v>1750</v>
      </c>
      <c r="B75" s="101" t="s">
        <v>1966</v>
      </c>
      <c r="C75" s="100" t="s">
        <v>1967</v>
      </c>
      <c r="D75" s="102" t="s">
        <v>1968</v>
      </c>
      <c r="E75" s="102" t="s">
        <v>1969</v>
      </c>
      <c r="F75" s="103">
        <v>0.21</v>
      </c>
      <c r="G75" s="110" t="str">
        <f>VLOOKUP("EVIDS5.2TB",STOCK!$B$2:$Q$3692,3,FALSE)</f>
        <v>Mayor a 5</v>
      </c>
      <c r="H75" s="28"/>
      <c r="I75" s="28"/>
      <c r="J75" s="28"/>
      <c r="K75" s="28"/>
      <c r="L75" s="28"/>
      <c r="M75" s="28"/>
      <c r="N75" s="28"/>
      <c r="O75" s="28"/>
      <c r="P75" s="28"/>
      <c r="Q75" s="28"/>
      <c r="R75" s="28"/>
      <c r="S75" s="28"/>
      <c r="T75" s="28"/>
      <c r="U75" s="28"/>
      <c r="V75" s="28"/>
      <c r="W75" s="28"/>
      <c r="X75" s="28"/>
      <c r="Y75" s="28"/>
      <c r="Z75" s="28"/>
    </row>
    <row r="76" ht="15.75" customHeight="1">
      <c r="A76" s="104" t="s">
        <v>1750</v>
      </c>
      <c r="B76" s="64" t="s">
        <v>1970</v>
      </c>
      <c r="C76" s="104" t="s">
        <v>1971</v>
      </c>
      <c r="D76" s="105" t="s">
        <v>1968</v>
      </c>
      <c r="E76" s="105" t="s">
        <v>1969</v>
      </c>
      <c r="F76" s="106">
        <v>0.21</v>
      </c>
      <c r="G76" s="110" t="str">
        <f>VLOOKUP("EVIDS5.2TW",STOCK!$B$2:$Q$3692,3,FALSE)</f>
        <v>Mayor a 5</v>
      </c>
      <c r="H76" s="28"/>
      <c r="I76" s="28"/>
      <c r="J76" s="28"/>
      <c r="K76" s="28"/>
      <c r="L76" s="28"/>
      <c r="M76" s="28"/>
      <c r="N76" s="28"/>
      <c r="O76" s="28"/>
      <c r="P76" s="28"/>
      <c r="Q76" s="28"/>
      <c r="R76" s="28"/>
      <c r="S76" s="28"/>
      <c r="T76" s="28"/>
      <c r="U76" s="28"/>
      <c r="V76" s="28"/>
      <c r="W76" s="28"/>
      <c r="X76" s="28"/>
      <c r="Y76" s="28"/>
      <c r="Z76" s="28"/>
    </row>
    <row r="77" ht="15.75" customHeight="1">
      <c r="A77" s="100" t="s">
        <v>1750</v>
      </c>
      <c r="B77" s="101" t="s">
        <v>1972</v>
      </c>
      <c r="C77" s="100" t="s">
        <v>1973</v>
      </c>
      <c r="D77" s="102" t="s">
        <v>1974</v>
      </c>
      <c r="E77" s="102" t="s">
        <v>1975</v>
      </c>
      <c r="F77" s="103">
        <v>0.21</v>
      </c>
      <c r="G77" s="110" t="str">
        <f>VLOOKUP("EVID-S5.2XB",STOCK!$B$2:$Q$3692,3,FALSE)</f>
        <v>Mayor a 5</v>
      </c>
      <c r="H77" s="28"/>
      <c r="I77" s="28"/>
      <c r="J77" s="28"/>
      <c r="K77" s="28"/>
      <c r="L77" s="28"/>
      <c r="M77" s="28"/>
      <c r="N77" s="28"/>
      <c r="O77" s="28"/>
      <c r="P77" s="28"/>
      <c r="Q77" s="28"/>
      <c r="R77" s="28"/>
      <c r="S77" s="28"/>
      <c r="T77" s="28"/>
      <c r="U77" s="28"/>
      <c r="V77" s="28"/>
      <c r="W77" s="28"/>
      <c r="X77" s="28"/>
      <c r="Y77" s="28"/>
      <c r="Z77" s="28"/>
    </row>
    <row r="78" ht="15.75" customHeight="1">
      <c r="A78" s="104" t="s">
        <v>1750</v>
      </c>
      <c r="B78" s="64" t="s">
        <v>1976</v>
      </c>
      <c r="C78" s="104" t="s">
        <v>1977</v>
      </c>
      <c r="D78" s="105" t="s">
        <v>1974</v>
      </c>
      <c r="E78" s="105" t="s">
        <v>1975</v>
      </c>
      <c r="F78" s="106">
        <v>0.21</v>
      </c>
      <c r="G78" s="110" t="str">
        <f>VLOOKUP("EVIDS5.2XW",STOCK!$B$2:$Q$3692,3,FALSE)</f>
        <v>Mayor a 5</v>
      </c>
      <c r="H78" s="28"/>
      <c r="I78" s="28"/>
      <c r="J78" s="28"/>
      <c r="K78" s="28"/>
      <c r="L78" s="28"/>
      <c r="M78" s="28"/>
      <c r="N78" s="28"/>
      <c r="O78" s="28"/>
      <c r="P78" s="28"/>
      <c r="Q78" s="28"/>
      <c r="R78" s="28"/>
      <c r="S78" s="28"/>
      <c r="T78" s="28"/>
      <c r="U78" s="28"/>
      <c r="V78" s="28"/>
      <c r="W78" s="28"/>
      <c r="X78" s="28"/>
      <c r="Y78" s="28"/>
      <c r="Z78" s="28"/>
    </row>
    <row r="79" ht="15.75" customHeight="1">
      <c r="A79" s="100" t="s">
        <v>1750</v>
      </c>
      <c r="B79" s="101" t="s">
        <v>1978</v>
      </c>
      <c r="C79" s="100" t="s">
        <v>1979</v>
      </c>
      <c r="D79" s="102" t="s">
        <v>1980</v>
      </c>
      <c r="E79" s="102" t="s">
        <v>1981</v>
      </c>
      <c r="F79" s="103">
        <v>0.21</v>
      </c>
      <c r="G79" s="109" t="str">
        <f>VLOOKUP("EVIDS8.2B",STOCK!$B$2:$Q$3692,3,FALSE)</f>
        <v>SIN STOCK</v>
      </c>
      <c r="H79" s="28"/>
      <c r="I79" s="28"/>
      <c r="J79" s="28"/>
      <c r="K79" s="28"/>
      <c r="L79" s="28"/>
      <c r="M79" s="28"/>
      <c r="N79" s="28"/>
      <c r="O79" s="28"/>
      <c r="P79" s="28"/>
      <c r="Q79" s="28"/>
      <c r="R79" s="28"/>
      <c r="S79" s="28"/>
      <c r="T79" s="28"/>
      <c r="U79" s="28"/>
      <c r="V79" s="28"/>
      <c r="W79" s="28"/>
      <c r="X79" s="28"/>
      <c r="Y79" s="28"/>
      <c r="Z79" s="28"/>
    </row>
    <row r="80" ht="15.75" customHeight="1">
      <c r="A80" s="104" t="s">
        <v>1750</v>
      </c>
      <c r="B80" s="64" t="s">
        <v>1982</v>
      </c>
      <c r="C80" s="104" t="s">
        <v>1983</v>
      </c>
      <c r="D80" s="105" t="s">
        <v>1980</v>
      </c>
      <c r="E80" s="105" t="s">
        <v>1981</v>
      </c>
      <c r="F80" s="106">
        <v>0.21</v>
      </c>
      <c r="G80" s="110" t="str">
        <f>VLOOKUP("EVIDS8.2W",STOCK!$B$2:$Q$3692,3,FALSE)</f>
        <v>Mayor a 5</v>
      </c>
      <c r="H80" s="28"/>
      <c r="I80" s="28"/>
      <c r="J80" s="28"/>
      <c r="K80" s="28"/>
      <c r="L80" s="28"/>
      <c r="M80" s="28"/>
      <c r="N80" s="28"/>
      <c r="O80" s="28"/>
      <c r="P80" s="28"/>
      <c r="Q80" s="28"/>
      <c r="R80" s="28"/>
      <c r="S80" s="28"/>
      <c r="T80" s="28"/>
      <c r="U80" s="28"/>
      <c r="V80" s="28"/>
      <c r="W80" s="28"/>
      <c r="X80" s="28"/>
      <c r="Y80" s="28"/>
      <c r="Z80" s="28"/>
    </row>
    <row r="81" ht="15.75" customHeight="1">
      <c r="A81" s="100" t="s">
        <v>1750</v>
      </c>
      <c r="B81" s="101" t="s">
        <v>1984</v>
      </c>
      <c r="C81" s="41" t="s">
        <v>1985</v>
      </c>
      <c r="D81" s="102" t="s">
        <v>1986</v>
      </c>
      <c r="E81" s="102" t="s">
        <v>1987</v>
      </c>
      <c r="F81" s="103">
        <v>0.21</v>
      </c>
      <c r="G81" s="113" t="str">
        <f>VLOOKUP("EVIDS8.2TB",STOCK!$B$2:$Q$3692,3,FALSE)</f>
        <v>Menor a 5</v>
      </c>
      <c r="H81" s="28"/>
      <c r="I81" s="28"/>
      <c r="J81" s="28"/>
      <c r="K81" s="28"/>
      <c r="L81" s="28"/>
      <c r="M81" s="28"/>
      <c r="N81" s="28"/>
      <c r="O81" s="28"/>
      <c r="P81" s="28"/>
      <c r="Q81" s="28"/>
      <c r="R81" s="28"/>
      <c r="S81" s="28"/>
      <c r="T81" s="28"/>
      <c r="U81" s="28"/>
      <c r="V81" s="28"/>
      <c r="W81" s="28"/>
      <c r="X81" s="28"/>
      <c r="Y81" s="28"/>
      <c r="Z81" s="28"/>
    </row>
    <row r="82" ht="15.75" customHeight="1">
      <c r="A82" s="104" t="s">
        <v>1750</v>
      </c>
      <c r="B82" s="64" t="s">
        <v>1988</v>
      </c>
      <c r="C82" s="104" t="s">
        <v>1989</v>
      </c>
      <c r="D82" s="105" t="s">
        <v>1986</v>
      </c>
      <c r="E82" s="105" t="s">
        <v>1987</v>
      </c>
      <c r="F82" s="106">
        <v>0.21</v>
      </c>
      <c r="G82" s="110" t="str">
        <f>VLOOKUP("EVIDS8.2TW",STOCK!$B$2:$Q$3692,3,FALSE)</f>
        <v>Mayor a 5</v>
      </c>
      <c r="H82" s="28"/>
      <c r="I82" s="28"/>
      <c r="J82" s="28"/>
      <c r="K82" s="28"/>
      <c r="L82" s="28"/>
      <c r="M82" s="28"/>
      <c r="N82" s="28"/>
      <c r="O82" s="28"/>
      <c r="P82" s="28"/>
      <c r="Q82" s="28"/>
      <c r="R82" s="28"/>
      <c r="S82" s="28"/>
      <c r="T82" s="28"/>
      <c r="U82" s="28"/>
      <c r="V82" s="28"/>
      <c r="W82" s="28"/>
      <c r="X82" s="28"/>
      <c r="Y82" s="28"/>
      <c r="Z82" s="28"/>
    </row>
    <row r="83" ht="15.75" customHeight="1">
      <c r="A83" s="100" t="s">
        <v>1750</v>
      </c>
      <c r="B83" s="101" t="s">
        <v>1990</v>
      </c>
      <c r="C83" s="100" t="s">
        <v>1991</v>
      </c>
      <c r="D83" s="102" t="s">
        <v>1992</v>
      </c>
      <c r="E83" s="102" t="s">
        <v>1993</v>
      </c>
      <c r="F83" s="103">
        <v>0.21</v>
      </c>
      <c r="G83" s="110" t="str">
        <f>VLOOKUP("EVIDS10.1DB",STOCK!$B$2:$Q$3692,3,FALSE)</f>
        <v>Mayor a 5</v>
      </c>
      <c r="H83" s="28"/>
      <c r="I83" s="28"/>
      <c r="J83" s="28"/>
      <c r="K83" s="28"/>
      <c r="L83" s="28"/>
      <c r="M83" s="28"/>
      <c r="N83" s="28"/>
      <c r="O83" s="28"/>
      <c r="P83" s="28"/>
      <c r="Q83" s="28"/>
      <c r="R83" s="28"/>
      <c r="S83" s="28"/>
      <c r="T83" s="28"/>
      <c r="U83" s="28"/>
      <c r="V83" s="28"/>
      <c r="W83" s="28"/>
      <c r="X83" s="28"/>
      <c r="Y83" s="28"/>
      <c r="Z83" s="28"/>
    </row>
    <row r="84" ht="15.75" customHeight="1">
      <c r="A84" s="104" t="s">
        <v>1750</v>
      </c>
      <c r="B84" s="64" t="s">
        <v>1994</v>
      </c>
      <c r="C84" s="104" t="s">
        <v>1995</v>
      </c>
      <c r="D84" s="105" t="s">
        <v>1996</v>
      </c>
      <c r="E84" s="105" t="s">
        <v>1997</v>
      </c>
      <c r="F84" s="106">
        <v>0.21</v>
      </c>
      <c r="G84" s="110" t="str">
        <f>VLOOKUP("EVIDS12.1B",STOCK!$B$2:$Q$3692,3,FALSE)</f>
        <v>Mayor a 5</v>
      </c>
      <c r="H84" s="28"/>
      <c r="I84" s="28"/>
      <c r="J84" s="28"/>
      <c r="K84" s="28"/>
      <c r="L84" s="28"/>
      <c r="M84" s="28"/>
      <c r="N84" s="28"/>
      <c r="O84" s="28"/>
      <c r="P84" s="28"/>
      <c r="Q84" s="28"/>
      <c r="R84" s="28"/>
      <c r="S84" s="28"/>
      <c r="T84" s="28"/>
      <c r="U84" s="28"/>
      <c r="V84" s="28"/>
      <c r="W84" s="28"/>
      <c r="X84" s="28"/>
      <c r="Y84" s="28"/>
      <c r="Z84" s="28"/>
    </row>
    <row r="85" ht="15.75" customHeight="1">
      <c r="A85" s="107" t="s">
        <v>1998</v>
      </c>
      <c r="C85" s="111"/>
      <c r="D85" s="55"/>
      <c r="E85" s="55"/>
      <c r="F85" s="114"/>
      <c r="G85" s="32"/>
      <c r="I85" s="28"/>
      <c r="J85" s="28"/>
      <c r="K85" s="28"/>
      <c r="L85" s="28"/>
      <c r="M85" s="28"/>
      <c r="N85" s="28"/>
      <c r="O85" s="28"/>
      <c r="P85" s="28"/>
      <c r="Q85" s="28"/>
      <c r="R85" s="28"/>
      <c r="S85" s="28"/>
      <c r="T85" s="28"/>
      <c r="U85" s="28"/>
      <c r="V85" s="28"/>
      <c r="W85" s="28"/>
      <c r="X85" s="28"/>
      <c r="Y85" s="28"/>
      <c r="Z85" s="28"/>
    </row>
    <row r="86" ht="15.75" customHeight="1">
      <c r="A86" s="104" t="s">
        <v>1750</v>
      </c>
      <c r="B86" s="104" t="s">
        <v>1999</v>
      </c>
      <c r="C86" s="104" t="s">
        <v>2000</v>
      </c>
      <c r="D86" s="105" t="s">
        <v>2001</v>
      </c>
      <c r="E86" s="105" t="s">
        <v>2002</v>
      </c>
      <c r="F86" s="106">
        <v>0.21</v>
      </c>
      <c r="G86" s="113" t="str">
        <f>VLOOKUP("EVID-2.1",STOCK!$B$2:$Q$3692,3,FALSE)</f>
        <v>Menor a 5</v>
      </c>
      <c r="H86" s="28"/>
      <c r="I86" s="28"/>
      <c r="J86" s="28"/>
      <c r="K86" s="28"/>
      <c r="L86" s="28"/>
      <c r="M86" s="28"/>
      <c r="N86" s="28"/>
      <c r="O86" s="28"/>
      <c r="P86" s="28"/>
      <c r="Q86" s="28"/>
      <c r="R86" s="28"/>
      <c r="S86" s="28"/>
      <c r="T86" s="28"/>
      <c r="U86" s="28"/>
      <c r="V86" s="28"/>
      <c r="W86" s="28"/>
      <c r="X86" s="28"/>
      <c r="Y86" s="28"/>
      <c r="Z86" s="28"/>
    </row>
    <row r="87" ht="15.75" customHeight="1">
      <c r="A87" s="100" t="s">
        <v>1750</v>
      </c>
      <c r="B87" s="118" t="s">
        <v>2003</v>
      </c>
      <c r="C87" s="100" t="s">
        <v>2004</v>
      </c>
      <c r="D87" s="102" t="s">
        <v>2001</v>
      </c>
      <c r="E87" s="102" t="s">
        <v>2002</v>
      </c>
      <c r="F87" s="103">
        <v>0.21</v>
      </c>
      <c r="G87" s="110" t="str">
        <f>VLOOKUP("EVID2.1W",STOCK!$B$2:$Q$3692,3,FALSE)</f>
        <v>Mayor a 5</v>
      </c>
      <c r="H87" s="28"/>
      <c r="I87" s="28"/>
      <c r="J87" s="28"/>
      <c r="K87" s="28"/>
      <c r="L87" s="28"/>
      <c r="M87" s="28"/>
      <c r="N87" s="28"/>
      <c r="O87" s="28"/>
      <c r="P87" s="28"/>
      <c r="Q87" s="28"/>
      <c r="R87" s="28"/>
      <c r="S87" s="28"/>
      <c r="T87" s="28"/>
      <c r="U87" s="28"/>
      <c r="V87" s="28"/>
      <c r="W87" s="28"/>
      <c r="X87" s="28"/>
      <c r="Y87" s="28"/>
      <c r="Z87" s="28"/>
    </row>
    <row r="88" ht="15.75" customHeight="1">
      <c r="A88" s="104" t="s">
        <v>1750</v>
      </c>
      <c r="B88" s="116" t="s">
        <v>2005</v>
      </c>
      <c r="C88" s="104" t="s">
        <v>2006</v>
      </c>
      <c r="D88" s="105" t="s">
        <v>2007</v>
      </c>
      <c r="E88" s="105" t="s">
        <v>2008</v>
      </c>
      <c r="F88" s="106">
        <v>0.21</v>
      </c>
      <c r="G88" s="113" t="str">
        <f>VLOOKUP("EVID3.2",STOCK!$B$2:$Q$3692,3,FALSE)</f>
        <v>Menor a 5</v>
      </c>
      <c r="H88" s="28"/>
      <c r="I88" s="28"/>
      <c r="J88" s="28"/>
      <c r="K88" s="28"/>
      <c r="L88" s="28"/>
      <c r="M88" s="28"/>
      <c r="N88" s="28"/>
      <c r="O88" s="28"/>
      <c r="P88" s="28"/>
      <c r="Q88" s="28"/>
      <c r="R88" s="28"/>
      <c r="S88" s="28"/>
      <c r="T88" s="28"/>
      <c r="U88" s="28"/>
      <c r="V88" s="28"/>
      <c r="W88" s="28"/>
      <c r="X88" s="28"/>
      <c r="Y88" s="28"/>
      <c r="Z88" s="28"/>
    </row>
    <row r="89" ht="15.75" customHeight="1">
      <c r="A89" s="100" t="s">
        <v>1750</v>
      </c>
      <c r="B89" s="118" t="s">
        <v>2009</v>
      </c>
      <c r="C89" s="100" t="s">
        <v>2010</v>
      </c>
      <c r="D89" s="102" t="s">
        <v>2007</v>
      </c>
      <c r="E89" s="102" t="s">
        <v>2008</v>
      </c>
      <c r="F89" s="103">
        <v>0.21</v>
      </c>
      <c r="G89" s="122" t="str">
        <f>VLOOKUP("EVID3.2W",STOCK!$B$2:$Q$3692,3,FALSE)</f>
        <v>Mayor a 5</v>
      </c>
      <c r="H89" s="28"/>
      <c r="I89" s="28"/>
      <c r="J89" s="28"/>
      <c r="K89" s="28"/>
      <c r="L89" s="28"/>
      <c r="M89" s="28"/>
      <c r="N89" s="28"/>
      <c r="O89" s="28"/>
      <c r="P89" s="28"/>
      <c r="Q89" s="28"/>
      <c r="R89" s="28"/>
      <c r="S89" s="28"/>
      <c r="T89" s="28"/>
      <c r="U89" s="28"/>
      <c r="V89" s="28"/>
      <c r="W89" s="28"/>
      <c r="X89" s="28"/>
      <c r="Y89" s="28"/>
      <c r="Z89" s="28"/>
    </row>
    <row r="90" ht="15.75" customHeight="1">
      <c r="A90" s="104" t="s">
        <v>1750</v>
      </c>
      <c r="B90" s="116" t="s">
        <v>2011</v>
      </c>
      <c r="C90" s="104" t="s">
        <v>2012</v>
      </c>
      <c r="D90" s="105" t="s">
        <v>2013</v>
      </c>
      <c r="E90" s="105" t="s">
        <v>2014</v>
      </c>
      <c r="F90" s="106">
        <v>0.21</v>
      </c>
      <c r="G90" s="110" t="str">
        <f>VLOOKUP("EVID3.2T",STOCK!$B$2:$Q$3692,3,FALSE)</f>
        <v>Mayor a 5</v>
      </c>
      <c r="H90" s="28"/>
      <c r="I90" s="28"/>
      <c r="J90" s="28"/>
      <c r="K90" s="28"/>
      <c r="L90" s="28"/>
      <c r="M90" s="28"/>
      <c r="N90" s="28"/>
      <c r="O90" s="28"/>
      <c r="P90" s="28"/>
      <c r="Q90" s="28"/>
      <c r="R90" s="28"/>
      <c r="S90" s="28"/>
      <c r="T90" s="28"/>
      <c r="U90" s="28"/>
      <c r="V90" s="28"/>
      <c r="W90" s="28"/>
      <c r="X90" s="28"/>
      <c r="Y90" s="28"/>
      <c r="Z90" s="28"/>
    </row>
    <row r="91" ht="15.75" customHeight="1">
      <c r="A91" s="100" t="s">
        <v>1750</v>
      </c>
      <c r="B91" s="118" t="s">
        <v>2015</v>
      </c>
      <c r="C91" s="100" t="s">
        <v>2016</v>
      </c>
      <c r="D91" s="102" t="s">
        <v>2013</v>
      </c>
      <c r="E91" s="102" t="s">
        <v>2014</v>
      </c>
      <c r="F91" s="103">
        <v>0.21</v>
      </c>
      <c r="G91" s="110" t="str">
        <f>VLOOKUP("EVID3.2TW",STOCK!$B$2:$Q$3692,3,FALSE)</f>
        <v>Mayor a 5</v>
      </c>
      <c r="H91" s="28"/>
      <c r="I91" s="28"/>
      <c r="J91" s="28"/>
      <c r="K91" s="28"/>
      <c r="L91" s="28"/>
      <c r="M91" s="28"/>
      <c r="N91" s="28"/>
      <c r="O91" s="28"/>
      <c r="P91" s="28"/>
      <c r="Q91" s="28"/>
      <c r="R91" s="28"/>
      <c r="S91" s="28"/>
      <c r="T91" s="28"/>
      <c r="U91" s="28"/>
      <c r="V91" s="28"/>
      <c r="W91" s="28"/>
      <c r="X91" s="28"/>
      <c r="Y91" s="28"/>
      <c r="Z91" s="28"/>
    </row>
    <row r="92" ht="15.75" customHeight="1">
      <c r="A92" s="104" t="s">
        <v>1750</v>
      </c>
      <c r="B92" s="64" t="s">
        <v>2017</v>
      </c>
      <c r="C92" s="104" t="s">
        <v>1949</v>
      </c>
      <c r="D92" s="105" t="s">
        <v>2018</v>
      </c>
      <c r="E92" s="105" t="s">
        <v>2019</v>
      </c>
      <c r="F92" s="106">
        <v>0.21</v>
      </c>
      <c r="G92" s="110" t="str">
        <f>VLOOKUP("EVID4.2",STOCK!$B$2:$Q$3692,3,FALSE)</f>
        <v>Mayor a 5</v>
      </c>
      <c r="H92" s="28"/>
      <c r="I92" s="28"/>
      <c r="J92" s="28"/>
      <c r="K92" s="28"/>
      <c r="L92" s="28"/>
      <c r="M92" s="28"/>
      <c r="N92" s="28"/>
      <c r="O92" s="28"/>
      <c r="P92" s="28"/>
      <c r="Q92" s="28"/>
      <c r="R92" s="28"/>
      <c r="S92" s="28"/>
      <c r="T92" s="28"/>
      <c r="U92" s="28"/>
      <c r="V92" s="28"/>
      <c r="W92" s="28"/>
      <c r="X92" s="28"/>
      <c r="Y92" s="28"/>
      <c r="Z92" s="28"/>
    </row>
    <row r="93" ht="15.75" customHeight="1">
      <c r="A93" s="100" t="s">
        <v>1750</v>
      </c>
      <c r="B93" s="101" t="s">
        <v>2020</v>
      </c>
      <c r="C93" s="100" t="s">
        <v>1953</v>
      </c>
      <c r="D93" s="102" t="s">
        <v>2018</v>
      </c>
      <c r="E93" s="102" t="s">
        <v>2019</v>
      </c>
      <c r="F93" s="103">
        <v>0.21</v>
      </c>
      <c r="G93" s="110" t="str">
        <f>VLOOKUP("EVID4.2W",STOCK!$B$2:$Q$3692,3,FALSE)</f>
        <v>Mayor a 5</v>
      </c>
      <c r="H93" s="28"/>
      <c r="I93" s="28"/>
      <c r="J93" s="28"/>
      <c r="K93" s="28"/>
      <c r="L93" s="28"/>
      <c r="M93" s="28"/>
      <c r="N93" s="28"/>
      <c r="O93" s="28"/>
      <c r="P93" s="28"/>
      <c r="Q93" s="28"/>
      <c r="R93" s="28"/>
      <c r="S93" s="28"/>
      <c r="T93" s="28"/>
      <c r="U93" s="28"/>
      <c r="V93" s="28"/>
      <c r="W93" s="28"/>
      <c r="X93" s="28"/>
      <c r="Y93" s="28"/>
      <c r="Z93" s="28"/>
    </row>
    <row r="94" ht="15.75" customHeight="1">
      <c r="A94" s="104" t="s">
        <v>1750</v>
      </c>
      <c r="B94" s="64" t="s">
        <v>2021</v>
      </c>
      <c r="C94" s="104" t="s">
        <v>1955</v>
      </c>
      <c r="D94" s="105" t="s">
        <v>2022</v>
      </c>
      <c r="E94" s="105" t="s">
        <v>2023</v>
      </c>
      <c r="F94" s="106">
        <v>0.21</v>
      </c>
      <c r="G94" s="110" t="str">
        <f>VLOOKUP("EVID4.2T",STOCK!$B$2:$Q$3692,3,FALSE)</f>
        <v>Mayor a 5</v>
      </c>
      <c r="H94" s="28"/>
      <c r="I94" s="28"/>
      <c r="J94" s="28"/>
      <c r="K94" s="28"/>
      <c r="L94" s="28"/>
      <c r="M94" s="28"/>
      <c r="N94" s="28"/>
      <c r="O94" s="28"/>
      <c r="P94" s="28"/>
      <c r="Q94" s="28"/>
      <c r="R94" s="28"/>
      <c r="S94" s="28"/>
      <c r="T94" s="28"/>
      <c r="U94" s="28"/>
      <c r="V94" s="28"/>
      <c r="W94" s="28"/>
      <c r="X94" s="28"/>
      <c r="Y94" s="28"/>
      <c r="Z94" s="28"/>
    </row>
    <row r="95" ht="15.75" customHeight="1">
      <c r="A95" s="100" t="s">
        <v>1750</v>
      </c>
      <c r="B95" s="101" t="s">
        <v>2024</v>
      </c>
      <c r="C95" s="41" t="s">
        <v>1959</v>
      </c>
      <c r="D95" s="102" t="s">
        <v>2022</v>
      </c>
      <c r="E95" s="102" t="s">
        <v>2023</v>
      </c>
      <c r="F95" s="103">
        <v>0.21</v>
      </c>
      <c r="G95" s="110" t="str">
        <f>VLOOKUP("EVID4.2TW",STOCK!$B$2:$Q$3692,3,FALSE)</f>
        <v>Mayor a 5</v>
      </c>
      <c r="H95" s="28"/>
      <c r="I95" s="28"/>
      <c r="J95" s="28"/>
      <c r="K95" s="28"/>
      <c r="L95" s="28"/>
      <c r="M95" s="28"/>
      <c r="N95" s="28"/>
      <c r="O95" s="28"/>
      <c r="P95" s="28"/>
      <c r="Q95" s="28"/>
      <c r="R95" s="28"/>
      <c r="S95" s="28"/>
      <c r="T95" s="28"/>
      <c r="U95" s="28"/>
      <c r="V95" s="28"/>
      <c r="W95" s="28"/>
      <c r="X95" s="28"/>
      <c r="Y95" s="28"/>
      <c r="Z95" s="28"/>
    </row>
    <row r="96" ht="15.75" customHeight="1">
      <c r="A96" s="104" t="s">
        <v>1750</v>
      </c>
      <c r="B96" s="64" t="s">
        <v>2025</v>
      </c>
      <c r="C96" s="104" t="s">
        <v>2026</v>
      </c>
      <c r="D96" s="105" t="s">
        <v>2027</v>
      </c>
      <c r="E96" s="105" t="s">
        <v>2028</v>
      </c>
      <c r="F96" s="106">
        <v>0.21</v>
      </c>
      <c r="G96" s="110" t="str">
        <f>VLOOKUP("EVID6.2",STOCK!$B$2:$Q$3692,3,FALSE)</f>
        <v>Mayor a 5</v>
      </c>
      <c r="H96" s="28"/>
      <c r="I96" s="28"/>
      <c r="J96" s="28"/>
      <c r="K96" s="28"/>
      <c r="L96" s="28"/>
      <c r="M96" s="28"/>
      <c r="N96" s="28"/>
      <c r="O96" s="28"/>
      <c r="P96" s="28"/>
      <c r="Q96" s="28"/>
      <c r="R96" s="28"/>
      <c r="S96" s="28"/>
      <c r="T96" s="28"/>
      <c r="U96" s="28"/>
      <c r="V96" s="28"/>
      <c r="W96" s="28"/>
      <c r="X96" s="28"/>
      <c r="Y96" s="28"/>
      <c r="Z96" s="28"/>
    </row>
    <row r="97" ht="15.75" customHeight="1">
      <c r="A97" s="100" t="s">
        <v>1750</v>
      </c>
      <c r="B97" s="101" t="s">
        <v>2029</v>
      </c>
      <c r="C97" s="100" t="s">
        <v>2030</v>
      </c>
      <c r="D97" s="102" t="s">
        <v>2027</v>
      </c>
      <c r="E97" s="102" t="s">
        <v>2028</v>
      </c>
      <c r="F97" s="103">
        <v>0.21</v>
      </c>
      <c r="G97" s="110" t="str">
        <f>VLOOKUP("EVID6.2W",STOCK!$B$2:$Q$3692,3,FALSE)</f>
        <v>Mayor a 5</v>
      </c>
      <c r="H97" s="28"/>
      <c r="I97" s="28"/>
      <c r="J97" s="28"/>
      <c r="K97" s="28"/>
      <c r="L97" s="28"/>
      <c r="M97" s="28"/>
      <c r="N97" s="28"/>
      <c r="O97" s="28"/>
      <c r="P97" s="28"/>
      <c r="Q97" s="28"/>
      <c r="R97" s="28"/>
      <c r="S97" s="28"/>
      <c r="T97" s="28"/>
      <c r="U97" s="28"/>
      <c r="V97" s="28"/>
      <c r="W97" s="28"/>
      <c r="X97" s="28"/>
      <c r="Y97" s="28"/>
      <c r="Z97" s="28"/>
    </row>
    <row r="98" ht="15.75" customHeight="1">
      <c r="A98" s="104" t="s">
        <v>1750</v>
      </c>
      <c r="B98" s="64" t="s">
        <v>2031</v>
      </c>
      <c r="C98" s="104" t="s">
        <v>2032</v>
      </c>
      <c r="D98" s="105" t="s">
        <v>2033</v>
      </c>
      <c r="E98" s="105" t="s">
        <v>2034</v>
      </c>
      <c r="F98" s="106">
        <v>0.21</v>
      </c>
      <c r="G98" s="110" t="str">
        <f>VLOOKUP("EVID6.2T",STOCK!$B$2:$Q$3692,3,FALSE)</f>
        <v>Mayor a 5</v>
      </c>
      <c r="H98" s="28"/>
      <c r="I98" s="28"/>
      <c r="J98" s="28"/>
      <c r="K98" s="28"/>
      <c r="L98" s="28"/>
      <c r="M98" s="28"/>
      <c r="N98" s="28"/>
      <c r="O98" s="28"/>
      <c r="P98" s="28"/>
      <c r="Q98" s="28"/>
      <c r="R98" s="28"/>
      <c r="S98" s="28"/>
      <c r="T98" s="28"/>
      <c r="U98" s="28"/>
      <c r="V98" s="28"/>
      <c r="W98" s="28"/>
      <c r="X98" s="28"/>
      <c r="Y98" s="28"/>
      <c r="Z98" s="28"/>
    </row>
    <row r="99" ht="15.75" customHeight="1">
      <c r="A99" s="100" t="s">
        <v>1750</v>
      </c>
      <c r="B99" s="101" t="s">
        <v>2035</v>
      </c>
      <c r="C99" s="100" t="s">
        <v>2036</v>
      </c>
      <c r="D99" s="102" t="s">
        <v>2033</v>
      </c>
      <c r="E99" s="102" t="s">
        <v>2034</v>
      </c>
      <c r="F99" s="103">
        <v>0.21</v>
      </c>
      <c r="G99" s="110" t="str">
        <f>VLOOKUP("EVID6.2TW",STOCK!$B$2:$Q$3692,3,FALSE)</f>
        <v>Mayor a 5</v>
      </c>
      <c r="H99" s="28"/>
      <c r="I99" s="28"/>
      <c r="J99" s="28"/>
      <c r="K99" s="28"/>
      <c r="L99" s="28"/>
      <c r="M99" s="28"/>
      <c r="N99" s="28"/>
      <c r="O99" s="28"/>
      <c r="P99" s="28"/>
      <c r="Q99" s="28"/>
      <c r="R99" s="28"/>
      <c r="S99" s="28"/>
      <c r="T99" s="28"/>
      <c r="U99" s="28"/>
      <c r="V99" s="28"/>
      <c r="W99" s="28"/>
      <c r="X99" s="28"/>
      <c r="Y99" s="28"/>
      <c r="Z99" s="28"/>
    </row>
    <row r="100" ht="15.75" customHeight="1">
      <c r="A100" s="107" t="s">
        <v>2037</v>
      </c>
      <c r="C100" s="111"/>
      <c r="D100" s="55"/>
      <c r="E100" s="55"/>
      <c r="F100" s="114"/>
      <c r="G100" s="32"/>
      <c r="H100" s="28"/>
      <c r="I100" s="28"/>
      <c r="J100" s="28"/>
      <c r="K100" s="28"/>
      <c r="L100" s="28"/>
      <c r="M100" s="28"/>
      <c r="N100" s="28"/>
      <c r="O100" s="28"/>
      <c r="P100" s="28"/>
      <c r="Q100" s="28"/>
      <c r="R100" s="28"/>
      <c r="S100" s="28"/>
      <c r="T100" s="28"/>
      <c r="U100" s="28"/>
      <c r="V100" s="28"/>
      <c r="W100" s="28"/>
      <c r="X100" s="28"/>
      <c r="Y100" s="28"/>
      <c r="Z100" s="28"/>
    </row>
    <row r="101" ht="15.75" customHeight="1">
      <c r="A101" s="100" t="s">
        <v>1750</v>
      </c>
      <c r="B101" s="101" t="s">
        <v>2038</v>
      </c>
      <c r="C101" s="100" t="s">
        <v>2039</v>
      </c>
      <c r="D101" s="102" t="s">
        <v>2023</v>
      </c>
      <c r="E101" s="102" t="s">
        <v>2040</v>
      </c>
      <c r="F101" s="103">
        <v>0.21</v>
      </c>
      <c r="G101" s="113" t="str">
        <f>VLOOKUP("EVID-P6.2B",STOCK!$B$2:$Q$3692,3,FALSE)</f>
        <v>Menor a 5</v>
      </c>
      <c r="H101" s="28"/>
      <c r="I101" s="28"/>
      <c r="J101" s="28"/>
      <c r="K101" s="28"/>
      <c r="L101" s="28"/>
      <c r="M101" s="28"/>
      <c r="N101" s="28"/>
      <c r="O101" s="28"/>
      <c r="P101" s="28"/>
      <c r="Q101" s="28"/>
      <c r="R101" s="28"/>
      <c r="S101" s="28"/>
      <c r="T101" s="28"/>
      <c r="U101" s="28"/>
      <c r="V101" s="28"/>
      <c r="W101" s="28"/>
      <c r="X101" s="28"/>
      <c r="Y101" s="28"/>
      <c r="Z101" s="28"/>
    </row>
    <row r="102" ht="15.75" customHeight="1">
      <c r="A102" s="104" t="s">
        <v>1750</v>
      </c>
      <c r="B102" s="64" t="s">
        <v>2041</v>
      </c>
      <c r="C102" s="104" t="s">
        <v>2042</v>
      </c>
      <c r="D102" s="105" t="s">
        <v>2023</v>
      </c>
      <c r="E102" s="105" t="s">
        <v>2040</v>
      </c>
      <c r="F102" s="106">
        <v>0.21</v>
      </c>
      <c r="G102" s="109" t="str">
        <f>VLOOKUP("EVID-P6.2W",STOCK!$B$2:$Q$3692,3,FALSE)</f>
        <v>SIN STOCK</v>
      </c>
      <c r="H102" s="28"/>
      <c r="I102" s="28"/>
      <c r="J102" s="28"/>
      <c r="K102" s="28"/>
      <c r="L102" s="28"/>
      <c r="M102" s="28"/>
      <c r="N102" s="28"/>
      <c r="O102" s="28"/>
      <c r="P102" s="28"/>
      <c r="Q102" s="28"/>
      <c r="R102" s="28"/>
      <c r="S102" s="28"/>
      <c r="T102" s="28"/>
      <c r="U102" s="28"/>
      <c r="V102" s="28"/>
      <c r="W102" s="28"/>
      <c r="X102" s="28"/>
      <c r="Y102" s="28"/>
      <c r="Z102" s="28"/>
    </row>
    <row r="103" ht="15.75" customHeight="1">
      <c r="A103" s="100" t="s">
        <v>1750</v>
      </c>
      <c r="B103" s="118" t="s">
        <v>2043</v>
      </c>
      <c r="C103" s="100" t="s">
        <v>2044</v>
      </c>
      <c r="D103" s="102" t="s">
        <v>2045</v>
      </c>
      <c r="E103" s="102" t="s">
        <v>2046</v>
      </c>
      <c r="F103" s="103">
        <v>0.21</v>
      </c>
      <c r="G103" s="109" t="str">
        <f>IFERROR(VLOOKUP("EVID-40C",STOCK!$B$1:$Q$5647,3,FALSE),"SIN STOCK")</f>
        <v>SIN STOCK</v>
      </c>
      <c r="H103" s="28"/>
      <c r="I103" s="28"/>
      <c r="J103" s="28"/>
      <c r="K103" s="28"/>
      <c r="L103" s="28"/>
      <c r="M103" s="28"/>
      <c r="N103" s="28"/>
      <c r="O103" s="28"/>
      <c r="P103" s="28"/>
      <c r="Q103" s="28"/>
      <c r="R103" s="28"/>
      <c r="S103" s="28"/>
      <c r="T103" s="28"/>
      <c r="U103" s="28"/>
      <c r="V103" s="28"/>
      <c r="W103" s="28"/>
      <c r="X103" s="28"/>
      <c r="Y103" s="28"/>
      <c r="Z103" s="28"/>
    </row>
    <row r="104" ht="15.75" customHeight="1">
      <c r="A104" s="104" t="s">
        <v>1750</v>
      </c>
      <c r="B104" s="116" t="s">
        <v>2047</v>
      </c>
      <c r="C104" s="104" t="s">
        <v>2048</v>
      </c>
      <c r="D104" s="105" t="s">
        <v>2049</v>
      </c>
      <c r="E104" s="105" t="s">
        <v>2050</v>
      </c>
      <c r="F104" s="106">
        <v>0.21</v>
      </c>
      <c r="G104" s="110" t="str">
        <f>VLOOKUP("EVID-C2.1",STOCK!$B$2:$Q$3692,3,FALSE)</f>
        <v>Mayor a 5</v>
      </c>
      <c r="I104" s="28"/>
      <c r="J104" s="28"/>
      <c r="K104" s="28"/>
      <c r="L104" s="28"/>
      <c r="M104" s="28"/>
      <c r="N104" s="28"/>
      <c r="O104" s="28"/>
      <c r="P104" s="28"/>
      <c r="Q104" s="28"/>
      <c r="R104" s="28"/>
      <c r="S104" s="28"/>
      <c r="T104" s="28"/>
      <c r="U104" s="28"/>
      <c r="V104" s="28"/>
      <c r="W104" s="28"/>
      <c r="X104" s="28"/>
      <c r="Y104" s="28"/>
      <c r="Z104" s="28"/>
    </row>
    <row r="105" ht="15.75" customHeight="1">
      <c r="A105" s="100" t="s">
        <v>1750</v>
      </c>
      <c r="B105" s="101" t="s">
        <v>2051</v>
      </c>
      <c r="C105" s="100" t="s">
        <v>2052</v>
      </c>
      <c r="D105" s="102" t="s">
        <v>2053</v>
      </c>
      <c r="E105" s="102" t="s">
        <v>1479</v>
      </c>
      <c r="F105" s="103">
        <v>0.21</v>
      </c>
      <c r="G105" s="110" t="str">
        <f>VLOOKUP("EVIDC4.2",STOCK!$B$2:$Q$3692,3,FALSE)</f>
        <v>Mayor a 5</v>
      </c>
      <c r="H105" s="28"/>
      <c r="I105" s="28"/>
      <c r="J105" s="28"/>
      <c r="K105" s="28"/>
      <c r="L105" s="28"/>
      <c r="M105" s="28"/>
      <c r="N105" s="28"/>
      <c r="O105" s="28"/>
      <c r="P105" s="28"/>
      <c r="Q105" s="28"/>
      <c r="R105" s="28"/>
      <c r="S105" s="28"/>
      <c r="T105" s="28"/>
      <c r="U105" s="28"/>
      <c r="V105" s="28"/>
      <c r="W105" s="28"/>
      <c r="X105" s="28"/>
      <c r="Y105" s="28"/>
      <c r="Z105" s="28"/>
    </row>
    <row r="106" ht="15.75" customHeight="1">
      <c r="A106" s="104" t="s">
        <v>1750</v>
      </c>
      <c r="B106" s="48" t="s">
        <v>2054</v>
      </c>
      <c r="C106" s="47" t="s">
        <v>2055</v>
      </c>
      <c r="D106" s="105" t="s">
        <v>2056</v>
      </c>
      <c r="E106" s="105" t="s">
        <v>2057</v>
      </c>
      <c r="F106" s="106">
        <v>0.21</v>
      </c>
      <c r="G106" s="113" t="str">
        <f>VLOOKUP("EVIDC6.2",STOCK!$B$2:$Q$3692,3,FALSE)</f>
        <v>Menor a 5</v>
      </c>
      <c r="H106" s="28"/>
      <c r="I106" s="28"/>
      <c r="J106" s="28"/>
      <c r="K106" s="28"/>
      <c r="L106" s="28"/>
      <c r="M106" s="28"/>
      <c r="N106" s="28"/>
      <c r="O106" s="28"/>
      <c r="P106" s="28"/>
      <c r="Q106" s="28"/>
      <c r="R106" s="28"/>
      <c r="S106" s="28"/>
      <c r="T106" s="28"/>
      <c r="U106" s="28"/>
      <c r="V106" s="28"/>
      <c r="W106" s="28"/>
      <c r="X106" s="28"/>
      <c r="Y106" s="28"/>
      <c r="Z106" s="28"/>
    </row>
    <row r="107" ht="15.75" customHeight="1">
      <c r="A107" s="100" t="s">
        <v>1750</v>
      </c>
      <c r="B107" s="101" t="s">
        <v>2058</v>
      </c>
      <c r="C107" s="41" t="s">
        <v>2059</v>
      </c>
      <c r="D107" s="102" t="s">
        <v>2060</v>
      </c>
      <c r="E107" s="102" t="s">
        <v>2061</v>
      </c>
      <c r="F107" s="103">
        <v>0.21</v>
      </c>
      <c r="G107" s="110" t="str">
        <f>VLOOKUP("EVIDC8.2",STOCK!$B$2:$Q$3692,3,FALSE)</f>
        <v>Mayor a 5</v>
      </c>
      <c r="H107" s="28"/>
      <c r="I107" s="28"/>
      <c r="J107" s="28"/>
      <c r="K107" s="28"/>
      <c r="L107" s="28"/>
      <c r="M107" s="28"/>
      <c r="N107" s="28"/>
      <c r="O107" s="28"/>
      <c r="P107" s="28"/>
      <c r="Q107" s="28"/>
      <c r="R107" s="28"/>
      <c r="S107" s="28"/>
      <c r="T107" s="28"/>
      <c r="U107" s="28"/>
      <c r="V107" s="28"/>
      <c r="W107" s="28"/>
      <c r="X107" s="28"/>
      <c r="Y107" s="28"/>
      <c r="Z107" s="28"/>
    </row>
    <row r="108" ht="15.75" customHeight="1">
      <c r="A108" s="104" t="s">
        <v>1750</v>
      </c>
      <c r="B108" s="64" t="s">
        <v>2062</v>
      </c>
      <c r="C108" s="104" t="s">
        <v>2063</v>
      </c>
      <c r="D108" s="105" t="s">
        <v>2060</v>
      </c>
      <c r="E108" s="105" t="s">
        <v>2061</v>
      </c>
      <c r="F108" s="106">
        <v>0.21</v>
      </c>
      <c r="G108" s="113" t="str">
        <f>VLOOKUP("FM4.2",STOCK!$B$2:$Q$3692,3,FALSE)</f>
        <v>Menor a 5</v>
      </c>
      <c r="H108" s="28"/>
      <c r="I108" s="28"/>
      <c r="J108" s="28"/>
      <c r="K108" s="28"/>
      <c r="L108" s="28"/>
      <c r="M108" s="28"/>
      <c r="N108" s="28"/>
      <c r="O108" s="28"/>
      <c r="P108" s="28"/>
      <c r="Q108" s="28"/>
      <c r="R108" s="28"/>
      <c r="S108" s="28"/>
      <c r="T108" s="28"/>
      <c r="U108" s="28"/>
      <c r="V108" s="28"/>
      <c r="W108" s="28"/>
      <c r="X108" s="28"/>
      <c r="Y108" s="28"/>
      <c r="Z108" s="28"/>
    </row>
    <row r="109" ht="15.75" customHeight="1">
      <c r="A109" s="100" t="s">
        <v>1750</v>
      </c>
      <c r="B109" s="101" t="s">
        <v>2064</v>
      </c>
      <c r="C109" s="100" t="s">
        <v>2065</v>
      </c>
      <c r="D109" s="102" t="s">
        <v>2066</v>
      </c>
      <c r="E109" s="102" t="s">
        <v>2067</v>
      </c>
      <c r="F109" s="103">
        <v>0.21</v>
      </c>
      <c r="G109" s="113" t="str">
        <f>VLOOKUP("FM6.2",STOCK!$B$2:$Q$3692,3,FALSE)</f>
        <v>Menor a 5</v>
      </c>
      <c r="H109" s="28"/>
      <c r="I109" s="28"/>
      <c r="J109" s="28"/>
      <c r="K109" s="28"/>
      <c r="L109" s="28"/>
      <c r="M109" s="28"/>
      <c r="N109" s="28"/>
      <c r="O109" s="28"/>
      <c r="P109" s="28"/>
      <c r="Q109" s="28"/>
      <c r="R109" s="28"/>
      <c r="S109" s="28"/>
      <c r="T109" s="28"/>
      <c r="U109" s="28"/>
      <c r="V109" s="28"/>
      <c r="W109" s="28"/>
      <c r="X109" s="28"/>
      <c r="Y109" s="28"/>
      <c r="Z109" s="28"/>
    </row>
    <row r="110" ht="15.75" customHeight="1">
      <c r="A110" s="104" t="s">
        <v>2068</v>
      </c>
      <c r="B110" s="64" t="s">
        <v>2069</v>
      </c>
      <c r="C110" s="123" t="s">
        <v>2070</v>
      </c>
      <c r="D110" s="105" t="s">
        <v>2071</v>
      </c>
      <c r="E110" s="105" t="s">
        <v>2072</v>
      </c>
      <c r="F110" s="106">
        <v>0.21</v>
      </c>
      <c r="G110" s="110" t="str">
        <f>VLOOKUP("LHM0606/10",STOCK!$B$2:$Q$3692,3,FALSE)</f>
        <v>Mayor a 5</v>
      </c>
      <c r="H110" s="28"/>
      <c r="I110" s="28"/>
      <c r="J110" s="28"/>
      <c r="K110" s="28"/>
      <c r="L110" s="28"/>
      <c r="M110" s="28"/>
      <c r="N110" s="28"/>
      <c r="O110" s="28"/>
      <c r="P110" s="28"/>
      <c r="Q110" s="28"/>
      <c r="R110" s="28"/>
      <c r="S110" s="28"/>
      <c r="T110" s="28"/>
      <c r="U110" s="28"/>
      <c r="V110" s="28"/>
      <c r="W110" s="28"/>
      <c r="X110" s="28"/>
      <c r="Y110" s="28"/>
      <c r="Z110" s="28"/>
    </row>
    <row r="111" ht="15.75" customHeight="1">
      <c r="A111" s="96" t="s">
        <v>2073</v>
      </c>
      <c r="B111" s="120"/>
      <c r="C111" s="120"/>
      <c r="D111" s="98"/>
      <c r="E111" s="98"/>
      <c r="F111" s="121"/>
      <c r="G111" s="99"/>
      <c r="H111" s="28"/>
      <c r="I111" s="28"/>
      <c r="J111" s="28"/>
      <c r="K111" s="28"/>
      <c r="L111" s="28"/>
      <c r="M111" s="28"/>
      <c r="N111" s="28"/>
      <c r="O111" s="28"/>
      <c r="P111" s="28"/>
      <c r="Q111" s="28"/>
      <c r="R111" s="28"/>
      <c r="S111" s="28"/>
      <c r="T111" s="28"/>
      <c r="U111" s="28"/>
      <c r="V111" s="28"/>
      <c r="W111" s="28"/>
      <c r="X111" s="28"/>
      <c r="Y111" s="28"/>
      <c r="Z111" s="28"/>
    </row>
    <row r="112" ht="15.75" customHeight="1">
      <c r="A112" s="107" t="s">
        <v>2074</v>
      </c>
      <c r="C112" s="108"/>
      <c r="D112" s="55"/>
      <c r="E112" s="55"/>
      <c r="F112" s="114"/>
      <c r="G112" s="32"/>
      <c r="H112" s="28"/>
      <c r="I112" s="28"/>
      <c r="J112" s="28"/>
      <c r="K112" s="28"/>
      <c r="L112" s="28"/>
      <c r="M112" s="28"/>
      <c r="N112" s="28"/>
      <c r="O112" s="28"/>
      <c r="P112" s="28"/>
      <c r="Q112" s="28"/>
      <c r="R112" s="28"/>
      <c r="S112" s="28"/>
      <c r="T112" s="28"/>
      <c r="U112" s="28"/>
      <c r="V112" s="28"/>
      <c r="W112" s="28"/>
      <c r="X112" s="28"/>
      <c r="Y112" s="28"/>
      <c r="Z112" s="28"/>
    </row>
    <row r="113" ht="15.75" customHeight="1">
      <c r="A113" s="100" t="s">
        <v>2075</v>
      </c>
      <c r="B113" s="101" t="s">
        <v>2076</v>
      </c>
      <c r="C113" s="100" t="s">
        <v>2077</v>
      </c>
      <c r="D113" s="102" t="s">
        <v>2078</v>
      </c>
      <c r="E113" s="102" t="s">
        <v>2079</v>
      </c>
      <c r="F113" s="103">
        <v>0.21</v>
      </c>
      <c r="G113" s="110" t="str">
        <f>VLOOKUP("C1300FDi-EU",STOCK!$B$2:$Q$3692,3,FALSE)</f>
        <v>Mayor a 5</v>
      </c>
      <c r="H113" s="28"/>
      <c r="I113" s="28"/>
      <c r="J113" s="28"/>
      <c r="K113" s="28"/>
      <c r="L113" s="28"/>
      <c r="M113" s="28"/>
      <c r="N113" s="28"/>
      <c r="O113" s="28"/>
      <c r="P113" s="28"/>
      <c r="Q113" s="28"/>
      <c r="R113" s="28"/>
      <c r="S113" s="28"/>
      <c r="T113" s="28"/>
      <c r="U113" s="28"/>
      <c r="V113" s="28"/>
      <c r="W113" s="28"/>
      <c r="X113" s="28"/>
      <c r="Y113" s="28"/>
      <c r="Z113" s="28"/>
    </row>
    <row r="114" ht="15.75" customHeight="1">
      <c r="A114" s="104" t="s">
        <v>2075</v>
      </c>
      <c r="B114" s="64" t="s">
        <v>2080</v>
      </c>
      <c r="C114" s="47" t="s">
        <v>2081</v>
      </c>
      <c r="D114" s="105" t="s">
        <v>2082</v>
      </c>
      <c r="E114" s="105" t="s">
        <v>2083</v>
      </c>
      <c r="F114" s="106">
        <v>0.21</v>
      </c>
      <c r="G114" s="110" t="str">
        <f>VLOOKUP("C1800FDi-EU",STOCK!$B$2:$Q$3692,3,FALSE)</f>
        <v>Mayor a 5</v>
      </c>
      <c r="H114" s="28"/>
      <c r="I114" s="28"/>
      <c r="J114" s="28"/>
      <c r="K114" s="28"/>
      <c r="L114" s="28"/>
      <c r="M114" s="28"/>
      <c r="N114" s="28"/>
      <c r="O114" s="28"/>
      <c r="P114" s="28"/>
      <c r="Q114" s="28"/>
      <c r="R114" s="28"/>
      <c r="S114" s="28"/>
      <c r="T114" s="28"/>
      <c r="U114" s="28"/>
      <c r="V114" s="28"/>
      <c r="W114" s="28"/>
      <c r="X114" s="28"/>
      <c r="Y114" s="28"/>
      <c r="Z114" s="28"/>
    </row>
    <row r="115" ht="15.75" customHeight="1">
      <c r="A115" s="100" t="s">
        <v>2075</v>
      </c>
      <c r="B115" s="101" t="s">
        <v>2084</v>
      </c>
      <c r="C115" s="100" t="s">
        <v>2085</v>
      </c>
      <c r="D115" s="102" t="s">
        <v>2086</v>
      </c>
      <c r="E115" s="102" t="s">
        <v>2087</v>
      </c>
      <c r="F115" s="103">
        <v>0.21</v>
      </c>
      <c r="G115" s="110" t="str">
        <f>VLOOKUP("C1800FDi-EU",STOCK!$B$2:$Q$3692,3,FALSE)</f>
        <v>Mayor a 5</v>
      </c>
      <c r="H115" s="28"/>
      <c r="I115" s="28"/>
      <c r="J115" s="28"/>
      <c r="K115" s="28"/>
      <c r="L115" s="28"/>
      <c r="M115" s="28"/>
      <c r="N115" s="28"/>
      <c r="O115" s="28"/>
      <c r="P115" s="28"/>
      <c r="Q115" s="28"/>
      <c r="R115" s="28"/>
      <c r="S115" s="28"/>
      <c r="T115" s="28"/>
      <c r="U115" s="28"/>
      <c r="V115" s="28"/>
      <c r="W115" s="28"/>
      <c r="X115" s="28"/>
      <c r="Y115" s="28"/>
      <c r="Z115" s="28"/>
    </row>
    <row r="116" ht="15.75" customHeight="1">
      <c r="A116" s="104" t="s">
        <v>2075</v>
      </c>
      <c r="B116" s="48" t="s">
        <v>2088</v>
      </c>
      <c r="C116" s="47" t="s">
        <v>2089</v>
      </c>
      <c r="D116" s="105" t="s">
        <v>2090</v>
      </c>
      <c r="E116" s="105" t="s">
        <v>2091</v>
      </c>
      <c r="F116" s="106">
        <v>0.21</v>
      </c>
      <c r="G116" s="113" t="str">
        <f>VLOOKUP("C3600FDi-EU",STOCK!$B$2:$Q$3692,3,FALSE)</f>
        <v>Menor a 5</v>
      </c>
      <c r="H116" s="28"/>
      <c r="I116" s="28"/>
      <c r="J116" s="28"/>
      <c r="K116" s="28"/>
      <c r="L116" s="28"/>
      <c r="M116" s="28"/>
      <c r="N116" s="28"/>
      <c r="O116" s="28"/>
      <c r="P116" s="28"/>
      <c r="Q116" s="28"/>
      <c r="R116" s="28"/>
      <c r="S116" s="28"/>
      <c r="T116" s="28"/>
      <c r="U116" s="28"/>
      <c r="V116" s="28"/>
      <c r="W116" s="28"/>
      <c r="X116" s="28"/>
      <c r="Y116" s="28"/>
      <c r="Z116" s="28"/>
    </row>
    <row r="117" ht="15.75" customHeight="1">
      <c r="A117" s="107" t="s">
        <v>2092</v>
      </c>
      <c r="C117" s="108"/>
      <c r="D117" s="55"/>
      <c r="E117" s="55"/>
      <c r="F117" s="55"/>
      <c r="G117" s="32"/>
      <c r="H117" s="28"/>
      <c r="I117" s="28"/>
      <c r="J117" s="28"/>
      <c r="K117" s="28"/>
      <c r="L117" s="28"/>
      <c r="M117" s="28"/>
      <c r="N117" s="28"/>
      <c r="O117" s="28"/>
      <c r="P117" s="28"/>
      <c r="Q117" s="28"/>
      <c r="R117" s="28"/>
      <c r="S117" s="28"/>
      <c r="T117" s="28"/>
      <c r="U117" s="28"/>
      <c r="V117" s="28"/>
      <c r="W117" s="28"/>
      <c r="X117" s="28"/>
      <c r="Y117" s="28"/>
      <c r="Z117" s="28"/>
    </row>
    <row r="118" ht="15.75" customHeight="1">
      <c r="A118" s="100" t="s">
        <v>1750</v>
      </c>
      <c r="B118" s="118" t="s">
        <v>2093</v>
      </c>
      <c r="C118" s="100" t="s">
        <v>2094</v>
      </c>
      <c r="D118" s="102" t="s">
        <v>2095</v>
      </c>
      <c r="E118" s="102" t="s">
        <v>2095</v>
      </c>
      <c r="F118" s="103">
        <v>0.21</v>
      </c>
      <c r="G118" s="113" t="str">
        <f>VLOOKUP("Q1212",STOCK!$B$2:$Q$3692,3,FALSE)</f>
        <v>Menor a 5</v>
      </c>
      <c r="H118" s="28"/>
      <c r="I118" s="28"/>
      <c r="J118" s="28"/>
      <c r="K118" s="28"/>
      <c r="L118" s="28"/>
      <c r="M118" s="28"/>
      <c r="N118" s="28"/>
      <c r="O118" s="28"/>
      <c r="P118" s="28"/>
      <c r="Q118" s="28"/>
      <c r="R118" s="28"/>
      <c r="S118" s="28"/>
      <c r="T118" s="28"/>
      <c r="U118" s="28"/>
      <c r="V118" s="28"/>
      <c r="W118" s="28"/>
      <c r="X118" s="28"/>
      <c r="Y118" s="28"/>
      <c r="Z118" s="28"/>
    </row>
    <row r="119" ht="15.75" customHeight="1">
      <c r="A119" s="107" t="s">
        <v>2096</v>
      </c>
      <c r="C119" s="111"/>
      <c r="D119" s="55"/>
      <c r="E119" s="55"/>
      <c r="F119" s="114"/>
      <c r="G119" s="32"/>
      <c r="H119" s="28"/>
      <c r="I119" s="28"/>
      <c r="J119" s="28"/>
      <c r="K119" s="28"/>
      <c r="L119" s="28"/>
      <c r="M119" s="28"/>
      <c r="N119" s="28"/>
      <c r="O119" s="28"/>
      <c r="P119" s="28"/>
      <c r="Q119" s="28"/>
      <c r="R119" s="28"/>
      <c r="S119" s="28"/>
      <c r="T119" s="28"/>
      <c r="U119" s="28"/>
      <c r="V119" s="28"/>
      <c r="W119" s="28"/>
      <c r="X119" s="28"/>
      <c r="Y119" s="28"/>
      <c r="Z119" s="28"/>
    </row>
    <row r="120" ht="15.75" customHeight="1">
      <c r="A120" s="100" t="s">
        <v>2075</v>
      </c>
      <c r="B120" s="101" t="s">
        <v>2097</v>
      </c>
      <c r="C120" s="100" t="s">
        <v>2098</v>
      </c>
      <c r="D120" s="102" t="s">
        <v>2099</v>
      </c>
      <c r="E120" s="102" t="s">
        <v>2100</v>
      </c>
      <c r="F120" s="103">
        <v>0.21</v>
      </c>
      <c r="G120" s="113" t="str">
        <f>VLOOKUP("Q1212",STOCK!$B$2:$Q$3692,3,FALSE)</f>
        <v>Menor a 5</v>
      </c>
      <c r="H120" s="28"/>
      <c r="I120" s="28"/>
      <c r="J120" s="28"/>
      <c r="K120" s="28"/>
      <c r="L120" s="28"/>
      <c r="M120" s="28"/>
      <c r="N120" s="28"/>
      <c r="O120" s="28"/>
      <c r="P120" s="28"/>
      <c r="Q120" s="28"/>
      <c r="R120" s="28"/>
      <c r="S120" s="28"/>
      <c r="T120" s="28"/>
      <c r="U120" s="28"/>
      <c r="V120" s="28"/>
      <c r="W120" s="28"/>
      <c r="X120" s="28"/>
      <c r="Y120" s="28"/>
      <c r="Z120" s="28"/>
    </row>
    <row r="121" ht="15.75" customHeight="1">
      <c r="A121" s="96" t="s">
        <v>2101</v>
      </c>
      <c r="B121" s="120"/>
      <c r="C121" s="120"/>
      <c r="D121" s="98"/>
      <c r="E121" s="98"/>
      <c r="F121" s="121"/>
      <c r="G121" s="99"/>
      <c r="H121" s="28"/>
      <c r="I121" s="28"/>
      <c r="J121" s="28"/>
      <c r="K121" s="28"/>
      <c r="L121" s="28"/>
      <c r="M121" s="28"/>
      <c r="N121" s="28"/>
      <c r="O121" s="28"/>
      <c r="P121" s="28"/>
      <c r="Q121" s="28"/>
      <c r="R121" s="28"/>
      <c r="S121" s="28"/>
      <c r="T121" s="28"/>
      <c r="U121" s="28"/>
      <c r="V121" s="28"/>
      <c r="W121" s="28"/>
      <c r="X121" s="28"/>
      <c r="Y121" s="28"/>
      <c r="Z121" s="28"/>
    </row>
    <row r="122" ht="15.75" customHeight="1">
      <c r="A122" s="107" t="s">
        <v>2102</v>
      </c>
      <c r="C122" s="111"/>
      <c r="D122" s="55"/>
      <c r="E122" s="55"/>
      <c r="F122" s="114"/>
      <c r="G122" s="32"/>
      <c r="H122" s="28"/>
      <c r="I122" s="28"/>
      <c r="J122" s="28"/>
      <c r="K122" s="28"/>
      <c r="L122" s="28"/>
      <c r="M122" s="28"/>
      <c r="N122" s="28"/>
      <c r="O122" s="28"/>
      <c r="P122" s="28"/>
      <c r="Q122" s="28"/>
      <c r="R122" s="28"/>
      <c r="S122" s="28"/>
      <c r="T122" s="28"/>
      <c r="U122" s="28"/>
      <c r="V122" s="28"/>
      <c r="W122" s="28"/>
      <c r="X122" s="28"/>
      <c r="Y122" s="28"/>
      <c r="Z122" s="28"/>
    </row>
    <row r="123" ht="15.75" customHeight="1">
      <c r="A123" s="100" t="s">
        <v>1750</v>
      </c>
      <c r="B123" s="101" t="s">
        <v>2103</v>
      </c>
      <c r="C123" s="100" t="s">
        <v>2104</v>
      </c>
      <c r="D123" s="102" t="s">
        <v>2105</v>
      </c>
      <c r="E123" s="102" t="s">
        <v>2106</v>
      </c>
      <c r="F123" s="103">
        <v>0.21</v>
      </c>
      <c r="G123" s="110" t="str">
        <f>VLOOKUP("ND76",STOCK!$B$2:$Q$3692,3,FALSE)</f>
        <v>Mayor a 5</v>
      </c>
      <c r="H123" s="28"/>
      <c r="I123" s="28"/>
      <c r="J123" s="28"/>
      <c r="K123" s="28"/>
      <c r="L123" s="28"/>
      <c r="M123" s="28"/>
      <c r="N123" s="28"/>
      <c r="O123" s="28"/>
      <c r="P123" s="28"/>
      <c r="Q123" s="28"/>
      <c r="R123" s="28"/>
      <c r="S123" s="28"/>
      <c r="T123" s="28"/>
      <c r="U123" s="28"/>
      <c r="V123" s="28"/>
      <c r="W123" s="28"/>
      <c r="X123" s="28"/>
      <c r="Y123" s="28"/>
      <c r="Z123" s="28"/>
    </row>
    <row r="124" ht="15.75" customHeight="1">
      <c r="A124" s="104" t="s">
        <v>1750</v>
      </c>
      <c r="B124" s="64" t="s">
        <v>2107</v>
      </c>
      <c r="C124" s="104" t="s">
        <v>2108</v>
      </c>
      <c r="D124" s="105" t="s">
        <v>2109</v>
      </c>
      <c r="E124" s="105" t="s">
        <v>2110</v>
      </c>
      <c r="F124" s="106">
        <v>0.21</v>
      </c>
      <c r="G124" s="113" t="str">
        <f>VLOOKUP("ND76S",STOCK!$B$2:$Q$3692,3,FALSE)</f>
        <v>Menor a 5</v>
      </c>
      <c r="H124" s="28"/>
      <c r="I124" s="28"/>
      <c r="J124" s="28"/>
      <c r="K124" s="28"/>
      <c r="L124" s="28"/>
      <c r="M124" s="28"/>
      <c r="N124" s="28"/>
      <c r="O124" s="28"/>
      <c r="P124" s="28"/>
      <c r="Q124" s="28"/>
      <c r="R124" s="28"/>
      <c r="S124" s="28"/>
      <c r="T124" s="28"/>
      <c r="U124" s="28"/>
      <c r="V124" s="28"/>
      <c r="W124" s="28"/>
      <c r="X124" s="28"/>
      <c r="Y124" s="28"/>
      <c r="Z124" s="28"/>
    </row>
    <row r="125" ht="15.75" customHeight="1">
      <c r="A125" s="100" t="s">
        <v>1750</v>
      </c>
      <c r="B125" s="101" t="s">
        <v>2111</v>
      </c>
      <c r="C125" s="100" t="s">
        <v>2112</v>
      </c>
      <c r="D125" s="102" t="s">
        <v>2113</v>
      </c>
      <c r="E125" s="102" t="s">
        <v>2114</v>
      </c>
      <c r="F125" s="103">
        <v>0.21</v>
      </c>
      <c r="G125" s="109" t="str">
        <f>VLOOKUP("ND86",STOCK!$B$2:$Q$3692,3,FALSE)</f>
        <v>SIN STOCK</v>
      </c>
      <c r="H125" s="28"/>
      <c r="I125" s="28"/>
      <c r="J125" s="28"/>
      <c r="K125" s="28"/>
      <c r="L125" s="28"/>
      <c r="M125" s="28"/>
      <c r="N125" s="28"/>
      <c r="O125" s="28"/>
      <c r="P125" s="28"/>
      <c r="Q125" s="28"/>
      <c r="R125" s="28"/>
      <c r="S125" s="28"/>
      <c r="T125" s="28"/>
      <c r="U125" s="28"/>
      <c r="V125" s="28"/>
      <c r="W125" s="28"/>
      <c r="X125" s="28"/>
      <c r="Y125" s="28"/>
      <c r="Z125" s="28"/>
    </row>
    <row r="126" ht="15.75" customHeight="1">
      <c r="A126" s="104" t="s">
        <v>1750</v>
      </c>
      <c r="B126" s="64" t="s">
        <v>2115</v>
      </c>
      <c r="C126" s="47" t="s">
        <v>2116</v>
      </c>
      <c r="D126" s="105" t="s">
        <v>2117</v>
      </c>
      <c r="E126" s="105" t="s">
        <v>2118</v>
      </c>
      <c r="F126" s="106">
        <v>0.21</v>
      </c>
      <c r="G126" s="113" t="str">
        <f>VLOOKUP("ND96",STOCK!$B$2:$Q$3692,3,FALSE)</f>
        <v>Menor a 5</v>
      </c>
      <c r="H126" s="28"/>
      <c r="I126" s="28"/>
      <c r="J126" s="28"/>
      <c r="K126" s="28"/>
      <c r="L126" s="28"/>
      <c r="M126" s="28"/>
      <c r="N126" s="28"/>
      <c r="O126" s="28"/>
      <c r="P126" s="28"/>
      <c r="Q126" s="28"/>
      <c r="R126" s="28"/>
      <c r="S126" s="28"/>
      <c r="T126" s="28"/>
      <c r="U126" s="28"/>
      <c r="V126" s="28"/>
      <c r="W126" s="28"/>
      <c r="X126" s="28"/>
      <c r="Y126" s="28"/>
      <c r="Z126" s="28"/>
    </row>
    <row r="127" ht="15.75" customHeight="1">
      <c r="A127" s="100" t="s">
        <v>1750</v>
      </c>
      <c r="B127" s="101" t="s">
        <v>2119</v>
      </c>
      <c r="C127" s="100" t="s">
        <v>2120</v>
      </c>
      <c r="D127" s="102" t="s">
        <v>2105</v>
      </c>
      <c r="E127" s="102" t="s">
        <v>2106</v>
      </c>
      <c r="F127" s="103">
        <v>0.21</v>
      </c>
      <c r="G127" s="113" t="str">
        <f>VLOOKUP("ND44",STOCK!$B$2:$Q$3692,3,FALSE)</f>
        <v>Menor a 5</v>
      </c>
      <c r="H127" s="28"/>
      <c r="I127" s="28"/>
      <c r="J127" s="28"/>
      <c r="K127" s="28"/>
      <c r="L127" s="28"/>
      <c r="M127" s="28"/>
      <c r="N127" s="28"/>
      <c r="O127" s="28"/>
      <c r="P127" s="28"/>
      <c r="Q127" s="28"/>
      <c r="R127" s="28"/>
      <c r="S127" s="28"/>
      <c r="T127" s="28"/>
      <c r="U127" s="28"/>
      <c r="V127" s="28"/>
      <c r="W127" s="28"/>
      <c r="X127" s="28"/>
      <c r="Y127" s="28"/>
      <c r="Z127" s="28"/>
    </row>
    <row r="128" ht="15.75" customHeight="1">
      <c r="A128" s="104" t="s">
        <v>1750</v>
      </c>
      <c r="B128" s="64" t="s">
        <v>2121</v>
      </c>
      <c r="C128" s="104" t="s">
        <v>2122</v>
      </c>
      <c r="D128" s="105" t="s">
        <v>2113</v>
      </c>
      <c r="E128" s="105" t="s">
        <v>2114</v>
      </c>
      <c r="F128" s="106">
        <v>0.21</v>
      </c>
      <c r="G128" s="113" t="str">
        <f>VLOOKUP("ND46",STOCK!$B$2:$Q$3692,3,FALSE)</f>
        <v>Menor a 5</v>
      </c>
      <c r="H128" s="28"/>
      <c r="I128" s="28"/>
      <c r="J128" s="28"/>
      <c r="K128" s="28"/>
      <c r="L128" s="28"/>
      <c r="M128" s="28"/>
      <c r="N128" s="28"/>
      <c r="O128" s="28"/>
      <c r="P128" s="28"/>
      <c r="Q128" s="28"/>
      <c r="R128" s="28"/>
      <c r="S128" s="28"/>
      <c r="T128" s="28"/>
      <c r="U128" s="28"/>
      <c r="V128" s="28"/>
      <c r="W128" s="28"/>
      <c r="X128" s="28"/>
      <c r="Y128" s="28"/>
      <c r="Z128" s="28"/>
    </row>
    <row r="129" ht="15.75" customHeight="1">
      <c r="A129" s="100" t="s">
        <v>1750</v>
      </c>
      <c r="B129" s="101" t="s">
        <v>2123</v>
      </c>
      <c r="C129" s="100" t="s">
        <v>2124</v>
      </c>
      <c r="D129" s="102" t="s">
        <v>2117</v>
      </c>
      <c r="E129" s="102" t="s">
        <v>2118</v>
      </c>
      <c r="F129" s="103">
        <v>0.21</v>
      </c>
      <c r="G129" s="110" t="str">
        <f>VLOOKUP("ND66",STOCK!$B$2:$Q$3692,3,FALSE)</f>
        <v>Mayor a 5</v>
      </c>
      <c r="H129" s="28"/>
      <c r="I129" s="28"/>
      <c r="J129" s="28"/>
      <c r="K129" s="28"/>
      <c r="L129" s="28"/>
      <c r="M129" s="28"/>
      <c r="N129" s="28"/>
      <c r="O129" s="28"/>
      <c r="P129" s="28"/>
      <c r="Q129" s="28"/>
      <c r="R129" s="28"/>
      <c r="S129" s="28"/>
      <c r="T129" s="28"/>
      <c r="U129" s="28"/>
      <c r="V129" s="28"/>
      <c r="W129" s="28"/>
      <c r="X129" s="28"/>
      <c r="Y129" s="28"/>
      <c r="Z129" s="28"/>
    </row>
    <row r="130" ht="15.75" customHeight="1">
      <c r="A130" s="104" t="s">
        <v>1750</v>
      </c>
      <c r="B130" s="64" t="s">
        <v>2125</v>
      </c>
      <c r="C130" s="104" t="s">
        <v>2126</v>
      </c>
      <c r="D130" s="105" t="s">
        <v>2117</v>
      </c>
      <c r="E130" s="105" t="s">
        <v>2118</v>
      </c>
      <c r="F130" s="106">
        <v>0.21</v>
      </c>
      <c r="G130" s="110" t="str">
        <f>VLOOKUP("ND68",STOCK!$B$2:$Q$3692,3,FALSE)</f>
        <v>Mayor a 5</v>
      </c>
      <c r="H130" s="28"/>
      <c r="I130" s="28"/>
      <c r="J130" s="28"/>
      <c r="K130" s="28"/>
      <c r="L130" s="28"/>
      <c r="M130" s="28"/>
      <c r="N130" s="28"/>
      <c r="O130" s="28"/>
      <c r="P130" s="28"/>
      <c r="Q130" s="28"/>
      <c r="R130" s="28"/>
      <c r="S130" s="28"/>
      <c r="T130" s="28"/>
      <c r="U130" s="28"/>
      <c r="V130" s="28"/>
      <c r="W130" s="28"/>
      <c r="X130" s="28"/>
      <c r="Y130" s="28"/>
      <c r="Z130" s="28"/>
    </row>
    <row r="131" ht="15.75" customHeight="1">
      <c r="A131" s="107" t="s">
        <v>2127</v>
      </c>
      <c r="C131" s="111"/>
      <c r="D131" s="55"/>
      <c r="E131" s="55"/>
      <c r="F131" s="114"/>
      <c r="G131" s="32"/>
      <c r="H131" s="28"/>
      <c r="I131" s="28"/>
      <c r="J131" s="28"/>
      <c r="K131" s="28"/>
      <c r="L131" s="28"/>
      <c r="M131" s="28"/>
      <c r="N131" s="28"/>
      <c r="O131" s="28"/>
      <c r="P131" s="28"/>
      <c r="Q131" s="28"/>
      <c r="R131" s="28"/>
      <c r="S131" s="28"/>
      <c r="T131" s="28"/>
      <c r="U131" s="28"/>
      <c r="V131" s="28"/>
      <c r="W131" s="28"/>
      <c r="X131" s="28"/>
      <c r="Y131" s="28"/>
      <c r="Z131" s="28"/>
    </row>
    <row r="132" ht="15.75" customHeight="1">
      <c r="A132" s="100" t="s">
        <v>1750</v>
      </c>
      <c r="B132" s="101" t="s">
        <v>2128</v>
      </c>
      <c r="C132" s="41" t="s">
        <v>2129</v>
      </c>
      <c r="D132" s="102" t="s">
        <v>2130</v>
      </c>
      <c r="E132" s="102" t="s">
        <v>1859</v>
      </c>
      <c r="F132" s="103">
        <v>0.21</v>
      </c>
      <c r="G132" s="109" t="str">
        <f>VLOOKUP("PL80A",STOCK!$B$2:$Q$3692,3,FALSE)</f>
        <v>SIN STOCK</v>
      </c>
      <c r="H132" s="28"/>
      <c r="I132" s="28"/>
      <c r="J132" s="28"/>
      <c r="K132" s="28"/>
      <c r="L132" s="28"/>
      <c r="M132" s="28"/>
      <c r="N132" s="28"/>
      <c r="O132" s="28"/>
      <c r="P132" s="28"/>
      <c r="Q132" s="28"/>
      <c r="R132" s="28"/>
      <c r="S132" s="28"/>
      <c r="T132" s="28"/>
      <c r="U132" s="28"/>
      <c r="V132" s="28"/>
      <c r="W132" s="28"/>
      <c r="X132" s="28"/>
      <c r="Y132" s="28"/>
      <c r="Z132" s="28"/>
    </row>
    <row r="133" ht="15.75" customHeight="1">
      <c r="A133" s="104" t="s">
        <v>1750</v>
      </c>
      <c r="B133" s="64" t="s">
        <v>2131</v>
      </c>
      <c r="C133" s="104" t="s">
        <v>2132</v>
      </c>
      <c r="D133" s="105" t="s">
        <v>2130</v>
      </c>
      <c r="E133" s="105" t="s">
        <v>1859</v>
      </c>
      <c r="F133" s="106">
        <v>0.21</v>
      </c>
      <c r="G133" s="109" t="str">
        <f>VLOOKUP("PL80C",STOCK!$B$2:$Q$3692,3,FALSE)</f>
        <v>SIN STOCK</v>
      </c>
      <c r="H133" s="28"/>
      <c r="I133" s="28"/>
      <c r="J133" s="28"/>
      <c r="K133" s="28"/>
      <c r="L133" s="28"/>
      <c r="M133" s="28"/>
      <c r="N133" s="28"/>
      <c r="O133" s="28"/>
      <c r="P133" s="28"/>
      <c r="Q133" s="28"/>
      <c r="R133" s="28"/>
      <c r="S133" s="28"/>
      <c r="T133" s="28"/>
      <c r="U133" s="28"/>
      <c r="V133" s="28"/>
      <c r="W133" s="28"/>
      <c r="X133" s="28"/>
      <c r="Y133" s="28"/>
      <c r="Z133" s="28"/>
    </row>
    <row r="134" ht="15.75" customHeight="1">
      <c r="A134" s="100" t="s">
        <v>1750</v>
      </c>
      <c r="B134" s="101" t="s">
        <v>2133</v>
      </c>
      <c r="C134" s="100" t="s">
        <v>2134</v>
      </c>
      <c r="D134" s="102" t="s">
        <v>2105</v>
      </c>
      <c r="E134" s="102" t="s">
        <v>2106</v>
      </c>
      <c r="F134" s="103">
        <v>0.21</v>
      </c>
      <c r="G134" s="109" t="str">
        <f>VLOOKUP("PL33",STOCK!$B$2:$Q$3692,3,FALSE)</f>
        <v>SIN STOCK</v>
      </c>
      <c r="H134" s="28"/>
      <c r="I134" s="28"/>
      <c r="J134" s="28"/>
      <c r="K134" s="28"/>
      <c r="L134" s="28"/>
      <c r="M134" s="28"/>
      <c r="N134" s="28"/>
      <c r="O134" s="28"/>
      <c r="P134" s="28"/>
      <c r="Q134" s="28"/>
      <c r="R134" s="28"/>
      <c r="S134" s="28"/>
      <c r="T134" s="28"/>
      <c r="U134" s="28"/>
      <c r="V134" s="28"/>
      <c r="W134" s="28"/>
      <c r="X134" s="28"/>
      <c r="Y134" s="28"/>
      <c r="Z134" s="28"/>
    </row>
    <row r="135" ht="15.75" customHeight="1">
      <c r="A135" s="104" t="s">
        <v>1750</v>
      </c>
      <c r="B135" s="64" t="s">
        <v>2135</v>
      </c>
      <c r="C135" s="104" t="s">
        <v>2136</v>
      </c>
      <c r="D135" s="105" t="s">
        <v>2137</v>
      </c>
      <c r="E135" s="105" t="s">
        <v>1860</v>
      </c>
      <c r="F135" s="106">
        <v>0.21</v>
      </c>
      <c r="G135" s="124" t="str">
        <f>VLOOKUP("PL35",STOCK!$B$2:$Q$3692,3,FALSE)</f>
        <v>SIN STOCK</v>
      </c>
      <c r="H135" s="28"/>
      <c r="I135" s="28"/>
      <c r="J135" s="28"/>
      <c r="K135" s="28"/>
      <c r="L135" s="28"/>
      <c r="M135" s="28"/>
      <c r="N135" s="28"/>
      <c r="O135" s="28"/>
      <c r="P135" s="28"/>
      <c r="Q135" s="28"/>
      <c r="R135" s="28"/>
      <c r="S135" s="28"/>
      <c r="T135" s="28"/>
      <c r="U135" s="28"/>
      <c r="V135" s="28"/>
      <c r="W135" s="28"/>
      <c r="X135" s="28"/>
      <c r="Y135" s="28"/>
      <c r="Z135" s="28"/>
    </row>
    <row r="136" ht="15.75" customHeight="1">
      <c r="A136" s="100" t="s">
        <v>1750</v>
      </c>
      <c r="B136" s="101" t="s">
        <v>2138</v>
      </c>
      <c r="C136" s="41" t="s">
        <v>2124</v>
      </c>
      <c r="D136" s="102" t="s">
        <v>2137</v>
      </c>
      <c r="E136" s="102" t="s">
        <v>1860</v>
      </c>
      <c r="F136" s="103">
        <v>0.21</v>
      </c>
      <c r="G136" s="113" t="str">
        <f>VLOOKUP("PL37",STOCK!$B$2:$Q$3692,3,FALSE)</f>
        <v>Menor a 5</v>
      </c>
      <c r="H136" s="28"/>
      <c r="I136" s="28"/>
      <c r="J136" s="28"/>
      <c r="K136" s="28"/>
      <c r="L136" s="28"/>
      <c r="M136" s="28"/>
      <c r="N136" s="28"/>
      <c r="O136" s="28"/>
      <c r="P136" s="28"/>
      <c r="Q136" s="28"/>
      <c r="R136" s="28"/>
      <c r="S136" s="28"/>
      <c r="T136" s="28"/>
      <c r="U136" s="28"/>
      <c r="V136" s="28"/>
      <c r="W136" s="28"/>
      <c r="X136" s="28"/>
      <c r="Y136" s="28"/>
      <c r="Z136" s="28"/>
    </row>
    <row r="137" ht="15.75" customHeight="1">
      <c r="A137" s="107" t="s">
        <v>2139</v>
      </c>
      <c r="C137" s="111"/>
      <c r="D137" s="55"/>
      <c r="E137" s="55"/>
      <c r="F137" s="114"/>
      <c r="G137" s="32"/>
      <c r="H137" s="28"/>
      <c r="I137" s="28"/>
      <c r="J137" s="28"/>
      <c r="K137" s="28"/>
      <c r="L137" s="28"/>
      <c r="M137" s="28"/>
      <c r="N137" s="28"/>
      <c r="O137" s="28"/>
      <c r="P137" s="28"/>
      <c r="Q137" s="28"/>
      <c r="R137" s="28"/>
      <c r="S137" s="28"/>
      <c r="T137" s="28"/>
      <c r="U137" s="28"/>
      <c r="V137" s="28"/>
      <c r="W137" s="28"/>
      <c r="X137" s="28"/>
      <c r="Y137" s="28"/>
      <c r="Z137" s="28"/>
    </row>
    <row r="138" ht="15.75" customHeight="1">
      <c r="A138" s="100" t="s">
        <v>1750</v>
      </c>
      <c r="B138" s="101" t="s">
        <v>2140</v>
      </c>
      <c r="C138" s="100" t="s">
        <v>2141</v>
      </c>
      <c r="D138" s="102" t="s">
        <v>2142</v>
      </c>
      <c r="E138" s="102" t="s">
        <v>2143</v>
      </c>
      <c r="F138" s="103">
        <v>0.21</v>
      </c>
      <c r="G138" s="113" t="str">
        <f>VLOOKUP("RE20",STOCK!$B$2:$Q$3692,3,FALSE)</f>
        <v>Menor a 5</v>
      </c>
      <c r="H138" s="28"/>
      <c r="I138" s="28"/>
      <c r="J138" s="28"/>
      <c r="K138" s="28"/>
      <c r="L138" s="28"/>
      <c r="M138" s="28"/>
      <c r="N138" s="28"/>
      <c r="O138" s="28"/>
      <c r="P138" s="28"/>
      <c r="Q138" s="28"/>
      <c r="R138" s="28"/>
      <c r="S138" s="28"/>
      <c r="T138" s="28"/>
      <c r="U138" s="28"/>
      <c r="V138" s="28"/>
      <c r="W138" s="28"/>
      <c r="X138" s="28"/>
      <c r="Y138" s="28"/>
      <c r="Z138" s="28"/>
    </row>
    <row r="139" ht="15.75" customHeight="1">
      <c r="A139" s="104" t="s">
        <v>1750</v>
      </c>
      <c r="B139" s="64" t="s">
        <v>2144</v>
      </c>
      <c r="C139" s="104" t="s">
        <v>2145</v>
      </c>
      <c r="D139" s="105" t="s">
        <v>2146</v>
      </c>
      <c r="E139" s="105" t="s">
        <v>2147</v>
      </c>
      <c r="F139" s="106">
        <v>0.21</v>
      </c>
      <c r="G139" s="113" t="str">
        <f>VLOOKUP("RE320",STOCK!$B$2:$Q$3692,3,FALSE)</f>
        <v>Menor a 5</v>
      </c>
      <c r="H139" s="28"/>
      <c r="I139" s="28"/>
      <c r="J139" s="28"/>
      <c r="K139" s="28"/>
      <c r="L139" s="28"/>
      <c r="M139" s="28"/>
      <c r="N139" s="28"/>
      <c r="O139" s="28"/>
      <c r="P139" s="28"/>
      <c r="Q139" s="28"/>
      <c r="R139" s="28"/>
      <c r="S139" s="28"/>
      <c r="T139" s="28"/>
      <c r="U139" s="28"/>
      <c r="V139" s="28"/>
      <c r="W139" s="28"/>
      <c r="X139" s="28"/>
      <c r="Y139" s="28"/>
      <c r="Z139" s="28"/>
    </row>
    <row r="140" ht="15.75" customHeight="1">
      <c r="A140" s="100" t="s">
        <v>1750</v>
      </c>
      <c r="B140" s="101" t="s">
        <v>2148</v>
      </c>
      <c r="C140" s="100" t="s">
        <v>2149</v>
      </c>
      <c r="D140" s="102" t="s">
        <v>2150</v>
      </c>
      <c r="E140" s="102" t="s">
        <v>2151</v>
      </c>
      <c r="F140" s="103">
        <v>0.21</v>
      </c>
      <c r="G140" s="113" t="str">
        <f>VLOOKUP("309A",STOCK!$B$2:$Q$3692,3,FALSE)</f>
        <v>Menor a 5</v>
      </c>
      <c r="I140" s="28"/>
      <c r="J140" s="28"/>
      <c r="K140" s="28"/>
      <c r="L140" s="28"/>
      <c r="M140" s="28"/>
      <c r="N140" s="28"/>
      <c r="O140" s="28"/>
      <c r="P140" s="28"/>
      <c r="Q140" s="28"/>
      <c r="R140" s="28"/>
      <c r="S140" s="28"/>
      <c r="T140" s="28"/>
      <c r="U140" s="28"/>
      <c r="V140" s="28"/>
      <c r="W140" s="28"/>
      <c r="X140" s="28"/>
      <c r="Y140" s="28"/>
      <c r="Z140" s="28"/>
    </row>
    <row r="141" ht="15.75" customHeight="1">
      <c r="A141" s="29" t="s">
        <v>2152</v>
      </c>
      <c r="C141" s="108"/>
      <c r="D141" s="55"/>
      <c r="E141" s="55"/>
      <c r="F141" s="114"/>
      <c r="G141" s="32"/>
      <c r="H141" s="28"/>
      <c r="I141" s="28"/>
      <c r="J141" s="28"/>
      <c r="K141" s="28"/>
      <c r="L141" s="28"/>
      <c r="M141" s="28"/>
      <c r="N141" s="28"/>
      <c r="O141" s="28"/>
      <c r="P141" s="28"/>
      <c r="Q141" s="28"/>
      <c r="R141" s="28"/>
      <c r="S141" s="28"/>
      <c r="T141" s="28"/>
      <c r="U141" s="28"/>
      <c r="V141" s="28"/>
      <c r="W141" s="28"/>
      <c r="X141" s="28"/>
      <c r="Y141" s="28"/>
      <c r="Z141" s="28"/>
    </row>
    <row r="142" ht="15.75" customHeight="1">
      <c r="A142" s="41" t="s">
        <v>1750</v>
      </c>
      <c r="B142" s="42" t="s">
        <v>2153</v>
      </c>
      <c r="C142" s="41" t="s">
        <v>2154</v>
      </c>
      <c r="D142" s="102" t="s">
        <v>2155</v>
      </c>
      <c r="E142" s="102" t="s">
        <v>2156</v>
      </c>
      <c r="F142" s="103">
        <v>0.21</v>
      </c>
      <c r="G142" s="109" t="str">
        <f>IFERROR(VLOOKUP("RE90B",STOCK!$B$1:$Q$5647,3,FALSE),"SIN STOCK")</f>
        <v>SIN STOCK</v>
      </c>
      <c r="H142" s="28"/>
      <c r="I142" s="28"/>
      <c r="J142" s="28"/>
      <c r="K142" s="28"/>
      <c r="L142" s="28"/>
      <c r="M142" s="28"/>
      <c r="N142" s="28"/>
      <c r="O142" s="28"/>
      <c r="P142" s="28"/>
      <c r="Q142" s="28"/>
      <c r="R142" s="28"/>
      <c r="S142" s="28"/>
      <c r="T142" s="28"/>
      <c r="U142" s="28"/>
      <c r="V142" s="28"/>
      <c r="W142" s="28"/>
      <c r="X142" s="28"/>
      <c r="Y142" s="28"/>
      <c r="Z142" s="28"/>
    </row>
    <row r="143" ht="15.75" customHeight="1">
      <c r="A143" s="47" t="s">
        <v>1750</v>
      </c>
      <c r="B143" s="48" t="s">
        <v>2157</v>
      </c>
      <c r="C143" s="47" t="s">
        <v>2158</v>
      </c>
      <c r="D143" s="105" t="s">
        <v>2155</v>
      </c>
      <c r="E143" s="105" t="s">
        <v>2156</v>
      </c>
      <c r="F143" s="106">
        <v>0.21</v>
      </c>
      <c r="G143" s="109" t="str">
        <f>IFERROR(VLOOKUP("RE90H",STOCK!$B$1:$Q$5647,3,FALSE),"SIN STOCK")</f>
        <v>SIN STOCK</v>
      </c>
      <c r="H143" s="28"/>
      <c r="I143" s="28"/>
      <c r="J143" s="28"/>
      <c r="K143" s="28"/>
      <c r="L143" s="28"/>
      <c r="M143" s="28"/>
      <c r="N143" s="28"/>
      <c r="O143" s="28"/>
      <c r="P143" s="28"/>
      <c r="Q143" s="28"/>
      <c r="R143" s="28"/>
      <c r="S143" s="28"/>
      <c r="T143" s="28"/>
      <c r="U143" s="28"/>
      <c r="V143" s="28"/>
      <c r="W143" s="28"/>
      <c r="X143" s="28"/>
      <c r="Y143" s="28"/>
      <c r="Z143" s="28"/>
    </row>
    <row r="144" ht="15.75" customHeight="1">
      <c r="A144" s="41" t="s">
        <v>1750</v>
      </c>
      <c r="B144" s="42" t="s">
        <v>2159</v>
      </c>
      <c r="C144" s="41" t="s">
        <v>2160</v>
      </c>
      <c r="D144" s="102" t="s">
        <v>2155</v>
      </c>
      <c r="E144" s="102" t="s">
        <v>2156</v>
      </c>
      <c r="F144" s="103">
        <v>0.21</v>
      </c>
      <c r="G144" s="109" t="str">
        <f>IFERROR(VLOOKUP("RE90P-12",STOCK!$B$1:$Q$5647,3,FALSE),"SIN STOCK")</f>
        <v>SIN STOCK</v>
      </c>
      <c r="H144" s="28"/>
      <c r="I144" s="28"/>
      <c r="J144" s="28"/>
      <c r="K144" s="28"/>
      <c r="L144" s="28"/>
      <c r="M144" s="28"/>
      <c r="N144" s="28"/>
      <c r="O144" s="28"/>
      <c r="P144" s="28"/>
      <c r="Q144" s="28"/>
      <c r="R144" s="28"/>
      <c r="S144" s="28"/>
      <c r="T144" s="28"/>
      <c r="U144" s="28"/>
      <c r="V144" s="28"/>
      <c r="W144" s="28"/>
      <c r="X144" s="28"/>
      <c r="Y144" s="28"/>
      <c r="Z144" s="28"/>
    </row>
    <row r="145" ht="15.75" customHeight="1">
      <c r="A145" s="47" t="s">
        <v>1750</v>
      </c>
      <c r="B145" s="48" t="s">
        <v>2161</v>
      </c>
      <c r="C145" s="47" t="s">
        <v>2162</v>
      </c>
      <c r="D145" s="105" t="s">
        <v>2155</v>
      </c>
      <c r="E145" s="105" t="s">
        <v>2156</v>
      </c>
      <c r="F145" s="106">
        <v>0.21</v>
      </c>
      <c r="G145" s="109" t="str">
        <f>VLOOKUP("RE90P-18",STOCK!$B$2:$Q$3692,3,FALSE)</f>
        <v>SIN STOCK</v>
      </c>
      <c r="H145" s="28"/>
      <c r="I145" s="28"/>
      <c r="J145" s="28"/>
      <c r="K145" s="28"/>
      <c r="L145" s="28"/>
      <c r="M145" s="28"/>
      <c r="N145" s="28"/>
      <c r="O145" s="28"/>
      <c r="P145" s="28"/>
      <c r="Q145" s="28"/>
      <c r="R145" s="28"/>
      <c r="S145" s="28"/>
      <c r="T145" s="28"/>
      <c r="U145" s="28"/>
      <c r="V145" s="28"/>
      <c r="W145" s="28"/>
      <c r="X145" s="28"/>
      <c r="Y145" s="28"/>
      <c r="Z145" s="28"/>
    </row>
    <row r="146" ht="15.75" customHeight="1">
      <c r="A146" s="125"/>
      <c r="B146" s="125"/>
      <c r="C146" s="125"/>
      <c r="D146" s="105"/>
      <c r="E146" s="126"/>
      <c r="F146" s="38"/>
      <c r="G146" s="127"/>
      <c r="H146" s="28"/>
      <c r="I146" s="28"/>
      <c r="J146" s="28"/>
      <c r="K146" s="28"/>
      <c r="L146" s="28"/>
      <c r="M146" s="28"/>
      <c r="N146" s="28"/>
      <c r="O146" s="28"/>
      <c r="P146" s="28"/>
      <c r="Q146" s="28"/>
      <c r="R146" s="28"/>
      <c r="S146" s="28"/>
      <c r="T146" s="28"/>
      <c r="U146" s="28"/>
      <c r="V146" s="28"/>
      <c r="W146" s="28"/>
      <c r="X146" s="28"/>
      <c r="Y146" s="28"/>
      <c r="Z146" s="28"/>
    </row>
    <row r="147" ht="15.75" customHeight="1">
      <c r="A147" s="125"/>
      <c r="B147" s="125"/>
      <c r="C147" s="125"/>
      <c r="D147" s="105"/>
      <c r="E147" s="126"/>
      <c r="F147" s="38"/>
      <c r="G147" s="127"/>
      <c r="H147" s="28"/>
      <c r="I147" s="28"/>
      <c r="J147" s="28"/>
      <c r="K147" s="28"/>
      <c r="L147" s="28"/>
      <c r="M147" s="28"/>
      <c r="N147" s="28"/>
      <c r="O147" s="28"/>
      <c r="P147" s="28"/>
      <c r="Q147" s="28"/>
      <c r="R147" s="28"/>
      <c r="S147" s="28"/>
      <c r="T147" s="28"/>
      <c r="U147" s="28"/>
      <c r="V147" s="28"/>
      <c r="W147" s="28"/>
      <c r="X147" s="28"/>
      <c r="Y147" s="28"/>
      <c r="Z147" s="28"/>
    </row>
    <row r="148" ht="15.75" customHeight="1">
      <c r="A148" s="125"/>
      <c r="B148" s="125"/>
      <c r="C148" s="125"/>
      <c r="D148" s="105"/>
      <c r="E148" s="126"/>
      <c r="F148" s="38"/>
      <c r="G148" s="127"/>
      <c r="H148" s="28"/>
      <c r="I148" s="28"/>
      <c r="J148" s="28"/>
      <c r="K148" s="28"/>
      <c r="L148" s="28"/>
      <c r="M148" s="28"/>
      <c r="N148" s="28"/>
      <c r="O148" s="28"/>
      <c r="P148" s="28"/>
      <c r="Q148" s="28"/>
      <c r="R148" s="28"/>
      <c r="S148" s="28"/>
      <c r="T148" s="28"/>
      <c r="U148" s="28"/>
      <c r="V148" s="28"/>
      <c r="W148" s="28"/>
      <c r="X148" s="28"/>
      <c r="Y148" s="28"/>
      <c r="Z148" s="28"/>
    </row>
    <row r="149" ht="15.75" customHeight="1">
      <c r="A149" s="125"/>
      <c r="B149" s="125"/>
      <c r="C149" s="125"/>
      <c r="D149" s="105"/>
      <c r="E149" s="126"/>
      <c r="F149" s="38"/>
      <c r="G149" s="127"/>
      <c r="H149" s="28"/>
      <c r="I149" s="28"/>
      <c r="J149" s="28"/>
      <c r="K149" s="28"/>
      <c r="L149" s="28"/>
      <c r="M149" s="28"/>
      <c r="N149" s="28"/>
      <c r="O149" s="28"/>
      <c r="P149" s="28"/>
      <c r="Q149" s="28"/>
      <c r="R149" s="28"/>
      <c r="S149" s="28"/>
      <c r="T149" s="28"/>
      <c r="U149" s="28"/>
      <c r="V149" s="28"/>
      <c r="W149" s="28"/>
      <c r="X149" s="28"/>
      <c r="Y149" s="28"/>
      <c r="Z149" s="28"/>
    </row>
    <row r="150" ht="15.75" customHeight="1">
      <c r="A150" s="125"/>
      <c r="B150" s="125"/>
      <c r="C150" s="125"/>
      <c r="D150" s="105"/>
      <c r="E150" s="126"/>
      <c r="F150" s="38"/>
      <c r="G150" s="127"/>
      <c r="H150" s="28"/>
      <c r="I150" s="28"/>
      <c r="J150" s="28"/>
      <c r="K150" s="28"/>
      <c r="L150" s="28"/>
      <c r="M150" s="28"/>
      <c r="N150" s="28"/>
      <c r="O150" s="28"/>
      <c r="P150" s="28"/>
      <c r="Q150" s="28"/>
      <c r="R150" s="28"/>
      <c r="S150" s="28"/>
      <c r="T150" s="28"/>
      <c r="U150" s="28"/>
      <c r="V150" s="28"/>
      <c r="W150" s="28"/>
      <c r="X150" s="28"/>
      <c r="Y150" s="28"/>
      <c r="Z150" s="28"/>
    </row>
    <row r="151" ht="15.75" customHeight="1">
      <c r="A151" s="125"/>
      <c r="B151" s="125"/>
      <c r="C151" s="125"/>
      <c r="D151" s="105"/>
      <c r="E151" s="126"/>
      <c r="F151" s="38"/>
      <c r="G151" s="127"/>
      <c r="H151" s="28"/>
      <c r="I151" s="28"/>
      <c r="J151" s="28"/>
      <c r="K151" s="28"/>
      <c r="L151" s="28"/>
      <c r="M151" s="28"/>
      <c r="N151" s="28"/>
      <c r="O151" s="28"/>
      <c r="P151" s="28"/>
      <c r="Q151" s="28"/>
      <c r="R151" s="28"/>
      <c r="S151" s="28"/>
      <c r="T151" s="28"/>
      <c r="U151" s="28"/>
      <c r="V151" s="28"/>
      <c r="W151" s="28"/>
      <c r="X151" s="28"/>
      <c r="Y151" s="28"/>
      <c r="Z151" s="28"/>
    </row>
    <row r="152" ht="15.75" customHeight="1">
      <c r="A152" s="125"/>
      <c r="B152" s="125"/>
      <c r="C152" s="125"/>
      <c r="D152" s="105"/>
      <c r="E152" s="126"/>
      <c r="F152" s="38"/>
      <c r="G152" s="127"/>
      <c r="H152" s="28"/>
      <c r="I152" s="28"/>
      <c r="J152" s="28"/>
      <c r="K152" s="28"/>
      <c r="L152" s="28"/>
      <c r="M152" s="28"/>
      <c r="N152" s="28"/>
      <c r="O152" s="28"/>
      <c r="P152" s="28"/>
      <c r="Q152" s="28"/>
      <c r="R152" s="28"/>
      <c r="S152" s="28"/>
      <c r="T152" s="28"/>
      <c r="U152" s="28"/>
      <c r="V152" s="28"/>
      <c r="W152" s="28"/>
      <c r="X152" s="28"/>
      <c r="Y152" s="28"/>
      <c r="Z152" s="28"/>
    </row>
    <row r="153" ht="15.75" customHeight="1">
      <c r="A153" s="125"/>
      <c r="B153" s="125"/>
      <c r="C153" s="125"/>
      <c r="D153" s="105"/>
      <c r="E153" s="126"/>
      <c r="F153" s="38"/>
      <c r="G153" s="127"/>
      <c r="H153" s="28"/>
      <c r="I153" s="28"/>
      <c r="J153" s="28"/>
      <c r="K153" s="28"/>
      <c r="L153" s="28"/>
      <c r="M153" s="28"/>
      <c r="N153" s="28"/>
      <c r="O153" s="28"/>
      <c r="P153" s="28"/>
      <c r="Q153" s="28"/>
      <c r="R153" s="28"/>
      <c r="S153" s="28"/>
      <c r="T153" s="28"/>
      <c r="U153" s="28"/>
      <c r="V153" s="28"/>
      <c r="W153" s="28"/>
      <c r="X153" s="28"/>
      <c r="Y153" s="28"/>
      <c r="Z153" s="28"/>
    </row>
    <row r="154" ht="15.75" customHeight="1">
      <c r="A154" s="125"/>
      <c r="B154" s="125"/>
      <c r="C154" s="125"/>
      <c r="D154" s="105"/>
      <c r="E154" s="126"/>
      <c r="F154" s="38"/>
      <c r="G154" s="127"/>
      <c r="H154" s="28"/>
      <c r="I154" s="28"/>
      <c r="J154" s="28"/>
      <c r="K154" s="28"/>
      <c r="L154" s="28"/>
      <c r="M154" s="28"/>
      <c r="N154" s="28"/>
      <c r="O154" s="28"/>
      <c r="P154" s="28"/>
      <c r="Q154" s="28"/>
      <c r="R154" s="28"/>
      <c r="S154" s="28"/>
      <c r="T154" s="28"/>
      <c r="U154" s="28"/>
      <c r="V154" s="28"/>
      <c r="W154" s="28"/>
      <c r="X154" s="28"/>
      <c r="Y154" s="28"/>
      <c r="Z154" s="28"/>
    </row>
    <row r="155" ht="15.75" customHeight="1">
      <c r="A155" s="125"/>
      <c r="B155" s="125"/>
      <c r="C155" s="125"/>
      <c r="D155" s="128"/>
      <c r="E155" s="126"/>
      <c r="F155" s="38"/>
      <c r="G155" s="127"/>
      <c r="H155" s="28"/>
      <c r="I155" s="28"/>
      <c r="J155" s="28"/>
      <c r="K155" s="28"/>
      <c r="L155" s="28"/>
      <c r="M155" s="28"/>
      <c r="N155" s="28"/>
      <c r="O155" s="28"/>
      <c r="P155" s="28"/>
      <c r="Q155" s="28"/>
      <c r="R155" s="28"/>
      <c r="S155" s="28"/>
      <c r="T155" s="28"/>
      <c r="U155" s="28"/>
      <c r="V155" s="28"/>
      <c r="W155" s="28"/>
      <c r="X155" s="28"/>
      <c r="Y155" s="28"/>
      <c r="Z155" s="28"/>
    </row>
    <row r="156" ht="15.75" customHeight="1">
      <c r="A156" s="125"/>
      <c r="B156" s="125"/>
      <c r="C156" s="125"/>
      <c r="D156" s="128"/>
      <c r="E156" s="126"/>
      <c r="F156" s="38"/>
      <c r="G156" s="127"/>
      <c r="H156" s="28"/>
      <c r="I156" s="28"/>
      <c r="J156" s="28"/>
      <c r="K156" s="28"/>
      <c r="L156" s="28"/>
      <c r="M156" s="28"/>
      <c r="N156" s="28"/>
      <c r="O156" s="28"/>
      <c r="P156" s="28"/>
      <c r="Q156" s="28"/>
      <c r="R156" s="28"/>
      <c r="S156" s="28"/>
      <c r="T156" s="28"/>
      <c r="U156" s="28"/>
      <c r="V156" s="28"/>
      <c r="W156" s="28"/>
      <c r="X156" s="28"/>
      <c r="Y156" s="28"/>
      <c r="Z156" s="28"/>
    </row>
    <row r="157" ht="15.75" customHeight="1">
      <c r="A157" s="125"/>
      <c r="B157" s="125"/>
      <c r="C157" s="125"/>
      <c r="D157" s="128"/>
      <c r="E157" s="126"/>
      <c r="F157" s="38"/>
      <c r="G157" s="127"/>
      <c r="H157" s="28"/>
      <c r="I157" s="28"/>
      <c r="J157" s="28"/>
      <c r="K157" s="28"/>
      <c r="L157" s="28"/>
      <c r="M157" s="28"/>
      <c r="N157" s="28"/>
      <c r="O157" s="28"/>
      <c r="P157" s="28"/>
      <c r="Q157" s="28"/>
      <c r="R157" s="28"/>
      <c r="S157" s="28"/>
      <c r="T157" s="28"/>
      <c r="U157" s="28"/>
      <c r="V157" s="28"/>
      <c r="W157" s="28"/>
      <c r="X157" s="28"/>
      <c r="Y157" s="28"/>
      <c r="Z157" s="28"/>
    </row>
    <row r="158" ht="15.75" customHeight="1">
      <c r="A158" s="125"/>
      <c r="B158" s="125"/>
      <c r="C158" s="125"/>
      <c r="D158" s="128"/>
      <c r="E158" s="126"/>
      <c r="F158" s="38"/>
      <c r="G158" s="127"/>
      <c r="H158" s="28"/>
      <c r="I158" s="28"/>
      <c r="J158" s="28"/>
      <c r="K158" s="28"/>
      <c r="L158" s="28"/>
      <c r="M158" s="28"/>
      <c r="N158" s="28"/>
      <c r="O158" s="28"/>
      <c r="P158" s="28"/>
      <c r="Q158" s="28"/>
      <c r="R158" s="28"/>
      <c r="S158" s="28"/>
      <c r="T158" s="28"/>
      <c r="U158" s="28"/>
      <c r="V158" s="28"/>
      <c r="W158" s="28"/>
      <c r="X158" s="28"/>
      <c r="Y158" s="28"/>
      <c r="Z158" s="28"/>
    </row>
    <row r="159" ht="15.75" customHeight="1">
      <c r="A159" s="125"/>
      <c r="B159" s="125"/>
      <c r="C159" s="125"/>
      <c r="D159" s="128"/>
      <c r="E159" s="126"/>
      <c r="F159" s="38"/>
      <c r="G159" s="127"/>
      <c r="H159" s="28"/>
      <c r="I159" s="28"/>
      <c r="J159" s="28"/>
      <c r="K159" s="28"/>
      <c r="L159" s="28"/>
      <c r="M159" s="28"/>
      <c r="N159" s="28"/>
      <c r="O159" s="28"/>
      <c r="P159" s="28"/>
      <c r="Q159" s="28"/>
      <c r="R159" s="28"/>
      <c r="S159" s="28"/>
      <c r="T159" s="28"/>
      <c r="U159" s="28"/>
      <c r="V159" s="28"/>
      <c r="W159" s="28"/>
      <c r="X159" s="28"/>
      <c r="Y159" s="28"/>
      <c r="Z159" s="28"/>
    </row>
    <row r="160" ht="15.75" customHeight="1">
      <c r="A160" s="125"/>
      <c r="B160" s="125"/>
      <c r="C160" s="125"/>
      <c r="D160" s="128"/>
      <c r="E160" s="126"/>
      <c r="F160" s="38"/>
      <c r="G160" s="127"/>
      <c r="H160" s="28"/>
      <c r="I160" s="28"/>
      <c r="J160" s="28"/>
      <c r="K160" s="28"/>
      <c r="L160" s="28"/>
      <c r="M160" s="28"/>
      <c r="N160" s="28"/>
      <c r="O160" s="28"/>
      <c r="P160" s="28"/>
      <c r="Q160" s="28"/>
      <c r="R160" s="28"/>
      <c r="S160" s="28"/>
      <c r="T160" s="28"/>
      <c r="U160" s="28"/>
      <c r="V160" s="28"/>
      <c r="W160" s="28"/>
      <c r="X160" s="28"/>
      <c r="Y160" s="28"/>
      <c r="Z160" s="28"/>
    </row>
    <row r="161" ht="15.75" customHeight="1">
      <c r="A161" s="125"/>
      <c r="B161" s="125"/>
      <c r="C161" s="125"/>
      <c r="D161" s="128"/>
      <c r="E161" s="126"/>
      <c r="F161" s="38"/>
      <c r="G161" s="127"/>
      <c r="H161" s="28"/>
      <c r="I161" s="28"/>
      <c r="J161" s="28"/>
      <c r="K161" s="28"/>
      <c r="L161" s="28"/>
      <c r="M161" s="28"/>
      <c r="N161" s="28"/>
      <c r="O161" s="28"/>
      <c r="P161" s="28"/>
      <c r="Q161" s="28"/>
      <c r="R161" s="28"/>
      <c r="S161" s="28"/>
      <c r="T161" s="28"/>
      <c r="U161" s="28"/>
      <c r="V161" s="28"/>
      <c r="W161" s="28"/>
      <c r="X161" s="28"/>
      <c r="Y161" s="28"/>
      <c r="Z161" s="28"/>
    </row>
    <row r="162" ht="15.75" customHeight="1">
      <c r="A162" s="125"/>
      <c r="B162" s="125"/>
      <c r="C162" s="125"/>
      <c r="D162" s="128"/>
      <c r="E162" s="126"/>
      <c r="F162" s="38"/>
      <c r="G162" s="127"/>
      <c r="H162" s="28"/>
      <c r="I162" s="28"/>
      <c r="J162" s="28"/>
      <c r="K162" s="28"/>
      <c r="L162" s="28"/>
      <c r="M162" s="28"/>
      <c r="N162" s="28"/>
      <c r="O162" s="28"/>
      <c r="P162" s="28"/>
      <c r="Q162" s="28"/>
      <c r="R162" s="28"/>
      <c r="S162" s="28"/>
      <c r="T162" s="28"/>
      <c r="U162" s="28"/>
      <c r="V162" s="28"/>
      <c r="W162" s="28"/>
      <c r="X162" s="28"/>
      <c r="Y162" s="28"/>
      <c r="Z162" s="28"/>
    </row>
    <row r="163" ht="15.75" customHeight="1">
      <c r="A163" s="125"/>
      <c r="B163" s="125"/>
      <c r="C163" s="125"/>
      <c r="D163" s="128"/>
      <c r="E163" s="126"/>
      <c r="F163" s="38"/>
      <c r="G163" s="127"/>
      <c r="H163" s="28"/>
      <c r="I163" s="28"/>
      <c r="J163" s="28"/>
      <c r="K163" s="28"/>
      <c r="L163" s="28"/>
      <c r="M163" s="28"/>
      <c r="N163" s="28"/>
      <c r="O163" s="28"/>
      <c r="P163" s="28"/>
      <c r="Q163" s="28"/>
      <c r="R163" s="28"/>
      <c r="S163" s="28"/>
      <c r="T163" s="28"/>
      <c r="U163" s="28"/>
      <c r="V163" s="28"/>
      <c r="W163" s="28"/>
      <c r="X163" s="28"/>
      <c r="Y163" s="28"/>
      <c r="Z163" s="28"/>
    </row>
    <row r="164" ht="15.75" customHeight="1">
      <c r="A164" s="125"/>
      <c r="B164" s="125"/>
      <c r="C164" s="125"/>
      <c r="D164" s="128"/>
      <c r="E164" s="126"/>
      <c r="F164" s="38"/>
      <c r="G164" s="127"/>
      <c r="H164" s="28"/>
      <c r="I164" s="28"/>
      <c r="J164" s="28"/>
      <c r="K164" s="28"/>
      <c r="L164" s="28"/>
      <c r="M164" s="28"/>
      <c r="N164" s="28"/>
      <c r="O164" s="28"/>
      <c r="P164" s="28"/>
      <c r="Q164" s="28"/>
      <c r="R164" s="28"/>
      <c r="S164" s="28"/>
      <c r="T164" s="28"/>
      <c r="U164" s="28"/>
      <c r="V164" s="28"/>
      <c r="W164" s="28"/>
      <c r="X164" s="28"/>
      <c r="Y164" s="28"/>
      <c r="Z164" s="28"/>
    </row>
    <row r="165" ht="15.75" customHeight="1">
      <c r="A165" s="125"/>
      <c r="B165" s="125"/>
      <c r="C165" s="125"/>
      <c r="D165" s="128"/>
      <c r="E165" s="126"/>
      <c r="F165" s="38"/>
      <c r="G165" s="127"/>
      <c r="H165" s="28"/>
      <c r="I165" s="28"/>
      <c r="J165" s="28"/>
      <c r="K165" s="28"/>
      <c r="L165" s="28"/>
      <c r="M165" s="28"/>
      <c r="N165" s="28"/>
      <c r="O165" s="28"/>
      <c r="P165" s="28"/>
      <c r="Q165" s="28"/>
      <c r="R165" s="28"/>
      <c r="S165" s="28"/>
      <c r="T165" s="28"/>
      <c r="U165" s="28"/>
      <c r="V165" s="28"/>
      <c r="W165" s="28"/>
      <c r="X165" s="28"/>
      <c r="Y165" s="28"/>
      <c r="Z165" s="28"/>
    </row>
    <row r="166" ht="15.75" customHeight="1">
      <c r="A166" s="125"/>
      <c r="B166" s="125"/>
      <c r="C166" s="125"/>
      <c r="D166" s="128"/>
      <c r="E166" s="126"/>
      <c r="F166" s="38"/>
      <c r="G166" s="127"/>
      <c r="H166" s="28"/>
      <c r="I166" s="28"/>
      <c r="J166" s="28"/>
      <c r="K166" s="28"/>
      <c r="L166" s="28"/>
      <c r="M166" s="28"/>
      <c r="N166" s="28"/>
      <c r="O166" s="28"/>
      <c r="P166" s="28"/>
      <c r="Q166" s="28"/>
      <c r="R166" s="28"/>
      <c r="S166" s="28"/>
      <c r="T166" s="28"/>
      <c r="U166" s="28"/>
      <c r="V166" s="28"/>
      <c r="W166" s="28"/>
      <c r="X166" s="28"/>
      <c r="Y166" s="28"/>
      <c r="Z166" s="28"/>
    </row>
    <row r="167" ht="15.75" customHeight="1">
      <c r="A167" s="125"/>
      <c r="B167" s="125"/>
      <c r="C167" s="125"/>
      <c r="D167" s="128"/>
      <c r="E167" s="126"/>
      <c r="F167" s="38"/>
      <c r="G167" s="127"/>
      <c r="H167" s="28"/>
      <c r="I167" s="28"/>
      <c r="J167" s="28"/>
      <c r="K167" s="28"/>
      <c r="L167" s="28"/>
      <c r="M167" s="28"/>
      <c r="N167" s="28"/>
      <c r="O167" s="28"/>
      <c r="P167" s="28"/>
      <c r="Q167" s="28"/>
      <c r="R167" s="28"/>
      <c r="S167" s="28"/>
      <c r="T167" s="28"/>
      <c r="U167" s="28"/>
      <c r="V167" s="28"/>
      <c r="W167" s="28"/>
      <c r="X167" s="28"/>
      <c r="Y167" s="28"/>
      <c r="Z167" s="28"/>
    </row>
    <row r="168" ht="15.75" customHeight="1">
      <c r="A168" s="125"/>
      <c r="B168" s="125"/>
      <c r="C168" s="125"/>
      <c r="D168" s="128"/>
      <c r="E168" s="126"/>
      <c r="F168" s="38"/>
      <c r="G168" s="127"/>
      <c r="H168" s="28"/>
      <c r="I168" s="28"/>
      <c r="J168" s="28"/>
      <c r="K168" s="28"/>
      <c r="L168" s="28"/>
      <c r="M168" s="28"/>
      <c r="N168" s="28"/>
      <c r="O168" s="28"/>
      <c r="P168" s="28"/>
      <c r="Q168" s="28"/>
      <c r="R168" s="28"/>
      <c r="S168" s="28"/>
      <c r="T168" s="28"/>
      <c r="U168" s="28"/>
      <c r="V168" s="28"/>
      <c r="W168" s="28"/>
      <c r="X168" s="28"/>
      <c r="Y168" s="28"/>
      <c r="Z168" s="28"/>
    </row>
    <row r="169" ht="15.75" customHeight="1">
      <c r="A169" s="125"/>
      <c r="B169" s="125"/>
      <c r="C169" s="125"/>
      <c r="D169" s="128"/>
      <c r="E169" s="126"/>
      <c r="F169" s="38"/>
      <c r="G169" s="127"/>
      <c r="H169" s="28"/>
      <c r="I169" s="28"/>
      <c r="J169" s="28"/>
      <c r="K169" s="28"/>
      <c r="L169" s="28"/>
      <c r="M169" s="28"/>
      <c r="N169" s="28"/>
      <c r="O169" s="28"/>
      <c r="P169" s="28"/>
      <c r="Q169" s="28"/>
      <c r="R169" s="28"/>
      <c r="S169" s="28"/>
      <c r="T169" s="28"/>
      <c r="U169" s="28"/>
      <c r="V169" s="28"/>
      <c r="W169" s="28"/>
      <c r="X169" s="28"/>
      <c r="Y169" s="28"/>
      <c r="Z169" s="28"/>
    </row>
    <row r="170" ht="15.75" customHeight="1">
      <c r="A170" s="125"/>
      <c r="B170" s="125"/>
      <c r="C170" s="125"/>
      <c r="D170" s="128"/>
      <c r="E170" s="126"/>
      <c r="F170" s="38"/>
      <c r="G170" s="127"/>
      <c r="H170" s="28"/>
      <c r="I170" s="28"/>
      <c r="J170" s="28"/>
      <c r="K170" s="28"/>
      <c r="L170" s="28"/>
      <c r="M170" s="28"/>
      <c r="N170" s="28"/>
      <c r="O170" s="28"/>
      <c r="P170" s="28"/>
      <c r="Q170" s="28"/>
      <c r="R170" s="28"/>
      <c r="S170" s="28"/>
      <c r="T170" s="28"/>
      <c r="U170" s="28"/>
      <c r="V170" s="28"/>
      <c r="W170" s="28"/>
      <c r="X170" s="28"/>
      <c r="Y170" s="28"/>
      <c r="Z170" s="28"/>
    </row>
    <row r="171" ht="15.75" customHeight="1">
      <c r="A171" s="125"/>
      <c r="B171" s="125"/>
      <c r="C171" s="125"/>
      <c r="D171" s="128"/>
      <c r="E171" s="126"/>
      <c r="F171" s="38"/>
      <c r="G171" s="127"/>
      <c r="H171" s="28"/>
      <c r="I171" s="28"/>
      <c r="J171" s="28"/>
      <c r="K171" s="28"/>
      <c r="L171" s="28"/>
      <c r="M171" s="28"/>
      <c r="N171" s="28"/>
      <c r="O171" s="28"/>
      <c r="P171" s="28"/>
      <c r="Q171" s="28"/>
      <c r="R171" s="28"/>
      <c r="S171" s="28"/>
      <c r="T171" s="28"/>
      <c r="U171" s="28"/>
      <c r="V171" s="28"/>
      <c r="W171" s="28"/>
      <c r="X171" s="28"/>
      <c r="Y171" s="28"/>
      <c r="Z171" s="28"/>
    </row>
    <row r="172" ht="15.75" customHeight="1">
      <c r="A172" s="125"/>
      <c r="B172" s="125"/>
      <c r="C172" s="125"/>
      <c r="D172" s="128"/>
      <c r="E172" s="126"/>
      <c r="F172" s="38"/>
      <c r="G172" s="127"/>
      <c r="H172" s="28"/>
      <c r="I172" s="28"/>
      <c r="J172" s="28"/>
      <c r="K172" s="28"/>
      <c r="L172" s="28"/>
      <c r="M172" s="28"/>
      <c r="N172" s="28"/>
      <c r="O172" s="28"/>
      <c r="P172" s="28"/>
      <c r="Q172" s="28"/>
      <c r="R172" s="28"/>
      <c r="S172" s="28"/>
      <c r="T172" s="28"/>
      <c r="U172" s="28"/>
      <c r="V172" s="28"/>
      <c r="W172" s="28"/>
      <c r="X172" s="28"/>
      <c r="Y172" s="28"/>
      <c r="Z172" s="28"/>
    </row>
    <row r="173" ht="15.75" customHeight="1">
      <c r="A173" s="125"/>
      <c r="B173" s="125"/>
      <c r="C173" s="125"/>
      <c r="D173" s="128"/>
      <c r="E173" s="126"/>
      <c r="F173" s="38"/>
      <c r="G173" s="127"/>
      <c r="H173" s="28"/>
      <c r="I173" s="28"/>
      <c r="J173" s="28"/>
      <c r="K173" s="28"/>
      <c r="L173" s="28"/>
      <c r="M173" s="28"/>
      <c r="N173" s="28"/>
      <c r="O173" s="28"/>
      <c r="P173" s="28"/>
      <c r="Q173" s="28"/>
      <c r="R173" s="28"/>
      <c r="S173" s="28"/>
      <c r="T173" s="28"/>
      <c r="U173" s="28"/>
      <c r="V173" s="28"/>
      <c r="W173" s="28"/>
      <c r="X173" s="28"/>
      <c r="Y173" s="28"/>
      <c r="Z173" s="28"/>
    </row>
    <row r="174" ht="15.75" customHeight="1">
      <c r="A174" s="125"/>
      <c r="B174" s="125"/>
      <c r="C174" s="125"/>
      <c r="D174" s="128"/>
      <c r="E174" s="126"/>
      <c r="F174" s="38"/>
      <c r="G174" s="127"/>
      <c r="H174" s="28"/>
      <c r="I174" s="28"/>
      <c r="J174" s="28"/>
      <c r="K174" s="28"/>
      <c r="L174" s="28"/>
      <c r="M174" s="28"/>
      <c r="N174" s="28"/>
      <c r="O174" s="28"/>
      <c r="P174" s="28"/>
      <c r="Q174" s="28"/>
      <c r="R174" s="28"/>
      <c r="S174" s="28"/>
      <c r="T174" s="28"/>
      <c r="U174" s="28"/>
      <c r="V174" s="28"/>
      <c r="W174" s="28"/>
      <c r="X174" s="28"/>
      <c r="Y174" s="28"/>
      <c r="Z174" s="28"/>
    </row>
    <row r="175" ht="15.75" customHeight="1">
      <c r="A175" s="125"/>
      <c r="B175" s="125"/>
      <c r="C175" s="125"/>
      <c r="D175" s="128"/>
      <c r="E175" s="126"/>
      <c r="F175" s="38"/>
      <c r="G175" s="127"/>
      <c r="H175" s="28"/>
      <c r="I175" s="28"/>
      <c r="J175" s="28"/>
      <c r="K175" s="28"/>
      <c r="L175" s="28"/>
      <c r="M175" s="28"/>
      <c r="N175" s="28"/>
      <c r="O175" s="28"/>
      <c r="P175" s="28"/>
      <c r="Q175" s="28"/>
      <c r="R175" s="28"/>
      <c r="S175" s="28"/>
      <c r="T175" s="28"/>
      <c r="U175" s="28"/>
      <c r="V175" s="28"/>
      <c r="W175" s="28"/>
      <c r="X175" s="28"/>
      <c r="Y175" s="28"/>
      <c r="Z175" s="28"/>
    </row>
    <row r="176" ht="15.75" customHeight="1">
      <c r="A176" s="125"/>
      <c r="B176" s="125"/>
      <c r="C176" s="125"/>
      <c r="D176" s="128"/>
      <c r="E176" s="126"/>
      <c r="F176" s="38"/>
      <c r="G176" s="127"/>
      <c r="H176" s="28"/>
      <c r="I176" s="28"/>
      <c r="J176" s="28"/>
      <c r="K176" s="28"/>
      <c r="L176" s="28"/>
      <c r="M176" s="28"/>
      <c r="N176" s="28"/>
      <c r="O176" s="28"/>
      <c r="P176" s="28"/>
      <c r="Q176" s="28"/>
      <c r="R176" s="28"/>
      <c r="S176" s="28"/>
      <c r="T176" s="28"/>
      <c r="U176" s="28"/>
      <c r="V176" s="28"/>
      <c r="W176" s="28"/>
      <c r="X176" s="28"/>
      <c r="Y176" s="28"/>
      <c r="Z176" s="28"/>
    </row>
    <row r="177" ht="15.75" customHeight="1">
      <c r="A177" s="125"/>
      <c r="B177" s="125"/>
      <c r="C177" s="125"/>
      <c r="D177" s="128"/>
      <c r="E177" s="126"/>
      <c r="F177" s="38"/>
      <c r="G177" s="127"/>
      <c r="H177" s="28"/>
      <c r="I177" s="28"/>
      <c r="J177" s="28"/>
      <c r="K177" s="28"/>
      <c r="L177" s="28"/>
      <c r="M177" s="28"/>
      <c r="N177" s="28"/>
      <c r="O177" s="28"/>
      <c r="P177" s="28"/>
      <c r="Q177" s="28"/>
      <c r="R177" s="28"/>
      <c r="S177" s="28"/>
      <c r="T177" s="28"/>
      <c r="U177" s="28"/>
      <c r="V177" s="28"/>
      <c r="W177" s="28"/>
      <c r="X177" s="28"/>
      <c r="Y177" s="28"/>
      <c r="Z177" s="28"/>
    </row>
    <row r="178" ht="15.75" customHeight="1">
      <c r="A178" s="125"/>
      <c r="B178" s="125"/>
      <c r="C178" s="125"/>
      <c r="D178" s="128"/>
      <c r="E178" s="126"/>
      <c r="F178" s="38"/>
      <c r="G178" s="127"/>
      <c r="H178" s="28"/>
      <c r="I178" s="28"/>
      <c r="J178" s="28"/>
      <c r="K178" s="28"/>
      <c r="L178" s="28"/>
      <c r="M178" s="28"/>
      <c r="N178" s="28"/>
      <c r="O178" s="28"/>
      <c r="P178" s="28"/>
      <c r="Q178" s="28"/>
      <c r="R178" s="28"/>
      <c r="S178" s="28"/>
      <c r="T178" s="28"/>
      <c r="U178" s="28"/>
      <c r="V178" s="28"/>
      <c r="W178" s="28"/>
      <c r="X178" s="28"/>
      <c r="Y178" s="28"/>
      <c r="Z178" s="28"/>
    </row>
    <row r="179" ht="15.75" customHeight="1">
      <c r="A179" s="125"/>
      <c r="B179" s="125"/>
      <c r="C179" s="125"/>
      <c r="D179" s="128"/>
      <c r="E179" s="126"/>
      <c r="F179" s="38"/>
      <c r="G179" s="127"/>
      <c r="H179" s="28"/>
      <c r="I179" s="28"/>
      <c r="J179" s="28"/>
      <c r="K179" s="28"/>
      <c r="L179" s="28"/>
      <c r="M179" s="28"/>
      <c r="N179" s="28"/>
      <c r="O179" s="28"/>
      <c r="P179" s="28"/>
      <c r="Q179" s="28"/>
      <c r="R179" s="28"/>
      <c r="S179" s="28"/>
      <c r="T179" s="28"/>
      <c r="U179" s="28"/>
      <c r="V179" s="28"/>
      <c r="W179" s="28"/>
      <c r="X179" s="28"/>
      <c r="Y179" s="28"/>
      <c r="Z179" s="28"/>
    </row>
    <row r="180" ht="15.75" customHeight="1">
      <c r="A180" s="125"/>
      <c r="B180" s="125"/>
      <c r="C180" s="125"/>
      <c r="D180" s="128"/>
      <c r="E180" s="126"/>
      <c r="F180" s="38"/>
      <c r="G180" s="127"/>
      <c r="H180" s="28"/>
      <c r="I180" s="28"/>
      <c r="J180" s="28"/>
      <c r="K180" s="28"/>
      <c r="L180" s="28"/>
      <c r="M180" s="28"/>
      <c r="N180" s="28"/>
      <c r="O180" s="28"/>
      <c r="P180" s="28"/>
      <c r="Q180" s="28"/>
      <c r="R180" s="28"/>
      <c r="S180" s="28"/>
      <c r="T180" s="28"/>
      <c r="U180" s="28"/>
      <c r="V180" s="28"/>
      <c r="W180" s="28"/>
      <c r="X180" s="28"/>
      <c r="Y180" s="28"/>
      <c r="Z180" s="28"/>
    </row>
    <row r="181" ht="15.75" customHeight="1">
      <c r="A181" s="125"/>
      <c r="B181" s="125"/>
      <c r="C181" s="125"/>
      <c r="D181" s="128"/>
      <c r="E181" s="126"/>
      <c r="F181" s="38"/>
      <c r="G181" s="127"/>
      <c r="H181" s="28"/>
      <c r="I181" s="28"/>
      <c r="J181" s="28"/>
      <c r="K181" s="28"/>
      <c r="L181" s="28"/>
      <c r="M181" s="28"/>
      <c r="N181" s="28"/>
      <c r="O181" s="28"/>
      <c r="P181" s="28"/>
      <c r="Q181" s="28"/>
      <c r="R181" s="28"/>
      <c r="S181" s="28"/>
      <c r="T181" s="28"/>
      <c r="U181" s="28"/>
      <c r="V181" s="28"/>
      <c r="W181" s="28"/>
      <c r="X181" s="28"/>
      <c r="Y181" s="28"/>
      <c r="Z181" s="28"/>
    </row>
    <row r="182" ht="15.75" customHeight="1">
      <c r="A182" s="125"/>
      <c r="B182" s="125"/>
      <c r="C182" s="125"/>
      <c r="D182" s="128"/>
      <c r="E182" s="126"/>
      <c r="F182" s="38"/>
      <c r="G182" s="127"/>
      <c r="H182" s="28"/>
      <c r="I182" s="28"/>
      <c r="J182" s="28"/>
      <c r="K182" s="28"/>
      <c r="L182" s="28"/>
      <c r="M182" s="28"/>
      <c r="N182" s="28"/>
      <c r="O182" s="28"/>
      <c r="P182" s="28"/>
      <c r="Q182" s="28"/>
      <c r="R182" s="28"/>
      <c r="S182" s="28"/>
      <c r="T182" s="28"/>
      <c r="U182" s="28"/>
      <c r="V182" s="28"/>
      <c r="W182" s="28"/>
      <c r="X182" s="28"/>
      <c r="Y182" s="28"/>
      <c r="Z182" s="28"/>
    </row>
    <row r="183" ht="15.75" customHeight="1">
      <c r="A183" s="125"/>
      <c r="B183" s="125"/>
      <c r="C183" s="125"/>
      <c r="D183" s="128"/>
      <c r="E183" s="126"/>
      <c r="F183" s="38"/>
      <c r="G183" s="127"/>
      <c r="H183" s="28"/>
      <c r="I183" s="28"/>
      <c r="J183" s="28"/>
      <c r="K183" s="28"/>
      <c r="L183" s="28"/>
      <c r="M183" s="28"/>
      <c r="N183" s="28"/>
      <c r="O183" s="28"/>
      <c r="P183" s="28"/>
      <c r="Q183" s="28"/>
      <c r="R183" s="28"/>
      <c r="S183" s="28"/>
      <c r="T183" s="28"/>
      <c r="U183" s="28"/>
      <c r="V183" s="28"/>
      <c r="W183" s="28"/>
      <c r="X183" s="28"/>
      <c r="Y183" s="28"/>
      <c r="Z183" s="28"/>
    </row>
    <row r="184" ht="15.75" customHeight="1">
      <c r="A184" s="125"/>
      <c r="B184" s="125"/>
      <c r="C184" s="125"/>
      <c r="D184" s="128"/>
      <c r="E184" s="126"/>
      <c r="F184" s="38"/>
      <c r="G184" s="127"/>
      <c r="H184" s="28"/>
      <c r="I184" s="28"/>
      <c r="J184" s="28"/>
      <c r="K184" s="28"/>
      <c r="L184" s="28"/>
      <c r="M184" s="28"/>
      <c r="N184" s="28"/>
      <c r="O184" s="28"/>
      <c r="P184" s="28"/>
      <c r="Q184" s="28"/>
      <c r="R184" s="28"/>
      <c r="S184" s="28"/>
      <c r="T184" s="28"/>
      <c r="U184" s="28"/>
      <c r="V184" s="28"/>
      <c r="W184" s="28"/>
      <c r="X184" s="28"/>
      <c r="Y184" s="28"/>
      <c r="Z184" s="28"/>
    </row>
    <row r="185" ht="15.75" customHeight="1">
      <c r="A185" s="125"/>
      <c r="B185" s="125"/>
      <c r="C185" s="125"/>
      <c r="D185" s="128"/>
      <c r="E185" s="126"/>
      <c r="F185" s="38"/>
      <c r="G185" s="127"/>
      <c r="H185" s="28"/>
      <c r="I185" s="28"/>
      <c r="J185" s="28"/>
      <c r="K185" s="28"/>
      <c r="L185" s="28"/>
      <c r="M185" s="28"/>
      <c r="N185" s="28"/>
      <c r="O185" s="28"/>
      <c r="P185" s="28"/>
      <c r="Q185" s="28"/>
      <c r="R185" s="28"/>
      <c r="S185" s="28"/>
      <c r="T185" s="28"/>
      <c r="U185" s="28"/>
      <c r="V185" s="28"/>
      <c r="W185" s="28"/>
      <c r="X185" s="28"/>
      <c r="Y185" s="28"/>
      <c r="Z185" s="28"/>
    </row>
    <row r="186" ht="15.75" customHeight="1">
      <c r="A186" s="125"/>
      <c r="B186" s="125"/>
      <c r="C186" s="125"/>
      <c r="D186" s="128"/>
      <c r="E186" s="126"/>
      <c r="F186" s="38"/>
      <c r="G186" s="127"/>
      <c r="H186" s="28"/>
      <c r="I186" s="28"/>
      <c r="J186" s="28"/>
      <c r="K186" s="28"/>
      <c r="L186" s="28"/>
      <c r="M186" s="28"/>
      <c r="N186" s="28"/>
      <c r="O186" s="28"/>
      <c r="P186" s="28"/>
      <c r="Q186" s="28"/>
      <c r="R186" s="28"/>
      <c r="S186" s="28"/>
      <c r="T186" s="28"/>
      <c r="U186" s="28"/>
      <c r="V186" s="28"/>
      <c r="W186" s="28"/>
      <c r="X186" s="28"/>
      <c r="Y186" s="28"/>
      <c r="Z186" s="28"/>
    </row>
    <row r="187" ht="15.75" customHeight="1">
      <c r="A187" s="125"/>
      <c r="B187" s="125"/>
      <c r="C187" s="125"/>
      <c r="D187" s="128"/>
      <c r="E187" s="126"/>
      <c r="F187" s="38"/>
      <c r="G187" s="127"/>
      <c r="H187" s="28"/>
      <c r="I187" s="28"/>
      <c r="J187" s="28"/>
      <c r="K187" s="28"/>
      <c r="L187" s="28"/>
      <c r="M187" s="28"/>
      <c r="N187" s="28"/>
      <c r="O187" s="28"/>
      <c r="P187" s="28"/>
      <c r="Q187" s="28"/>
      <c r="R187" s="28"/>
      <c r="S187" s="28"/>
      <c r="T187" s="28"/>
      <c r="U187" s="28"/>
      <c r="V187" s="28"/>
      <c r="W187" s="28"/>
      <c r="X187" s="28"/>
      <c r="Y187" s="28"/>
      <c r="Z187" s="28"/>
    </row>
    <row r="188" ht="15.75" customHeight="1">
      <c r="A188" s="125"/>
      <c r="B188" s="125"/>
      <c r="C188" s="125"/>
      <c r="D188" s="128"/>
      <c r="E188" s="126"/>
      <c r="F188" s="38"/>
      <c r="G188" s="127"/>
      <c r="H188" s="28"/>
      <c r="I188" s="28"/>
      <c r="J188" s="28"/>
      <c r="K188" s="28"/>
      <c r="L188" s="28"/>
      <c r="M188" s="28"/>
      <c r="N188" s="28"/>
      <c r="O188" s="28"/>
      <c r="P188" s="28"/>
      <c r="Q188" s="28"/>
      <c r="R188" s="28"/>
      <c r="S188" s="28"/>
      <c r="T188" s="28"/>
      <c r="U188" s="28"/>
      <c r="V188" s="28"/>
      <c r="W188" s="28"/>
      <c r="X188" s="28"/>
      <c r="Y188" s="28"/>
      <c r="Z188" s="28"/>
    </row>
    <row r="189" ht="15.75" customHeight="1">
      <c r="A189" s="125"/>
      <c r="B189" s="125"/>
      <c r="C189" s="125"/>
      <c r="D189" s="128"/>
      <c r="E189" s="126"/>
      <c r="F189" s="38"/>
      <c r="G189" s="127"/>
      <c r="H189" s="28"/>
      <c r="I189" s="28"/>
      <c r="J189" s="28"/>
      <c r="K189" s="28"/>
      <c r="L189" s="28"/>
      <c r="M189" s="28"/>
      <c r="N189" s="28"/>
      <c r="O189" s="28"/>
      <c r="P189" s="28"/>
      <c r="Q189" s="28"/>
      <c r="R189" s="28"/>
      <c r="S189" s="28"/>
      <c r="T189" s="28"/>
      <c r="U189" s="28"/>
      <c r="V189" s="28"/>
      <c r="W189" s="28"/>
      <c r="X189" s="28"/>
      <c r="Y189" s="28"/>
      <c r="Z189" s="28"/>
    </row>
    <row r="190" ht="15.75" customHeight="1">
      <c r="A190" s="125"/>
      <c r="B190" s="125"/>
      <c r="C190" s="125"/>
      <c r="D190" s="128"/>
      <c r="E190" s="126"/>
      <c r="F190" s="38"/>
      <c r="G190" s="127"/>
      <c r="H190" s="28"/>
      <c r="I190" s="28"/>
      <c r="J190" s="28"/>
      <c r="K190" s="28"/>
      <c r="L190" s="28"/>
      <c r="M190" s="28"/>
      <c r="N190" s="28"/>
      <c r="O190" s="28"/>
      <c r="P190" s="28"/>
      <c r="Q190" s="28"/>
      <c r="R190" s="28"/>
      <c r="S190" s="28"/>
      <c r="T190" s="28"/>
      <c r="U190" s="28"/>
      <c r="V190" s="28"/>
      <c r="W190" s="28"/>
      <c r="X190" s="28"/>
      <c r="Y190" s="28"/>
      <c r="Z190" s="28"/>
    </row>
    <row r="191" ht="15.75" customHeight="1">
      <c r="A191" s="125"/>
      <c r="B191" s="125"/>
      <c r="C191" s="125"/>
      <c r="D191" s="128"/>
      <c r="E191" s="126"/>
      <c r="F191" s="38"/>
      <c r="G191" s="127"/>
      <c r="H191" s="28"/>
      <c r="I191" s="28"/>
      <c r="J191" s="28"/>
      <c r="K191" s="28"/>
      <c r="L191" s="28"/>
      <c r="M191" s="28"/>
      <c r="N191" s="28"/>
      <c r="O191" s="28"/>
      <c r="P191" s="28"/>
      <c r="Q191" s="28"/>
      <c r="R191" s="28"/>
      <c r="S191" s="28"/>
      <c r="T191" s="28"/>
      <c r="U191" s="28"/>
      <c r="V191" s="28"/>
      <c r="W191" s="28"/>
      <c r="X191" s="28"/>
      <c r="Y191" s="28"/>
      <c r="Z191" s="28"/>
    </row>
    <row r="192" ht="15.75" customHeight="1">
      <c r="A192" s="125"/>
      <c r="B192" s="125"/>
      <c r="C192" s="125"/>
      <c r="D192" s="128"/>
      <c r="E192" s="126"/>
      <c r="F192" s="38"/>
      <c r="G192" s="127"/>
      <c r="H192" s="28"/>
      <c r="I192" s="28"/>
      <c r="J192" s="28"/>
      <c r="K192" s="28"/>
      <c r="L192" s="28"/>
      <c r="M192" s="28"/>
      <c r="N192" s="28"/>
      <c r="O192" s="28"/>
      <c r="P192" s="28"/>
      <c r="Q192" s="28"/>
      <c r="R192" s="28"/>
      <c r="S192" s="28"/>
      <c r="T192" s="28"/>
      <c r="U192" s="28"/>
      <c r="V192" s="28"/>
      <c r="W192" s="28"/>
      <c r="X192" s="28"/>
      <c r="Y192" s="28"/>
      <c r="Z192" s="28"/>
    </row>
    <row r="193" ht="15.75" customHeight="1">
      <c r="A193" s="125"/>
      <c r="B193" s="125"/>
      <c r="C193" s="125"/>
      <c r="D193" s="128"/>
      <c r="E193" s="126"/>
      <c r="F193" s="38"/>
      <c r="G193" s="127"/>
      <c r="H193" s="28"/>
      <c r="I193" s="28"/>
      <c r="J193" s="28"/>
      <c r="K193" s="28"/>
      <c r="L193" s="28"/>
      <c r="M193" s="28"/>
      <c r="N193" s="28"/>
      <c r="O193" s="28"/>
      <c r="P193" s="28"/>
      <c r="Q193" s="28"/>
      <c r="R193" s="28"/>
      <c r="S193" s="28"/>
      <c r="T193" s="28"/>
      <c r="U193" s="28"/>
      <c r="V193" s="28"/>
      <c r="W193" s="28"/>
      <c r="X193" s="28"/>
      <c r="Y193" s="28"/>
      <c r="Z193" s="28"/>
    </row>
    <row r="194" ht="15.75" customHeight="1">
      <c r="A194" s="125"/>
      <c r="B194" s="125"/>
      <c r="C194" s="125"/>
      <c r="D194" s="128"/>
      <c r="E194" s="126"/>
      <c r="F194" s="38"/>
      <c r="G194" s="127"/>
      <c r="H194" s="28"/>
      <c r="I194" s="28"/>
      <c r="J194" s="28"/>
      <c r="K194" s="28"/>
      <c r="L194" s="28"/>
      <c r="M194" s="28"/>
      <c r="N194" s="28"/>
      <c r="O194" s="28"/>
      <c r="P194" s="28"/>
      <c r="Q194" s="28"/>
      <c r="R194" s="28"/>
      <c r="S194" s="28"/>
      <c r="T194" s="28"/>
      <c r="U194" s="28"/>
      <c r="V194" s="28"/>
      <c r="W194" s="28"/>
      <c r="X194" s="28"/>
      <c r="Y194" s="28"/>
      <c r="Z194" s="28"/>
    </row>
    <row r="195" ht="15.75" customHeight="1">
      <c r="A195" s="125"/>
      <c r="B195" s="125"/>
      <c r="C195" s="125"/>
      <c r="D195" s="128"/>
      <c r="E195" s="126"/>
      <c r="F195" s="38"/>
      <c r="G195" s="127"/>
      <c r="H195" s="28"/>
      <c r="I195" s="28"/>
      <c r="J195" s="28"/>
      <c r="K195" s="28"/>
      <c r="L195" s="28"/>
      <c r="M195" s="28"/>
      <c r="N195" s="28"/>
      <c r="O195" s="28"/>
      <c r="P195" s="28"/>
      <c r="Q195" s="28"/>
      <c r="R195" s="28"/>
      <c r="S195" s="28"/>
      <c r="T195" s="28"/>
      <c r="U195" s="28"/>
      <c r="V195" s="28"/>
      <c r="W195" s="28"/>
      <c r="X195" s="28"/>
      <c r="Y195" s="28"/>
      <c r="Z195" s="28"/>
    </row>
    <row r="196" ht="15.75" customHeight="1">
      <c r="A196" s="125"/>
      <c r="B196" s="125"/>
      <c r="C196" s="125"/>
      <c r="D196" s="128"/>
      <c r="E196" s="126"/>
      <c r="F196" s="38"/>
      <c r="G196" s="127"/>
      <c r="H196" s="28"/>
      <c r="I196" s="28"/>
      <c r="J196" s="28"/>
      <c r="K196" s="28"/>
      <c r="L196" s="28"/>
      <c r="M196" s="28"/>
      <c r="N196" s="28"/>
      <c r="O196" s="28"/>
      <c r="P196" s="28"/>
      <c r="Q196" s="28"/>
      <c r="R196" s="28"/>
      <c r="S196" s="28"/>
      <c r="T196" s="28"/>
      <c r="U196" s="28"/>
      <c r="V196" s="28"/>
      <c r="W196" s="28"/>
      <c r="X196" s="28"/>
      <c r="Y196" s="28"/>
      <c r="Z196" s="28"/>
    </row>
    <row r="197" ht="15.75" customHeight="1">
      <c r="A197" s="125"/>
      <c r="B197" s="125"/>
      <c r="C197" s="125"/>
      <c r="D197" s="128"/>
      <c r="E197" s="126"/>
      <c r="F197" s="38"/>
      <c r="G197" s="127"/>
      <c r="H197" s="28"/>
      <c r="I197" s="28"/>
      <c r="J197" s="28"/>
      <c r="K197" s="28"/>
      <c r="L197" s="28"/>
      <c r="M197" s="28"/>
      <c r="N197" s="28"/>
      <c r="O197" s="28"/>
      <c r="P197" s="28"/>
      <c r="Q197" s="28"/>
      <c r="R197" s="28"/>
      <c r="S197" s="28"/>
      <c r="T197" s="28"/>
      <c r="U197" s="28"/>
      <c r="V197" s="28"/>
      <c r="W197" s="28"/>
      <c r="X197" s="28"/>
      <c r="Y197" s="28"/>
      <c r="Z197" s="28"/>
    </row>
    <row r="198" ht="15.75" customHeight="1">
      <c r="A198" s="125"/>
      <c r="B198" s="125"/>
      <c r="C198" s="125"/>
      <c r="D198" s="128"/>
      <c r="E198" s="126"/>
      <c r="F198" s="38"/>
      <c r="G198" s="127"/>
      <c r="H198" s="28"/>
      <c r="I198" s="28"/>
      <c r="J198" s="28"/>
      <c r="K198" s="28"/>
      <c r="L198" s="28"/>
      <c r="M198" s="28"/>
      <c r="N198" s="28"/>
      <c r="O198" s="28"/>
      <c r="P198" s="28"/>
      <c r="Q198" s="28"/>
      <c r="R198" s="28"/>
      <c r="S198" s="28"/>
      <c r="T198" s="28"/>
      <c r="U198" s="28"/>
      <c r="V198" s="28"/>
      <c r="W198" s="28"/>
      <c r="X198" s="28"/>
      <c r="Y198" s="28"/>
      <c r="Z198" s="28"/>
    </row>
    <row r="199" ht="15.75" customHeight="1">
      <c r="A199" s="125"/>
      <c r="B199" s="125"/>
      <c r="C199" s="125"/>
      <c r="D199" s="128"/>
      <c r="E199" s="126"/>
      <c r="F199" s="38"/>
      <c r="G199" s="127"/>
      <c r="H199" s="28"/>
      <c r="I199" s="28"/>
      <c r="J199" s="28"/>
      <c r="K199" s="28"/>
      <c r="L199" s="28"/>
      <c r="M199" s="28"/>
      <c r="N199" s="28"/>
      <c r="O199" s="28"/>
      <c r="P199" s="28"/>
      <c r="Q199" s="28"/>
      <c r="R199" s="28"/>
      <c r="S199" s="28"/>
      <c r="T199" s="28"/>
      <c r="U199" s="28"/>
      <c r="V199" s="28"/>
      <c r="W199" s="28"/>
      <c r="X199" s="28"/>
      <c r="Y199" s="28"/>
      <c r="Z199" s="28"/>
    </row>
    <row r="200" ht="15.75" customHeight="1">
      <c r="A200" s="125"/>
      <c r="B200" s="125"/>
      <c r="C200" s="125"/>
      <c r="D200" s="128"/>
      <c r="E200" s="126"/>
      <c r="F200" s="38"/>
      <c r="G200" s="127"/>
      <c r="H200" s="28"/>
      <c r="I200" s="28"/>
      <c r="J200" s="28"/>
      <c r="K200" s="28"/>
      <c r="L200" s="28"/>
      <c r="M200" s="28"/>
      <c r="N200" s="28"/>
      <c r="O200" s="28"/>
      <c r="P200" s="28"/>
      <c r="Q200" s="28"/>
      <c r="R200" s="28"/>
      <c r="S200" s="28"/>
      <c r="T200" s="28"/>
      <c r="U200" s="28"/>
      <c r="V200" s="28"/>
      <c r="W200" s="28"/>
      <c r="X200" s="28"/>
      <c r="Y200" s="28"/>
      <c r="Z200" s="28"/>
    </row>
    <row r="201" ht="15.75" customHeight="1">
      <c r="A201" s="125"/>
      <c r="B201" s="125"/>
      <c r="C201" s="125"/>
      <c r="D201" s="128"/>
      <c r="E201" s="126"/>
      <c r="F201" s="38"/>
      <c r="G201" s="127"/>
      <c r="H201" s="28"/>
      <c r="I201" s="28"/>
      <c r="J201" s="28"/>
      <c r="K201" s="28"/>
      <c r="L201" s="28"/>
      <c r="M201" s="28"/>
      <c r="N201" s="28"/>
      <c r="O201" s="28"/>
      <c r="P201" s="28"/>
      <c r="Q201" s="28"/>
      <c r="R201" s="28"/>
      <c r="S201" s="28"/>
      <c r="T201" s="28"/>
      <c r="U201" s="28"/>
      <c r="V201" s="28"/>
      <c r="W201" s="28"/>
      <c r="X201" s="28"/>
      <c r="Y201" s="28"/>
      <c r="Z201" s="28"/>
    </row>
    <row r="202" ht="15.75" customHeight="1">
      <c r="A202" s="125"/>
      <c r="B202" s="125"/>
      <c r="C202" s="125"/>
      <c r="D202" s="128"/>
      <c r="E202" s="126"/>
      <c r="F202" s="38"/>
      <c r="G202" s="127"/>
      <c r="H202" s="28"/>
      <c r="I202" s="28"/>
      <c r="J202" s="28"/>
      <c r="K202" s="28"/>
      <c r="L202" s="28"/>
      <c r="M202" s="28"/>
      <c r="N202" s="28"/>
      <c r="O202" s="28"/>
      <c r="P202" s="28"/>
      <c r="Q202" s="28"/>
      <c r="R202" s="28"/>
      <c r="S202" s="28"/>
      <c r="T202" s="28"/>
      <c r="U202" s="28"/>
      <c r="V202" s="28"/>
      <c r="W202" s="28"/>
      <c r="X202" s="28"/>
      <c r="Y202" s="28"/>
      <c r="Z202" s="28"/>
    </row>
    <row r="203" ht="15.75" customHeight="1">
      <c r="A203" s="125"/>
      <c r="B203" s="125"/>
      <c r="C203" s="125"/>
      <c r="D203" s="128"/>
      <c r="E203" s="126"/>
      <c r="F203" s="38"/>
      <c r="G203" s="127"/>
      <c r="H203" s="28"/>
      <c r="I203" s="28"/>
      <c r="J203" s="28"/>
      <c r="K203" s="28"/>
      <c r="L203" s="28"/>
      <c r="M203" s="28"/>
      <c r="N203" s="28"/>
      <c r="O203" s="28"/>
      <c r="P203" s="28"/>
      <c r="Q203" s="28"/>
      <c r="R203" s="28"/>
      <c r="S203" s="28"/>
      <c r="T203" s="28"/>
      <c r="U203" s="28"/>
      <c r="V203" s="28"/>
      <c r="W203" s="28"/>
      <c r="X203" s="28"/>
      <c r="Y203" s="28"/>
      <c r="Z203" s="28"/>
    </row>
    <row r="204" ht="15.75" customHeight="1">
      <c r="A204" s="125"/>
      <c r="B204" s="125"/>
      <c r="C204" s="125"/>
      <c r="D204" s="128"/>
      <c r="E204" s="126"/>
      <c r="F204" s="38"/>
      <c r="G204" s="127"/>
      <c r="H204" s="28"/>
      <c r="I204" s="28"/>
      <c r="J204" s="28"/>
      <c r="K204" s="28"/>
      <c r="L204" s="28"/>
      <c r="M204" s="28"/>
      <c r="N204" s="28"/>
      <c r="O204" s="28"/>
      <c r="P204" s="28"/>
      <c r="Q204" s="28"/>
      <c r="R204" s="28"/>
      <c r="S204" s="28"/>
      <c r="T204" s="28"/>
      <c r="U204" s="28"/>
      <c r="V204" s="28"/>
      <c r="W204" s="28"/>
      <c r="X204" s="28"/>
      <c r="Y204" s="28"/>
      <c r="Z204" s="28"/>
    </row>
    <row r="205" ht="15.75" customHeight="1">
      <c r="A205" s="125"/>
      <c r="B205" s="125"/>
      <c r="C205" s="125"/>
      <c r="D205" s="128"/>
      <c r="E205" s="126"/>
      <c r="F205" s="38"/>
      <c r="G205" s="127"/>
      <c r="H205" s="28"/>
      <c r="I205" s="28"/>
      <c r="J205" s="28"/>
      <c r="K205" s="28"/>
      <c r="L205" s="28"/>
      <c r="M205" s="28"/>
      <c r="N205" s="28"/>
      <c r="O205" s="28"/>
      <c r="P205" s="28"/>
      <c r="Q205" s="28"/>
      <c r="R205" s="28"/>
      <c r="S205" s="28"/>
      <c r="T205" s="28"/>
      <c r="U205" s="28"/>
      <c r="V205" s="28"/>
      <c r="W205" s="28"/>
      <c r="X205" s="28"/>
      <c r="Y205" s="28"/>
      <c r="Z205" s="28"/>
    </row>
    <row r="206" ht="15.75" customHeight="1">
      <c r="A206" s="125"/>
      <c r="B206" s="125"/>
      <c r="C206" s="125"/>
      <c r="D206" s="128"/>
      <c r="E206" s="126"/>
      <c r="F206" s="38"/>
      <c r="G206" s="127"/>
      <c r="H206" s="28"/>
      <c r="I206" s="28"/>
      <c r="J206" s="28"/>
      <c r="K206" s="28"/>
      <c r="L206" s="28"/>
      <c r="M206" s="28"/>
      <c r="N206" s="28"/>
      <c r="O206" s="28"/>
      <c r="P206" s="28"/>
      <c r="Q206" s="28"/>
      <c r="R206" s="28"/>
      <c r="S206" s="28"/>
      <c r="T206" s="28"/>
      <c r="U206" s="28"/>
      <c r="V206" s="28"/>
      <c r="W206" s="28"/>
      <c r="X206" s="28"/>
      <c r="Y206" s="28"/>
      <c r="Z206" s="28"/>
    </row>
    <row r="207" ht="15.75" customHeight="1">
      <c r="A207" s="125"/>
      <c r="B207" s="125"/>
      <c r="C207" s="125"/>
      <c r="D207" s="128"/>
      <c r="E207" s="126"/>
      <c r="F207" s="38"/>
      <c r="G207" s="127"/>
      <c r="H207" s="28"/>
      <c r="I207" s="28"/>
      <c r="J207" s="28"/>
      <c r="K207" s="28"/>
      <c r="L207" s="28"/>
      <c r="M207" s="28"/>
      <c r="N207" s="28"/>
      <c r="O207" s="28"/>
      <c r="P207" s="28"/>
      <c r="Q207" s="28"/>
      <c r="R207" s="28"/>
      <c r="S207" s="28"/>
      <c r="T207" s="28"/>
      <c r="U207" s="28"/>
      <c r="V207" s="28"/>
      <c r="W207" s="28"/>
      <c r="X207" s="28"/>
      <c r="Y207" s="28"/>
      <c r="Z207" s="28"/>
    </row>
    <row r="208" ht="15.75" customHeight="1">
      <c r="A208" s="125"/>
      <c r="B208" s="125"/>
      <c r="C208" s="125"/>
      <c r="D208" s="128"/>
      <c r="E208" s="126"/>
      <c r="F208" s="38"/>
      <c r="G208" s="127"/>
      <c r="H208" s="28"/>
      <c r="I208" s="28"/>
      <c r="J208" s="28"/>
      <c r="K208" s="28"/>
      <c r="L208" s="28"/>
      <c r="M208" s="28"/>
      <c r="N208" s="28"/>
      <c r="O208" s="28"/>
      <c r="P208" s="28"/>
      <c r="Q208" s="28"/>
      <c r="R208" s="28"/>
      <c r="S208" s="28"/>
      <c r="T208" s="28"/>
      <c r="U208" s="28"/>
      <c r="V208" s="28"/>
      <c r="W208" s="28"/>
      <c r="X208" s="28"/>
      <c r="Y208" s="28"/>
      <c r="Z208" s="28"/>
    </row>
    <row r="209" ht="15.75" customHeight="1">
      <c r="A209" s="125"/>
      <c r="B209" s="125"/>
      <c r="C209" s="125"/>
      <c r="D209" s="128"/>
      <c r="E209" s="126"/>
      <c r="F209" s="38"/>
      <c r="G209" s="127"/>
      <c r="H209" s="28"/>
      <c r="I209" s="28"/>
      <c r="J209" s="28"/>
      <c r="K209" s="28"/>
      <c r="L209" s="28"/>
      <c r="M209" s="28"/>
      <c r="N209" s="28"/>
      <c r="O209" s="28"/>
      <c r="P209" s="28"/>
      <c r="Q209" s="28"/>
      <c r="R209" s="28"/>
      <c r="S209" s="28"/>
      <c r="T209" s="28"/>
      <c r="U209" s="28"/>
      <c r="V209" s="28"/>
      <c r="W209" s="28"/>
      <c r="X209" s="28"/>
      <c r="Y209" s="28"/>
      <c r="Z209" s="28"/>
    </row>
    <row r="210" ht="15.75" customHeight="1">
      <c r="A210" s="125"/>
      <c r="B210" s="125"/>
      <c r="C210" s="125"/>
      <c r="D210" s="128"/>
      <c r="E210" s="126"/>
      <c r="F210" s="38"/>
      <c r="G210" s="127"/>
      <c r="H210" s="28"/>
      <c r="I210" s="28"/>
      <c r="J210" s="28"/>
      <c r="K210" s="28"/>
      <c r="L210" s="28"/>
      <c r="M210" s="28"/>
      <c r="N210" s="28"/>
      <c r="O210" s="28"/>
      <c r="P210" s="28"/>
      <c r="Q210" s="28"/>
      <c r="R210" s="28"/>
      <c r="S210" s="28"/>
      <c r="T210" s="28"/>
      <c r="U210" s="28"/>
      <c r="V210" s="28"/>
      <c r="W210" s="28"/>
      <c r="X210" s="28"/>
      <c r="Y210" s="28"/>
      <c r="Z210" s="28"/>
    </row>
    <row r="211" ht="15.75" customHeight="1">
      <c r="A211" s="125"/>
      <c r="B211" s="125"/>
      <c r="C211" s="125"/>
      <c r="D211" s="128"/>
      <c r="E211" s="126"/>
      <c r="F211" s="38"/>
      <c r="G211" s="127"/>
      <c r="H211" s="28"/>
      <c r="I211" s="28"/>
      <c r="J211" s="28"/>
      <c r="K211" s="28"/>
      <c r="L211" s="28"/>
      <c r="M211" s="28"/>
      <c r="N211" s="28"/>
      <c r="O211" s="28"/>
      <c r="P211" s="28"/>
      <c r="Q211" s="28"/>
      <c r="R211" s="28"/>
      <c r="S211" s="28"/>
      <c r="T211" s="28"/>
      <c r="U211" s="28"/>
      <c r="V211" s="28"/>
      <c r="W211" s="28"/>
      <c r="X211" s="28"/>
      <c r="Y211" s="28"/>
      <c r="Z211" s="28"/>
    </row>
    <row r="212" ht="15.75" customHeight="1">
      <c r="A212" s="125"/>
      <c r="B212" s="125"/>
      <c r="C212" s="125"/>
      <c r="D212" s="128"/>
      <c r="E212" s="126"/>
      <c r="F212" s="38"/>
      <c r="G212" s="127"/>
      <c r="H212" s="28"/>
      <c r="I212" s="28"/>
      <c r="J212" s="28"/>
      <c r="K212" s="28"/>
      <c r="L212" s="28"/>
      <c r="M212" s="28"/>
      <c r="N212" s="28"/>
      <c r="O212" s="28"/>
      <c r="P212" s="28"/>
      <c r="Q212" s="28"/>
      <c r="R212" s="28"/>
      <c r="S212" s="28"/>
      <c r="T212" s="28"/>
      <c r="U212" s="28"/>
      <c r="V212" s="28"/>
      <c r="W212" s="28"/>
      <c r="X212" s="28"/>
      <c r="Y212" s="28"/>
      <c r="Z212" s="28"/>
    </row>
    <row r="213" ht="15.75" customHeight="1">
      <c r="A213" s="125"/>
      <c r="B213" s="125"/>
      <c r="C213" s="125"/>
      <c r="D213" s="128"/>
      <c r="E213" s="126"/>
      <c r="F213" s="38"/>
      <c r="G213" s="127"/>
      <c r="H213" s="28"/>
      <c r="I213" s="28"/>
      <c r="J213" s="28"/>
      <c r="K213" s="28"/>
      <c r="L213" s="28"/>
      <c r="M213" s="28"/>
      <c r="N213" s="28"/>
      <c r="O213" s="28"/>
      <c r="P213" s="28"/>
      <c r="Q213" s="28"/>
      <c r="R213" s="28"/>
      <c r="S213" s="28"/>
      <c r="T213" s="28"/>
      <c r="U213" s="28"/>
      <c r="V213" s="28"/>
      <c r="W213" s="28"/>
      <c r="X213" s="28"/>
      <c r="Y213" s="28"/>
      <c r="Z213" s="28"/>
    </row>
    <row r="214" ht="15.75" customHeight="1">
      <c r="A214" s="125"/>
      <c r="B214" s="125"/>
      <c r="C214" s="125"/>
      <c r="D214" s="128"/>
      <c r="E214" s="126"/>
      <c r="F214" s="38"/>
      <c r="G214" s="127"/>
      <c r="H214" s="28"/>
      <c r="I214" s="28"/>
      <c r="J214" s="28"/>
      <c r="K214" s="28"/>
      <c r="L214" s="28"/>
      <c r="M214" s="28"/>
      <c r="N214" s="28"/>
      <c r="O214" s="28"/>
      <c r="P214" s="28"/>
      <c r="Q214" s="28"/>
      <c r="R214" s="28"/>
      <c r="S214" s="28"/>
      <c r="T214" s="28"/>
      <c r="U214" s="28"/>
      <c r="V214" s="28"/>
      <c r="W214" s="28"/>
      <c r="X214" s="28"/>
      <c r="Y214" s="28"/>
      <c r="Z214" s="28"/>
    </row>
    <row r="215" ht="15.75" customHeight="1">
      <c r="A215" s="125"/>
      <c r="B215" s="125"/>
      <c r="C215" s="125"/>
      <c r="D215" s="128"/>
      <c r="E215" s="126"/>
      <c r="F215" s="38"/>
      <c r="G215" s="127"/>
      <c r="H215" s="28"/>
      <c r="I215" s="28"/>
      <c r="J215" s="28"/>
      <c r="K215" s="28"/>
      <c r="L215" s="28"/>
      <c r="M215" s="28"/>
      <c r="N215" s="28"/>
      <c r="O215" s="28"/>
      <c r="P215" s="28"/>
      <c r="Q215" s="28"/>
      <c r="R215" s="28"/>
      <c r="S215" s="28"/>
      <c r="T215" s="28"/>
      <c r="U215" s="28"/>
      <c r="V215" s="28"/>
      <c r="W215" s="28"/>
      <c r="X215" s="28"/>
      <c r="Y215" s="28"/>
      <c r="Z215" s="28"/>
    </row>
    <row r="216" ht="15.75" customHeight="1">
      <c r="A216" s="125"/>
      <c r="B216" s="125"/>
      <c r="C216" s="125"/>
      <c r="D216" s="128"/>
      <c r="E216" s="126"/>
      <c r="F216" s="38"/>
      <c r="G216" s="127"/>
      <c r="H216" s="28"/>
      <c r="I216" s="28"/>
      <c r="J216" s="28"/>
      <c r="K216" s="28"/>
      <c r="L216" s="28"/>
      <c r="M216" s="28"/>
      <c r="N216" s="28"/>
      <c r="O216" s="28"/>
      <c r="P216" s="28"/>
      <c r="Q216" s="28"/>
      <c r="R216" s="28"/>
      <c r="S216" s="28"/>
      <c r="T216" s="28"/>
      <c r="U216" s="28"/>
      <c r="V216" s="28"/>
      <c r="W216" s="28"/>
      <c r="X216" s="28"/>
      <c r="Y216" s="28"/>
      <c r="Z216" s="28"/>
    </row>
    <row r="217" ht="15.75" customHeight="1">
      <c r="A217" s="125"/>
      <c r="B217" s="125"/>
      <c r="C217" s="125"/>
      <c r="D217" s="128"/>
      <c r="E217" s="126"/>
      <c r="F217" s="38"/>
      <c r="G217" s="127"/>
      <c r="H217" s="28"/>
      <c r="I217" s="28"/>
      <c r="J217" s="28"/>
      <c r="K217" s="28"/>
      <c r="L217" s="28"/>
      <c r="M217" s="28"/>
      <c r="N217" s="28"/>
      <c r="O217" s="28"/>
      <c r="P217" s="28"/>
      <c r="Q217" s="28"/>
      <c r="R217" s="28"/>
      <c r="S217" s="28"/>
      <c r="T217" s="28"/>
      <c r="U217" s="28"/>
      <c r="V217" s="28"/>
      <c r="W217" s="28"/>
      <c r="X217" s="28"/>
      <c r="Y217" s="28"/>
      <c r="Z217" s="28"/>
    </row>
    <row r="218" ht="15.75" customHeight="1">
      <c r="A218" s="125"/>
      <c r="B218" s="125"/>
      <c r="C218" s="125"/>
      <c r="D218" s="128"/>
      <c r="E218" s="126"/>
      <c r="F218" s="38"/>
      <c r="G218" s="127"/>
      <c r="H218" s="28"/>
      <c r="I218" s="28"/>
      <c r="J218" s="28"/>
      <c r="K218" s="28"/>
      <c r="L218" s="28"/>
      <c r="M218" s="28"/>
      <c r="N218" s="28"/>
      <c r="O218" s="28"/>
      <c r="P218" s="28"/>
      <c r="Q218" s="28"/>
      <c r="R218" s="28"/>
      <c r="S218" s="28"/>
      <c r="T218" s="28"/>
      <c r="U218" s="28"/>
      <c r="V218" s="28"/>
      <c r="W218" s="28"/>
      <c r="X218" s="28"/>
      <c r="Y218" s="28"/>
      <c r="Z218" s="28"/>
    </row>
    <row r="219" ht="15.75" customHeight="1">
      <c r="A219" s="125"/>
      <c r="B219" s="125"/>
      <c r="C219" s="125"/>
      <c r="D219" s="128"/>
      <c r="E219" s="126"/>
      <c r="F219" s="38"/>
      <c r="G219" s="127"/>
      <c r="H219" s="28"/>
      <c r="I219" s="28"/>
      <c r="J219" s="28"/>
      <c r="K219" s="28"/>
      <c r="L219" s="28"/>
      <c r="M219" s="28"/>
      <c r="N219" s="28"/>
      <c r="O219" s="28"/>
      <c r="P219" s="28"/>
      <c r="Q219" s="28"/>
      <c r="R219" s="28"/>
      <c r="S219" s="28"/>
      <c r="T219" s="28"/>
      <c r="U219" s="28"/>
      <c r="V219" s="28"/>
      <c r="W219" s="28"/>
      <c r="X219" s="28"/>
      <c r="Y219" s="28"/>
      <c r="Z219" s="28"/>
    </row>
    <row r="220" ht="15.75" customHeight="1">
      <c r="A220" s="125"/>
      <c r="B220" s="125"/>
      <c r="C220" s="125"/>
      <c r="D220" s="128"/>
      <c r="E220" s="126"/>
      <c r="F220" s="38"/>
      <c r="G220" s="127"/>
      <c r="H220" s="28"/>
      <c r="I220" s="28"/>
      <c r="J220" s="28"/>
      <c r="K220" s="28"/>
      <c r="L220" s="28"/>
      <c r="M220" s="28"/>
      <c r="N220" s="28"/>
      <c r="O220" s="28"/>
      <c r="P220" s="28"/>
      <c r="Q220" s="28"/>
      <c r="R220" s="28"/>
      <c r="S220" s="28"/>
      <c r="T220" s="28"/>
      <c r="U220" s="28"/>
      <c r="V220" s="28"/>
      <c r="W220" s="28"/>
      <c r="X220" s="28"/>
      <c r="Y220" s="28"/>
      <c r="Z220" s="28"/>
    </row>
    <row r="221" ht="15.75" customHeight="1">
      <c r="A221" s="125"/>
      <c r="B221" s="125"/>
      <c r="C221" s="125"/>
      <c r="D221" s="128"/>
      <c r="E221" s="126"/>
      <c r="F221" s="38"/>
      <c r="G221" s="127"/>
      <c r="H221" s="28"/>
      <c r="I221" s="28"/>
      <c r="J221" s="28"/>
      <c r="K221" s="28"/>
      <c r="L221" s="28"/>
      <c r="M221" s="28"/>
      <c r="N221" s="28"/>
      <c r="O221" s="28"/>
      <c r="P221" s="28"/>
      <c r="Q221" s="28"/>
      <c r="R221" s="28"/>
      <c r="S221" s="28"/>
      <c r="T221" s="28"/>
      <c r="U221" s="28"/>
      <c r="V221" s="28"/>
      <c r="W221" s="28"/>
      <c r="X221" s="28"/>
      <c r="Y221" s="28"/>
      <c r="Z221" s="28"/>
    </row>
    <row r="222" ht="15.75" customHeight="1">
      <c r="A222" s="125"/>
      <c r="B222" s="125"/>
      <c r="C222" s="125"/>
      <c r="D222" s="128"/>
      <c r="E222" s="126"/>
      <c r="F222" s="38"/>
      <c r="G222" s="127"/>
      <c r="H222" s="28"/>
      <c r="I222" s="28"/>
      <c r="J222" s="28"/>
      <c r="K222" s="28"/>
      <c r="L222" s="28"/>
      <c r="M222" s="28"/>
      <c r="N222" s="28"/>
      <c r="O222" s="28"/>
      <c r="P222" s="28"/>
      <c r="Q222" s="28"/>
      <c r="R222" s="28"/>
      <c r="S222" s="28"/>
      <c r="T222" s="28"/>
      <c r="U222" s="28"/>
      <c r="V222" s="28"/>
      <c r="W222" s="28"/>
      <c r="X222" s="28"/>
      <c r="Y222" s="28"/>
      <c r="Z222" s="28"/>
    </row>
    <row r="223" ht="15.75" customHeight="1">
      <c r="A223" s="125"/>
      <c r="B223" s="125"/>
      <c r="C223" s="125"/>
      <c r="D223" s="128"/>
      <c r="E223" s="126"/>
      <c r="F223" s="38"/>
      <c r="G223" s="127"/>
      <c r="H223" s="28"/>
      <c r="I223" s="28"/>
      <c r="J223" s="28"/>
      <c r="K223" s="28"/>
      <c r="L223" s="28"/>
      <c r="M223" s="28"/>
      <c r="N223" s="28"/>
      <c r="O223" s="28"/>
      <c r="P223" s="28"/>
      <c r="Q223" s="28"/>
      <c r="R223" s="28"/>
      <c r="S223" s="28"/>
      <c r="T223" s="28"/>
      <c r="U223" s="28"/>
      <c r="V223" s="28"/>
      <c r="W223" s="28"/>
      <c r="X223" s="28"/>
      <c r="Y223" s="28"/>
      <c r="Z223" s="28"/>
    </row>
    <row r="224" ht="15.75" customHeight="1">
      <c r="A224" s="125"/>
      <c r="B224" s="125"/>
      <c r="C224" s="125"/>
      <c r="D224" s="128"/>
      <c r="E224" s="126"/>
      <c r="F224" s="38"/>
      <c r="G224" s="127"/>
      <c r="H224" s="28"/>
      <c r="I224" s="28"/>
      <c r="J224" s="28"/>
      <c r="K224" s="28"/>
      <c r="L224" s="28"/>
      <c r="M224" s="28"/>
      <c r="N224" s="28"/>
      <c r="O224" s="28"/>
      <c r="P224" s="28"/>
      <c r="Q224" s="28"/>
      <c r="R224" s="28"/>
      <c r="S224" s="28"/>
      <c r="T224" s="28"/>
      <c r="U224" s="28"/>
      <c r="V224" s="28"/>
      <c r="W224" s="28"/>
      <c r="X224" s="28"/>
      <c r="Y224" s="28"/>
      <c r="Z224" s="28"/>
    </row>
    <row r="225" ht="15.75" customHeight="1">
      <c r="A225" s="125"/>
      <c r="B225" s="125"/>
      <c r="C225" s="125"/>
      <c r="D225" s="128"/>
      <c r="E225" s="126"/>
      <c r="F225" s="38"/>
      <c r="G225" s="127"/>
      <c r="H225" s="28"/>
      <c r="I225" s="28"/>
      <c r="J225" s="28"/>
      <c r="K225" s="28"/>
      <c r="L225" s="28"/>
      <c r="M225" s="28"/>
      <c r="N225" s="28"/>
      <c r="O225" s="28"/>
      <c r="P225" s="28"/>
      <c r="Q225" s="28"/>
      <c r="R225" s="28"/>
      <c r="S225" s="28"/>
      <c r="T225" s="28"/>
      <c r="U225" s="28"/>
      <c r="V225" s="28"/>
      <c r="W225" s="28"/>
      <c r="X225" s="28"/>
      <c r="Y225" s="28"/>
      <c r="Z225" s="28"/>
    </row>
    <row r="226" ht="15.75" customHeight="1">
      <c r="A226" s="125"/>
      <c r="B226" s="125"/>
      <c r="C226" s="125"/>
      <c r="D226" s="128"/>
      <c r="E226" s="126"/>
      <c r="F226" s="38"/>
      <c r="G226" s="127"/>
      <c r="H226" s="28"/>
      <c r="I226" s="28"/>
      <c r="J226" s="28"/>
      <c r="K226" s="28"/>
      <c r="L226" s="28"/>
      <c r="M226" s="28"/>
      <c r="N226" s="28"/>
      <c r="O226" s="28"/>
      <c r="P226" s="28"/>
      <c r="Q226" s="28"/>
      <c r="R226" s="28"/>
      <c r="S226" s="28"/>
      <c r="T226" s="28"/>
      <c r="U226" s="28"/>
      <c r="V226" s="28"/>
      <c r="W226" s="28"/>
      <c r="X226" s="28"/>
      <c r="Y226" s="28"/>
      <c r="Z226" s="28"/>
    </row>
    <row r="227" ht="15.75" customHeight="1">
      <c r="A227" s="125"/>
      <c r="B227" s="125"/>
      <c r="C227" s="125"/>
      <c r="D227" s="128"/>
      <c r="E227" s="126"/>
      <c r="F227" s="38"/>
      <c r="G227" s="127"/>
      <c r="H227" s="28"/>
      <c r="I227" s="28"/>
      <c r="J227" s="28"/>
      <c r="K227" s="28"/>
      <c r="L227" s="28"/>
      <c r="M227" s="28"/>
      <c r="N227" s="28"/>
      <c r="O227" s="28"/>
      <c r="P227" s="28"/>
      <c r="Q227" s="28"/>
      <c r="R227" s="28"/>
      <c r="S227" s="28"/>
      <c r="T227" s="28"/>
      <c r="U227" s="28"/>
      <c r="V227" s="28"/>
      <c r="W227" s="28"/>
      <c r="X227" s="28"/>
      <c r="Y227" s="28"/>
      <c r="Z227" s="28"/>
    </row>
    <row r="228" ht="15.75" customHeight="1">
      <c r="A228" s="125"/>
      <c r="B228" s="125"/>
      <c r="C228" s="125"/>
      <c r="D228" s="128"/>
      <c r="E228" s="126"/>
      <c r="F228" s="38"/>
      <c r="G228" s="127"/>
      <c r="H228" s="28"/>
      <c r="I228" s="28"/>
      <c r="J228" s="28"/>
      <c r="K228" s="28"/>
      <c r="L228" s="28"/>
      <c r="M228" s="28"/>
      <c r="N228" s="28"/>
      <c r="O228" s="28"/>
      <c r="P228" s="28"/>
      <c r="Q228" s="28"/>
      <c r="R228" s="28"/>
      <c r="S228" s="28"/>
      <c r="T228" s="28"/>
      <c r="U228" s="28"/>
      <c r="V228" s="28"/>
      <c r="W228" s="28"/>
      <c r="X228" s="28"/>
      <c r="Y228" s="28"/>
      <c r="Z228" s="28"/>
    </row>
    <row r="229" ht="15.75" customHeight="1">
      <c r="A229" s="125"/>
      <c r="B229" s="125"/>
      <c r="C229" s="125"/>
      <c r="D229" s="128"/>
      <c r="E229" s="126"/>
      <c r="F229" s="38"/>
      <c r="G229" s="127"/>
      <c r="H229" s="28"/>
      <c r="I229" s="28"/>
      <c r="J229" s="28"/>
      <c r="K229" s="28"/>
      <c r="L229" s="28"/>
      <c r="M229" s="28"/>
      <c r="N229" s="28"/>
      <c r="O229" s="28"/>
      <c r="P229" s="28"/>
      <c r="Q229" s="28"/>
      <c r="R229" s="28"/>
      <c r="S229" s="28"/>
      <c r="T229" s="28"/>
      <c r="U229" s="28"/>
      <c r="V229" s="28"/>
      <c r="W229" s="28"/>
      <c r="X229" s="28"/>
      <c r="Y229" s="28"/>
      <c r="Z229" s="28"/>
    </row>
    <row r="230" ht="15.75" customHeight="1">
      <c r="A230" s="125"/>
      <c r="B230" s="125"/>
      <c r="C230" s="125"/>
      <c r="D230" s="128"/>
      <c r="E230" s="126"/>
      <c r="F230" s="38"/>
      <c r="G230" s="127"/>
      <c r="H230" s="28"/>
      <c r="I230" s="28"/>
      <c r="J230" s="28"/>
      <c r="K230" s="28"/>
      <c r="L230" s="28"/>
      <c r="M230" s="28"/>
      <c r="N230" s="28"/>
      <c r="O230" s="28"/>
      <c r="P230" s="28"/>
      <c r="Q230" s="28"/>
      <c r="R230" s="28"/>
      <c r="S230" s="28"/>
      <c r="T230" s="28"/>
      <c r="U230" s="28"/>
      <c r="V230" s="28"/>
      <c r="W230" s="28"/>
      <c r="X230" s="28"/>
      <c r="Y230" s="28"/>
      <c r="Z230" s="28"/>
    </row>
    <row r="231" ht="15.75" customHeight="1">
      <c r="A231" s="125"/>
      <c r="B231" s="125"/>
      <c r="C231" s="125"/>
      <c r="D231" s="128"/>
      <c r="E231" s="126"/>
      <c r="F231" s="38"/>
      <c r="G231" s="127"/>
      <c r="H231" s="28"/>
      <c r="I231" s="28"/>
      <c r="J231" s="28"/>
      <c r="K231" s="28"/>
      <c r="L231" s="28"/>
      <c r="M231" s="28"/>
      <c r="N231" s="28"/>
      <c r="O231" s="28"/>
      <c r="P231" s="28"/>
      <c r="Q231" s="28"/>
      <c r="R231" s="28"/>
      <c r="S231" s="28"/>
      <c r="T231" s="28"/>
      <c r="U231" s="28"/>
      <c r="V231" s="28"/>
      <c r="W231" s="28"/>
      <c r="X231" s="28"/>
      <c r="Y231" s="28"/>
      <c r="Z231" s="28"/>
    </row>
    <row r="232" ht="15.75" customHeight="1">
      <c r="A232" s="125"/>
      <c r="B232" s="125"/>
      <c r="C232" s="125"/>
      <c r="D232" s="128"/>
      <c r="E232" s="126"/>
      <c r="F232" s="38"/>
      <c r="G232" s="127"/>
      <c r="H232" s="28"/>
      <c r="I232" s="28"/>
      <c r="J232" s="28"/>
      <c r="K232" s="28"/>
      <c r="L232" s="28"/>
      <c r="M232" s="28"/>
      <c r="N232" s="28"/>
      <c r="O232" s="28"/>
      <c r="P232" s="28"/>
      <c r="Q232" s="28"/>
      <c r="R232" s="28"/>
      <c r="S232" s="28"/>
      <c r="T232" s="28"/>
      <c r="U232" s="28"/>
      <c r="V232" s="28"/>
      <c r="W232" s="28"/>
      <c r="X232" s="28"/>
      <c r="Y232" s="28"/>
      <c r="Z232" s="28"/>
    </row>
    <row r="233" ht="15.75" customHeight="1">
      <c r="A233" s="125"/>
      <c r="B233" s="125"/>
      <c r="C233" s="125"/>
      <c r="D233" s="128"/>
      <c r="E233" s="126"/>
      <c r="F233" s="38"/>
      <c r="G233" s="127"/>
      <c r="H233" s="28"/>
      <c r="I233" s="28"/>
      <c r="J233" s="28"/>
      <c r="K233" s="28"/>
      <c r="L233" s="28"/>
      <c r="M233" s="28"/>
      <c r="N233" s="28"/>
      <c r="O233" s="28"/>
      <c r="P233" s="28"/>
      <c r="Q233" s="28"/>
      <c r="R233" s="28"/>
      <c r="S233" s="28"/>
      <c r="T233" s="28"/>
      <c r="U233" s="28"/>
      <c r="V233" s="28"/>
      <c r="W233" s="28"/>
      <c r="X233" s="28"/>
      <c r="Y233" s="28"/>
      <c r="Z233" s="28"/>
    </row>
    <row r="234" ht="15.75" customHeight="1">
      <c r="A234" s="125"/>
      <c r="B234" s="125"/>
      <c r="C234" s="125"/>
      <c r="D234" s="128"/>
      <c r="E234" s="126"/>
      <c r="F234" s="38"/>
      <c r="G234" s="127"/>
      <c r="H234" s="28"/>
      <c r="I234" s="28"/>
      <c r="J234" s="28"/>
      <c r="K234" s="28"/>
      <c r="L234" s="28"/>
      <c r="M234" s="28"/>
      <c r="N234" s="28"/>
      <c r="O234" s="28"/>
      <c r="P234" s="28"/>
      <c r="Q234" s="28"/>
      <c r="R234" s="28"/>
      <c r="S234" s="28"/>
      <c r="T234" s="28"/>
      <c r="U234" s="28"/>
      <c r="V234" s="28"/>
      <c r="W234" s="28"/>
      <c r="X234" s="28"/>
      <c r="Y234" s="28"/>
      <c r="Z234" s="28"/>
    </row>
    <row r="235" ht="15.75" customHeight="1">
      <c r="A235" s="125"/>
      <c r="B235" s="125"/>
      <c r="C235" s="125"/>
      <c r="D235" s="128"/>
      <c r="E235" s="126"/>
      <c r="F235" s="38"/>
      <c r="G235" s="127"/>
      <c r="H235" s="28"/>
      <c r="I235" s="28"/>
      <c r="J235" s="28"/>
      <c r="K235" s="28"/>
      <c r="L235" s="28"/>
      <c r="M235" s="28"/>
      <c r="N235" s="28"/>
      <c r="O235" s="28"/>
      <c r="P235" s="28"/>
      <c r="Q235" s="28"/>
      <c r="R235" s="28"/>
      <c r="S235" s="28"/>
      <c r="T235" s="28"/>
      <c r="U235" s="28"/>
      <c r="V235" s="28"/>
      <c r="W235" s="28"/>
      <c r="X235" s="28"/>
      <c r="Y235" s="28"/>
      <c r="Z235" s="28"/>
    </row>
    <row r="236" ht="15.75" customHeight="1">
      <c r="A236" s="125"/>
      <c r="B236" s="125"/>
      <c r="C236" s="125"/>
      <c r="D236" s="128"/>
      <c r="E236" s="126"/>
      <c r="F236" s="38"/>
      <c r="G236" s="127"/>
      <c r="H236" s="28"/>
      <c r="I236" s="28"/>
      <c r="J236" s="28"/>
      <c r="K236" s="28"/>
      <c r="L236" s="28"/>
      <c r="M236" s="28"/>
      <c r="N236" s="28"/>
      <c r="O236" s="28"/>
      <c r="P236" s="28"/>
      <c r="Q236" s="28"/>
      <c r="R236" s="28"/>
      <c r="S236" s="28"/>
      <c r="T236" s="28"/>
      <c r="U236" s="28"/>
      <c r="V236" s="28"/>
      <c r="W236" s="28"/>
      <c r="X236" s="28"/>
      <c r="Y236" s="28"/>
      <c r="Z236" s="28"/>
    </row>
    <row r="237" ht="15.75" customHeight="1">
      <c r="A237" s="125"/>
      <c r="B237" s="125"/>
      <c r="C237" s="125"/>
      <c r="D237" s="128"/>
      <c r="E237" s="126"/>
      <c r="F237" s="38"/>
      <c r="G237" s="127"/>
      <c r="H237" s="28"/>
      <c r="I237" s="28"/>
      <c r="J237" s="28"/>
      <c r="K237" s="28"/>
      <c r="L237" s="28"/>
      <c r="M237" s="28"/>
      <c r="N237" s="28"/>
      <c r="O237" s="28"/>
      <c r="P237" s="28"/>
      <c r="Q237" s="28"/>
      <c r="R237" s="28"/>
      <c r="S237" s="28"/>
      <c r="T237" s="28"/>
      <c r="U237" s="28"/>
      <c r="V237" s="28"/>
      <c r="W237" s="28"/>
      <c r="X237" s="28"/>
      <c r="Y237" s="28"/>
      <c r="Z237" s="28"/>
    </row>
    <row r="238" ht="15.75" customHeight="1">
      <c r="A238" s="125"/>
      <c r="B238" s="125"/>
      <c r="C238" s="125"/>
      <c r="D238" s="128"/>
      <c r="E238" s="126"/>
      <c r="F238" s="38"/>
      <c r="G238" s="127"/>
      <c r="H238" s="28"/>
      <c r="I238" s="28"/>
      <c r="J238" s="28"/>
      <c r="K238" s="28"/>
      <c r="L238" s="28"/>
      <c r="M238" s="28"/>
      <c r="N238" s="28"/>
      <c r="O238" s="28"/>
      <c r="P238" s="28"/>
      <c r="Q238" s="28"/>
      <c r="R238" s="28"/>
      <c r="S238" s="28"/>
      <c r="T238" s="28"/>
      <c r="U238" s="28"/>
      <c r="V238" s="28"/>
      <c r="W238" s="28"/>
      <c r="X238" s="28"/>
      <c r="Y238" s="28"/>
      <c r="Z238" s="28"/>
    </row>
    <row r="239" ht="15.75" customHeight="1">
      <c r="A239" s="125"/>
      <c r="B239" s="125"/>
      <c r="C239" s="125"/>
      <c r="D239" s="128"/>
      <c r="E239" s="126"/>
      <c r="F239" s="38"/>
      <c r="G239" s="127"/>
      <c r="H239" s="28"/>
      <c r="I239" s="28"/>
      <c r="J239" s="28"/>
      <c r="K239" s="28"/>
      <c r="L239" s="28"/>
      <c r="M239" s="28"/>
      <c r="N239" s="28"/>
      <c r="O239" s="28"/>
      <c r="P239" s="28"/>
      <c r="Q239" s="28"/>
      <c r="R239" s="28"/>
      <c r="S239" s="28"/>
      <c r="T239" s="28"/>
      <c r="U239" s="28"/>
      <c r="V239" s="28"/>
      <c r="W239" s="28"/>
      <c r="X239" s="28"/>
      <c r="Y239" s="28"/>
      <c r="Z239" s="28"/>
    </row>
    <row r="240" ht="15.75" customHeight="1">
      <c r="A240" s="125"/>
      <c r="B240" s="125"/>
      <c r="C240" s="125"/>
      <c r="D240" s="128"/>
      <c r="E240" s="126"/>
      <c r="F240" s="38"/>
      <c r="G240" s="127"/>
      <c r="H240" s="28"/>
      <c r="I240" s="28"/>
      <c r="J240" s="28"/>
      <c r="K240" s="28"/>
      <c r="L240" s="28"/>
      <c r="M240" s="28"/>
      <c r="N240" s="28"/>
      <c r="O240" s="28"/>
      <c r="P240" s="28"/>
      <c r="Q240" s="28"/>
      <c r="R240" s="28"/>
      <c r="S240" s="28"/>
      <c r="T240" s="28"/>
      <c r="U240" s="28"/>
      <c r="V240" s="28"/>
      <c r="W240" s="28"/>
      <c r="X240" s="28"/>
      <c r="Y240" s="28"/>
      <c r="Z240" s="28"/>
    </row>
    <row r="241" ht="15.75" customHeight="1">
      <c r="A241" s="125"/>
      <c r="B241" s="125"/>
      <c r="C241" s="125"/>
      <c r="D241" s="128"/>
      <c r="E241" s="126"/>
      <c r="F241" s="38"/>
      <c r="G241" s="127"/>
      <c r="H241" s="28"/>
      <c r="I241" s="28"/>
      <c r="J241" s="28"/>
      <c r="K241" s="28"/>
      <c r="L241" s="28"/>
      <c r="M241" s="28"/>
      <c r="N241" s="28"/>
      <c r="O241" s="28"/>
      <c r="P241" s="28"/>
      <c r="Q241" s="28"/>
      <c r="R241" s="28"/>
      <c r="S241" s="28"/>
      <c r="T241" s="28"/>
      <c r="U241" s="28"/>
      <c r="V241" s="28"/>
      <c r="W241" s="28"/>
      <c r="X241" s="28"/>
      <c r="Y241" s="28"/>
      <c r="Z241" s="28"/>
    </row>
    <row r="242" ht="15.75" customHeight="1">
      <c r="A242" s="125"/>
      <c r="B242" s="125"/>
      <c r="C242" s="125"/>
      <c r="D242" s="128"/>
      <c r="E242" s="126"/>
      <c r="F242" s="38"/>
      <c r="G242" s="127"/>
      <c r="H242" s="28"/>
      <c r="I242" s="28"/>
      <c r="J242" s="28"/>
      <c r="K242" s="28"/>
      <c r="L242" s="28"/>
      <c r="M242" s="28"/>
      <c r="N242" s="28"/>
      <c r="O242" s="28"/>
      <c r="P242" s="28"/>
      <c r="Q242" s="28"/>
      <c r="R242" s="28"/>
      <c r="S242" s="28"/>
      <c r="T242" s="28"/>
      <c r="U242" s="28"/>
      <c r="V242" s="28"/>
      <c r="W242" s="28"/>
      <c r="X242" s="28"/>
      <c r="Y242" s="28"/>
      <c r="Z242" s="28"/>
    </row>
    <row r="243" ht="15.75" customHeight="1">
      <c r="A243" s="125"/>
      <c r="B243" s="125"/>
      <c r="C243" s="125"/>
      <c r="D243" s="128"/>
      <c r="E243" s="126"/>
      <c r="F243" s="38"/>
      <c r="G243" s="127"/>
      <c r="H243" s="28"/>
      <c r="I243" s="28"/>
      <c r="J243" s="28"/>
      <c r="K243" s="28"/>
      <c r="L243" s="28"/>
      <c r="M243" s="28"/>
      <c r="N243" s="28"/>
      <c r="O243" s="28"/>
      <c r="P243" s="28"/>
      <c r="Q243" s="28"/>
      <c r="R243" s="28"/>
      <c r="S243" s="28"/>
      <c r="T243" s="28"/>
      <c r="U243" s="28"/>
      <c r="V243" s="28"/>
      <c r="W243" s="28"/>
      <c r="X243" s="28"/>
      <c r="Y243" s="28"/>
      <c r="Z243" s="28"/>
    </row>
    <row r="244" ht="15.75" customHeight="1">
      <c r="A244" s="125"/>
      <c r="B244" s="125"/>
      <c r="C244" s="125"/>
      <c r="D244" s="128"/>
      <c r="E244" s="126"/>
      <c r="F244" s="38"/>
      <c r="G244" s="127"/>
      <c r="H244" s="28"/>
      <c r="I244" s="28"/>
      <c r="J244" s="28"/>
      <c r="K244" s="28"/>
      <c r="L244" s="28"/>
      <c r="M244" s="28"/>
      <c r="N244" s="28"/>
      <c r="O244" s="28"/>
      <c r="P244" s="28"/>
      <c r="Q244" s="28"/>
      <c r="R244" s="28"/>
      <c r="S244" s="28"/>
      <c r="T244" s="28"/>
      <c r="U244" s="28"/>
      <c r="V244" s="28"/>
      <c r="W244" s="28"/>
      <c r="X244" s="28"/>
      <c r="Y244" s="28"/>
      <c r="Z244" s="28"/>
    </row>
    <row r="245" ht="15.75" customHeight="1">
      <c r="A245" s="125"/>
      <c r="B245" s="125"/>
      <c r="C245" s="125"/>
      <c r="D245" s="128"/>
      <c r="E245" s="126"/>
      <c r="F245" s="38"/>
      <c r="G245" s="127"/>
      <c r="H245" s="28"/>
      <c r="I245" s="28"/>
      <c r="J245" s="28"/>
      <c r="K245" s="28"/>
      <c r="L245" s="28"/>
      <c r="M245" s="28"/>
      <c r="N245" s="28"/>
      <c r="O245" s="28"/>
      <c r="P245" s="28"/>
      <c r="Q245" s="28"/>
      <c r="R245" s="28"/>
      <c r="S245" s="28"/>
      <c r="T245" s="28"/>
      <c r="U245" s="28"/>
      <c r="V245" s="28"/>
      <c r="W245" s="28"/>
      <c r="X245" s="28"/>
      <c r="Y245" s="28"/>
      <c r="Z245" s="28"/>
    </row>
    <row r="246" ht="15.75" customHeight="1">
      <c r="A246" s="125"/>
      <c r="B246" s="125"/>
      <c r="C246" s="125"/>
      <c r="D246" s="128"/>
      <c r="E246" s="126"/>
      <c r="F246" s="38"/>
      <c r="G246" s="127"/>
      <c r="H246" s="28"/>
      <c r="I246" s="28"/>
      <c r="J246" s="28"/>
      <c r="K246" s="28"/>
      <c r="L246" s="28"/>
      <c r="M246" s="28"/>
      <c r="N246" s="28"/>
      <c r="O246" s="28"/>
      <c r="P246" s="28"/>
      <c r="Q246" s="28"/>
      <c r="R246" s="28"/>
      <c r="S246" s="28"/>
      <c r="T246" s="28"/>
      <c r="U246" s="28"/>
      <c r="V246" s="28"/>
      <c r="W246" s="28"/>
      <c r="X246" s="28"/>
      <c r="Y246" s="28"/>
      <c r="Z246" s="28"/>
    </row>
    <row r="247" ht="15.75" customHeight="1">
      <c r="A247" s="125"/>
      <c r="B247" s="125"/>
      <c r="C247" s="125"/>
      <c r="D247" s="128"/>
      <c r="E247" s="126"/>
      <c r="F247" s="38"/>
      <c r="G247" s="127"/>
      <c r="H247" s="28"/>
      <c r="I247" s="28"/>
      <c r="J247" s="28"/>
      <c r="K247" s="28"/>
      <c r="L247" s="28"/>
      <c r="M247" s="28"/>
      <c r="N247" s="28"/>
      <c r="O247" s="28"/>
      <c r="P247" s="28"/>
      <c r="Q247" s="28"/>
      <c r="R247" s="28"/>
      <c r="S247" s="28"/>
      <c r="T247" s="28"/>
      <c r="U247" s="28"/>
      <c r="V247" s="28"/>
      <c r="W247" s="28"/>
      <c r="X247" s="28"/>
      <c r="Y247" s="28"/>
      <c r="Z247" s="28"/>
    </row>
    <row r="248" ht="15.75" customHeight="1">
      <c r="A248" s="125"/>
      <c r="B248" s="125"/>
      <c r="C248" s="125"/>
      <c r="D248" s="128"/>
      <c r="E248" s="126"/>
      <c r="F248" s="38"/>
      <c r="G248" s="127"/>
      <c r="H248" s="28"/>
      <c r="I248" s="28"/>
      <c r="J248" s="28"/>
      <c r="K248" s="28"/>
      <c r="L248" s="28"/>
      <c r="M248" s="28"/>
      <c r="N248" s="28"/>
      <c r="O248" s="28"/>
      <c r="P248" s="28"/>
      <c r="Q248" s="28"/>
      <c r="R248" s="28"/>
      <c r="S248" s="28"/>
      <c r="T248" s="28"/>
      <c r="U248" s="28"/>
      <c r="V248" s="28"/>
      <c r="W248" s="28"/>
      <c r="X248" s="28"/>
      <c r="Y248" s="28"/>
      <c r="Z248" s="28"/>
    </row>
    <row r="249" ht="15.75" customHeight="1">
      <c r="A249" s="125"/>
      <c r="B249" s="125"/>
      <c r="C249" s="125"/>
      <c r="D249" s="128"/>
      <c r="E249" s="126"/>
      <c r="F249" s="38"/>
      <c r="G249" s="127"/>
      <c r="H249" s="28"/>
      <c r="I249" s="28"/>
      <c r="J249" s="28"/>
      <c r="K249" s="28"/>
      <c r="L249" s="28"/>
      <c r="M249" s="28"/>
      <c r="N249" s="28"/>
      <c r="O249" s="28"/>
      <c r="P249" s="28"/>
      <c r="Q249" s="28"/>
      <c r="R249" s="28"/>
      <c r="S249" s="28"/>
      <c r="T249" s="28"/>
      <c r="U249" s="28"/>
      <c r="V249" s="28"/>
      <c r="W249" s="28"/>
      <c r="X249" s="28"/>
      <c r="Y249" s="28"/>
      <c r="Z249" s="28"/>
    </row>
    <row r="250" ht="15.75" customHeight="1">
      <c r="A250" s="125"/>
      <c r="B250" s="125"/>
      <c r="C250" s="125"/>
      <c r="D250" s="128"/>
      <c r="E250" s="126"/>
      <c r="F250" s="38"/>
      <c r="G250" s="127"/>
      <c r="H250" s="28"/>
      <c r="I250" s="28"/>
      <c r="J250" s="28"/>
      <c r="K250" s="28"/>
      <c r="L250" s="28"/>
      <c r="M250" s="28"/>
      <c r="N250" s="28"/>
      <c r="O250" s="28"/>
      <c r="P250" s="28"/>
      <c r="Q250" s="28"/>
      <c r="R250" s="28"/>
      <c r="S250" s="28"/>
      <c r="T250" s="28"/>
      <c r="U250" s="28"/>
      <c r="V250" s="28"/>
      <c r="W250" s="28"/>
      <c r="X250" s="28"/>
      <c r="Y250" s="28"/>
      <c r="Z250" s="28"/>
    </row>
    <row r="251" ht="15.75" customHeight="1">
      <c r="A251" s="125"/>
      <c r="B251" s="125"/>
      <c r="C251" s="125"/>
      <c r="D251" s="128"/>
      <c r="E251" s="126"/>
      <c r="F251" s="38"/>
      <c r="G251" s="127"/>
      <c r="H251" s="28"/>
      <c r="I251" s="28"/>
      <c r="J251" s="28"/>
      <c r="K251" s="28"/>
      <c r="L251" s="28"/>
      <c r="M251" s="28"/>
      <c r="N251" s="28"/>
      <c r="O251" s="28"/>
      <c r="P251" s="28"/>
      <c r="Q251" s="28"/>
      <c r="R251" s="28"/>
      <c r="S251" s="28"/>
      <c r="T251" s="28"/>
      <c r="U251" s="28"/>
      <c r="V251" s="28"/>
      <c r="W251" s="28"/>
      <c r="X251" s="28"/>
      <c r="Y251" s="28"/>
      <c r="Z251" s="28"/>
    </row>
    <row r="252" ht="15.75" customHeight="1">
      <c r="A252" s="125"/>
      <c r="B252" s="125"/>
      <c r="C252" s="125"/>
      <c r="D252" s="128"/>
      <c r="E252" s="126"/>
      <c r="F252" s="38"/>
      <c r="G252" s="127"/>
      <c r="H252" s="28"/>
      <c r="I252" s="28"/>
      <c r="J252" s="28"/>
      <c r="K252" s="28"/>
      <c r="L252" s="28"/>
      <c r="M252" s="28"/>
      <c r="N252" s="28"/>
      <c r="O252" s="28"/>
      <c r="P252" s="28"/>
      <c r="Q252" s="28"/>
      <c r="R252" s="28"/>
      <c r="S252" s="28"/>
      <c r="T252" s="28"/>
      <c r="U252" s="28"/>
      <c r="V252" s="28"/>
      <c r="W252" s="28"/>
      <c r="X252" s="28"/>
      <c r="Y252" s="28"/>
      <c r="Z252" s="28"/>
    </row>
    <row r="253" ht="15.75" customHeight="1">
      <c r="A253" s="125"/>
      <c r="B253" s="125"/>
      <c r="C253" s="125"/>
      <c r="D253" s="128"/>
      <c r="E253" s="126"/>
      <c r="F253" s="38"/>
      <c r="G253" s="127"/>
      <c r="H253" s="28"/>
      <c r="I253" s="28"/>
      <c r="J253" s="28"/>
      <c r="K253" s="28"/>
      <c r="L253" s="28"/>
      <c r="M253" s="28"/>
      <c r="N253" s="28"/>
      <c r="O253" s="28"/>
      <c r="P253" s="28"/>
      <c r="Q253" s="28"/>
      <c r="R253" s="28"/>
      <c r="S253" s="28"/>
      <c r="T253" s="28"/>
      <c r="U253" s="28"/>
      <c r="V253" s="28"/>
      <c r="W253" s="28"/>
      <c r="X253" s="28"/>
      <c r="Y253" s="28"/>
      <c r="Z253" s="28"/>
    </row>
    <row r="254" ht="15.75" customHeight="1">
      <c r="A254" s="125"/>
      <c r="B254" s="125"/>
      <c r="C254" s="125"/>
      <c r="D254" s="128"/>
      <c r="E254" s="126"/>
      <c r="F254" s="38"/>
      <c r="G254" s="127"/>
      <c r="H254" s="28"/>
      <c r="I254" s="28"/>
      <c r="J254" s="28"/>
      <c r="K254" s="28"/>
      <c r="L254" s="28"/>
      <c r="M254" s="28"/>
      <c r="N254" s="28"/>
      <c r="O254" s="28"/>
      <c r="P254" s="28"/>
      <c r="Q254" s="28"/>
      <c r="R254" s="28"/>
      <c r="S254" s="28"/>
      <c r="T254" s="28"/>
      <c r="U254" s="28"/>
      <c r="V254" s="28"/>
      <c r="W254" s="28"/>
      <c r="X254" s="28"/>
      <c r="Y254" s="28"/>
      <c r="Z254" s="28"/>
    </row>
    <row r="255" ht="15.75" customHeight="1">
      <c r="A255" s="125"/>
      <c r="B255" s="125"/>
      <c r="C255" s="125"/>
      <c r="D255" s="128"/>
      <c r="E255" s="126"/>
      <c r="F255" s="38"/>
      <c r="G255" s="127"/>
      <c r="H255" s="28"/>
      <c r="I255" s="28"/>
      <c r="J255" s="28"/>
      <c r="K255" s="28"/>
      <c r="L255" s="28"/>
      <c r="M255" s="28"/>
      <c r="N255" s="28"/>
      <c r="O255" s="28"/>
      <c r="P255" s="28"/>
      <c r="Q255" s="28"/>
      <c r="R255" s="28"/>
      <c r="S255" s="28"/>
      <c r="T255" s="28"/>
      <c r="U255" s="28"/>
      <c r="V255" s="28"/>
      <c r="W255" s="28"/>
      <c r="X255" s="28"/>
      <c r="Y255" s="28"/>
      <c r="Z255" s="28"/>
    </row>
    <row r="256" ht="15.75" customHeight="1">
      <c r="A256" s="125"/>
      <c r="B256" s="125"/>
      <c r="C256" s="125"/>
      <c r="D256" s="128"/>
      <c r="E256" s="126"/>
      <c r="F256" s="38"/>
      <c r="G256" s="127"/>
      <c r="H256" s="28"/>
      <c r="I256" s="28"/>
      <c r="J256" s="28"/>
      <c r="K256" s="28"/>
      <c r="L256" s="28"/>
      <c r="M256" s="28"/>
      <c r="N256" s="28"/>
      <c r="O256" s="28"/>
      <c r="P256" s="28"/>
      <c r="Q256" s="28"/>
      <c r="R256" s="28"/>
      <c r="S256" s="28"/>
      <c r="T256" s="28"/>
      <c r="U256" s="28"/>
      <c r="V256" s="28"/>
      <c r="W256" s="28"/>
      <c r="X256" s="28"/>
      <c r="Y256" s="28"/>
      <c r="Z256" s="28"/>
    </row>
    <row r="257" ht="15.75" customHeight="1">
      <c r="A257" s="125"/>
      <c r="B257" s="125"/>
      <c r="C257" s="125"/>
      <c r="D257" s="128"/>
      <c r="E257" s="126"/>
      <c r="F257" s="38"/>
      <c r="G257" s="127"/>
      <c r="H257" s="28"/>
      <c r="I257" s="28"/>
      <c r="J257" s="28"/>
      <c r="K257" s="28"/>
      <c r="L257" s="28"/>
      <c r="M257" s="28"/>
      <c r="N257" s="28"/>
      <c r="O257" s="28"/>
      <c r="P257" s="28"/>
      <c r="Q257" s="28"/>
      <c r="R257" s="28"/>
      <c r="S257" s="28"/>
      <c r="T257" s="28"/>
      <c r="U257" s="28"/>
      <c r="V257" s="28"/>
      <c r="W257" s="28"/>
      <c r="X257" s="28"/>
      <c r="Y257" s="28"/>
      <c r="Z257" s="28"/>
    </row>
    <row r="258" ht="15.75" customHeight="1">
      <c r="A258" s="125"/>
      <c r="B258" s="125"/>
      <c r="C258" s="125"/>
      <c r="D258" s="128"/>
      <c r="E258" s="126"/>
      <c r="F258" s="38"/>
      <c r="G258" s="127"/>
      <c r="H258" s="28"/>
      <c r="I258" s="28"/>
      <c r="J258" s="28"/>
      <c r="K258" s="28"/>
      <c r="L258" s="28"/>
      <c r="M258" s="28"/>
      <c r="N258" s="28"/>
      <c r="O258" s="28"/>
      <c r="P258" s="28"/>
      <c r="Q258" s="28"/>
      <c r="R258" s="28"/>
      <c r="S258" s="28"/>
      <c r="T258" s="28"/>
      <c r="U258" s="28"/>
      <c r="V258" s="28"/>
      <c r="W258" s="28"/>
      <c r="X258" s="28"/>
      <c r="Y258" s="28"/>
      <c r="Z258" s="28"/>
    </row>
    <row r="259" ht="15.75" customHeight="1">
      <c r="A259" s="125"/>
      <c r="B259" s="125"/>
      <c r="C259" s="125"/>
      <c r="D259" s="128"/>
      <c r="E259" s="126"/>
      <c r="F259" s="38"/>
      <c r="G259" s="127"/>
      <c r="H259" s="28"/>
      <c r="I259" s="28"/>
      <c r="J259" s="28"/>
      <c r="K259" s="28"/>
      <c r="L259" s="28"/>
      <c r="M259" s="28"/>
      <c r="N259" s="28"/>
      <c r="O259" s="28"/>
      <c r="P259" s="28"/>
      <c r="Q259" s="28"/>
      <c r="R259" s="28"/>
      <c r="S259" s="28"/>
      <c r="T259" s="28"/>
      <c r="U259" s="28"/>
      <c r="V259" s="28"/>
      <c r="W259" s="28"/>
      <c r="X259" s="28"/>
      <c r="Y259" s="28"/>
      <c r="Z259" s="28"/>
    </row>
    <row r="260" ht="15.75" customHeight="1">
      <c r="A260" s="125"/>
      <c r="B260" s="125"/>
      <c r="C260" s="125"/>
      <c r="D260" s="128"/>
      <c r="E260" s="126"/>
      <c r="F260" s="38"/>
      <c r="G260" s="127"/>
      <c r="H260" s="28"/>
      <c r="I260" s="28"/>
      <c r="J260" s="28"/>
      <c r="K260" s="28"/>
      <c r="L260" s="28"/>
      <c r="M260" s="28"/>
      <c r="N260" s="28"/>
      <c r="O260" s="28"/>
      <c r="P260" s="28"/>
      <c r="Q260" s="28"/>
      <c r="R260" s="28"/>
      <c r="S260" s="28"/>
      <c r="T260" s="28"/>
      <c r="U260" s="28"/>
      <c r="V260" s="28"/>
      <c r="W260" s="28"/>
      <c r="X260" s="28"/>
      <c r="Y260" s="28"/>
      <c r="Z260" s="28"/>
    </row>
    <row r="261" ht="15.75" customHeight="1">
      <c r="A261" s="125"/>
      <c r="B261" s="125"/>
      <c r="C261" s="125"/>
      <c r="D261" s="128"/>
      <c r="E261" s="126"/>
      <c r="F261" s="38"/>
      <c r="G261" s="127"/>
      <c r="H261" s="28"/>
      <c r="I261" s="28"/>
      <c r="J261" s="28"/>
      <c r="K261" s="28"/>
      <c r="L261" s="28"/>
      <c r="M261" s="28"/>
      <c r="N261" s="28"/>
      <c r="O261" s="28"/>
      <c r="P261" s="28"/>
      <c r="Q261" s="28"/>
      <c r="R261" s="28"/>
      <c r="S261" s="28"/>
      <c r="T261" s="28"/>
      <c r="U261" s="28"/>
      <c r="V261" s="28"/>
      <c r="W261" s="28"/>
      <c r="X261" s="28"/>
      <c r="Y261" s="28"/>
      <c r="Z261" s="28"/>
    </row>
    <row r="262" ht="15.75" customHeight="1">
      <c r="A262" s="125"/>
      <c r="B262" s="125"/>
      <c r="C262" s="125"/>
      <c r="D262" s="128"/>
      <c r="E262" s="126"/>
      <c r="F262" s="38"/>
      <c r="G262" s="127"/>
      <c r="H262" s="28"/>
      <c r="I262" s="28"/>
      <c r="J262" s="28"/>
      <c r="K262" s="28"/>
      <c r="L262" s="28"/>
      <c r="M262" s="28"/>
      <c r="N262" s="28"/>
      <c r="O262" s="28"/>
      <c r="P262" s="28"/>
      <c r="Q262" s="28"/>
      <c r="R262" s="28"/>
      <c r="S262" s="28"/>
      <c r="T262" s="28"/>
      <c r="U262" s="28"/>
      <c r="V262" s="28"/>
      <c r="W262" s="28"/>
      <c r="X262" s="28"/>
      <c r="Y262" s="28"/>
      <c r="Z262" s="28"/>
    </row>
    <row r="263" ht="15.75" customHeight="1">
      <c r="A263" s="125"/>
      <c r="B263" s="125"/>
      <c r="C263" s="125"/>
      <c r="D263" s="128"/>
      <c r="E263" s="126"/>
      <c r="F263" s="38"/>
      <c r="G263" s="127"/>
      <c r="H263" s="28"/>
      <c r="I263" s="28"/>
      <c r="J263" s="28"/>
      <c r="K263" s="28"/>
      <c r="L263" s="28"/>
      <c r="M263" s="28"/>
      <c r="N263" s="28"/>
      <c r="O263" s="28"/>
      <c r="P263" s="28"/>
      <c r="Q263" s="28"/>
      <c r="R263" s="28"/>
      <c r="S263" s="28"/>
      <c r="T263" s="28"/>
      <c r="U263" s="28"/>
      <c r="V263" s="28"/>
      <c r="W263" s="28"/>
      <c r="X263" s="28"/>
      <c r="Y263" s="28"/>
      <c r="Z263" s="28"/>
    </row>
    <row r="264" ht="15.75" customHeight="1">
      <c r="A264" s="125"/>
      <c r="B264" s="125"/>
      <c r="C264" s="125"/>
      <c r="D264" s="128"/>
      <c r="E264" s="126"/>
      <c r="F264" s="38"/>
      <c r="G264" s="127"/>
      <c r="H264" s="28"/>
      <c r="I264" s="28"/>
      <c r="J264" s="28"/>
      <c r="K264" s="28"/>
      <c r="L264" s="28"/>
      <c r="M264" s="28"/>
      <c r="N264" s="28"/>
      <c r="O264" s="28"/>
      <c r="P264" s="28"/>
      <c r="Q264" s="28"/>
      <c r="R264" s="28"/>
      <c r="S264" s="28"/>
      <c r="T264" s="28"/>
      <c r="U264" s="28"/>
      <c r="V264" s="28"/>
      <c r="W264" s="28"/>
      <c r="X264" s="28"/>
      <c r="Y264" s="28"/>
      <c r="Z264" s="28"/>
    </row>
    <row r="265" ht="15.75" customHeight="1">
      <c r="A265" s="125"/>
      <c r="B265" s="125"/>
      <c r="C265" s="125"/>
      <c r="D265" s="128"/>
      <c r="E265" s="126"/>
      <c r="F265" s="38"/>
      <c r="G265" s="127"/>
      <c r="H265" s="28"/>
      <c r="I265" s="28"/>
      <c r="J265" s="28"/>
      <c r="K265" s="28"/>
      <c r="L265" s="28"/>
      <c r="M265" s="28"/>
      <c r="N265" s="28"/>
      <c r="O265" s="28"/>
      <c r="P265" s="28"/>
      <c r="Q265" s="28"/>
      <c r="R265" s="28"/>
      <c r="S265" s="28"/>
      <c r="T265" s="28"/>
      <c r="U265" s="28"/>
      <c r="V265" s="28"/>
      <c r="W265" s="28"/>
      <c r="X265" s="28"/>
      <c r="Y265" s="28"/>
      <c r="Z265" s="28"/>
    </row>
    <row r="266" ht="15.75" customHeight="1">
      <c r="A266" s="125"/>
      <c r="B266" s="125"/>
      <c r="C266" s="125"/>
      <c r="D266" s="128"/>
      <c r="E266" s="126"/>
      <c r="F266" s="38"/>
      <c r="G266" s="127"/>
      <c r="H266" s="28"/>
      <c r="I266" s="28"/>
      <c r="J266" s="28"/>
      <c r="K266" s="28"/>
      <c r="L266" s="28"/>
      <c r="M266" s="28"/>
      <c r="N266" s="28"/>
      <c r="O266" s="28"/>
      <c r="P266" s="28"/>
      <c r="Q266" s="28"/>
      <c r="R266" s="28"/>
      <c r="S266" s="28"/>
      <c r="T266" s="28"/>
      <c r="U266" s="28"/>
      <c r="V266" s="28"/>
      <c r="W266" s="28"/>
      <c r="X266" s="28"/>
      <c r="Y266" s="28"/>
      <c r="Z266" s="28"/>
    </row>
    <row r="267" ht="15.75" customHeight="1">
      <c r="A267" s="125"/>
      <c r="B267" s="125"/>
      <c r="C267" s="125"/>
      <c r="D267" s="128"/>
      <c r="E267" s="126"/>
      <c r="F267" s="38"/>
      <c r="G267" s="127"/>
      <c r="H267" s="28"/>
      <c r="I267" s="28"/>
      <c r="J267" s="28"/>
      <c r="K267" s="28"/>
      <c r="L267" s="28"/>
      <c r="M267" s="28"/>
      <c r="N267" s="28"/>
      <c r="O267" s="28"/>
      <c r="P267" s="28"/>
      <c r="Q267" s="28"/>
      <c r="R267" s="28"/>
      <c r="S267" s="28"/>
      <c r="T267" s="28"/>
      <c r="U267" s="28"/>
      <c r="V267" s="28"/>
      <c r="W267" s="28"/>
      <c r="X267" s="28"/>
      <c r="Y267" s="28"/>
      <c r="Z267" s="28"/>
    </row>
    <row r="268" ht="15.75" customHeight="1">
      <c r="A268" s="125"/>
      <c r="B268" s="125"/>
      <c r="C268" s="125"/>
      <c r="D268" s="128"/>
      <c r="E268" s="126"/>
      <c r="F268" s="38"/>
      <c r="G268" s="127"/>
      <c r="H268" s="28"/>
      <c r="I268" s="28"/>
      <c r="J268" s="28"/>
      <c r="K268" s="28"/>
      <c r="L268" s="28"/>
      <c r="M268" s="28"/>
      <c r="N268" s="28"/>
      <c r="O268" s="28"/>
      <c r="P268" s="28"/>
      <c r="Q268" s="28"/>
      <c r="R268" s="28"/>
      <c r="S268" s="28"/>
      <c r="T268" s="28"/>
      <c r="U268" s="28"/>
      <c r="V268" s="28"/>
      <c r="W268" s="28"/>
      <c r="X268" s="28"/>
      <c r="Y268" s="28"/>
      <c r="Z268" s="28"/>
    </row>
    <row r="269" ht="15.75" customHeight="1">
      <c r="A269" s="125"/>
      <c r="B269" s="125"/>
      <c r="C269" s="125"/>
      <c r="D269" s="128"/>
      <c r="E269" s="126"/>
      <c r="F269" s="38"/>
      <c r="G269" s="127"/>
      <c r="H269" s="28"/>
      <c r="I269" s="28"/>
      <c r="J269" s="28"/>
      <c r="K269" s="28"/>
      <c r="L269" s="28"/>
      <c r="M269" s="28"/>
      <c r="N269" s="28"/>
      <c r="O269" s="28"/>
      <c r="P269" s="28"/>
      <c r="Q269" s="28"/>
      <c r="R269" s="28"/>
      <c r="S269" s="28"/>
      <c r="T269" s="28"/>
      <c r="U269" s="28"/>
      <c r="V269" s="28"/>
      <c r="W269" s="28"/>
      <c r="X269" s="28"/>
      <c r="Y269" s="28"/>
      <c r="Z269" s="28"/>
    </row>
    <row r="270" ht="15.75" customHeight="1">
      <c r="A270" s="125"/>
      <c r="B270" s="125"/>
      <c r="C270" s="125"/>
      <c r="D270" s="128"/>
      <c r="E270" s="126"/>
      <c r="F270" s="38"/>
      <c r="G270" s="127"/>
      <c r="H270" s="28"/>
      <c r="I270" s="28"/>
      <c r="J270" s="28"/>
      <c r="K270" s="28"/>
      <c r="L270" s="28"/>
      <c r="M270" s="28"/>
      <c r="N270" s="28"/>
      <c r="O270" s="28"/>
      <c r="P270" s="28"/>
      <c r="Q270" s="28"/>
      <c r="R270" s="28"/>
      <c r="S270" s="28"/>
      <c r="T270" s="28"/>
      <c r="U270" s="28"/>
      <c r="V270" s="28"/>
      <c r="W270" s="28"/>
      <c r="X270" s="28"/>
      <c r="Y270" s="28"/>
      <c r="Z270" s="28"/>
    </row>
    <row r="271" ht="15.75" customHeight="1">
      <c r="A271" s="125"/>
      <c r="B271" s="125"/>
      <c r="C271" s="125"/>
      <c r="D271" s="128"/>
      <c r="E271" s="126"/>
      <c r="F271" s="38"/>
      <c r="G271" s="127"/>
      <c r="H271" s="28"/>
      <c r="I271" s="28"/>
      <c r="J271" s="28"/>
      <c r="K271" s="28"/>
      <c r="L271" s="28"/>
      <c r="M271" s="28"/>
      <c r="N271" s="28"/>
      <c r="O271" s="28"/>
      <c r="P271" s="28"/>
      <c r="Q271" s="28"/>
      <c r="R271" s="28"/>
      <c r="S271" s="28"/>
      <c r="T271" s="28"/>
      <c r="U271" s="28"/>
      <c r="V271" s="28"/>
      <c r="W271" s="28"/>
      <c r="X271" s="28"/>
      <c r="Y271" s="28"/>
      <c r="Z271" s="28"/>
    </row>
    <row r="272" ht="15.75" customHeight="1">
      <c r="A272" s="125"/>
      <c r="B272" s="125"/>
      <c r="C272" s="125"/>
      <c r="D272" s="128"/>
      <c r="E272" s="126"/>
      <c r="F272" s="38"/>
      <c r="G272" s="127"/>
      <c r="H272" s="28"/>
      <c r="I272" s="28"/>
      <c r="J272" s="28"/>
      <c r="K272" s="28"/>
      <c r="L272" s="28"/>
      <c r="M272" s="28"/>
      <c r="N272" s="28"/>
      <c r="O272" s="28"/>
      <c r="P272" s="28"/>
      <c r="Q272" s="28"/>
      <c r="R272" s="28"/>
      <c r="S272" s="28"/>
      <c r="T272" s="28"/>
      <c r="U272" s="28"/>
      <c r="V272" s="28"/>
      <c r="W272" s="28"/>
      <c r="X272" s="28"/>
      <c r="Y272" s="28"/>
      <c r="Z272" s="28"/>
    </row>
    <row r="273" ht="15.75" customHeight="1">
      <c r="A273" s="125"/>
      <c r="B273" s="125"/>
      <c r="C273" s="125"/>
      <c r="D273" s="128"/>
      <c r="E273" s="126"/>
      <c r="F273" s="38"/>
      <c r="G273" s="127"/>
      <c r="H273" s="28"/>
      <c r="I273" s="28"/>
      <c r="J273" s="28"/>
      <c r="K273" s="28"/>
      <c r="L273" s="28"/>
      <c r="M273" s="28"/>
      <c r="N273" s="28"/>
      <c r="O273" s="28"/>
      <c r="P273" s="28"/>
      <c r="Q273" s="28"/>
      <c r="R273" s="28"/>
      <c r="S273" s="28"/>
      <c r="T273" s="28"/>
      <c r="U273" s="28"/>
      <c r="V273" s="28"/>
      <c r="W273" s="28"/>
      <c r="X273" s="28"/>
      <c r="Y273" s="28"/>
      <c r="Z273" s="28"/>
    </row>
    <row r="274" ht="15.75" customHeight="1">
      <c r="A274" s="125"/>
      <c r="B274" s="125"/>
      <c r="C274" s="125"/>
      <c r="D274" s="128"/>
      <c r="E274" s="126"/>
      <c r="F274" s="38"/>
      <c r="G274" s="127"/>
      <c r="H274" s="28"/>
      <c r="I274" s="28"/>
      <c r="J274" s="28"/>
      <c r="K274" s="28"/>
      <c r="L274" s="28"/>
      <c r="M274" s="28"/>
      <c r="N274" s="28"/>
      <c r="O274" s="28"/>
      <c r="P274" s="28"/>
      <c r="Q274" s="28"/>
      <c r="R274" s="28"/>
      <c r="S274" s="28"/>
      <c r="T274" s="28"/>
      <c r="U274" s="28"/>
      <c r="V274" s="28"/>
      <c r="W274" s="28"/>
      <c r="X274" s="28"/>
      <c r="Y274" s="28"/>
      <c r="Z274" s="28"/>
    </row>
    <row r="275" ht="15.75" customHeight="1">
      <c r="A275" s="125"/>
      <c r="B275" s="125"/>
      <c r="C275" s="125"/>
      <c r="D275" s="128"/>
      <c r="E275" s="126"/>
      <c r="F275" s="38"/>
      <c r="G275" s="127"/>
      <c r="H275" s="28"/>
      <c r="I275" s="28"/>
      <c r="J275" s="28"/>
      <c r="K275" s="28"/>
      <c r="L275" s="28"/>
      <c r="M275" s="28"/>
      <c r="N275" s="28"/>
      <c r="O275" s="28"/>
      <c r="P275" s="28"/>
      <c r="Q275" s="28"/>
      <c r="R275" s="28"/>
      <c r="S275" s="28"/>
      <c r="T275" s="28"/>
      <c r="U275" s="28"/>
      <c r="V275" s="28"/>
      <c r="W275" s="28"/>
      <c r="X275" s="28"/>
      <c r="Y275" s="28"/>
      <c r="Z275" s="28"/>
    </row>
    <row r="276" ht="15.75" customHeight="1">
      <c r="A276" s="125"/>
      <c r="B276" s="125"/>
      <c r="C276" s="125"/>
      <c r="D276" s="128"/>
      <c r="E276" s="126"/>
      <c r="F276" s="38"/>
      <c r="G276" s="127"/>
      <c r="H276" s="28"/>
      <c r="I276" s="28"/>
      <c r="J276" s="28"/>
      <c r="K276" s="28"/>
      <c r="L276" s="28"/>
      <c r="M276" s="28"/>
      <c r="N276" s="28"/>
      <c r="O276" s="28"/>
      <c r="P276" s="28"/>
      <c r="Q276" s="28"/>
      <c r="R276" s="28"/>
      <c r="S276" s="28"/>
      <c r="T276" s="28"/>
      <c r="U276" s="28"/>
      <c r="V276" s="28"/>
      <c r="W276" s="28"/>
      <c r="X276" s="28"/>
      <c r="Y276" s="28"/>
      <c r="Z276" s="28"/>
    </row>
    <row r="277" ht="15.75" customHeight="1">
      <c r="A277" s="125"/>
      <c r="B277" s="125"/>
      <c r="C277" s="125"/>
      <c r="D277" s="128"/>
      <c r="E277" s="126"/>
      <c r="F277" s="38"/>
      <c r="G277" s="127"/>
      <c r="H277" s="28"/>
      <c r="I277" s="28"/>
      <c r="J277" s="28"/>
      <c r="K277" s="28"/>
      <c r="L277" s="28"/>
      <c r="M277" s="28"/>
      <c r="N277" s="28"/>
      <c r="O277" s="28"/>
      <c r="P277" s="28"/>
      <c r="Q277" s="28"/>
      <c r="R277" s="28"/>
      <c r="S277" s="28"/>
      <c r="T277" s="28"/>
      <c r="U277" s="28"/>
      <c r="V277" s="28"/>
      <c r="W277" s="28"/>
      <c r="X277" s="28"/>
      <c r="Y277" s="28"/>
      <c r="Z277" s="28"/>
    </row>
    <row r="278" ht="15.75" customHeight="1">
      <c r="A278" s="125"/>
      <c r="B278" s="125"/>
      <c r="C278" s="125"/>
      <c r="D278" s="128"/>
      <c r="E278" s="126"/>
      <c r="F278" s="38"/>
      <c r="G278" s="127"/>
      <c r="H278" s="28"/>
      <c r="I278" s="28"/>
      <c r="J278" s="28"/>
      <c r="K278" s="28"/>
      <c r="L278" s="28"/>
      <c r="M278" s="28"/>
      <c r="N278" s="28"/>
      <c r="O278" s="28"/>
      <c r="P278" s="28"/>
      <c r="Q278" s="28"/>
      <c r="R278" s="28"/>
      <c r="S278" s="28"/>
      <c r="T278" s="28"/>
      <c r="U278" s="28"/>
      <c r="V278" s="28"/>
      <c r="W278" s="28"/>
      <c r="X278" s="28"/>
      <c r="Y278" s="28"/>
      <c r="Z278" s="28"/>
    </row>
    <row r="279" ht="15.75" customHeight="1">
      <c r="A279" s="125"/>
      <c r="B279" s="125"/>
      <c r="C279" s="125"/>
      <c r="D279" s="128"/>
      <c r="E279" s="126"/>
      <c r="F279" s="38"/>
      <c r="G279" s="127"/>
      <c r="H279" s="28"/>
      <c r="I279" s="28"/>
      <c r="J279" s="28"/>
      <c r="K279" s="28"/>
      <c r="L279" s="28"/>
      <c r="M279" s="28"/>
      <c r="N279" s="28"/>
      <c r="O279" s="28"/>
      <c r="P279" s="28"/>
      <c r="Q279" s="28"/>
      <c r="R279" s="28"/>
      <c r="S279" s="28"/>
      <c r="T279" s="28"/>
      <c r="U279" s="28"/>
      <c r="V279" s="28"/>
      <c r="W279" s="28"/>
      <c r="X279" s="28"/>
      <c r="Y279" s="28"/>
      <c r="Z279" s="28"/>
    </row>
    <row r="280" ht="15.75" customHeight="1">
      <c r="A280" s="125"/>
      <c r="B280" s="125"/>
      <c r="C280" s="125"/>
      <c r="D280" s="128"/>
      <c r="E280" s="126"/>
      <c r="F280" s="38"/>
      <c r="G280" s="127"/>
      <c r="H280" s="28"/>
      <c r="I280" s="28"/>
      <c r="J280" s="28"/>
      <c r="K280" s="28"/>
      <c r="L280" s="28"/>
      <c r="M280" s="28"/>
      <c r="N280" s="28"/>
      <c r="O280" s="28"/>
      <c r="P280" s="28"/>
      <c r="Q280" s="28"/>
      <c r="R280" s="28"/>
      <c r="S280" s="28"/>
      <c r="T280" s="28"/>
      <c r="U280" s="28"/>
      <c r="V280" s="28"/>
      <c r="W280" s="28"/>
      <c r="X280" s="28"/>
      <c r="Y280" s="28"/>
      <c r="Z280" s="28"/>
    </row>
    <row r="281" ht="15.75" customHeight="1">
      <c r="A281" s="125"/>
      <c r="B281" s="125"/>
      <c r="C281" s="125"/>
      <c r="D281" s="128"/>
      <c r="E281" s="126"/>
      <c r="F281" s="38"/>
      <c r="G281" s="127"/>
      <c r="H281" s="28"/>
      <c r="I281" s="28"/>
      <c r="J281" s="28"/>
      <c r="K281" s="28"/>
      <c r="L281" s="28"/>
      <c r="M281" s="28"/>
      <c r="N281" s="28"/>
      <c r="O281" s="28"/>
      <c r="P281" s="28"/>
      <c r="Q281" s="28"/>
      <c r="R281" s="28"/>
      <c r="S281" s="28"/>
      <c r="T281" s="28"/>
      <c r="U281" s="28"/>
      <c r="V281" s="28"/>
      <c r="W281" s="28"/>
      <c r="X281" s="28"/>
      <c r="Y281" s="28"/>
      <c r="Z281" s="28"/>
    </row>
    <row r="282" ht="15.75" customHeight="1">
      <c r="A282" s="125"/>
      <c r="B282" s="125"/>
      <c r="C282" s="125"/>
      <c r="D282" s="128"/>
      <c r="E282" s="126"/>
      <c r="F282" s="38"/>
      <c r="G282" s="127"/>
      <c r="H282" s="28"/>
      <c r="I282" s="28"/>
      <c r="J282" s="28"/>
      <c r="K282" s="28"/>
      <c r="L282" s="28"/>
      <c r="M282" s="28"/>
      <c r="N282" s="28"/>
      <c r="O282" s="28"/>
      <c r="P282" s="28"/>
      <c r="Q282" s="28"/>
      <c r="R282" s="28"/>
      <c r="S282" s="28"/>
      <c r="T282" s="28"/>
      <c r="U282" s="28"/>
      <c r="V282" s="28"/>
      <c r="W282" s="28"/>
      <c r="X282" s="28"/>
      <c r="Y282" s="28"/>
      <c r="Z282" s="28"/>
    </row>
    <row r="283" ht="15.75" customHeight="1">
      <c r="A283" s="125"/>
      <c r="B283" s="125"/>
      <c r="C283" s="125"/>
      <c r="D283" s="128"/>
      <c r="E283" s="126"/>
      <c r="F283" s="38"/>
      <c r="G283" s="127"/>
      <c r="H283" s="28"/>
      <c r="I283" s="28"/>
      <c r="J283" s="28"/>
      <c r="K283" s="28"/>
      <c r="L283" s="28"/>
      <c r="M283" s="28"/>
      <c r="N283" s="28"/>
      <c r="O283" s="28"/>
      <c r="P283" s="28"/>
      <c r="Q283" s="28"/>
      <c r="R283" s="28"/>
      <c r="S283" s="28"/>
      <c r="T283" s="28"/>
      <c r="U283" s="28"/>
      <c r="V283" s="28"/>
      <c r="W283" s="28"/>
      <c r="X283" s="28"/>
      <c r="Y283" s="28"/>
      <c r="Z283" s="28"/>
    </row>
    <row r="284" ht="15.75" customHeight="1">
      <c r="A284" s="125"/>
      <c r="B284" s="125"/>
      <c r="C284" s="125"/>
      <c r="D284" s="128"/>
      <c r="E284" s="126"/>
      <c r="F284" s="38"/>
      <c r="G284" s="127"/>
      <c r="H284" s="28"/>
      <c r="I284" s="28"/>
      <c r="J284" s="28"/>
      <c r="K284" s="28"/>
      <c r="L284" s="28"/>
      <c r="M284" s="28"/>
      <c r="N284" s="28"/>
      <c r="O284" s="28"/>
      <c r="P284" s="28"/>
      <c r="Q284" s="28"/>
      <c r="R284" s="28"/>
      <c r="S284" s="28"/>
      <c r="T284" s="28"/>
      <c r="U284" s="28"/>
      <c r="V284" s="28"/>
      <c r="W284" s="28"/>
      <c r="X284" s="28"/>
      <c r="Y284" s="28"/>
      <c r="Z284" s="28"/>
    </row>
    <row r="285" ht="15.75" customHeight="1">
      <c r="A285" s="125"/>
      <c r="B285" s="125"/>
      <c r="C285" s="125"/>
      <c r="D285" s="128"/>
      <c r="E285" s="126"/>
      <c r="F285" s="38"/>
      <c r="G285" s="127"/>
      <c r="H285" s="28"/>
      <c r="I285" s="28"/>
      <c r="J285" s="28"/>
      <c r="K285" s="28"/>
      <c r="L285" s="28"/>
      <c r="M285" s="28"/>
      <c r="N285" s="28"/>
      <c r="O285" s="28"/>
      <c r="P285" s="28"/>
      <c r="Q285" s="28"/>
      <c r="R285" s="28"/>
      <c r="S285" s="28"/>
      <c r="T285" s="28"/>
      <c r="U285" s="28"/>
      <c r="V285" s="28"/>
      <c r="W285" s="28"/>
      <c r="X285" s="28"/>
      <c r="Y285" s="28"/>
      <c r="Z285" s="28"/>
    </row>
    <row r="286" ht="15.75" customHeight="1">
      <c r="A286" s="125"/>
      <c r="B286" s="125"/>
      <c r="C286" s="125"/>
      <c r="D286" s="128"/>
      <c r="E286" s="126"/>
      <c r="F286" s="38"/>
      <c r="G286" s="127"/>
      <c r="H286" s="28"/>
      <c r="I286" s="28"/>
      <c r="J286" s="28"/>
      <c r="K286" s="28"/>
      <c r="L286" s="28"/>
      <c r="M286" s="28"/>
      <c r="N286" s="28"/>
      <c r="O286" s="28"/>
      <c r="P286" s="28"/>
      <c r="Q286" s="28"/>
      <c r="R286" s="28"/>
      <c r="S286" s="28"/>
      <c r="T286" s="28"/>
      <c r="U286" s="28"/>
      <c r="V286" s="28"/>
      <c r="W286" s="28"/>
      <c r="X286" s="28"/>
      <c r="Y286" s="28"/>
      <c r="Z286" s="28"/>
    </row>
    <row r="287" ht="15.75" customHeight="1">
      <c r="A287" s="125"/>
      <c r="B287" s="125"/>
      <c r="C287" s="125"/>
      <c r="D287" s="128"/>
      <c r="E287" s="126"/>
      <c r="F287" s="38"/>
      <c r="G287" s="127"/>
      <c r="H287" s="28"/>
      <c r="I287" s="28"/>
      <c r="J287" s="28"/>
      <c r="K287" s="28"/>
      <c r="L287" s="28"/>
      <c r="M287" s="28"/>
      <c r="N287" s="28"/>
      <c r="O287" s="28"/>
      <c r="P287" s="28"/>
      <c r="Q287" s="28"/>
      <c r="R287" s="28"/>
      <c r="S287" s="28"/>
      <c r="T287" s="28"/>
      <c r="U287" s="28"/>
      <c r="V287" s="28"/>
      <c r="W287" s="28"/>
      <c r="X287" s="28"/>
      <c r="Y287" s="28"/>
      <c r="Z287" s="28"/>
    </row>
    <row r="288" ht="15.75" customHeight="1">
      <c r="A288" s="125"/>
      <c r="B288" s="125"/>
      <c r="C288" s="125"/>
      <c r="D288" s="128"/>
      <c r="E288" s="126"/>
      <c r="F288" s="38"/>
      <c r="G288" s="127"/>
      <c r="H288" s="28"/>
      <c r="I288" s="28"/>
      <c r="J288" s="28"/>
      <c r="K288" s="28"/>
      <c r="L288" s="28"/>
      <c r="M288" s="28"/>
      <c r="N288" s="28"/>
      <c r="O288" s="28"/>
      <c r="P288" s="28"/>
      <c r="Q288" s="28"/>
      <c r="R288" s="28"/>
      <c r="S288" s="28"/>
      <c r="T288" s="28"/>
      <c r="U288" s="28"/>
      <c r="V288" s="28"/>
      <c r="W288" s="28"/>
      <c r="X288" s="28"/>
      <c r="Y288" s="28"/>
      <c r="Z288" s="28"/>
    </row>
    <row r="289" ht="15.75" customHeight="1">
      <c r="A289" s="125"/>
      <c r="B289" s="125"/>
      <c r="C289" s="125"/>
      <c r="D289" s="128"/>
      <c r="E289" s="126"/>
      <c r="F289" s="38"/>
      <c r="G289" s="127"/>
      <c r="H289" s="28"/>
      <c r="I289" s="28"/>
      <c r="J289" s="28"/>
      <c r="K289" s="28"/>
      <c r="L289" s="28"/>
      <c r="M289" s="28"/>
      <c r="N289" s="28"/>
      <c r="O289" s="28"/>
      <c r="P289" s="28"/>
      <c r="Q289" s="28"/>
      <c r="R289" s="28"/>
      <c r="S289" s="28"/>
      <c r="T289" s="28"/>
      <c r="U289" s="28"/>
      <c r="V289" s="28"/>
      <c r="W289" s="28"/>
      <c r="X289" s="28"/>
      <c r="Y289" s="28"/>
      <c r="Z289" s="28"/>
    </row>
    <row r="290" ht="15.75" customHeight="1">
      <c r="A290" s="125"/>
      <c r="B290" s="125"/>
      <c r="C290" s="125"/>
      <c r="D290" s="128"/>
      <c r="E290" s="126"/>
      <c r="F290" s="38"/>
      <c r="G290" s="127"/>
      <c r="H290" s="28"/>
      <c r="I290" s="28"/>
      <c r="J290" s="28"/>
      <c r="K290" s="28"/>
      <c r="L290" s="28"/>
      <c r="M290" s="28"/>
      <c r="N290" s="28"/>
      <c r="O290" s="28"/>
      <c r="P290" s="28"/>
      <c r="Q290" s="28"/>
      <c r="R290" s="28"/>
      <c r="S290" s="28"/>
      <c r="T290" s="28"/>
      <c r="U290" s="28"/>
      <c r="V290" s="28"/>
      <c r="W290" s="28"/>
      <c r="X290" s="28"/>
      <c r="Y290" s="28"/>
      <c r="Z290" s="28"/>
    </row>
    <row r="291" ht="15.75" customHeight="1">
      <c r="A291" s="125"/>
      <c r="B291" s="125"/>
      <c r="C291" s="125"/>
      <c r="D291" s="128"/>
      <c r="E291" s="126"/>
      <c r="F291" s="38"/>
      <c r="G291" s="127"/>
      <c r="H291" s="28"/>
      <c r="I291" s="28"/>
      <c r="J291" s="28"/>
      <c r="K291" s="28"/>
      <c r="L291" s="28"/>
      <c r="M291" s="28"/>
      <c r="N291" s="28"/>
      <c r="O291" s="28"/>
      <c r="P291" s="28"/>
      <c r="Q291" s="28"/>
      <c r="R291" s="28"/>
      <c r="S291" s="28"/>
      <c r="T291" s="28"/>
      <c r="U291" s="28"/>
      <c r="V291" s="28"/>
      <c r="W291" s="28"/>
      <c r="X291" s="28"/>
      <c r="Y291" s="28"/>
      <c r="Z291" s="28"/>
    </row>
    <row r="292" ht="15.75" customHeight="1">
      <c r="A292" s="125"/>
      <c r="B292" s="125"/>
      <c r="C292" s="125"/>
      <c r="D292" s="128"/>
      <c r="E292" s="126"/>
      <c r="F292" s="38"/>
      <c r="G292" s="127"/>
      <c r="H292" s="28"/>
      <c r="I292" s="28"/>
      <c r="J292" s="28"/>
      <c r="K292" s="28"/>
      <c r="L292" s="28"/>
      <c r="M292" s="28"/>
      <c r="N292" s="28"/>
      <c r="O292" s="28"/>
      <c r="P292" s="28"/>
      <c r="Q292" s="28"/>
      <c r="R292" s="28"/>
      <c r="S292" s="28"/>
      <c r="T292" s="28"/>
      <c r="U292" s="28"/>
      <c r="V292" s="28"/>
      <c r="W292" s="28"/>
      <c r="X292" s="28"/>
      <c r="Y292" s="28"/>
      <c r="Z292" s="28"/>
    </row>
    <row r="293" ht="15.75" customHeight="1">
      <c r="A293" s="125"/>
      <c r="B293" s="125"/>
      <c r="C293" s="125"/>
      <c r="D293" s="128"/>
      <c r="E293" s="126"/>
      <c r="F293" s="38"/>
      <c r="G293" s="127"/>
      <c r="H293" s="28"/>
      <c r="I293" s="28"/>
      <c r="J293" s="28"/>
      <c r="K293" s="28"/>
      <c r="L293" s="28"/>
      <c r="M293" s="28"/>
      <c r="N293" s="28"/>
      <c r="O293" s="28"/>
      <c r="P293" s="28"/>
      <c r="Q293" s="28"/>
      <c r="R293" s="28"/>
      <c r="S293" s="28"/>
      <c r="T293" s="28"/>
      <c r="U293" s="28"/>
      <c r="V293" s="28"/>
      <c r="W293" s="28"/>
      <c r="X293" s="28"/>
      <c r="Y293" s="28"/>
      <c r="Z293" s="28"/>
    </row>
    <row r="294" ht="15.75" customHeight="1">
      <c r="A294" s="125"/>
      <c r="B294" s="125"/>
      <c r="C294" s="125"/>
      <c r="D294" s="128"/>
      <c r="E294" s="126"/>
      <c r="F294" s="38"/>
      <c r="G294" s="127"/>
      <c r="H294" s="28"/>
      <c r="I294" s="28"/>
      <c r="J294" s="28"/>
      <c r="K294" s="28"/>
      <c r="L294" s="28"/>
      <c r="M294" s="28"/>
      <c r="N294" s="28"/>
      <c r="O294" s="28"/>
      <c r="P294" s="28"/>
      <c r="Q294" s="28"/>
      <c r="R294" s="28"/>
      <c r="S294" s="28"/>
      <c r="T294" s="28"/>
      <c r="U294" s="28"/>
      <c r="V294" s="28"/>
      <c r="W294" s="28"/>
      <c r="X294" s="28"/>
      <c r="Y294" s="28"/>
      <c r="Z294" s="28"/>
    </row>
    <row r="295" ht="15.75" customHeight="1">
      <c r="A295" s="125"/>
      <c r="B295" s="125"/>
      <c r="C295" s="125"/>
      <c r="D295" s="128"/>
      <c r="E295" s="126"/>
      <c r="F295" s="38"/>
      <c r="G295" s="127"/>
      <c r="H295" s="28"/>
      <c r="I295" s="28"/>
      <c r="J295" s="28"/>
      <c r="K295" s="28"/>
      <c r="L295" s="28"/>
      <c r="M295" s="28"/>
      <c r="N295" s="28"/>
      <c r="O295" s="28"/>
      <c r="P295" s="28"/>
      <c r="Q295" s="28"/>
      <c r="R295" s="28"/>
      <c r="S295" s="28"/>
      <c r="T295" s="28"/>
      <c r="U295" s="28"/>
      <c r="V295" s="28"/>
      <c r="W295" s="28"/>
      <c r="X295" s="28"/>
      <c r="Y295" s="28"/>
      <c r="Z295" s="28"/>
    </row>
    <row r="296" ht="15.75" customHeight="1">
      <c r="A296" s="125"/>
      <c r="B296" s="125"/>
      <c r="C296" s="125"/>
      <c r="D296" s="128"/>
      <c r="E296" s="126"/>
      <c r="F296" s="38"/>
      <c r="G296" s="127"/>
      <c r="H296" s="28"/>
      <c r="I296" s="28"/>
      <c r="J296" s="28"/>
      <c r="K296" s="28"/>
      <c r="L296" s="28"/>
      <c r="M296" s="28"/>
      <c r="N296" s="28"/>
      <c r="O296" s="28"/>
      <c r="P296" s="28"/>
      <c r="Q296" s="28"/>
      <c r="R296" s="28"/>
      <c r="S296" s="28"/>
      <c r="T296" s="28"/>
      <c r="U296" s="28"/>
      <c r="V296" s="28"/>
      <c r="W296" s="28"/>
      <c r="X296" s="28"/>
      <c r="Y296" s="28"/>
      <c r="Z296" s="28"/>
    </row>
    <row r="297" ht="15.75" customHeight="1">
      <c r="A297" s="125"/>
      <c r="B297" s="125"/>
      <c r="C297" s="125"/>
      <c r="D297" s="128"/>
      <c r="E297" s="126"/>
      <c r="F297" s="38"/>
      <c r="G297" s="127"/>
      <c r="H297" s="28"/>
      <c r="I297" s="28"/>
      <c r="J297" s="28"/>
      <c r="K297" s="28"/>
      <c r="L297" s="28"/>
      <c r="M297" s="28"/>
      <c r="N297" s="28"/>
      <c r="O297" s="28"/>
      <c r="P297" s="28"/>
      <c r="Q297" s="28"/>
      <c r="R297" s="28"/>
      <c r="S297" s="28"/>
      <c r="T297" s="28"/>
      <c r="U297" s="28"/>
      <c r="V297" s="28"/>
      <c r="W297" s="28"/>
      <c r="X297" s="28"/>
      <c r="Y297" s="28"/>
      <c r="Z297" s="28"/>
    </row>
    <row r="298" ht="15.75" customHeight="1">
      <c r="A298" s="125"/>
      <c r="B298" s="125"/>
      <c r="C298" s="125"/>
      <c r="D298" s="128"/>
      <c r="E298" s="126"/>
      <c r="F298" s="38"/>
      <c r="G298" s="127"/>
      <c r="H298" s="28"/>
      <c r="I298" s="28"/>
      <c r="J298" s="28"/>
      <c r="K298" s="28"/>
      <c r="L298" s="28"/>
      <c r="M298" s="28"/>
      <c r="N298" s="28"/>
      <c r="O298" s="28"/>
      <c r="P298" s="28"/>
      <c r="Q298" s="28"/>
      <c r="R298" s="28"/>
      <c r="S298" s="28"/>
      <c r="T298" s="28"/>
      <c r="U298" s="28"/>
      <c r="V298" s="28"/>
      <c r="W298" s="28"/>
      <c r="X298" s="28"/>
      <c r="Y298" s="28"/>
      <c r="Z298" s="28"/>
    </row>
    <row r="299" ht="15.75" customHeight="1">
      <c r="A299" s="125"/>
      <c r="B299" s="125"/>
      <c r="C299" s="125"/>
      <c r="D299" s="128"/>
      <c r="E299" s="126"/>
      <c r="F299" s="38"/>
      <c r="G299" s="127"/>
      <c r="H299" s="28"/>
      <c r="I299" s="28"/>
      <c r="J299" s="28"/>
      <c r="K299" s="28"/>
      <c r="L299" s="28"/>
      <c r="M299" s="28"/>
      <c r="N299" s="28"/>
      <c r="O299" s="28"/>
      <c r="P299" s="28"/>
      <c r="Q299" s="28"/>
      <c r="R299" s="28"/>
      <c r="S299" s="28"/>
      <c r="T299" s="28"/>
      <c r="U299" s="28"/>
      <c r="V299" s="28"/>
      <c r="W299" s="28"/>
      <c r="X299" s="28"/>
      <c r="Y299" s="28"/>
      <c r="Z299" s="28"/>
    </row>
    <row r="300" ht="15.75" customHeight="1">
      <c r="A300" s="125"/>
      <c r="B300" s="125"/>
      <c r="C300" s="125"/>
      <c r="D300" s="128"/>
      <c r="E300" s="126"/>
      <c r="F300" s="38"/>
      <c r="G300" s="127"/>
      <c r="H300" s="28"/>
      <c r="I300" s="28"/>
      <c r="J300" s="28"/>
      <c r="K300" s="28"/>
      <c r="L300" s="28"/>
      <c r="M300" s="28"/>
      <c r="N300" s="28"/>
      <c r="O300" s="28"/>
      <c r="P300" s="28"/>
      <c r="Q300" s="28"/>
      <c r="R300" s="28"/>
      <c r="S300" s="28"/>
      <c r="T300" s="28"/>
      <c r="U300" s="28"/>
      <c r="V300" s="28"/>
      <c r="W300" s="28"/>
      <c r="X300" s="28"/>
      <c r="Y300" s="28"/>
      <c r="Z300" s="28"/>
    </row>
    <row r="301" ht="15.75" customHeight="1">
      <c r="A301" s="125"/>
      <c r="B301" s="125"/>
      <c r="C301" s="125"/>
      <c r="D301" s="128"/>
      <c r="E301" s="126"/>
      <c r="F301" s="38"/>
      <c r="G301" s="127"/>
      <c r="H301" s="28"/>
      <c r="I301" s="28"/>
      <c r="J301" s="28"/>
      <c r="K301" s="28"/>
      <c r="L301" s="28"/>
      <c r="M301" s="28"/>
      <c r="N301" s="28"/>
      <c r="O301" s="28"/>
      <c r="P301" s="28"/>
      <c r="Q301" s="28"/>
      <c r="R301" s="28"/>
      <c r="S301" s="28"/>
      <c r="T301" s="28"/>
      <c r="U301" s="28"/>
      <c r="V301" s="28"/>
      <c r="W301" s="28"/>
      <c r="X301" s="28"/>
      <c r="Y301" s="28"/>
      <c r="Z301" s="28"/>
    </row>
    <row r="302" ht="15.75" customHeight="1">
      <c r="A302" s="125"/>
      <c r="B302" s="125"/>
      <c r="C302" s="125"/>
      <c r="D302" s="128"/>
      <c r="E302" s="126"/>
      <c r="F302" s="38"/>
      <c r="G302" s="127"/>
      <c r="H302" s="28"/>
      <c r="I302" s="28"/>
      <c r="J302" s="28"/>
      <c r="K302" s="28"/>
      <c r="L302" s="28"/>
      <c r="M302" s="28"/>
      <c r="N302" s="28"/>
      <c r="O302" s="28"/>
      <c r="P302" s="28"/>
      <c r="Q302" s="28"/>
      <c r="R302" s="28"/>
      <c r="S302" s="28"/>
      <c r="T302" s="28"/>
      <c r="U302" s="28"/>
      <c r="V302" s="28"/>
      <c r="W302" s="28"/>
      <c r="X302" s="28"/>
      <c r="Y302" s="28"/>
      <c r="Z302" s="28"/>
    </row>
    <row r="303" ht="15.75" customHeight="1">
      <c r="A303" s="125"/>
      <c r="B303" s="125"/>
      <c r="C303" s="125"/>
      <c r="D303" s="128"/>
      <c r="E303" s="126"/>
      <c r="F303" s="38"/>
      <c r="G303" s="127"/>
      <c r="H303" s="28"/>
      <c r="I303" s="28"/>
      <c r="J303" s="28"/>
      <c r="K303" s="28"/>
      <c r="L303" s="28"/>
      <c r="M303" s="28"/>
      <c r="N303" s="28"/>
      <c r="O303" s="28"/>
      <c r="P303" s="28"/>
      <c r="Q303" s="28"/>
      <c r="R303" s="28"/>
      <c r="S303" s="28"/>
      <c r="T303" s="28"/>
      <c r="U303" s="28"/>
      <c r="V303" s="28"/>
      <c r="W303" s="28"/>
      <c r="X303" s="28"/>
      <c r="Y303" s="28"/>
      <c r="Z303" s="28"/>
    </row>
    <row r="304" ht="15.75" customHeight="1">
      <c r="A304" s="125"/>
      <c r="B304" s="125"/>
      <c r="C304" s="125"/>
      <c r="D304" s="128"/>
      <c r="E304" s="126"/>
      <c r="F304" s="38"/>
      <c r="G304" s="127"/>
      <c r="H304" s="28"/>
      <c r="I304" s="28"/>
      <c r="J304" s="28"/>
      <c r="K304" s="28"/>
      <c r="L304" s="28"/>
      <c r="M304" s="28"/>
      <c r="N304" s="28"/>
      <c r="O304" s="28"/>
      <c r="P304" s="28"/>
      <c r="Q304" s="28"/>
      <c r="R304" s="28"/>
      <c r="S304" s="28"/>
      <c r="T304" s="28"/>
      <c r="U304" s="28"/>
      <c r="V304" s="28"/>
      <c r="W304" s="28"/>
      <c r="X304" s="28"/>
      <c r="Y304" s="28"/>
      <c r="Z304" s="28"/>
    </row>
    <row r="305" ht="15.75" customHeight="1">
      <c r="A305" s="125"/>
      <c r="B305" s="125"/>
      <c r="C305" s="125"/>
      <c r="D305" s="128"/>
      <c r="E305" s="126"/>
      <c r="F305" s="38"/>
      <c r="G305" s="127"/>
      <c r="H305" s="28"/>
      <c r="I305" s="28"/>
      <c r="J305" s="28"/>
      <c r="K305" s="28"/>
      <c r="L305" s="28"/>
      <c r="M305" s="28"/>
      <c r="N305" s="28"/>
      <c r="O305" s="28"/>
      <c r="P305" s="28"/>
      <c r="Q305" s="28"/>
      <c r="R305" s="28"/>
      <c r="S305" s="28"/>
      <c r="T305" s="28"/>
      <c r="U305" s="28"/>
      <c r="V305" s="28"/>
      <c r="W305" s="28"/>
      <c r="X305" s="28"/>
      <c r="Y305" s="28"/>
      <c r="Z305" s="28"/>
    </row>
    <row r="306" ht="15.75" customHeight="1">
      <c r="A306" s="125"/>
      <c r="B306" s="125"/>
      <c r="C306" s="125"/>
      <c r="D306" s="128"/>
      <c r="E306" s="126"/>
      <c r="F306" s="38"/>
      <c r="G306" s="127"/>
      <c r="H306" s="28"/>
      <c r="I306" s="28"/>
      <c r="J306" s="28"/>
      <c r="K306" s="28"/>
      <c r="L306" s="28"/>
      <c r="M306" s="28"/>
      <c r="N306" s="28"/>
      <c r="O306" s="28"/>
      <c r="P306" s="28"/>
      <c r="Q306" s="28"/>
      <c r="R306" s="28"/>
      <c r="S306" s="28"/>
      <c r="T306" s="28"/>
      <c r="U306" s="28"/>
      <c r="V306" s="28"/>
      <c r="W306" s="28"/>
      <c r="X306" s="28"/>
      <c r="Y306" s="28"/>
      <c r="Z306" s="28"/>
    </row>
    <row r="307" ht="15.75" customHeight="1">
      <c r="A307" s="125"/>
      <c r="B307" s="125"/>
      <c r="C307" s="125"/>
      <c r="D307" s="128"/>
      <c r="E307" s="126"/>
      <c r="F307" s="38"/>
      <c r="G307" s="127"/>
      <c r="H307" s="28"/>
      <c r="I307" s="28"/>
      <c r="J307" s="28"/>
      <c r="K307" s="28"/>
      <c r="L307" s="28"/>
      <c r="M307" s="28"/>
      <c r="N307" s="28"/>
      <c r="O307" s="28"/>
      <c r="P307" s="28"/>
      <c r="Q307" s="28"/>
      <c r="R307" s="28"/>
      <c r="S307" s="28"/>
      <c r="T307" s="28"/>
      <c r="U307" s="28"/>
      <c r="V307" s="28"/>
      <c r="W307" s="28"/>
      <c r="X307" s="28"/>
      <c r="Y307" s="28"/>
      <c r="Z307" s="28"/>
    </row>
    <row r="308" ht="15.75" customHeight="1">
      <c r="A308" s="125"/>
      <c r="B308" s="125"/>
      <c r="C308" s="125"/>
      <c r="D308" s="128"/>
      <c r="E308" s="126"/>
      <c r="F308" s="38"/>
      <c r="G308" s="127"/>
      <c r="H308" s="28"/>
      <c r="I308" s="28"/>
      <c r="J308" s="28"/>
      <c r="K308" s="28"/>
      <c r="L308" s="28"/>
      <c r="M308" s="28"/>
      <c r="N308" s="28"/>
      <c r="O308" s="28"/>
      <c r="P308" s="28"/>
      <c r="Q308" s="28"/>
      <c r="R308" s="28"/>
      <c r="S308" s="28"/>
      <c r="T308" s="28"/>
      <c r="U308" s="28"/>
      <c r="V308" s="28"/>
      <c r="W308" s="28"/>
      <c r="X308" s="28"/>
      <c r="Y308" s="28"/>
      <c r="Z308" s="28"/>
    </row>
    <row r="309" ht="15.75" customHeight="1">
      <c r="A309" s="125"/>
      <c r="B309" s="125"/>
      <c r="C309" s="125"/>
      <c r="D309" s="128"/>
      <c r="E309" s="126"/>
      <c r="F309" s="38"/>
      <c r="G309" s="127"/>
      <c r="H309" s="28"/>
      <c r="I309" s="28"/>
      <c r="J309" s="28"/>
      <c r="K309" s="28"/>
      <c r="L309" s="28"/>
      <c r="M309" s="28"/>
      <c r="N309" s="28"/>
      <c r="O309" s="28"/>
      <c r="P309" s="28"/>
      <c r="Q309" s="28"/>
      <c r="R309" s="28"/>
      <c r="S309" s="28"/>
      <c r="T309" s="28"/>
      <c r="U309" s="28"/>
      <c r="V309" s="28"/>
      <c r="W309" s="28"/>
      <c r="X309" s="28"/>
      <c r="Y309" s="28"/>
      <c r="Z309" s="28"/>
    </row>
    <row r="310" ht="15.75" customHeight="1">
      <c r="A310" s="125"/>
      <c r="B310" s="125"/>
      <c r="C310" s="125"/>
      <c r="D310" s="128"/>
      <c r="E310" s="126"/>
      <c r="F310" s="38"/>
      <c r="G310" s="127"/>
      <c r="H310" s="28"/>
      <c r="I310" s="28"/>
      <c r="J310" s="28"/>
      <c r="K310" s="28"/>
      <c r="L310" s="28"/>
      <c r="M310" s="28"/>
      <c r="N310" s="28"/>
      <c r="O310" s="28"/>
      <c r="P310" s="28"/>
      <c r="Q310" s="28"/>
      <c r="R310" s="28"/>
      <c r="S310" s="28"/>
      <c r="T310" s="28"/>
      <c r="U310" s="28"/>
      <c r="V310" s="28"/>
      <c r="W310" s="28"/>
      <c r="X310" s="28"/>
      <c r="Y310" s="28"/>
      <c r="Z310" s="28"/>
    </row>
    <row r="311" ht="15.75" customHeight="1">
      <c r="A311" s="125"/>
      <c r="B311" s="125"/>
      <c r="C311" s="125"/>
      <c r="D311" s="128"/>
      <c r="E311" s="126"/>
      <c r="F311" s="38"/>
      <c r="G311" s="127"/>
      <c r="H311" s="28"/>
      <c r="I311" s="28"/>
      <c r="J311" s="28"/>
      <c r="K311" s="28"/>
      <c r="L311" s="28"/>
      <c r="M311" s="28"/>
      <c r="N311" s="28"/>
      <c r="O311" s="28"/>
      <c r="P311" s="28"/>
      <c r="Q311" s="28"/>
      <c r="R311" s="28"/>
      <c r="S311" s="28"/>
      <c r="T311" s="28"/>
      <c r="U311" s="28"/>
      <c r="V311" s="28"/>
      <c r="W311" s="28"/>
      <c r="X311" s="28"/>
      <c r="Y311" s="28"/>
      <c r="Z311" s="28"/>
    </row>
    <row r="312" ht="15.75" customHeight="1">
      <c r="A312" s="125"/>
      <c r="B312" s="125"/>
      <c r="C312" s="125"/>
      <c r="D312" s="128"/>
      <c r="E312" s="126"/>
      <c r="F312" s="38"/>
      <c r="G312" s="127"/>
      <c r="H312" s="28"/>
      <c r="I312" s="28"/>
      <c r="J312" s="28"/>
      <c r="K312" s="28"/>
      <c r="L312" s="28"/>
      <c r="M312" s="28"/>
      <c r="N312" s="28"/>
      <c r="O312" s="28"/>
      <c r="P312" s="28"/>
      <c r="Q312" s="28"/>
      <c r="R312" s="28"/>
      <c r="S312" s="28"/>
      <c r="T312" s="28"/>
      <c r="U312" s="28"/>
      <c r="V312" s="28"/>
      <c r="W312" s="28"/>
      <c r="X312" s="28"/>
      <c r="Y312" s="28"/>
      <c r="Z312" s="28"/>
    </row>
    <row r="313" ht="15.75" customHeight="1">
      <c r="A313" s="125"/>
      <c r="B313" s="125"/>
      <c r="C313" s="125"/>
      <c r="D313" s="128"/>
      <c r="E313" s="126"/>
      <c r="F313" s="38"/>
      <c r="G313" s="127"/>
      <c r="H313" s="28"/>
      <c r="I313" s="28"/>
      <c r="J313" s="28"/>
      <c r="K313" s="28"/>
      <c r="L313" s="28"/>
      <c r="M313" s="28"/>
      <c r="N313" s="28"/>
      <c r="O313" s="28"/>
      <c r="P313" s="28"/>
      <c r="Q313" s="28"/>
      <c r="R313" s="28"/>
      <c r="S313" s="28"/>
      <c r="T313" s="28"/>
      <c r="U313" s="28"/>
      <c r="V313" s="28"/>
      <c r="W313" s="28"/>
      <c r="X313" s="28"/>
      <c r="Y313" s="28"/>
      <c r="Z313" s="28"/>
    </row>
    <row r="314" ht="15.75" customHeight="1">
      <c r="A314" s="125"/>
      <c r="B314" s="125"/>
      <c r="C314" s="125"/>
      <c r="D314" s="128"/>
      <c r="E314" s="126"/>
      <c r="F314" s="38"/>
      <c r="G314" s="127"/>
      <c r="H314" s="28"/>
      <c r="I314" s="28"/>
      <c r="J314" s="28"/>
      <c r="K314" s="28"/>
      <c r="L314" s="28"/>
      <c r="M314" s="28"/>
      <c r="N314" s="28"/>
      <c r="O314" s="28"/>
      <c r="P314" s="28"/>
      <c r="Q314" s="28"/>
      <c r="R314" s="28"/>
      <c r="S314" s="28"/>
      <c r="T314" s="28"/>
      <c r="U314" s="28"/>
      <c r="V314" s="28"/>
      <c r="W314" s="28"/>
      <c r="X314" s="28"/>
      <c r="Y314" s="28"/>
      <c r="Z314" s="28"/>
    </row>
    <row r="315" ht="15.75" customHeight="1">
      <c r="A315" s="125"/>
      <c r="B315" s="125"/>
      <c r="C315" s="125"/>
      <c r="D315" s="128"/>
      <c r="E315" s="126"/>
      <c r="F315" s="38"/>
      <c r="G315" s="127"/>
      <c r="H315" s="28"/>
      <c r="I315" s="28"/>
      <c r="J315" s="28"/>
      <c r="K315" s="28"/>
      <c r="L315" s="28"/>
      <c r="M315" s="28"/>
      <c r="N315" s="28"/>
      <c r="O315" s="28"/>
      <c r="P315" s="28"/>
      <c r="Q315" s="28"/>
      <c r="R315" s="28"/>
      <c r="S315" s="28"/>
      <c r="T315" s="28"/>
      <c r="U315" s="28"/>
      <c r="V315" s="28"/>
      <c r="W315" s="28"/>
      <c r="X315" s="28"/>
      <c r="Y315" s="28"/>
      <c r="Z315" s="28"/>
    </row>
    <row r="316" ht="15.75" customHeight="1">
      <c r="A316" s="125"/>
      <c r="B316" s="125"/>
      <c r="C316" s="125"/>
      <c r="D316" s="128"/>
      <c r="E316" s="126"/>
      <c r="F316" s="38"/>
      <c r="G316" s="127"/>
      <c r="H316" s="28"/>
      <c r="I316" s="28"/>
      <c r="J316" s="28"/>
      <c r="K316" s="28"/>
      <c r="L316" s="28"/>
      <c r="M316" s="28"/>
      <c r="N316" s="28"/>
      <c r="O316" s="28"/>
      <c r="P316" s="28"/>
      <c r="Q316" s="28"/>
      <c r="R316" s="28"/>
      <c r="S316" s="28"/>
      <c r="T316" s="28"/>
      <c r="U316" s="28"/>
      <c r="V316" s="28"/>
      <c r="W316" s="28"/>
      <c r="X316" s="28"/>
      <c r="Y316" s="28"/>
      <c r="Z316" s="28"/>
    </row>
    <row r="317" ht="15.75" customHeight="1">
      <c r="A317" s="125"/>
      <c r="B317" s="125"/>
      <c r="C317" s="125"/>
      <c r="D317" s="128"/>
      <c r="E317" s="126"/>
      <c r="F317" s="38"/>
      <c r="G317" s="127"/>
      <c r="H317" s="28"/>
      <c r="I317" s="28"/>
      <c r="J317" s="28"/>
      <c r="K317" s="28"/>
      <c r="L317" s="28"/>
      <c r="M317" s="28"/>
      <c r="N317" s="28"/>
      <c r="O317" s="28"/>
      <c r="P317" s="28"/>
      <c r="Q317" s="28"/>
      <c r="R317" s="28"/>
      <c r="S317" s="28"/>
      <c r="T317" s="28"/>
      <c r="U317" s="28"/>
      <c r="V317" s="28"/>
      <c r="W317" s="28"/>
      <c r="X317" s="28"/>
      <c r="Y317" s="28"/>
      <c r="Z317" s="28"/>
    </row>
    <row r="318" ht="15.75" customHeight="1">
      <c r="A318" s="125"/>
      <c r="B318" s="125"/>
      <c r="C318" s="125"/>
      <c r="D318" s="128"/>
      <c r="E318" s="126"/>
      <c r="F318" s="38"/>
      <c r="G318" s="127"/>
      <c r="H318" s="28"/>
      <c r="I318" s="28"/>
      <c r="J318" s="28"/>
      <c r="K318" s="28"/>
      <c r="L318" s="28"/>
      <c r="M318" s="28"/>
      <c r="N318" s="28"/>
      <c r="O318" s="28"/>
      <c r="P318" s="28"/>
      <c r="Q318" s="28"/>
      <c r="R318" s="28"/>
      <c r="S318" s="28"/>
      <c r="T318" s="28"/>
      <c r="U318" s="28"/>
      <c r="V318" s="28"/>
      <c r="W318" s="28"/>
      <c r="X318" s="28"/>
      <c r="Y318" s="28"/>
      <c r="Z318" s="28"/>
    </row>
    <row r="319" ht="15.75" customHeight="1">
      <c r="A319" s="125"/>
      <c r="B319" s="125"/>
      <c r="C319" s="125"/>
      <c r="D319" s="128"/>
      <c r="E319" s="126"/>
      <c r="F319" s="38"/>
      <c r="G319" s="127"/>
      <c r="H319" s="28"/>
      <c r="I319" s="28"/>
      <c r="J319" s="28"/>
      <c r="K319" s="28"/>
      <c r="L319" s="28"/>
      <c r="M319" s="28"/>
      <c r="N319" s="28"/>
      <c r="O319" s="28"/>
      <c r="P319" s="28"/>
      <c r="Q319" s="28"/>
      <c r="R319" s="28"/>
      <c r="S319" s="28"/>
      <c r="T319" s="28"/>
      <c r="U319" s="28"/>
      <c r="V319" s="28"/>
      <c r="W319" s="28"/>
      <c r="X319" s="28"/>
      <c r="Y319" s="28"/>
      <c r="Z319" s="28"/>
    </row>
    <row r="320" ht="15.75" customHeight="1">
      <c r="A320" s="125"/>
      <c r="B320" s="125"/>
      <c r="C320" s="125"/>
      <c r="D320" s="128"/>
      <c r="E320" s="126"/>
      <c r="F320" s="38"/>
      <c r="G320" s="127"/>
      <c r="H320" s="28"/>
      <c r="I320" s="28"/>
      <c r="J320" s="28"/>
      <c r="K320" s="28"/>
      <c r="L320" s="28"/>
      <c r="M320" s="28"/>
      <c r="N320" s="28"/>
      <c r="O320" s="28"/>
      <c r="P320" s="28"/>
      <c r="Q320" s="28"/>
      <c r="R320" s="28"/>
      <c r="S320" s="28"/>
      <c r="T320" s="28"/>
      <c r="U320" s="28"/>
      <c r="V320" s="28"/>
      <c r="W320" s="28"/>
      <c r="X320" s="28"/>
      <c r="Y320" s="28"/>
      <c r="Z320" s="28"/>
    </row>
    <row r="321" ht="15.75" customHeight="1">
      <c r="A321" s="125"/>
      <c r="B321" s="125"/>
      <c r="C321" s="125"/>
      <c r="D321" s="128"/>
      <c r="E321" s="126"/>
      <c r="F321" s="38"/>
      <c r="G321" s="127"/>
      <c r="H321" s="28"/>
      <c r="I321" s="28"/>
      <c r="J321" s="28"/>
      <c r="K321" s="28"/>
      <c r="L321" s="28"/>
      <c r="M321" s="28"/>
      <c r="N321" s="28"/>
      <c r="O321" s="28"/>
      <c r="P321" s="28"/>
      <c r="Q321" s="28"/>
      <c r="R321" s="28"/>
      <c r="S321" s="28"/>
      <c r="T321" s="28"/>
      <c r="U321" s="28"/>
      <c r="V321" s="28"/>
      <c r="W321" s="28"/>
      <c r="X321" s="28"/>
      <c r="Y321" s="28"/>
      <c r="Z321" s="28"/>
    </row>
    <row r="322" ht="15.75" customHeight="1">
      <c r="A322" s="125"/>
      <c r="B322" s="125"/>
      <c r="C322" s="125"/>
      <c r="D322" s="128"/>
      <c r="E322" s="126"/>
      <c r="F322" s="38"/>
      <c r="G322" s="127"/>
      <c r="H322" s="28"/>
      <c r="I322" s="28"/>
      <c r="J322" s="28"/>
      <c r="K322" s="28"/>
      <c r="L322" s="28"/>
      <c r="M322" s="28"/>
      <c r="N322" s="28"/>
      <c r="O322" s="28"/>
      <c r="P322" s="28"/>
      <c r="Q322" s="28"/>
      <c r="R322" s="28"/>
      <c r="S322" s="28"/>
      <c r="T322" s="28"/>
      <c r="U322" s="28"/>
      <c r="V322" s="28"/>
      <c r="W322" s="28"/>
      <c r="X322" s="28"/>
      <c r="Y322" s="28"/>
      <c r="Z322" s="28"/>
    </row>
    <row r="323" ht="15.75" customHeight="1">
      <c r="A323" s="125"/>
      <c r="B323" s="125"/>
      <c r="C323" s="125"/>
      <c r="D323" s="128"/>
      <c r="E323" s="126"/>
      <c r="F323" s="38"/>
      <c r="G323" s="127"/>
      <c r="H323" s="28"/>
      <c r="I323" s="28"/>
      <c r="J323" s="28"/>
      <c r="K323" s="28"/>
      <c r="L323" s="28"/>
      <c r="M323" s="28"/>
      <c r="N323" s="28"/>
      <c r="O323" s="28"/>
      <c r="P323" s="28"/>
      <c r="Q323" s="28"/>
      <c r="R323" s="28"/>
      <c r="S323" s="28"/>
      <c r="T323" s="28"/>
      <c r="U323" s="28"/>
      <c r="V323" s="28"/>
      <c r="W323" s="28"/>
      <c r="X323" s="28"/>
      <c r="Y323" s="28"/>
      <c r="Z323" s="28"/>
    </row>
    <row r="324" ht="15.75" customHeight="1">
      <c r="A324" s="125"/>
      <c r="B324" s="125"/>
      <c r="C324" s="125"/>
      <c r="D324" s="128"/>
      <c r="E324" s="126"/>
      <c r="F324" s="38"/>
      <c r="G324" s="127"/>
      <c r="H324" s="28"/>
      <c r="I324" s="28"/>
      <c r="J324" s="28"/>
      <c r="K324" s="28"/>
      <c r="L324" s="28"/>
      <c r="M324" s="28"/>
      <c r="N324" s="28"/>
      <c r="O324" s="28"/>
      <c r="P324" s="28"/>
      <c r="Q324" s="28"/>
      <c r="R324" s="28"/>
      <c r="S324" s="28"/>
      <c r="T324" s="28"/>
      <c r="U324" s="28"/>
      <c r="V324" s="28"/>
      <c r="W324" s="28"/>
      <c r="X324" s="28"/>
      <c r="Y324" s="28"/>
      <c r="Z324" s="28"/>
    </row>
    <row r="325" ht="15.75" customHeight="1">
      <c r="A325" s="125"/>
      <c r="B325" s="125"/>
      <c r="C325" s="125"/>
      <c r="D325" s="128"/>
      <c r="E325" s="126"/>
      <c r="F325" s="38"/>
      <c r="G325" s="127"/>
      <c r="H325" s="28"/>
      <c r="I325" s="28"/>
      <c r="J325" s="28"/>
      <c r="K325" s="28"/>
      <c r="L325" s="28"/>
      <c r="M325" s="28"/>
      <c r="N325" s="28"/>
      <c r="O325" s="28"/>
      <c r="P325" s="28"/>
      <c r="Q325" s="28"/>
      <c r="R325" s="28"/>
      <c r="S325" s="28"/>
      <c r="T325" s="28"/>
      <c r="U325" s="28"/>
      <c r="V325" s="28"/>
      <c r="W325" s="28"/>
      <c r="X325" s="28"/>
      <c r="Y325" s="28"/>
      <c r="Z325" s="28"/>
    </row>
    <row r="326" ht="15.75" customHeight="1">
      <c r="A326" s="125"/>
      <c r="B326" s="125"/>
      <c r="C326" s="125"/>
      <c r="D326" s="128"/>
      <c r="E326" s="126"/>
      <c r="F326" s="38"/>
      <c r="G326" s="127"/>
      <c r="H326" s="28"/>
      <c r="I326" s="28"/>
      <c r="J326" s="28"/>
      <c r="K326" s="28"/>
      <c r="L326" s="28"/>
      <c r="M326" s="28"/>
      <c r="N326" s="28"/>
      <c r="O326" s="28"/>
      <c r="P326" s="28"/>
      <c r="Q326" s="28"/>
      <c r="R326" s="28"/>
      <c r="S326" s="28"/>
      <c r="T326" s="28"/>
      <c r="U326" s="28"/>
      <c r="V326" s="28"/>
      <c r="W326" s="28"/>
      <c r="X326" s="28"/>
      <c r="Y326" s="28"/>
      <c r="Z326" s="28"/>
    </row>
    <row r="327" ht="15.75" customHeight="1">
      <c r="A327" s="125"/>
      <c r="B327" s="125"/>
      <c r="C327" s="125"/>
      <c r="D327" s="128"/>
      <c r="E327" s="126"/>
      <c r="F327" s="38"/>
      <c r="G327" s="127"/>
      <c r="H327" s="28"/>
      <c r="I327" s="28"/>
      <c r="J327" s="28"/>
      <c r="K327" s="28"/>
      <c r="L327" s="28"/>
      <c r="M327" s="28"/>
      <c r="N327" s="28"/>
      <c r="O327" s="28"/>
      <c r="P327" s="28"/>
      <c r="Q327" s="28"/>
      <c r="R327" s="28"/>
      <c r="S327" s="28"/>
      <c r="T327" s="28"/>
      <c r="U327" s="28"/>
      <c r="V327" s="28"/>
      <c r="W327" s="28"/>
      <c r="X327" s="28"/>
      <c r="Y327" s="28"/>
      <c r="Z327" s="28"/>
    </row>
    <row r="328" ht="15.75" customHeight="1">
      <c r="A328" s="125"/>
      <c r="B328" s="125"/>
      <c r="C328" s="125"/>
      <c r="D328" s="128"/>
      <c r="E328" s="126"/>
      <c r="F328" s="38"/>
      <c r="G328" s="127"/>
      <c r="H328" s="28"/>
      <c r="I328" s="28"/>
      <c r="J328" s="28"/>
      <c r="K328" s="28"/>
      <c r="L328" s="28"/>
      <c r="M328" s="28"/>
      <c r="N328" s="28"/>
      <c r="O328" s="28"/>
      <c r="P328" s="28"/>
      <c r="Q328" s="28"/>
      <c r="R328" s="28"/>
      <c r="S328" s="28"/>
      <c r="T328" s="28"/>
      <c r="U328" s="28"/>
      <c r="V328" s="28"/>
      <c r="W328" s="28"/>
      <c r="X328" s="28"/>
      <c r="Y328" s="28"/>
      <c r="Z328" s="28"/>
    </row>
    <row r="329" ht="15.75" customHeight="1">
      <c r="A329" s="125"/>
      <c r="B329" s="125"/>
      <c r="C329" s="125"/>
      <c r="D329" s="128"/>
      <c r="E329" s="126"/>
      <c r="F329" s="38"/>
      <c r="G329" s="127"/>
      <c r="H329" s="28"/>
      <c r="I329" s="28"/>
      <c r="J329" s="28"/>
      <c r="K329" s="28"/>
      <c r="L329" s="28"/>
      <c r="M329" s="28"/>
      <c r="N329" s="28"/>
      <c r="O329" s="28"/>
      <c r="P329" s="28"/>
      <c r="Q329" s="28"/>
      <c r="R329" s="28"/>
      <c r="S329" s="28"/>
      <c r="T329" s="28"/>
      <c r="U329" s="28"/>
      <c r="V329" s="28"/>
      <c r="W329" s="28"/>
      <c r="X329" s="28"/>
      <c r="Y329" s="28"/>
      <c r="Z329" s="28"/>
    </row>
    <row r="330" ht="15.75" customHeight="1">
      <c r="A330" s="125"/>
      <c r="B330" s="125"/>
      <c r="C330" s="125"/>
      <c r="D330" s="128"/>
      <c r="E330" s="126"/>
      <c r="F330" s="38"/>
      <c r="G330" s="127"/>
      <c r="H330" s="28"/>
      <c r="I330" s="28"/>
      <c r="J330" s="28"/>
      <c r="K330" s="28"/>
      <c r="L330" s="28"/>
      <c r="M330" s="28"/>
      <c r="N330" s="28"/>
      <c r="O330" s="28"/>
      <c r="P330" s="28"/>
      <c r="Q330" s="28"/>
      <c r="R330" s="28"/>
      <c r="S330" s="28"/>
      <c r="T330" s="28"/>
      <c r="U330" s="28"/>
      <c r="V330" s="28"/>
      <c r="W330" s="28"/>
      <c r="X330" s="28"/>
      <c r="Y330" s="28"/>
      <c r="Z330" s="28"/>
    </row>
    <row r="331" ht="15.75" customHeight="1">
      <c r="A331" s="125"/>
      <c r="B331" s="125"/>
      <c r="C331" s="125"/>
      <c r="D331" s="128"/>
      <c r="E331" s="126"/>
      <c r="F331" s="38"/>
      <c r="G331" s="127"/>
      <c r="H331" s="28"/>
      <c r="I331" s="28"/>
      <c r="J331" s="28"/>
      <c r="K331" s="28"/>
      <c r="L331" s="28"/>
      <c r="M331" s="28"/>
      <c r="N331" s="28"/>
      <c r="O331" s="28"/>
      <c r="P331" s="28"/>
      <c r="Q331" s="28"/>
      <c r="R331" s="28"/>
      <c r="S331" s="28"/>
      <c r="T331" s="28"/>
      <c r="U331" s="28"/>
      <c r="V331" s="28"/>
      <c r="W331" s="28"/>
      <c r="X331" s="28"/>
      <c r="Y331" s="28"/>
      <c r="Z331" s="28"/>
    </row>
    <row r="332" ht="15.75" customHeight="1">
      <c r="A332" s="125"/>
      <c r="B332" s="125"/>
      <c r="C332" s="125"/>
      <c r="D332" s="128"/>
      <c r="E332" s="126"/>
      <c r="F332" s="38"/>
      <c r="G332" s="127"/>
      <c r="H332" s="28"/>
      <c r="I332" s="28"/>
      <c r="J332" s="28"/>
      <c r="K332" s="28"/>
      <c r="L332" s="28"/>
      <c r="M332" s="28"/>
      <c r="N332" s="28"/>
      <c r="O332" s="28"/>
      <c r="P332" s="28"/>
      <c r="Q332" s="28"/>
      <c r="R332" s="28"/>
      <c r="S332" s="28"/>
      <c r="T332" s="28"/>
      <c r="U332" s="28"/>
      <c r="V332" s="28"/>
      <c r="W332" s="28"/>
      <c r="X332" s="28"/>
      <c r="Y332" s="28"/>
      <c r="Z332" s="28"/>
    </row>
    <row r="333" ht="15.75" customHeight="1">
      <c r="A333" s="125"/>
      <c r="B333" s="125"/>
      <c r="C333" s="125"/>
      <c r="D333" s="128"/>
      <c r="E333" s="126"/>
      <c r="F333" s="38"/>
      <c r="G333" s="127"/>
      <c r="H333" s="28"/>
      <c r="I333" s="28"/>
      <c r="J333" s="28"/>
      <c r="K333" s="28"/>
      <c r="L333" s="28"/>
      <c r="M333" s="28"/>
      <c r="N333" s="28"/>
      <c r="O333" s="28"/>
      <c r="P333" s="28"/>
      <c r="Q333" s="28"/>
      <c r="R333" s="28"/>
      <c r="S333" s="28"/>
      <c r="T333" s="28"/>
      <c r="U333" s="28"/>
      <c r="V333" s="28"/>
      <c r="W333" s="28"/>
      <c r="X333" s="28"/>
      <c r="Y333" s="28"/>
      <c r="Z333" s="28"/>
    </row>
    <row r="334" ht="15.75" customHeight="1">
      <c r="A334" s="125"/>
      <c r="B334" s="125"/>
      <c r="C334" s="125"/>
      <c r="D334" s="128"/>
      <c r="E334" s="126"/>
      <c r="F334" s="38"/>
      <c r="G334" s="127"/>
      <c r="H334" s="28"/>
      <c r="I334" s="28"/>
      <c r="J334" s="28"/>
      <c r="K334" s="28"/>
      <c r="L334" s="28"/>
      <c r="M334" s="28"/>
      <c r="N334" s="28"/>
      <c r="O334" s="28"/>
      <c r="P334" s="28"/>
      <c r="Q334" s="28"/>
      <c r="R334" s="28"/>
      <c r="S334" s="28"/>
      <c r="T334" s="28"/>
      <c r="U334" s="28"/>
      <c r="V334" s="28"/>
      <c r="W334" s="28"/>
      <c r="X334" s="28"/>
      <c r="Y334" s="28"/>
      <c r="Z334" s="28"/>
    </row>
    <row r="335" ht="15.75" customHeight="1">
      <c r="A335" s="125"/>
      <c r="B335" s="125"/>
      <c r="C335" s="125"/>
      <c r="D335" s="128"/>
      <c r="E335" s="126"/>
      <c r="F335" s="38"/>
      <c r="G335" s="127"/>
      <c r="H335" s="28"/>
      <c r="I335" s="28"/>
      <c r="J335" s="28"/>
      <c r="K335" s="28"/>
      <c r="L335" s="28"/>
      <c r="M335" s="28"/>
      <c r="N335" s="28"/>
      <c r="O335" s="28"/>
      <c r="P335" s="28"/>
      <c r="Q335" s="28"/>
      <c r="R335" s="28"/>
      <c r="S335" s="28"/>
      <c r="T335" s="28"/>
      <c r="U335" s="28"/>
      <c r="V335" s="28"/>
      <c r="W335" s="28"/>
      <c r="X335" s="28"/>
      <c r="Y335" s="28"/>
      <c r="Z335" s="28"/>
    </row>
    <row r="336" ht="15.75" customHeight="1">
      <c r="A336" s="125"/>
      <c r="B336" s="125"/>
      <c r="C336" s="125"/>
      <c r="D336" s="128"/>
      <c r="E336" s="126"/>
      <c r="F336" s="38"/>
      <c r="G336" s="127"/>
      <c r="H336" s="28"/>
      <c r="I336" s="28"/>
      <c r="J336" s="28"/>
      <c r="K336" s="28"/>
      <c r="L336" s="28"/>
      <c r="M336" s="28"/>
      <c r="N336" s="28"/>
      <c r="O336" s="28"/>
      <c r="P336" s="28"/>
      <c r="Q336" s="28"/>
      <c r="R336" s="28"/>
      <c r="S336" s="28"/>
      <c r="T336" s="28"/>
      <c r="U336" s="28"/>
      <c r="V336" s="28"/>
      <c r="W336" s="28"/>
      <c r="X336" s="28"/>
      <c r="Y336" s="28"/>
      <c r="Z336" s="28"/>
    </row>
    <row r="337" ht="15.75" customHeight="1">
      <c r="A337" s="125"/>
      <c r="B337" s="125"/>
      <c r="C337" s="125"/>
      <c r="D337" s="128"/>
      <c r="E337" s="126"/>
      <c r="F337" s="38"/>
      <c r="G337" s="127"/>
      <c r="H337" s="28"/>
      <c r="I337" s="28"/>
      <c r="J337" s="28"/>
      <c r="K337" s="28"/>
      <c r="L337" s="28"/>
      <c r="M337" s="28"/>
      <c r="N337" s="28"/>
      <c r="O337" s="28"/>
      <c r="P337" s="28"/>
      <c r="Q337" s="28"/>
      <c r="R337" s="28"/>
      <c r="S337" s="28"/>
      <c r="T337" s="28"/>
      <c r="U337" s="28"/>
      <c r="V337" s="28"/>
      <c r="W337" s="28"/>
      <c r="X337" s="28"/>
      <c r="Y337" s="28"/>
      <c r="Z337" s="28"/>
    </row>
    <row r="338" ht="15.75" customHeight="1">
      <c r="A338" s="125"/>
      <c r="B338" s="125"/>
      <c r="C338" s="125"/>
      <c r="D338" s="128"/>
      <c r="E338" s="126"/>
      <c r="F338" s="38"/>
      <c r="G338" s="127"/>
      <c r="H338" s="28"/>
      <c r="I338" s="28"/>
      <c r="J338" s="28"/>
      <c r="K338" s="28"/>
      <c r="L338" s="28"/>
      <c r="M338" s="28"/>
      <c r="N338" s="28"/>
      <c r="O338" s="28"/>
      <c r="P338" s="28"/>
      <c r="Q338" s="28"/>
      <c r="R338" s="28"/>
      <c r="S338" s="28"/>
      <c r="T338" s="28"/>
      <c r="U338" s="28"/>
      <c r="V338" s="28"/>
      <c r="W338" s="28"/>
      <c r="X338" s="28"/>
      <c r="Y338" s="28"/>
      <c r="Z338" s="28"/>
    </row>
    <row r="339" ht="15.75" customHeight="1">
      <c r="A339" s="125"/>
      <c r="B339" s="125"/>
      <c r="C339" s="125"/>
      <c r="D339" s="128"/>
      <c r="E339" s="126"/>
      <c r="F339" s="38"/>
      <c r="G339" s="127"/>
      <c r="H339" s="28"/>
      <c r="I339" s="28"/>
      <c r="J339" s="28"/>
      <c r="K339" s="28"/>
      <c r="L339" s="28"/>
      <c r="M339" s="28"/>
      <c r="N339" s="28"/>
      <c r="O339" s="28"/>
      <c r="P339" s="28"/>
      <c r="Q339" s="28"/>
      <c r="R339" s="28"/>
      <c r="S339" s="28"/>
      <c r="T339" s="28"/>
      <c r="U339" s="28"/>
      <c r="V339" s="28"/>
      <c r="W339" s="28"/>
      <c r="X339" s="28"/>
      <c r="Y339" s="28"/>
      <c r="Z339" s="28"/>
    </row>
    <row r="340" ht="15.75" customHeight="1">
      <c r="A340" s="125"/>
      <c r="B340" s="125"/>
      <c r="C340" s="125"/>
      <c r="D340" s="128"/>
      <c r="E340" s="126"/>
      <c r="F340" s="38"/>
      <c r="G340" s="127"/>
      <c r="H340" s="28"/>
      <c r="I340" s="28"/>
      <c r="J340" s="28"/>
      <c r="K340" s="28"/>
      <c r="L340" s="28"/>
      <c r="M340" s="28"/>
      <c r="N340" s="28"/>
      <c r="O340" s="28"/>
      <c r="P340" s="28"/>
      <c r="Q340" s="28"/>
      <c r="R340" s="28"/>
      <c r="S340" s="28"/>
      <c r="T340" s="28"/>
      <c r="U340" s="28"/>
      <c r="V340" s="28"/>
      <c r="W340" s="28"/>
      <c r="X340" s="28"/>
      <c r="Y340" s="28"/>
      <c r="Z340" s="28"/>
    </row>
    <row r="341" ht="15.75" customHeight="1">
      <c r="A341" s="125"/>
      <c r="B341" s="125"/>
      <c r="C341" s="125"/>
      <c r="D341" s="128"/>
      <c r="E341" s="126"/>
      <c r="F341" s="38"/>
      <c r="G341" s="127"/>
      <c r="H341" s="28"/>
      <c r="I341" s="28"/>
      <c r="J341" s="28"/>
      <c r="K341" s="28"/>
      <c r="L341" s="28"/>
      <c r="M341" s="28"/>
      <c r="N341" s="28"/>
      <c r="O341" s="28"/>
      <c r="P341" s="28"/>
      <c r="Q341" s="28"/>
      <c r="R341" s="28"/>
      <c r="S341" s="28"/>
      <c r="T341" s="28"/>
      <c r="U341" s="28"/>
      <c r="V341" s="28"/>
      <c r="W341" s="28"/>
      <c r="X341" s="28"/>
      <c r="Y341" s="28"/>
      <c r="Z341" s="28"/>
    </row>
    <row r="342" ht="15.75" customHeight="1">
      <c r="A342" s="125"/>
      <c r="B342" s="125"/>
      <c r="C342" s="125"/>
      <c r="D342" s="128"/>
      <c r="E342" s="126"/>
      <c r="F342" s="38"/>
      <c r="G342" s="127"/>
      <c r="H342" s="28"/>
      <c r="I342" s="28"/>
      <c r="J342" s="28"/>
      <c r="K342" s="28"/>
      <c r="L342" s="28"/>
      <c r="M342" s="28"/>
      <c r="N342" s="28"/>
      <c r="O342" s="28"/>
      <c r="P342" s="28"/>
      <c r="Q342" s="28"/>
      <c r="R342" s="28"/>
      <c r="S342" s="28"/>
      <c r="T342" s="28"/>
      <c r="U342" s="28"/>
      <c r="V342" s="28"/>
      <c r="W342" s="28"/>
      <c r="X342" s="28"/>
      <c r="Y342" s="28"/>
      <c r="Z342" s="28"/>
    </row>
    <row r="343" ht="15.75" customHeight="1">
      <c r="A343" s="125"/>
      <c r="B343" s="125"/>
      <c r="C343" s="125"/>
      <c r="D343" s="128"/>
      <c r="E343" s="126"/>
      <c r="F343" s="38"/>
      <c r="G343" s="127"/>
      <c r="H343" s="28"/>
      <c r="I343" s="28"/>
      <c r="J343" s="28"/>
      <c r="K343" s="28"/>
      <c r="L343" s="28"/>
      <c r="M343" s="28"/>
      <c r="N343" s="28"/>
      <c r="O343" s="28"/>
      <c r="P343" s="28"/>
      <c r="Q343" s="28"/>
      <c r="R343" s="28"/>
      <c r="S343" s="28"/>
      <c r="T343" s="28"/>
      <c r="U343" s="28"/>
      <c r="V343" s="28"/>
      <c r="W343" s="28"/>
      <c r="X343" s="28"/>
      <c r="Y343" s="28"/>
      <c r="Z343" s="28"/>
    </row>
    <row r="344" ht="15.75" customHeight="1">
      <c r="A344" s="125"/>
      <c r="B344" s="125"/>
      <c r="C344" s="125"/>
      <c r="D344" s="128"/>
      <c r="E344" s="126"/>
      <c r="F344" s="38"/>
      <c r="G344" s="127"/>
      <c r="H344" s="28"/>
      <c r="I344" s="28"/>
      <c r="J344" s="28"/>
      <c r="K344" s="28"/>
      <c r="L344" s="28"/>
      <c r="M344" s="28"/>
      <c r="N344" s="28"/>
      <c r="O344" s="28"/>
      <c r="P344" s="28"/>
      <c r="Q344" s="28"/>
      <c r="R344" s="28"/>
      <c r="S344" s="28"/>
      <c r="T344" s="28"/>
      <c r="U344" s="28"/>
      <c r="V344" s="28"/>
      <c r="W344" s="28"/>
      <c r="X344" s="28"/>
      <c r="Y344" s="28"/>
      <c r="Z344" s="28"/>
    </row>
    <row r="345" ht="15.75" customHeight="1">
      <c r="A345" s="125"/>
      <c r="B345" s="125"/>
      <c r="C345" s="125"/>
      <c r="D345" s="128"/>
      <c r="E345" s="126"/>
      <c r="F345" s="38"/>
      <c r="G345" s="127"/>
      <c r="H345" s="28"/>
      <c r="I345" s="28"/>
      <c r="J345" s="28"/>
      <c r="K345" s="28"/>
      <c r="L345" s="28"/>
      <c r="M345" s="28"/>
      <c r="N345" s="28"/>
      <c r="O345" s="28"/>
      <c r="P345" s="28"/>
      <c r="Q345" s="28"/>
      <c r="R345" s="28"/>
      <c r="S345" s="28"/>
      <c r="T345" s="28"/>
      <c r="U345" s="28"/>
      <c r="V345" s="28"/>
      <c r="W345" s="28"/>
      <c r="X345" s="28"/>
      <c r="Y345" s="28"/>
      <c r="Z345" s="28"/>
    </row>
    <row r="346" ht="15.75" customHeight="1">
      <c r="A346" s="125"/>
      <c r="B346" s="125"/>
      <c r="C346" s="125"/>
      <c r="D346" s="128"/>
      <c r="E346" s="126"/>
      <c r="F346" s="38"/>
      <c r="G346" s="127"/>
      <c r="H346" s="28"/>
      <c r="I346" s="28"/>
      <c r="J346" s="28"/>
      <c r="K346" s="28"/>
      <c r="L346" s="28"/>
      <c r="M346" s="28"/>
      <c r="N346" s="28"/>
      <c r="O346" s="28"/>
      <c r="P346" s="28"/>
      <c r="Q346" s="28"/>
      <c r="R346" s="28"/>
      <c r="S346" s="28"/>
      <c r="T346" s="28"/>
      <c r="U346" s="28"/>
      <c r="V346" s="28"/>
      <c r="W346" s="28"/>
      <c r="X346" s="28"/>
      <c r="Y346" s="28"/>
      <c r="Z346" s="28"/>
    </row>
    <row r="347" ht="15.75" customHeight="1">
      <c r="A347" s="125"/>
      <c r="B347" s="125"/>
      <c r="C347" s="125"/>
      <c r="D347" s="128"/>
      <c r="E347" s="126"/>
      <c r="F347" s="38"/>
      <c r="G347" s="127"/>
      <c r="H347" s="28"/>
      <c r="I347" s="28"/>
      <c r="J347" s="28"/>
      <c r="K347" s="28"/>
      <c r="L347" s="28"/>
      <c r="M347" s="28"/>
      <c r="N347" s="28"/>
      <c r="O347" s="28"/>
      <c r="P347" s="28"/>
      <c r="Q347" s="28"/>
      <c r="R347" s="28"/>
      <c r="S347" s="28"/>
      <c r="T347" s="28"/>
      <c r="U347" s="28"/>
      <c r="V347" s="28"/>
      <c r="W347" s="28"/>
      <c r="X347" s="28"/>
      <c r="Y347" s="28"/>
      <c r="Z347" s="28"/>
    </row>
    <row r="348" ht="15.75" customHeight="1">
      <c r="A348" s="125"/>
      <c r="B348" s="125"/>
      <c r="C348" s="125"/>
      <c r="D348" s="128"/>
      <c r="E348" s="126"/>
      <c r="F348" s="38"/>
      <c r="G348" s="127"/>
      <c r="H348" s="28"/>
      <c r="I348" s="28"/>
      <c r="J348" s="28"/>
      <c r="K348" s="28"/>
      <c r="L348" s="28"/>
      <c r="M348" s="28"/>
      <c r="N348" s="28"/>
      <c r="O348" s="28"/>
      <c r="P348" s="28"/>
      <c r="Q348" s="28"/>
      <c r="R348" s="28"/>
      <c r="S348" s="28"/>
      <c r="T348" s="28"/>
      <c r="U348" s="28"/>
      <c r="V348" s="28"/>
      <c r="W348" s="28"/>
      <c r="X348" s="28"/>
      <c r="Y348" s="28"/>
      <c r="Z348" s="28"/>
    </row>
    <row r="349" ht="15.75" customHeight="1">
      <c r="A349" s="125"/>
      <c r="B349" s="125"/>
      <c r="C349" s="125"/>
      <c r="D349" s="128"/>
      <c r="E349" s="126"/>
      <c r="F349" s="38"/>
      <c r="G349" s="127"/>
      <c r="H349" s="28"/>
      <c r="I349" s="28"/>
      <c r="J349" s="28"/>
      <c r="K349" s="28"/>
      <c r="L349" s="28"/>
      <c r="M349" s="28"/>
      <c r="N349" s="28"/>
      <c r="O349" s="28"/>
      <c r="P349" s="28"/>
      <c r="Q349" s="28"/>
      <c r="R349" s="28"/>
      <c r="S349" s="28"/>
      <c r="T349" s="28"/>
      <c r="U349" s="28"/>
      <c r="V349" s="28"/>
      <c r="W349" s="28"/>
      <c r="X349" s="28"/>
      <c r="Y349" s="28"/>
      <c r="Z349" s="28"/>
    </row>
    <row r="350" ht="15.75" customHeight="1">
      <c r="A350" s="125"/>
      <c r="B350" s="125"/>
      <c r="C350" s="125"/>
      <c r="D350" s="128"/>
      <c r="E350" s="126"/>
      <c r="F350" s="38"/>
      <c r="G350" s="127"/>
      <c r="H350" s="28"/>
      <c r="I350" s="28"/>
      <c r="J350" s="28"/>
      <c r="K350" s="28"/>
      <c r="L350" s="28"/>
      <c r="M350" s="28"/>
      <c r="N350" s="28"/>
      <c r="O350" s="28"/>
      <c r="P350" s="28"/>
      <c r="Q350" s="28"/>
      <c r="R350" s="28"/>
      <c r="S350" s="28"/>
      <c r="T350" s="28"/>
      <c r="U350" s="28"/>
      <c r="V350" s="28"/>
      <c r="W350" s="28"/>
      <c r="X350" s="28"/>
      <c r="Y350" s="28"/>
      <c r="Z350" s="28"/>
    </row>
    <row r="351" ht="15.75" customHeight="1">
      <c r="A351" s="125"/>
      <c r="B351" s="125"/>
      <c r="C351" s="125"/>
      <c r="D351" s="128"/>
      <c r="E351" s="126"/>
      <c r="F351" s="38"/>
      <c r="G351" s="127"/>
      <c r="H351" s="28"/>
      <c r="I351" s="28"/>
      <c r="J351" s="28"/>
      <c r="K351" s="28"/>
      <c r="L351" s="28"/>
      <c r="M351" s="28"/>
      <c r="N351" s="28"/>
      <c r="O351" s="28"/>
      <c r="P351" s="28"/>
      <c r="Q351" s="28"/>
      <c r="R351" s="28"/>
      <c r="S351" s="28"/>
      <c r="T351" s="28"/>
      <c r="U351" s="28"/>
      <c r="V351" s="28"/>
      <c r="W351" s="28"/>
      <c r="X351" s="28"/>
      <c r="Y351" s="28"/>
      <c r="Z351" s="28"/>
    </row>
    <row r="352" ht="15.75" customHeight="1">
      <c r="A352" s="125"/>
      <c r="B352" s="125"/>
      <c r="C352" s="125"/>
      <c r="D352" s="128"/>
      <c r="E352" s="126"/>
      <c r="F352" s="38"/>
      <c r="G352" s="127"/>
      <c r="H352" s="28"/>
      <c r="I352" s="28"/>
      <c r="J352" s="28"/>
      <c r="K352" s="28"/>
      <c r="L352" s="28"/>
      <c r="M352" s="28"/>
      <c r="N352" s="28"/>
      <c r="O352" s="28"/>
      <c r="P352" s="28"/>
      <c r="Q352" s="28"/>
      <c r="R352" s="28"/>
      <c r="S352" s="28"/>
      <c r="T352" s="28"/>
      <c r="U352" s="28"/>
      <c r="V352" s="28"/>
      <c r="W352" s="28"/>
      <c r="X352" s="28"/>
      <c r="Y352" s="28"/>
      <c r="Z352" s="28"/>
    </row>
    <row r="353" ht="15.75" customHeight="1">
      <c r="A353" s="125"/>
      <c r="B353" s="125"/>
      <c r="C353" s="125"/>
      <c r="D353" s="128"/>
      <c r="E353" s="126"/>
      <c r="F353" s="38"/>
      <c r="G353" s="127"/>
      <c r="H353" s="28"/>
      <c r="I353" s="28"/>
      <c r="J353" s="28"/>
      <c r="K353" s="28"/>
      <c r="L353" s="28"/>
      <c r="M353" s="28"/>
      <c r="N353" s="28"/>
      <c r="O353" s="28"/>
      <c r="P353" s="28"/>
      <c r="Q353" s="28"/>
      <c r="R353" s="28"/>
      <c r="S353" s="28"/>
      <c r="T353" s="28"/>
      <c r="U353" s="28"/>
      <c r="V353" s="28"/>
      <c r="W353" s="28"/>
      <c r="X353" s="28"/>
      <c r="Y353" s="28"/>
      <c r="Z353" s="28"/>
    </row>
    <row r="354" ht="15.75" customHeight="1">
      <c r="A354" s="125"/>
      <c r="B354" s="125"/>
      <c r="C354" s="125"/>
      <c r="D354" s="128"/>
      <c r="E354" s="126"/>
      <c r="F354" s="38"/>
      <c r="G354" s="127"/>
      <c r="H354" s="28"/>
      <c r="I354" s="28"/>
      <c r="J354" s="28"/>
      <c r="K354" s="28"/>
      <c r="L354" s="28"/>
      <c r="M354" s="28"/>
      <c r="N354" s="28"/>
      <c r="O354" s="28"/>
      <c r="P354" s="28"/>
      <c r="Q354" s="28"/>
      <c r="R354" s="28"/>
      <c r="S354" s="28"/>
      <c r="T354" s="28"/>
      <c r="U354" s="28"/>
      <c r="V354" s="28"/>
      <c r="W354" s="28"/>
      <c r="X354" s="28"/>
      <c r="Y354" s="28"/>
      <c r="Z354" s="28"/>
    </row>
    <row r="355" ht="15.75" customHeight="1">
      <c r="A355" s="125"/>
      <c r="B355" s="125"/>
      <c r="C355" s="125"/>
      <c r="D355" s="128"/>
      <c r="E355" s="126"/>
      <c r="F355" s="38"/>
      <c r="G355" s="127"/>
      <c r="H355" s="28"/>
      <c r="I355" s="28"/>
      <c r="J355" s="28"/>
      <c r="K355" s="28"/>
      <c r="L355" s="28"/>
      <c r="M355" s="28"/>
      <c r="N355" s="28"/>
      <c r="O355" s="28"/>
      <c r="P355" s="28"/>
      <c r="Q355" s="28"/>
      <c r="R355" s="28"/>
      <c r="S355" s="28"/>
      <c r="T355" s="28"/>
      <c r="U355" s="28"/>
      <c r="V355" s="28"/>
      <c r="W355" s="28"/>
      <c r="X355" s="28"/>
      <c r="Y355" s="28"/>
      <c r="Z355" s="28"/>
    </row>
    <row r="356" ht="15.75" customHeight="1">
      <c r="A356" s="125"/>
      <c r="B356" s="125"/>
      <c r="C356" s="125"/>
      <c r="D356" s="128"/>
      <c r="E356" s="126"/>
      <c r="F356" s="38"/>
      <c r="G356" s="127"/>
      <c r="H356" s="28"/>
      <c r="I356" s="28"/>
      <c r="J356" s="28"/>
      <c r="K356" s="28"/>
      <c r="L356" s="28"/>
      <c r="M356" s="28"/>
      <c r="N356" s="28"/>
      <c r="O356" s="28"/>
      <c r="P356" s="28"/>
      <c r="Q356" s="28"/>
      <c r="R356" s="28"/>
      <c r="S356" s="28"/>
      <c r="T356" s="28"/>
      <c r="U356" s="28"/>
      <c r="V356" s="28"/>
      <c r="W356" s="28"/>
      <c r="X356" s="28"/>
      <c r="Y356" s="28"/>
      <c r="Z356" s="28"/>
    </row>
    <row r="357" ht="15.75" customHeight="1">
      <c r="A357" s="125"/>
      <c r="B357" s="125"/>
      <c r="C357" s="125"/>
      <c r="D357" s="128"/>
      <c r="E357" s="126"/>
      <c r="F357" s="38"/>
      <c r="G357" s="127"/>
      <c r="H357" s="28"/>
      <c r="I357" s="28"/>
      <c r="J357" s="28"/>
      <c r="K357" s="28"/>
      <c r="L357" s="28"/>
      <c r="M357" s="28"/>
      <c r="N357" s="28"/>
      <c r="O357" s="28"/>
      <c r="P357" s="28"/>
      <c r="Q357" s="28"/>
      <c r="R357" s="28"/>
      <c r="S357" s="28"/>
      <c r="T357" s="28"/>
      <c r="U357" s="28"/>
      <c r="V357" s="28"/>
      <c r="W357" s="28"/>
      <c r="X357" s="28"/>
      <c r="Y357" s="28"/>
      <c r="Z357" s="28"/>
    </row>
    <row r="358" ht="15.75" customHeight="1">
      <c r="A358" s="125"/>
      <c r="B358" s="125"/>
      <c r="C358" s="125"/>
      <c r="D358" s="128"/>
      <c r="E358" s="126"/>
      <c r="F358" s="38"/>
      <c r="G358" s="127"/>
      <c r="H358" s="28"/>
      <c r="I358" s="28"/>
      <c r="J358" s="28"/>
      <c r="K358" s="28"/>
      <c r="L358" s="28"/>
      <c r="M358" s="28"/>
      <c r="N358" s="28"/>
      <c r="O358" s="28"/>
      <c r="P358" s="28"/>
      <c r="Q358" s="28"/>
      <c r="R358" s="28"/>
      <c r="S358" s="28"/>
      <c r="T358" s="28"/>
      <c r="U358" s="28"/>
      <c r="V358" s="28"/>
      <c r="W358" s="28"/>
      <c r="X358" s="28"/>
      <c r="Y358" s="28"/>
      <c r="Z358" s="28"/>
    </row>
    <row r="359" ht="15.75" customHeight="1">
      <c r="A359" s="125"/>
      <c r="B359" s="125"/>
      <c r="C359" s="125"/>
      <c r="D359" s="128"/>
      <c r="E359" s="126"/>
      <c r="F359" s="38"/>
      <c r="G359" s="127"/>
      <c r="H359" s="28"/>
      <c r="I359" s="28"/>
      <c r="J359" s="28"/>
      <c r="K359" s="28"/>
      <c r="L359" s="28"/>
      <c r="M359" s="28"/>
      <c r="N359" s="28"/>
      <c r="O359" s="28"/>
      <c r="P359" s="28"/>
      <c r="Q359" s="28"/>
      <c r="R359" s="28"/>
      <c r="S359" s="28"/>
      <c r="T359" s="28"/>
      <c r="U359" s="28"/>
      <c r="V359" s="28"/>
      <c r="W359" s="28"/>
      <c r="X359" s="28"/>
      <c r="Y359" s="28"/>
      <c r="Z359" s="28"/>
    </row>
    <row r="360" ht="15.75" customHeight="1">
      <c r="A360" s="125"/>
      <c r="B360" s="125"/>
      <c r="C360" s="125"/>
      <c r="D360" s="128"/>
      <c r="E360" s="126"/>
      <c r="F360" s="38"/>
      <c r="G360" s="127"/>
      <c r="H360" s="28"/>
      <c r="I360" s="28"/>
      <c r="J360" s="28"/>
      <c r="K360" s="28"/>
      <c r="L360" s="28"/>
      <c r="M360" s="28"/>
      <c r="N360" s="28"/>
      <c r="O360" s="28"/>
      <c r="P360" s="28"/>
      <c r="Q360" s="28"/>
      <c r="R360" s="28"/>
      <c r="S360" s="28"/>
      <c r="T360" s="28"/>
      <c r="U360" s="28"/>
      <c r="V360" s="28"/>
      <c r="W360" s="28"/>
      <c r="X360" s="28"/>
      <c r="Y360" s="28"/>
      <c r="Z360" s="28"/>
    </row>
    <row r="361" ht="15.75" customHeight="1">
      <c r="A361" s="125"/>
      <c r="B361" s="125"/>
      <c r="C361" s="125"/>
      <c r="D361" s="128"/>
      <c r="E361" s="126"/>
      <c r="F361" s="38"/>
      <c r="G361" s="127"/>
      <c r="H361" s="28"/>
      <c r="I361" s="28"/>
      <c r="J361" s="28"/>
      <c r="K361" s="28"/>
      <c r="L361" s="28"/>
      <c r="M361" s="28"/>
      <c r="N361" s="28"/>
      <c r="O361" s="28"/>
      <c r="P361" s="28"/>
      <c r="Q361" s="28"/>
      <c r="R361" s="28"/>
      <c r="S361" s="28"/>
      <c r="T361" s="28"/>
      <c r="U361" s="28"/>
      <c r="V361" s="28"/>
      <c r="W361" s="28"/>
      <c r="X361" s="28"/>
      <c r="Y361" s="28"/>
      <c r="Z361" s="28"/>
    </row>
    <row r="362" ht="15.75" customHeight="1">
      <c r="A362" s="125"/>
      <c r="B362" s="125"/>
      <c r="C362" s="125"/>
      <c r="D362" s="128"/>
      <c r="E362" s="126"/>
      <c r="F362" s="38"/>
      <c r="G362" s="127"/>
      <c r="H362" s="28"/>
      <c r="I362" s="28"/>
      <c r="J362" s="28"/>
      <c r="K362" s="28"/>
      <c r="L362" s="28"/>
      <c r="M362" s="28"/>
      <c r="N362" s="28"/>
      <c r="O362" s="28"/>
      <c r="P362" s="28"/>
      <c r="Q362" s="28"/>
      <c r="R362" s="28"/>
      <c r="S362" s="28"/>
      <c r="T362" s="28"/>
      <c r="U362" s="28"/>
      <c r="V362" s="28"/>
      <c r="W362" s="28"/>
      <c r="X362" s="28"/>
      <c r="Y362" s="28"/>
      <c r="Z362" s="28"/>
    </row>
    <row r="363" ht="15.75" customHeight="1">
      <c r="A363" s="125"/>
      <c r="B363" s="125"/>
      <c r="C363" s="125"/>
      <c r="D363" s="128"/>
      <c r="E363" s="126"/>
      <c r="F363" s="38"/>
      <c r="G363" s="127"/>
      <c r="H363" s="28"/>
      <c r="I363" s="28"/>
      <c r="J363" s="28"/>
      <c r="K363" s="28"/>
      <c r="L363" s="28"/>
      <c r="M363" s="28"/>
      <c r="N363" s="28"/>
      <c r="O363" s="28"/>
      <c r="P363" s="28"/>
      <c r="Q363" s="28"/>
      <c r="R363" s="28"/>
      <c r="S363" s="28"/>
      <c r="T363" s="28"/>
      <c r="U363" s="28"/>
      <c r="V363" s="28"/>
      <c r="W363" s="28"/>
      <c r="X363" s="28"/>
      <c r="Y363" s="28"/>
      <c r="Z363" s="28"/>
    </row>
    <row r="364" ht="15.75" customHeight="1">
      <c r="A364" s="125"/>
      <c r="B364" s="125"/>
      <c r="C364" s="125"/>
      <c r="D364" s="128"/>
      <c r="E364" s="126"/>
      <c r="F364" s="38"/>
      <c r="G364" s="127"/>
      <c r="H364" s="28"/>
      <c r="I364" s="28"/>
      <c r="J364" s="28"/>
      <c r="K364" s="28"/>
      <c r="L364" s="28"/>
      <c r="M364" s="28"/>
      <c r="N364" s="28"/>
      <c r="O364" s="28"/>
      <c r="P364" s="28"/>
      <c r="Q364" s="28"/>
      <c r="R364" s="28"/>
      <c r="S364" s="28"/>
      <c r="T364" s="28"/>
      <c r="U364" s="28"/>
      <c r="V364" s="28"/>
      <c r="W364" s="28"/>
      <c r="X364" s="28"/>
      <c r="Y364" s="28"/>
      <c r="Z364" s="28"/>
    </row>
    <row r="365" ht="15.75" customHeight="1">
      <c r="A365" s="125"/>
      <c r="B365" s="125"/>
      <c r="C365" s="125"/>
      <c r="D365" s="128"/>
      <c r="E365" s="126"/>
      <c r="F365" s="38"/>
      <c r="G365" s="127"/>
      <c r="H365" s="28"/>
      <c r="I365" s="28"/>
      <c r="J365" s="28"/>
      <c r="K365" s="28"/>
      <c r="L365" s="28"/>
      <c r="M365" s="28"/>
      <c r="N365" s="28"/>
      <c r="O365" s="28"/>
      <c r="P365" s="28"/>
      <c r="Q365" s="28"/>
      <c r="R365" s="28"/>
      <c r="S365" s="28"/>
      <c r="T365" s="28"/>
      <c r="U365" s="28"/>
      <c r="V365" s="28"/>
      <c r="W365" s="28"/>
      <c r="X365" s="28"/>
      <c r="Y365" s="28"/>
      <c r="Z365" s="28"/>
    </row>
    <row r="366" ht="15.75" customHeight="1">
      <c r="A366" s="125"/>
      <c r="B366" s="125"/>
      <c r="C366" s="125"/>
      <c r="D366" s="128"/>
      <c r="E366" s="126"/>
      <c r="F366" s="38"/>
      <c r="G366" s="127"/>
      <c r="H366" s="28"/>
      <c r="I366" s="28"/>
      <c r="J366" s="28"/>
      <c r="K366" s="28"/>
      <c r="L366" s="28"/>
      <c r="M366" s="28"/>
      <c r="N366" s="28"/>
      <c r="O366" s="28"/>
      <c r="P366" s="28"/>
      <c r="Q366" s="28"/>
      <c r="R366" s="28"/>
      <c r="S366" s="28"/>
      <c r="T366" s="28"/>
      <c r="U366" s="28"/>
      <c r="V366" s="28"/>
      <c r="W366" s="28"/>
      <c r="X366" s="28"/>
      <c r="Y366" s="28"/>
      <c r="Z366" s="28"/>
    </row>
    <row r="367" ht="15.75" customHeight="1">
      <c r="A367" s="125"/>
      <c r="B367" s="125"/>
      <c r="C367" s="125"/>
      <c r="D367" s="128"/>
      <c r="E367" s="126"/>
      <c r="F367" s="38"/>
      <c r="G367" s="127"/>
      <c r="H367" s="28"/>
      <c r="I367" s="28"/>
      <c r="J367" s="28"/>
      <c r="K367" s="28"/>
      <c r="L367" s="28"/>
      <c r="M367" s="28"/>
      <c r="N367" s="28"/>
      <c r="O367" s="28"/>
      <c r="P367" s="28"/>
      <c r="Q367" s="28"/>
      <c r="R367" s="28"/>
      <c r="S367" s="28"/>
      <c r="T367" s="28"/>
      <c r="U367" s="28"/>
      <c r="V367" s="28"/>
      <c r="W367" s="28"/>
      <c r="X367" s="28"/>
      <c r="Y367" s="28"/>
      <c r="Z367" s="28"/>
    </row>
    <row r="368" ht="15.75" customHeight="1">
      <c r="A368" s="125"/>
      <c r="B368" s="125"/>
      <c r="C368" s="125"/>
      <c r="D368" s="128"/>
      <c r="E368" s="126"/>
      <c r="F368" s="38"/>
      <c r="G368" s="127"/>
      <c r="H368" s="28"/>
      <c r="I368" s="28"/>
      <c r="J368" s="28"/>
      <c r="K368" s="28"/>
      <c r="L368" s="28"/>
      <c r="M368" s="28"/>
      <c r="N368" s="28"/>
      <c r="O368" s="28"/>
      <c r="P368" s="28"/>
      <c r="Q368" s="28"/>
      <c r="R368" s="28"/>
      <c r="S368" s="28"/>
      <c r="T368" s="28"/>
      <c r="U368" s="28"/>
      <c r="V368" s="28"/>
      <c r="W368" s="28"/>
      <c r="X368" s="28"/>
      <c r="Y368" s="28"/>
      <c r="Z368" s="28"/>
    </row>
    <row r="369" ht="15.75" customHeight="1">
      <c r="A369" s="125"/>
      <c r="B369" s="125"/>
      <c r="C369" s="125"/>
      <c r="D369" s="128"/>
      <c r="E369" s="126"/>
      <c r="F369" s="38"/>
      <c r="G369" s="127"/>
      <c r="H369" s="28"/>
      <c r="I369" s="28"/>
      <c r="J369" s="28"/>
      <c r="K369" s="28"/>
      <c r="L369" s="28"/>
      <c r="M369" s="28"/>
      <c r="N369" s="28"/>
      <c r="O369" s="28"/>
      <c r="P369" s="28"/>
      <c r="Q369" s="28"/>
      <c r="R369" s="28"/>
      <c r="S369" s="28"/>
      <c r="T369" s="28"/>
      <c r="U369" s="28"/>
      <c r="V369" s="28"/>
      <c r="W369" s="28"/>
      <c r="X369" s="28"/>
      <c r="Y369" s="28"/>
      <c r="Z369" s="28"/>
    </row>
    <row r="370" ht="15.75" customHeight="1">
      <c r="A370" s="125"/>
      <c r="B370" s="125"/>
      <c r="C370" s="125"/>
      <c r="D370" s="128"/>
      <c r="E370" s="126"/>
      <c r="F370" s="38"/>
      <c r="G370" s="127"/>
      <c r="H370" s="28"/>
      <c r="I370" s="28"/>
      <c r="J370" s="28"/>
      <c r="K370" s="28"/>
      <c r="L370" s="28"/>
      <c r="M370" s="28"/>
      <c r="N370" s="28"/>
      <c r="O370" s="28"/>
      <c r="P370" s="28"/>
      <c r="Q370" s="28"/>
      <c r="R370" s="28"/>
      <c r="S370" s="28"/>
      <c r="T370" s="28"/>
      <c r="U370" s="28"/>
      <c r="V370" s="28"/>
      <c r="W370" s="28"/>
      <c r="X370" s="28"/>
      <c r="Y370" s="28"/>
      <c r="Z370" s="28"/>
    </row>
    <row r="371" ht="15.75" customHeight="1">
      <c r="A371" s="125"/>
      <c r="B371" s="125"/>
      <c r="C371" s="125"/>
      <c r="D371" s="128"/>
      <c r="E371" s="126"/>
      <c r="F371" s="38"/>
      <c r="G371" s="127"/>
      <c r="H371" s="28"/>
      <c r="I371" s="28"/>
      <c r="J371" s="28"/>
      <c r="K371" s="28"/>
      <c r="L371" s="28"/>
      <c r="M371" s="28"/>
      <c r="N371" s="28"/>
      <c r="O371" s="28"/>
      <c r="P371" s="28"/>
      <c r="Q371" s="28"/>
      <c r="R371" s="28"/>
      <c r="S371" s="28"/>
      <c r="T371" s="28"/>
      <c r="U371" s="28"/>
      <c r="V371" s="28"/>
      <c r="W371" s="28"/>
      <c r="X371" s="28"/>
      <c r="Y371" s="28"/>
      <c r="Z371" s="28"/>
    </row>
    <row r="372" ht="15.75" customHeight="1">
      <c r="A372" s="125"/>
      <c r="B372" s="125"/>
      <c r="C372" s="125"/>
      <c r="D372" s="128"/>
      <c r="E372" s="126"/>
      <c r="F372" s="38"/>
      <c r="G372" s="127"/>
      <c r="H372" s="28"/>
      <c r="I372" s="28"/>
      <c r="J372" s="28"/>
      <c r="K372" s="28"/>
      <c r="L372" s="28"/>
      <c r="M372" s="28"/>
      <c r="N372" s="28"/>
      <c r="O372" s="28"/>
      <c r="P372" s="28"/>
      <c r="Q372" s="28"/>
      <c r="R372" s="28"/>
      <c r="S372" s="28"/>
      <c r="T372" s="28"/>
      <c r="U372" s="28"/>
      <c r="V372" s="28"/>
      <c r="W372" s="28"/>
      <c r="X372" s="28"/>
      <c r="Y372" s="28"/>
      <c r="Z372" s="28"/>
    </row>
    <row r="373" ht="15.75" customHeight="1">
      <c r="A373" s="125"/>
      <c r="B373" s="125"/>
      <c r="C373" s="125"/>
      <c r="D373" s="128"/>
      <c r="E373" s="126"/>
      <c r="F373" s="38"/>
      <c r="G373" s="127"/>
      <c r="H373" s="28"/>
      <c r="I373" s="28"/>
      <c r="J373" s="28"/>
      <c r="K373" s="28"/>
      <c r="L373" s="28"/>
      <c r="M373" s="28"/>
      <c r="N373" s="28"/>
      <c r="O373" s="28"/>
      <c r="P373" s="28"/>
      <c r="Q373" s="28"/>
      <c r="R373" s="28"/>
      <c r="S373" s="28"/>
      <c r="T373" s="28"/>
      <c r="U373" s="28"/>
      <c r="V373" s="28"/>
      <c r="W373" s="28"/>
      <c r="X373" s="28"/>
      <c r="Y373" s="28"/>
      <c r="Z373" s="28"/>
    </row>
    <row r="374" ht="15.75" customHeight="1">
      <c r="A374" s="125"/>
      <c r="B374" s="125"/>
      <c r="C374" s="125"/>
      <c r="D374" s="128"/>
      <c r="E374" s="126"/>
      <c r="F374" s="38"/>
      <c r="G374" s="127"/>
      <c r="H374" s="28"/>
      <c r="I374" s="28"/>
      <c r="J374" s="28"/>
      <c r="K374" s="28"/>
      <c r="L374" s="28"/>
      <c r="M374" s="28"/>
      <c r="N374" s="28"/>
      <c r="O374" s="28"/>
      <c r="P374" s="28"/>
      <c r="Q374" s="28"/>
      <c r="R374" s="28"/>
      <c r="S374" s="28"/>
      <c r="T374" s="28"/>
      <c r="U374" s="28"/>
      <c r="V374" s="28"/>
      <c r="W374" s="28"/>
      <c r="X374" s="28"/>
      <c r="Y374" s="28"/>
      <c r="Z374" s="28"/>
    </row>
    <row r="375" ht="15.75" customHeight="1">
      <c r="A375" s="125"/>
      <c r="B375" s="125"/>
      <c r="C375" s="125"/>
      <c r="D375" s="128"/>
      <c r="E375" s="126"/>
      <c r="F375" s="38"/>
      <c r="G375" s="127"/>
      <c r="H375" s="28"/>
      <c r="I375" s="28"/>
      <c r="J375" s="28"/>
      <c r="K375" s="28"/>
      <c r="L375" s="28"/>
      <c r="M375" s="28"/>
      <c r="N375" s="28"/>
      <c r="O375" s="28"/>
      <c r="P375" s="28"/>
      <c r="Q375" s="28"/>
      <c r="R375" s="28"/>
      <c r="S375" s="28"/>
      <c r="T375" s="28"/>
      <c r="U375" s="28"/>
      <c r="V375" s="28"/>
      <c r="W375" s="28"/>
      <c r="X375" s="28"/>
      <c r="Y375" s="28"/>
      <c r="Z375" s="28"/>
    </row>
    <row r="376" ht="15.75" customHeight="1">
      <c r="A376" s="125"/>
      <c r="B376" s="125"/>
      <c r="C376" s="125"/>
      <c r="D376" s="128"/>
      <c r="E376" s="126"/>
      <c r="F376" s="38"/>
      <c r="G376" s="127"/>
      <c r="H376" s="28"/>
      <c r="I376" s="28"/>
      <c r="J376" s="28"/>
      <c r="K376" s="28"/>
      <c r="L376" s="28"/>
      <c r="M376" s="28"/>
      <c r="N376" s="28"/>
      <c r="O376" s="28"/>
      <c r="P376" s="28"/>
      <c r="Q376" s="28"/>
      <c r="R376" s="28"/>
      <c r="S376" s="28"/>
      <c r="T376" s="28"/>
      <c r="U376" s="28"/>
      <c r="V376" s="28"/>
      <c r="W376" s="28"/>
      <c r="X376" s="28"/>
      <c r="Y376" s="28"/>
      <c r="Z376" s="28"/>
    </row>
    <row r="377" ht="15.75" customHeight="1">
      <c r="A377" s="125"/>
      <c r="B377" s="125"/>
      <c r="C377" s="125"/>
      <c r="D377" s="128"/>
      <c r="E377" s="126"/>
      <c r="F377" s="38"/>
      <c r="G377" s="127"/>
      <c r="H377" s="28"/>
      <c r="I377" s="28"/>
      <c r="J377" s="28"/>
      <c r="K377" s="28"/>
      <c r="L377" s="28"/>
      <c r="M377" s="28"/>
      <c r="N377" s="28"/>
      <c r="O377" s="28"/>
      <c r="P377" s="28"/>
      <c r="Q377" s="28"/>
      <c r="R377" s="28"/>
      <c r="S377" s="28"/>
      <c r="T377" s="28"/>
      <c r="U377" s="28"/>
      <c r="V377" s="28"/>
      <c r="W377" s="28"/>
      <c r="X377" s="28"/>
      <c r="Y377" s="28"/>
      <c r="Z377" s="28"/>
    </row>
    <row r="378" ht="15.75" customHeight="1">
      <c r="A378" s="125"/>
      <c r="B378" s="125"/>
      <c r="C378" s="125"/>
      <c r="D378" s="128"/>
      <c r="E378" s="126"/>
      <c r="F378" s="38"/>
      <c r="G378" s="127"/>
      <c r="H378" s="28"/>
      <c r="I378" s="28"/>
      <c r="J378" s="28"/>
      <c r="K378" s="28"/>
      <c r="L378" s="28"/>
      <c r="M378" s="28"/>
      <c r="N378" s="28"/>
      <c r="O378" s="28"/>
      <c r="P378" s="28"/>
      <c r="Q378" s="28"/>
      <c r="R378" s="28"/>
      <c r="S378" s="28"/>
      <c r="T378" s="28"/>
      <c r="U378" s="28"/>
      <c r="V378" s="28"/>
      <c r="W378" s="28"/>
      <c r="X378" s="28"/>
      <c r="Y378" s="28"/>
      <c r="Z378" s="28"/>
    </row>
    <row r="379" ht="15.75" customHeight="1">
      <c r="A379" s="125"/>
      <c r="B379" s="125"/>
      <c r="C379" s="125"/>
      <c r="D379" s="128"/>
      <c r="E379" s="126"/>
      <c r="F379" s="38"/>
      <c r="G379" s="127"/>
      <c r="H379" s="28"/>
      <c r="I379" s="28"/>
      <c r="J379" s="28"/>
      <c r="K379" s="28"/>
      <c r="L379" s="28"/>
      <c r="M379" s="28"/>
      <c r="N379" s="28"/>
      <c r="O379" s="28"/>
      <c r="P379" s="28"/>
      <c r="Q379" s="28"/>
      <c r="R379" s="28"/>
      <c r="S379" s="28"/>
      <c r="T379" s="28"/>
      <c r="U379" s="28"/>
      <c r="V379" s="28"/>
      <c r="W379" s="28"/>
      <c r="X379" s="28"/>
      <c r="Y379" s="28"/>
      <c r="Z379" s="28"/>
    </row>
    <row r="380" ht="15.75" customHeight="1">
      <c r="A380" s="125"/>
      <c r="B380" s="125"/>
      <c r="C380" s="125"/>
      <c r="D380" s="128"/>
      <c r="E380" s="126"/>
      <c r="F380" s="38"/>
      <c r="G380" s="127"/>
      <c r="H380" s="28"/>
      <c r="I380" s="28"/>
      <c r="J380" s="28"/>
      <c r="K380" s="28"/>
      <c r="L380" s="28"/>
      <c r="M380" s="28"/>
      <c r="N380" s="28"/>
      <c r="O380" s="28"/>
      <c r="P380" s="28"/>
      <c r="Q380" s="28"/>
      <c r="R380" s="28"/>
      <c r="S380" s="28"/>
      <c r="T380" s="28"/>
      <c r="U380" s="28"/>
      <c r="V380" s="28"/>
      <c r="W380" s="28"/>
      <c r="X380" s="28"/>
      <c r="Y380" s="28"/>
      <c r="Z380" s="28"/>
    </row>
    <row r="381" ht="15.75" customHeight="1">
      <c r="A381" s="125"/>
      <c r="B381" s="125"/>
      <c r="C381" s="125"/>
      <c r="D381" s="128"/>
      <c r="E381" s="126"/>
      <c r="F381" s="38"/>
      <c r="G381" s="127"/>
      <c r="H381" s="28"/>
      <c r="I381" s="28"/>
      <c r="J381" s="28"/>
      <c r="K381" s="28"/>
      <c r="L381" s="28"/>
      <c r="M381" s="28"/>
      <c r="N381" s="28"/>
      <c r="O381" s="28"/>
      <c r="P381" s="28"/>
      <c r="Q381" s="28"/>
      <c r="R381" s="28"/>
      <c r="S381" s="28"/>
      <c r="T381" s="28"/>
      <c r="U381" s="28"/>
      <c r="V381" s="28"/>
      <c r="W381" s="28"/>
      <c r="X381" s="28"/>
      <c r="Y381" s="28"/>
      <c r="Z381" s="28"/>
    </row>
    <row r="382" ht="15.75" customHeight="1">
      <c r="A382" s="125"/>
      <c r="B382" s="125"/>
      <c r="C382" s="125"/>
      <c r="D382" s="128"/>
      <c r="E382" s="126"/>
      <c r="F382" s="38"/>
      <c r="G382" s="127"/>
      <c r="H382" s="28"/>
      <c r="I382" s="28"/>
      <c r="J382" s="28"/>
      <c r="K382" s="28"/>
      <c r="L382" s="28"/>
      <c r="M382" s="28"/>
      <c r="N382" s="28"/>
      <c r="O382" s="28"/>
      <c r="P382" s="28"/>
      <c r="Q382" s="28"/>
      <c r="R382" s="28"/>
      <c r="S382" s="28"/>
      <c r="T382" s="28"/>
      <c r="U382" s="28"/>
      <c r="V382" s="28"/>
      <c r="W382" s="28"/>
      <c r="X382" s="28"/>
      <c r="Y382" s="28"/>
      <c r="Z382" s="28"/>
    </row>
    <row r="383" ht="15.75" customHeight="1">
      <c r="A383" s="125"/>
      <c r="B383" s="125"/>
      <c r="C383" s="125"/>
      <c r="D383" s="128"/>
      <c r="E383" s="126"/>
      <c r="F383" s="38"/>
      <c r="G383" s="127"/>
      <c r="H383" s="28"/>
      <c r="I383" s="28"/>
      <c r="J383" s="28"/>
      <c r="K383" s="28"/>
      <c r="L383" s="28"/>
      <c r="M383" s="28"/>
      <c r="N383" s="28"/>
      <c r="O383" s="28"/>
      <c r="P383" s="28"/>
      <c r="Q383" s="28"/>
      <c r="R383" s="28"/>
      <c r="S383" s="28"/>
      <c r="T383" s="28"/>
      <c r="U383" s="28"/>
      <c r="V383" s="28"/>
      <c r="W383" s="28"/>
      <c r="X383" s="28"/>
      <c r="Y383" s="28"/>
      <c r="Z383" s="28"/>
    </row>
    <row r="384" ht="15.75" customHeight="1">
      <c r="A384" s="125"/>
      <c r="B384" s="125"/>
      <c r="C384" s="125"/>
      <c r="D384" s="128"/>
      <c r="E384" s="126"/>
      <c r="F384" s="38"/>
      <c r="G384" s="127"/>
      <c r="H384" s="28"/>
      <c r="I384" s="28"/>
      <c r="J384" s="28"/>
      <c r="K384" s="28"/>
      <c r="L384" s="28"/>
      <c r="M384" s="28"/>
      <c r="N384" s="28"/>
      <c r="O384" s="28"/>
      <c r="P384" s="28"/>
      <c r="Q384" s="28"/>
      <c r="R384" s="28"/>
      <c r="S384" s="28"/>
      <c r="T384" s="28"/>
      <c r="U384" s="28"/>
      <c r="V384" s="28"/>
      <c r="W384" s="28"/>
      <c r="X384" s="28"/>
      <c r="Y384" s="28"/>
      <c r="Z384" s="28"/>
    </row>
    <row r="385" ht="15.75" customHeight="1">
      <c r="A385" s="125"/>
      <c r="B385" s="125"/>
      <c r="C385" s="125"/>
      <c r="D385" s="128"/>
      <c r="E385" s="126"/>
      <c r="F385" s="38"/>
      <c r="G385" s="127"/>
      <c r="H385" s="28"/>
      <c r="I385" s="28"/>
      <c r="J385" s="28"/>
      <c r="K385" s="28"/>
      <c r="L385" s="28"/>
      <c r="M385" s="28"/>
      <c r="N385" s="28"/>
      <c r="O385" s="28"/>
      <c r="P385" s="28"/>
      <c r="Q385" s="28"/>
      <c r="R385" s="28"/>
      <c r="S385" s="28"/>
      <c r="T385" s="28"/>
      <c r="U385" s="28"/>
      <c r="V385" s="28"/>
      <c r="W385" s="28"/>
      <c r="X385" s="28"/>
      <c r="Y385" s="28"/>
      <c r="Z385" s="28"/>
    </row>
    <row r="386" ht="15.75" customHeight="1">
      <c r="A386" s="125"/>
      <c r="B386" s="125"/>
      <c r="C386" s="125"/>
      <c r="D386" s="128"/>
      <c r="E386" s="126"/>
      <c r="F386" s="38"/>
      <c r="G386" s="127"/>
      <c r="H386" s="28"/>
      <c r="I386" s="28"/>
      <c r="J386" s="28"/>
      <c r="K386" s="28"/>
      <c r="L386" s="28"/>
      <c r="M386" s="28"/>
      <c r="N386" s="28"/>
      <c r="O386" s="28"/>
      <c r="P386" s="28"/>
      <c r="Q386" s="28"/>
      <c r="R386" s="28"/>
      <c r="S386" s="28"/>
      <c r="T386" s="28"/>
      <c r="U386" s="28"/>
      <c r="V386" s="28"/>
      <c r="W386" s="28"/>
      <c r="X386" s="28"/>
      <c r="Y386" s="28"/>
      <c r="Z386" s="28"/>
    </row>
    <row r="387" ht="15.75" customHeight="1">
      <c r="A387" s="125"/>
      <c r="B387" s="125"/>
      <c r="C387" s="125"/>
      <c r="D387" s="128"/>
      <c r="E387" s="126"/>
      <c r="F387" s="38"/>
      <c r="G387" s="127"/>
      <c r="H387" s="28"/>
      <c r="I387" s="28"/>
      <c r="J387" s="28"/>
      <c r="K387" s="28"/>
      <c r="L387" s="28"/>
      <c r="M387" s="28"/>
      <c r="N387" s="28"/>
      <c r="O387" s="28"/>
      <c r="P387" s="28"/>
      <c r="Q387" s="28"/>
      <c r="R387" s="28"/>
      <c r="S387" s="28"/>
      <c r="T387" s="28"/>
      <c r="U387" s="28"/>
      <c r="V387" s="28"/>
      <c r="W387" s="28"/>
      <c r="X387" s="28"/>
      <c r="Y387" s="28"/>
      <c r="Z387" s="28"/>
    </row>
    <row r="388" ht="15.75" customHeight="1">
      <c r="A388" s="125"/>
      <c r="B388" s="125"/>
      <c r="C388" s="125"/>
      <c r="D388" s="128"/>
      <c r="E388" s="126"/>
      <c r="F388" s="38"/>
      <c r="G388" s="127"/>
      <c r="H388" s="28"/>
      <c r="I388" s="28"/>
      <c r="J388" s="28"/>
      <c r="K388" s="28"/>
      <c r="L388" s="28"/>
      <c r="M388" s="28"/>
      <c r="N388" s="28"/>
      <c r="O388" s="28"/>
      <c r="P388" s="28"/>
      <c r="Q388" s="28"/>
      <c r="R388" s="28"/>
      <c r="S388" s="28"/>
      <c r="T388" s="28"/>
      <c r="U388" s="28"/>
      <c r="V388" s="28"/>
      <c r="W388" s="28"/>
      <c r="X388" s="28"/>
      <c r="Y388" s="28"/>
      <c r="Z388" s="28"/>
    </row>
    <row r="389" ht="15.75" customHeight="1">
      <c r="A389" s="125"/>
      <c r="B389" s="125"/>
      <c r="C389" s="125"/>
      <c r="D389" s="128"/>
      <c r="E389" s="126"/>
      <c r="F389" s="38"/>
      <c r="G389" s="127"/>
      <c r="H389" s="28"/>
      <c r="I389" s="28"/>
      <c r="J389" s="28"/>
      <c r="K389" s="28"/>
      <c r="L389" s="28"/>
      <c r="M389" s="28"/>
      <c r="N389" s="28"/>
      <c r="O389" s="28"/>
      <c r="P389" s="28"/>
      <c r="Q389" s="28"/>
      <c r="R389" s="28"/>
      <c r="S389" s="28"/>
      <c r="T389" s="28"/>
      <c r="U389" s="28"/>
      <c r="V389" s="28"/>
      <c r="W389" s="28"/>
      <c r="X389" s="28"/>
      <c r="Y389" s="28"/>
      <c r="Z389" s="28"/>
    </row>
    <row r="390" ht="15.75" customHeight="1">
      <c r="A390" s="125"/>
      <c r="B390" s="125"/>
      <c r="C390" s="125"/>
      <c r="D390" s="128"/>
      <c r="E390" s="126"/>
      <c r="F390" s="38"/>
      <c r="G390" s="127"/>
      <c r="H390" s="28"/>
      <c r="I390" s="28"/>
      <c r="J390" s="28"/>
      <c r="K390" s="28"/>
      <c r="L390" s="28"/>
      <c r="M390" s="28"/>
      <c r="N390" s="28"/>
      <c r="O390" s="28"/>
      <c r="P390" s="28"/>
      <c r="Q390" s="28"/>
      <c r="R390" s="28"/>
      <c r="S390" s="28"/>
      <c r="T390" s="28"/>
      <c r="U390" s="28"/>
      <c r="V390" s="28"/>
      <c r="W390" s="28"/>
      <c r="X390" s="28"/>
      <c r="Y390" s="28"/>
      <c r="Z390" s="28"/>
    </row>
    <row r="391" ht="15.75" customHeight="1">
      <c r="A391" s="125"/>
      <c r="B391" s="125"/>
      <c r="C391" s="125"/>
      <c r="D391" s="128"/>
      <c r="E391" s="126"/>
      <c r="F391" s="38"/>
      <c r="G391" s="127"/>
      <c r="H391" s="28"/>
      <c r="I391" s="28"/>
      <c r="J391" s="28"/>
      <c r="K391" s="28"/>
      <c r="L391" s="28"/>
      <c r="M391" s="28"/>
      <c r="N391" s="28"/>
      <c r="O391" s="28"/>
      <c r="P391" s="28"/>
      <c r="Q391" s="28"/>
      <c r="R391" s="28"/>
      <c r="S391" s="28"/>
      <c r="T391" s="28"/>
      <c r="U391" s="28"/>
      <c r="V391" s="28"/>
      <c r="W391" s="28"/>
      <c r="X391" s="28"/>
      <c r="Y391" s="28"/>
      <c r="Z391" s="28"/>
    </row>
    <row r="392" ht="15.75" customHeight="1">
      <c r="A392" s="125"/>
      <c r="B392" s="125"/>
      <c r="C392" s="125"/>
      <c r="D392" s="128"/>
      <c r="E392" s="126"/>
      <c r="F392" s="38"/>
      <c r="G392" s="127"/>
      <c r="H392" s="28"/>
      <c r="I392" s="28"/>
      <c r="J392" s="28"/>
      <c r="K392" s="28"/>
      <c r="L392" s="28"/>
      <c r="M392" s="28"/>
      <c r="N392" s="28"/>
      <c r="O392" s="28"/>
      <c r="P392" s="28"/>
      <c r="Q392" s="28"/>
      <c r="R392" s="28"/>
      <c r="S392" s="28"/>
      <c r="T392" s="28"/>
      <c r="U392" s="28"/>
      <c r="V392" s="28"/>
      <c r="W392" s="28"/>
      <c r="X392" s="28"/>
      <c r="Y392" s="28"/>
      <c r="Z392" s="28"/>
    </row>
    <row r="393" ht="15.75" customHeight="1">
      <c r="A393" s="125"/>
      <c r="B393" s="125"/>
      <c r="C393" s="125"/>
      <c r="D393" s="128"/>
      <c r="E393" s="126"/>
      <c r="F393" s="38"/>
      <c r="G393" s="127"/>
      <c r="H393" s="28"/>
      <c r="I393" s="28"/>
      <c r="J393" s="28"/>
      <c r="K393" s="28"/>
      <c r="L393" s="28"/>
      <c r="M393" s="28"/>
      <c r="N393" s="28"/>
      <c r="O393" s="28"/>
      <c r="P393" s="28"/>
      <c r="Q393" s="28"/>
      <c r="R393" s="28"/>
      <c r="S393" s="28"/>
      <c r="T393" s="28"/>
      <c r="U393" s="28"/>
      <c r="V393" s="28"/>
      <c r="W393" s="28"/>
      <c r="X393" s="28"/>
      <c r="Y393" s="28"/>
      <c r="Z393" s="28"/>
    </row>
    <row r="394" ht="15.75" customHeight="1">
      <c r="A394" s="125"/>
      <c r="B394" s="125"/>
      <c r="C394" s="125"/>
      <c r="D394" s="128"/>
      <c r="E394" s="126"/>
      <c r="F394" s="38"/>
      <c r="G394" s="127"/>
      <c r="H394" s="28"/>
      <c r="I394" s="28"/>
      <c r="J394" s="28"/>
      <c r="K394" s="28"/>
      <c r="L394" s="28"/>
      <c r="M394" s="28"/>
      <c r="N394" s="28"/>
      <c r="O394" s="28"/>
      <c r="P394" s="28"/>
      <c r="Q394" s="28"/>
      <c r="R394" s="28"/>
      <c r="S394" s="28"/>
      <c r="T394" s="28"/>
      <c r="U394" s="28"/>
      <c r="V394" s="28"/>
      <c r="W394" s="28"/>
      <c r="X394" s="28"/>
      <c r="Y394" s="28"/>
      <c r="Z394" s="28"/>
    </row>
    <row r="395" ht="15.75" customHeight="1">
      <c r="A395" s="125"/>
      <c r="B395" s="125"/>
      <c r="C395" s="125"/>
      <c r="D395" s="128"/>
      <c r="E395" s="126"/>
      <c r="F395" s="38"/>
      <c r="G395" s="127"/>
      <c r="H395" s="28"/>
      <c r="I395" s="28"/>
      <c r="J395" s="28"/>
      <c r="K395" s="28"/>
      <c r="L395" s="28"/>
      <c r="M395" s="28"/>
      <c r="N395" s="28"/>
      <c r="O395" s="28"/>
      <c r="P395" s="28"/>
      <c r="Q395" s="28"/>
      <c r="R395" s="28"/>
      <c r="S395" s="28"/>
      <c r="T395" s="28"/>
      <c r="U395" s="28"/>
      <c r="V395" s="28"/>
      <c r="W395" s="28"/>
      <c r="X395" s="28"/>
      <c r="Y395" s="28"/>
      <c r="Z395" s="28"/>
    </row>
    <row r="396" ht="15.75" customHeight="1">
      <c r="A396" s="125"/>
      <c r="B396" s="125"/>
      <c r="C396" s="125"/>
      <c r="D396" s="128"/>
      <c r="E396" s="126"/>
      <c r="F396" s="38"/>
      <c r="G396" s="127"/>
      <c r="H396" s="28"/>
      <c r="I396" s="28"/>
      <c r="J396" s="28"/>
      <c r="K396" s="28"/>
      <c r="L396" s="28"/>
      <c r="M396" s="28"/>
      <c r="N396" s="28"/>
      <c r="O396" s="28"/>
      <c r="P396" s="28"/>
      <c r="Q396" s="28"/>
      <c r="R396" s="28"/>
      <c r="S396" s="28"/>
      <c r="T396" s="28"/>
      <c r="U396" s="28"/>
      <c r="V396" s="28"/>
      <c r="W396" s="28"/>
      <c r="X396" s="28"/>
      <c r="Y396" s="28"/>
      <c r="Z396" s="28"/>
    </row>
    <row r="397" ht="15.75" customHeight="1">
      <c r="A397" s="125"/>
      <c r="B397" s="125"/>
      <c r="C397" s="125"/>
      <c r="D397" s="128"/>
      <c r="E397" s="126"/>
      <c r="F397" s="38"/>
      <c r="G397" s="127"/>
      <c r="H397" s="28"/>
      <c r="I397" s="28"/>
      <c r="J397" s="28"/>
      <c r="K397" s="28"/>
      <c r="L397" s="28"/>
      <c r="M397" s="28"/>
      <c r="N397" s="28"/>
      <c r="O397" s="28"/>
      <c r="P397" s="28"/>
      <c r="Q397" s="28"/>
      <c r="R397" s="28"/>
      <c r="S397" s="28"/>
      <c r="T397" s="28"/>
      <c r="U397" s="28"/>
      <c r="V397" s="28"/>
      <c r="W397" s="28"/>
      <c r="X397" s="28"/>
      <c r="Y397" s="28"/>
      <c r="Z397" s="28"/>
    </row>
    <row r="398" ht="15.75" customHeight="1">
      <c r="A398" s="125"/>
      <c r="B398" s="125"/>
      <c r="C398" s="125"/>
      <c r="D398" s="128"/>
      <c r="E398" s="126"/>
      <c r="F398" s="38"/>
      <c r="G398" s="127"/>
      <c r="H398" s="28"/>
      <c r="I398" s="28"/>
      <c r="J398" s="28"/>
      <c r="K398" s="28"/>
      <c r="L398" s="28"/>
      <c r="M398" s="28"/>
      <c r="N398" s="28"/>
      <c r="O398" s="28"/>
      <c r="P398" s="28"/>
      <c r="Q398" s="28"/>
      <c r="R398" s="28"/>
      <c r="S398" s="28"/>
      <c r="T398" s="28"/>
      <c r="U398" s="28"/>
      <c r="V398" s="28"/>
      <c r="W398" s="28"/>
      <c r="X398" s="28"/>
      <c r="Y398" s="28"/>
      <c r="Z398" s="28"/>
    </row>
    <row r="399" ht="15.75" customHeight="1">
      <c r="A399" s="125"/>
      <c r="B399" s="125"/>
      <c r="C399" s="125"/>
      <c r="D399" s="128"/>
      <c r="E399" s="126"/>
      <c r="F399" s="38"/>
      <c r="G399" s="127"/>
      <c r="H399" s="28"/>
      <c r="I399" s="28"/>
      <c r="J399" s="28"/>
      <c r="K399" s="28"/>
      <c r="L399" s="28"/>
      <c r="M399" s="28"/>
      <c r="N399" s="28"/>
      <c r="O399" s="28"/>
      <c r="P399" s="28"/>
      <c r="Q399" s="28"/>
      <c r="R399" s="28"/>
      <c r="S399" s="28"/>
      <c r="T399" s="28"/>
      <c r="U399" s="28"/>
      <c r="V399" s="28"/>
      <c r="W399" s="28"/>
      <c r="X399" s="28"/>
      <c r="Y399" s="28"/>
      <c r="Z399" s="28"/>
    </row>
    <row r="400" ht="15.75" customHeight="1">
      <c r="A400" s="125"/>
      <c r="B400" s="125"/>
      <c r="C400" s="125"/>
      <c r="D400" s="128"/>
      <c r="E400" s="126"/>
      <c r="F400" s="38"/>
      <c r="G400" s="127"/>
      <c r="H400" s="28"/>
      <c r="I400" s="28"/>
      <c r="J400" s="28"/>
      <c r="K400" s="28"/>
      <c r="L400" s="28"/>
      <c r="M400" s="28"/>
      <c r="N400" s="28"/>
      <c r="O400" s="28"/>
      <c r="P400" s="28"/>
      <c r="Q400" s="28"/>
      <c r="R400" s="28"/>
      <c r="S400" s="28"/>
      <c r="T400" s="28"/>
      <c r="U400" s="28"/>
      <c r="V400" s="28"/>
      <c r="W400" s="28"/>
      <c r="X400" s="28"/>
      <c r="Y400" s="28"/>
      <c r="Z400" s="28"/>
    </row>
    <row r="401" ht="15.75" customHeight="1">
      <c r="A401" s="125"/>
      <c r="B401" s="125"/>
      <c r="C401" s="125"/>
      <c r="D401" s="128"/>
      <c r="E401" s="126"/>
      <c r="F401" s="38"/>
      <c r="G401" s="127"/>
      <c r="H401" s="28"/>
      <c r="I401" s="28"/>
      <c r="J401" s="28"/>
      <c r="K401" s="28"/>
      <c r="L401" s="28"/>
      <c r="M401" s="28"/>
      <c r="N401" s="28"/>
      <c r="O401" s="28"/>
      <c r="P401" s="28"/>
      <c r="Q401" s="28"/>
      <c r="R401" s="28"/>
      <c r="S401" s="28"/>
      <c r="T401" s="28"/>
      <c r="U401" s="28"/>
      <c r="V401" s="28"/>
      <c r="W401" s="28"/>
      <c r="X401" s="28"/>
      <c r="Y401" s="28"/>
      <c r="Z401" s="28"/>
    </row>
    <row r="402" ht="15.75" customHeight="1">
      <c r="A402" s="125"/>
      <c r="B402" s="125"/>
      <c r="C402" s="125"/>
      <c r="D402" s="128"/>
      <c r="E402" s="126"/>
      <c r="F402" s="38"/>
      <c r="G402" s="127"/>
      <c r="H402" s="28"/>
      <c r="I402" s="28"/>
      <c r="J402" s="28"/>
      <c r="K402" s="28"/>
      <c r="L402" s="28"/>
      <c r="M402" s="28"/>
      <c r="N402" s="28"/>
      <c r="O402" s="28"/>
      <c r="P402" s="28"/>
      <c r="Q402" s="28"/>
      <c r="R402" s="28"/>
      <c r="S402" s="28"/>
      <c r="T402" s="28"/>
      <c r="U402" s="28"/>
      <c r="V402" s="28"/>
      <c r="W402" s="28"/>
      <c r="X402" s="28"/>
      <c r="Y402" s="28"/>
      <c r="Z402" s="28"/>
    </row>
    <row r="403" ht="15.75" customHeight="1">
      <c r="A403" s="125"/>
      <c r="B403" s="125"/>
      <c r="C403" s="125"/>
      <c r="D403" s="128"/>
      <c r="E403" s="126"/>
      <c r="F403" s="38"/>
      <c r="G403" s="127"/>
      <c r="H403" s="28"/>
      <c r="I403" s="28"/>
      <c r="J403" s="28"/>
      <c r="K403" s="28"/>
      <c r="L403" s="28"/>
      <c r="M403" s="28"/>
      <c r="N403" s="28"/>
      <c r="O403" s="28"/>
      <c r="P403" s="28"/>
      <c r="Q403" s="28"/>
      <c r="R403" s="28"/>
      <c r="S403" s="28"/>
      <c r="T403" s="28"/>
      <c r="U403" s="28"/>
      <c r="V403" s="28"/>
      <c r="W403" s="28"/>
      <c r="X403" s="28"/>
      <c r="Y403" s="28"/>
      <c r="Z403" s="28"/>
    </row>
    <row r="404" ht="15.75" customHeight="1">
      <c r="A404" s="125"/>
      <c r="B404" s="125"/>
      <c r="C404" s="125"/>
      <c r="D404" s="128"/>
      <c r="E404" s="126"/>
      <c r="F404" s="38"/>
      <c r="G404" s="127"/>
      <c r="H404" s="28"/>
      <c r="I404" s="28"/>
      <c r="J404" s="28"/>
      <c r="K404" s="28"/>
      <c r="L404" s="28"/>
      <c r="M404" s="28"/>
      <c r="N404" s="28"/>
      <c r="O404" s="28"/>
      <c r="P404" s="28"/>
      <c r="Q404" s="28"/>
      <c r="R404" s="28"/>
      <c r="S404" s="28"/>
      <c r="T404" s="28"/>
      <c r="U404" s="28"/>
      <c r="V404" s="28"/>
      <c r="W404" s="28"/>
      <c r="X404" s="28"/>
      <c r="Y404" s="28"/>
      <c r="Z404" s="28"/>
    </row>
    <row r="405" ht="15.75" customHeight="1">
      <c r="A405" s="125"/>
      <c r="B405" s="125"/>
      <c r="C405" s="125"/>
      <c r="D405" s="128"/>
      <c r="E405" s="126"/>
      <c r="F405" s="38"/>
      <c r="G405" s="127"/>
      <c r="H405" s="28"/>
      <c r="I405" s="28"/>
      <c r="J405" s="28"/>
      <c r="K405" s="28"/>
      <c r="L405" s="28"/>
      <c r="M405" s="28"/>
      <c r="N405" s="28"/>
      <c r="O405" s="28"/>
      <c r="P405" s="28"/>
      <c r="Q405" s="28"/>
      <c r="R405" s="28"/>
      <c r="S405" s="28"/>
      <c r="T405" s="28"/>
      <c r="U405" s="28"/>
      <c r="V405" s="28"/>
      <c r="W405" s="28"/>
      <c r="X405" s="28"/>
      <c r="Y405" s="28"/>
      <c r="Z405" s="28"/>
    </row>
    <row r="406" ht="15.75" customHeight="1">
      <c r="A406" s="125"/>
      <c r="B406" s="125"/>
      <c r="C406" s="125"/>
      <c r="D406" s="128"/>
      <c r="E406" s="126"/>
      <c r="F406" s="38"/>
      <c r="G406" s="127"/>
      <c r="H406" s="28"/>
      <c r="I406" s="28"/>
      <c r="J406" s="28"/>
      <c r="K406" s="28"/>
      <c r="L406" s="28"/>
      <c r="M406" s="28"/>
      <c r="N406" s="28"/>
      <c r="O406" s="28"/>
      <c r="P406" s="28"/>
      <c r="Q406" s="28"/>
      <c r="R406" s="28"/>
      <c r="S406" s="28"/>
      <c r="T406" s="28"/>
      <c r="U406" s="28"/>
      <c r="V406" s="28"/>
      <c r="W406" s="28"/>
      <c r="X406" s="28"/>
      <c r="Y406" s="28"/>
      <c r="Z406" s="28"/>
    </row>
    <row r="407" ht="15.75" customHeight="1">
      <c r="A407" s="125"/>
      <c r="B407" s="125"/>
      <c r="C407" s="125"/>
      <c r="D407" s="128"/>
      <c r="E407" s="126"/>
      <c r="F407" s="38"/>
      <c r="G407" s="127"/>
      <c r="H407" s="28"/>
      <c r="I407" s="28"/>
      <c r="J407" s="28"/>
      <c r="K407" s="28"/>
      <c r="L407" s="28"/>
      <c r="M407" s="28"/>
      <c r="N407" s="28"/>
      <c r="O407" s="28"/>
      <c r="P407" s="28"/>
      <c r="Q407" s="28"/>
      <c r="R407" s="28"/>
      <c r="S407" s="28"/>
      <c r="T407" s="28"/>
      <c r="U407" s="28"/>
      <c r="V407" s="28"/>
      <c r="W407" s="28"/>
      <c r="X407" s="28"/>
      <c r="Y407" s="28"/>
      <c r="Z407" s="28"/>
    </row>
    <row r="408" ht="15.75" customHeight="1">
      <c r="A408" s="125"/>
      <c r="B408" s="125"/>
      <c r="C408" s="125"/>
      <c r="D408" s="128"/>
      <c r="E408" s="126"/>
      <c r="F408" s="38"/>
      <c r="G408" s="127"/>
      <c r="H408" s="28"/>
      <c r="I408" s="28"/>
      <c r="J408" s="28"/>
      <c r="K408" s="28"/>
      <c r="L408" s="28"/>
      <c r="M408" s="28"/>
      <c r="N408" s="28"/>
      <c r="O408" s="28"/>
      <c r="P408" s="28"/>
      <c r="Q408" s="28"/>
      <c r="R408" s="28"/>
      <c r="S408" s="28"/>
      <c r="T408" s="28"/>
      <c r="U408" s="28"/>
      <c r="V408" s="28"/>
      <c r="W408" s="28"/>
      <c r="X408" s="28"/>
      <c r="Y408" s="28"/>
      <c r="Z408" s="28"/>
    </row>
    <row r="409" ht="15.75" customHeight="1">
      <c r="A409" s="125"/>
      <c r="B409" s="125"/>
      <c r="C409" s="125"/>
      <c r="D409" s="128"/>
      <c r="E409" s="126"/>
      <c r="F409" s="38"/>
      <c r="G409" s="127"/>
      <c r="H409" s="28"/>
      <c r="I409" s="28"/>
      <c r="J409" s="28"/>
      <c r="K409" s="28"/>
      <c r="L409" s="28"/>
      <c r="M409" s="28"/>
      <c r="N409" s="28"/>
      <c r="O409" s="28"/>
      <c r="P409" s="28"/>
      <c r="Q409" s="28"/>
      <c r="R409" s="28"/>
      <c r="S409" s="28"/>
      <c r="T409" s="28"/>
      <c r="U409" s="28"/>
      <c r="V409" s="28"/>
      <c r="W409" s="28"/>
      <c r="X409" s="28"/>
      <c r="Y409" s="28"/>
      <c r="Z409" s="28"/>
    </row>
    <row r="410" ht="15.75" customHeight="1">
      <c r="A410" s="125"/>
      <c r="B410" s="125"/>
      <c r="C410" s="125"/>
      <c r="D410" s="128"/>
      <c r="E410" s="126"/>
      <c r="F410" s="38"/>
      <c r="G410" s="127"/>
      <c r="H410" s="28"/>
      <c r="I410" s="28"/>
      <c r="J410" s="28"/>
      <c r="K410" s="28"/>
      <c r="L410" s="28"/>
      <c r="M410" s="28"/>
      <c r="N410" s="28"/>
      <c r="O410" s="28"/>
      <c r="P410" s="28"/>
      <c r="Q410" s="28"/>
      <c r="R410" s="28"/>
      <c r="S410" s="28"/>
      <c r="T410" s="28"/>
      <c r="U410" s="28"/>
      <c r="V410" s="28"/>
      <c r="W410" s="28"/>
      <c r="X410" s="28"/>
      <c r="Y410" s="28"/>
      <c r="Z410" s="28"/>
    </row>
    <row r="411" ht="15.75" customHeight="1">
      <c r="A411" s="125"/>
      <c r="B411" s="125"/>
      <c r="C411" s="125"/>
      <c r="D411" s="128"/>
      <c r="E411" s="126"/>
      <c r="F411" s="38"/>
      <c r="G411" s="127"/>
      <c r="H411" s="28"/>
      <c r="I411" s="28"/>
      <c r="J411" s="28"/>
      <c r="K411" s="28"/>
      <c r="L411" s="28"/>
      <c r="M411" s="28"/>
      <c r="N411" s="28"/>
      <c r="O411" s="28"/>
      <c r="P411" s="28"/>
      <c r="Q411" s="28"/>
      <c r="R411" s="28"/>
      <c r="S411" s="28"/>
      <c r="T411" s="28"/>
      <c r="U411" s="28"/>
      <c r="V411" s="28"/>
      <c r="W411" s="28"/>
      <c r="X411" s="28"/>
      <c r="Y411" s="28"/>
      <c r="Z411" s="28"/>
    </row>
    <row r="412" ht="15.75" customHeight="1">
      <c r="A412" s="125"/>
      <c r="B412" s="125"/>
      <c r="C412" s="125"/>
      <c r="D412" s="128"/>
      <c r="E412" s="126"/>
      <c r="F412" s="38"/>
      <c r="G412" s="127"/>
      <c r="H412" s="28"/>
      <c r="I412" s="28"/>
      <c r="J412" s="28"/>
      <c r="K412" s="28"/>
      <c r="L412" s="28"/>
      <c r="M412" s="28"/>
      <c r="N412" s="28"/>
      <c r="O412" s="28"/>
      <c r="P412" s="28"/>
      <c r="Q412" s="28"/>
      <c r="R412" s="28"/>
      <c r="S412" s="28"/>
      <c r="T412" s="28"/>
      <c r="U412" s="28"/>
      <c r="V412" s="28"/>
      <c r="W412" s="28"/>
      <c r="X412" s="28"/>
      <c r="Y412" s="28"/>
      <c r="Z412" s="28"/>
    </row>
    <row r="413" ht="15.75" customHeight="1">
      <c r="A413" s="125"/>
      <c r="B413" s="125"/>
      <c r="C413" s="125"/>
      <c r="D413" s="128"/>
      <c r="E413" s="126"/>
      <c r="F413" s="38"/>
      <c r="G413" s="127"/>
      <c r="H413" s="28"/>
      <c r="I413" s="28"/>
      <c r="J413" s="28"/>
      <c r="K413" s="28"/>
      <c r="L413" s="28"/>
      <c r="M413" s="28"/>
      <c r="N413" s="28"/>
      <c r="O413" s="28"/>
      <c r="P413" s="28"/>
      <c r="Q413" s="28"/>
      <c r="R413" s="28"/>
      <c r="S413" s="28"/>
      <c r="T413" s="28"/>
      <c r="U413" s="28"/>
      <c r="V413" s="28"/>
      <c r="W413" s="28"/>
      <c r="X413" s="28"/>
      <c r="Y413" s="28"/>
      <c r="Z413" s="28"/>
    </row>
    <row r="414" ht="15.75" customHeight="1">
      <c r="A414" s="125"/>
      <c r="B414" s="125"/>
      <c r="C414" s="125"/>
      <c r="D414" s="128"/>
      <c r="E414" s="126"/>
      <c r="F414" s="38"/>
      <c r="G414" s="127"/>
      <c r="H414" s="28"/>
      <c r="I414" s="28"/>
      <c r="J414" s="28"/>
      <c r="K414" s="28"/>
      <c r="L414" s="28"/>
      <c r="M414" s="28"/>
      <c r="N414" s="28"/>
      <c r="O414" s="28"/>
      <c r="P414" s="28"/>
      <c r="Q414" s="28"/>
      <c r="R414" s="28"/>
      <c r="S414" s="28"/>
      <c r="T414" s="28"/>
      <c r="U414" s="28"/>
      <c r="V414" s="28"/>
      <c r="W414" s="28"/>
      <c r="X414" s="28"/>
      <c r="Y414" s="28"/>
      <c r="Z414" s="28"/>
    </row>
    <row r="415" ht="15.75" customHeight="1">
      <c r="A415" s="125"/>
      <c r="B415" s="125"/>
      <c r="C415" s="125"/>
      <c r="D415" s="128"/>
      <c r="E415" s="126"/>
      <c r="F415" s="38"/>
      <c r="G415" s="127"/>
      <c r="H415" s="28"/>
      <c r="I415" s="28"/>
      <c r="J415" s="28"/>
      <c r="K415" s="28"/>
      <c r="L415" s="28"/>
      <c r="M415" s="28"/>
      <c r="N415" s="28"/>
      <c r="O415" s="28"/>
      <c r="P415" s="28"/>
      <c r="Q415" s="28"/>
      <c r="R415" s="28"/>
      <c r="S415" s="28"/>
      <c r="T415" s="28"/>
      <c r="U415" s="28"/>
      <c r="V415" s="28"/>
      <c r="W415" s="28"/>
      <c r="X415" s="28"/>
      <c r="Y415" s="28"/>
      <c r="Z415" s="28"/>
    </row>
    <row r="416" ht="15.75" customHeight="1">
      <c r="A416" s="125"/>
      <c r="B416" s="125"/>
      <c r="C416" s="125"/>
      <c r="D416" s="128"/>
      <c r="E416" s="126"/>
      <c r="F416" s="38"/>
      <c r="G416" s="127"/>
      <c r="H416" s="28"/>
      <c r="I416" s="28"/>
      <c r="J416" s="28"/>
      <c r="K416" s="28"/>
      <c r="L416" s="28"/>
      <c r="M416" s="28"/>
      <c r="N416" s="28"/>
      <c r="O416" s="28"/>
      <c r="P416" s="28"/>
      <c r="Q416" s="28"/>
      <c r="R416" s="28"/>
      <c r="S416" s="28"/>
      <c r="T416" s="28"/>
      <c r="U416" s="28"/>
      <c r="V416" s="28"/>
      <c r="W416" s="28"/>
      <c r="X416" s="28"/>
      <c r="Y416" s="28"/>
      <c r="Z416" s="28"/>
    </row>
    <row r="417" ht="15.75" customHeight="1">
      <c r="A417" s="125"/>
      <c r="B417" s="125"/>
      <c r="C417" s="125"/>
      <c r="D417" s="128"/>
      <c r="E417" s="126"/>
      <c r="F417" s="38"/>
      <c r="G417" s="127"/>
      <c r="H417" s="28"/>
      <c r="I417" s="28"/>
      <c r="J417" s="28"/>
      <c r="K417" s="28"/>
      <c r="L417" s="28"/>
      <c r="M417" s="28"/>
      <c r="N417" s="28"/>
      <c r="O417" s="28"/>
      <c r="P417" s="28"/>
      <c r="Q417" s="28"/>
      <c r="R417" s="28"/>
      <c r="S417" s="28"/>
      <c r="T417" s="28"/>
      <c r="U417" s="28"/>
      <c r="V417" s="28"/>
      <c r="W417" s="28"/>
      <c r="X417" s="28"/>
      <c r="Y417" s="28"/>
      <c r="Z417" s="28"/>
    </row>
    <row r="418" ht="15.75" customHeight="1">
      <c r="A418" s="125"/>
      <c r="B418" s="125"/>
      <c r="C418" s="125"/>
      <c r="D418" s="128"/>
      <c r="E418" s="126"/>
      <c r="F418" s="38"/>
      <c r="G418" s="127"/>
      <c r="H418" s="28"/>
      <c r="I418" s="28"/>
      <c r="J418" s="28"/>
      <c r="K418" s="28"/>
      <c r="L418" s="28"/>
      <c r="M418" s="28"/>
      <c r="N418" s="28"/>
      <c r="O418" s="28"/>
      <c r="P418" s="28"/>
      <c r="Q418" s="28"/>
      <c r="R418" s="28"/>
      <c r="S418" s="28"/>
      <c r="T418" s="28"/>
      <c r="U418" s="28"/>
      <c r="V418" s="28"/>
      <c r="W418" s="28"/>
      <c r="X418" s="28"/>
      <c r="Y418" s="28"/>
      <c r="Z418" s="28"/>
    </row>
    <row r="419" ht="15.75" customHeight="1">
      <c r="A419" s="125"/>
      <c r="B419" s="125"/>
      <c r="C419" s="125"/>
      <c r="D419" s="128"/>
      <c r="E419" s="126"/>
      <c r="F419" s="38"/>
      <c r="G419" s="127"/>
      <c r="H419" s="28"/>
      <c r="I419" s="28"/>
      <c r="J419" s="28"/>
      <c r="K419" s="28"/>
      <c r="L419" s="28"/>
      <c r="M419" s="28"/>
      <c r="N419" s="28"/>
      <c r="O419" s="28"/>
      <c r="P419" s="28"/>
      <c r="Q419" s="28"/>
      <c r="R419" s="28"/>
      <c r="S419" s="28"/>
      <c r="T419" s="28"/>
      <c r="U419" s="28"/>
      <c r="V419" s="28"/>
      <c r="W419" s="28"/>
      <c r="X419" s="28"/>
      <c r="Y419" s="28"/>
      <c r="Z419" s="28"/>
    </row>
    <row r="420" ht="15.75" customHeight="1">
      <c r="A420" s="125"/>
      <c r="B420" s="125"/>
      <c r="C420" s="125"/>
      <c r="D420" s="128"/>
      <c r="E420" s="126"/>
      <c r="F420" s="38"/>
      <c r="G420" s="127"/>
      <c r="H420" s="28"/>
      <c r="I420" s="28"/>
      <c r="J420" s="28"/>
      <c r="K420" s="28"/>
      <c r="L420" s="28"/>
      <c r="M420" s="28"/>
      <c r="N420" s="28"/>
      <c r="O420" s="28"/>
      <c r="P420" s="28"/>
      <c r="Q420" s="28"/>
      <c r="R420" s="28"/>
      <c r="S420" s="28"/>
      <c r="T420" s="28"/>
      <c r="U420" s="28"/>
      <c r="V420" s="28"/>
      <c r="W420" s="28"/>
      <c r="X420" s="28"/>
      <c r="Y420" s="28"/>
      <c r="Z420" s="28"/>
    </row>
    <row r="421" ht="15.75" customHeight="1">
      <c r="A421" s="125"/>
      <c r="B421" s="125"/>
      <c r="C421" s="125"/>
      <c r="D421" s="128"/>
      <c r="E421" s="126"/>
      <c r="F421" s="38"/>
      <c r="G421" s="127"/>
      <c r="H421" s="28"/>
      <c r="I421" s="28"/>
      <c r="J421" s="28"/>
      <c r="K421" s="28"/>
      <c r="L421" s="28"/>
      <c r="M421" s="28"/>
      <c r="N421" s="28"/>
      <c r="O421" s="28"/>
      <c r="P421" s="28"/>
      <c r="Q421" s="28"/>
      <c r="R421" s="28"/>
      <c r="S421" s="28"/>
      <c r="T421" s="28"/>
      <c r="U421" s="28"/>
      <c r="V421" s="28"/>
      <c r="W421" s="28"/>
      <c r="X421" s="28"/>
      <c r="Y421" s="28"/>
      <c r="Z421" s="28"/>
    </row>
    <row r="422" ht="15.75" customHeight="1">
      <c r="A422" s="125"/>
      <c r="B422" s="125"/>
      <c r="C422" s="125"/>
      <c r="D422" s="128"/>
      <c r="E422" s="126"/>
      <c r="F422" s="38"/>
      <c r="G422" s="127"/>
      <c r="H422" s="28"/>
      <c r="I422" s="28"/>
      <c r="J422" s="28"/>
      <c r="K422" s="28"/>
      <c r="L422" s="28"/>
      <c r="M422" s="28"/>
      <c r="N422" s="28"/>
      <c r="O422" s="28"/>
      <c r="P422" s="28"/>
      <c r="Q422" s="28"/>
      <c r="R422" s="28"/>
      <c r="S422" s="28"/>
      <c r="T422" s="28"/>
      <c r="U422" s="28"/>
      <c r="V422" s="28"/>
      <c r="W422" s="28"/>
      <c r="X422" s="28"/>
      <c r="Y422" s="28"/>
      <c r="Z422" s="28"/>
    </row>
    <row r="423" ht="15.75" customHeight="1">
      <c r="A423" s="125"/>
      <c r="B423" s="125"/>
      <c r="C423" s="125"/>
      <c r="D423" s="128"/>
      <c r="E423" s="126"/>
      <c r="F423" s="38"/>
      <c r="G423" s="127"/>
      <c r="H423" s="28"/>
      <c r="I423" s="28"/>
      <c r="J423" s="28"/>
      <c r="K423" s="28"/>
      <c r="L423" s="28"/>
      <c r="M423" s="28"/>
      <c r="N423" s="28"/>
      <c r="O423" s="28"/>
      <c r="P423" s="28"/>
      <c r="Q423" s="28"/>
      <c r="R423" s="28"/>
      <c r="S423" s="28"/>
      <c r="T423" s="28"/>
      <c r="U423" s="28"/>
      <c r="V423" s="28"/>
      <c r="W423" s="28"/>
      <c r="X423" s="28"/>
      <c r="Y423" s="28"/>
      <c r="Z423" s="28"/>
    </row>
    <row r="424" ht="15.75" customHeight="1">
      <c r="A424" s="125"/>
      <c r="B424" s="125"/>
      <c r="C424" s="125"/>
      <c r="D424" s="128"/>
      <c r="E424" s="126"/>
      <c r="F424" s="38"/>
      <c r="G424" s="127"/>
      <c r="H424" s="28"/>
      <c r="I424" s="28"/>
      <c r="J424" s="28"/>
      <c r="K424" s="28"/>
      <c r="L424" s="28"/>
      <c r="M424" s="28"/>
      <c r="N424" s="28"/>
      <c r="O424" s="28"/>
      <c r="P424" s="28"/>
      <c r="Q424" s="28"/>
      <c r="R424" s="28"/>
      <c r="S424" s="28"/>
      <c r="T424" s="28"/>
      <c r="U424" s="28"/>
      <c r="V424" s="28"/>
      <c r="W424" s="28"/>
      <c r="X424" s="28"/>
      <c r="Y424" s="28"/>
      <c r="Z424" s="28"/>
    </row>
    <row r="425" ht="15.75" customHeight="1">
      <c r="A425" s="125"/>
      <c r="B425" s="125"/>
      <c r="C425" s="125"/>
      <c r="D425" s="128"/>
      <c r="E425" s="126"/>
      <c r="F425" s="38"/>
      <c r="G425" s="127"/>
      <c r="H425" s="28"/>
      <c r="I425" s="28"/>
      <c r="J425" s="28"/>
      <c r="K425" s="28"/>
      <c r="L425" s="28"/>
      <c r="M425" s="28"/>
      <c r="N425" s="28"/>
      <c r="O425" s="28"/>
      <c r="P425" s="28"/>
      <c r="Q425" s="28"/>
      <c r="R425" s="28"/>
      <c r="S425" s="28"/>
      <c r="T425" s="28"/>
      <c r="U425" s="28"/>
      <c r="V425" s="28"/>
      <c r="W425" s="28"/>
      <c r="X425" s="28"/>
      <c r="Y425" s="28"/>
      <c r="Z425" s="28"/>
    </row>
    <row r="426" ht="15.75" customHeight="1">
      <c r="A426" s="125"/>
      <c r="B426" s="125"/>
      <c r="C426" s="125"/>
      <c r="D426" s="128"/>
      <c r="E426" s="126"/>
      <c r="F426" s="38"/>
      <c r="G426" s="127"/>
      <c r="H426" s="28"/>
      <c r="I426" s="28"/>
      <c r="J426" s="28"/>
      <c r="K426" s="28"/>
      <c r="L426" s="28"/>
      <c r="M426" s="28"/>
      <c r="N426" s="28"/>
      <c r="O426" s="28"/>
      <c r="P426" s="28"/>
      <c r="Q426" s="28"/>
      <c r="R426" s="28"/>
      <c r="S426" s="28"/>
      <c r="T426" s="28"/>
      <c r="U426" s="28"/>
      <c r="V426" s="28"/>
      <c r="W426" s="28"/>
      <c r="X426" s="28"/>
      <c r="Y426" s="28"/>
      <c r="Z426" s="28"/>
    </row>
    <row r="427" ht="15.75" customHeight="1">
      <c r="A427" s="125"/>
      <c r="B427" s="125"/>
      <c r="C427" s="125"/>
      <c r="D427" s="128"/>
      <c r="E427" s="126"/>
      <c r="F427" s="38"/>
      <c r="G427" s="127"/>
      <c r="H427" s="28"/>
      <c r="I427" s="28"/>
      <c r="J427" s="28"/>
      <c r="K427" s="28"/>
      <c r="L427" s="28"/>
      <c r="M427" s="28"/>
      <c r="N427" s="28"/>
      <c r="O427" s="28"/>
      <c r="P427" s="28"/>
      <c r="Q427" s="28"/>
      <c r="R427" s="28"/>
      <c r="S427" s="28"/>
      <c r="T427" s="28"/>
      <c r="U427" s="28"/>
      <c r="V427" s="28"/>
      <c r="W427" s="28"/>
      <c r="X427" s="28"/>
      <c r="Y427" s="28"/>
      <c r="Z427" s="28"/>
    </row>
    <row r="428" ht="15.75" customHeight="1">
      <c r="A428" s="125"/>
      <c r="B428" s="125"/>
      <c r="C428" s="125"/>
      <c r="D428" s="128"/>
      <c r="E428" s="126"/>
      <c r="F428" s="38"/>
      <c r="G428" s="127"/>
      <c r="H428" s="28"/>
      <c r="I428" s="28"/>
      <c r="J428" s="28"/>
      <c r="K428" s="28"/>
      <c r="L428" s="28"/>
      <c r="M428" s="28"/>
      <c r="N428" s="28"/>
      <c r="O428" s="28"/>
      <c r="P428" s="28"/>
      <c r="Q428" s="28"/>
      <c r="R428" s="28"/>
      <c r="S428" s="28"/>
      <c r="T428" s="28"/>
      <c r="U428" s="28"/>
      <c r="V428" s="28"/>
      <c r="W428" s="28"/>
      <c r="X428" s="28"/>
      <c r="Y428" s="28"/>
      <c r="Z428" s="28"/>
    </row>
    <row r="429" ht="15.75" customHeight="1">
      <c r="A429" s="125"/>
      <c r="B429" s="125"/>
      <c r="C429" s="125"/>
      <c r="D429" s="128"/>
      <c r="E429" s="126"/>
      <c r="F429" s="38"/>
      <c r="G429" s="127"/>
      <c r="H429" s="28"/>
      <c r="I429" s="28"/>
      <c r="J429" s="28"/>
      <c r="K429" s="28"/>
      <c r="L429" s="28"/>
      <c r="M429" s="28"/>
      <c r="N429" s="28"/>
      <c r="O429" s="28"/>
      <c r="P429" s="28"/>
      <c r="Q429" s="28"/>
      <c r="R429" s="28"/>
      <c r="S429" s="28"/>
      <c r="T429" s="28"/>
      <c r="U429" s="28"/>
      <c r="V429" s="28"/>
      <c r="W429" s="28"/>
      <c r="X429" s="28"/>
      <c r="Y429" s="28"/>
      <c r="Z429" s="28"/>
    </row>
    <row r="430" ht="15.75" customHeight="1">
      <c r="A430" s="125"/>
      <c r="B430" s="125"/>
      <c r="C430" s="125"/>
      <c r="D430" s="128"/>
      <c r="E430" s="126"/>
      <c r="F430" s="38"/>
      <c r="G430" s="127"/>
      <c r="H430" s="28"/>
      <c r="I430" s="28"/>
      <c r="J430" s="28"/>
      <c r="K430" s="28"/>
      <c r="L430" s="28"/>
      <c r="M430" s="28"/>
      <c r="N430" s="28"/>
      <c r="O430" s="28"/>
      <c r="P430" s="28"/>
      <c r="Q430" s="28"/>
      <c r="R430" s="28"/>
      <c r="S430" s="28"/>
      <c r="T430" s="28"/>
      <c r="U430" s="28"/>
      <c r="V430" s="28"/>
      <c r="W430" s="28"/>
      <c r="X430" s="28"/>
      <c r="Y430" s="28"/>
      <c r="Z430" s="28"/>
    </row>
    <row r="431" ht="15.75" customHeight="1">
      <c r="A431" s="125"/>
      <c r="B431" s="125"/>
      <c r="C431" s="125"/>
      <c r="D431" s="128"/>
      <c r="E431" s="126"/>
      <c r="F431" s="38"/>
      <c r="G431" s="127"/>
      <c r="H431" s="28"/>
      <c r="I431" s="28"/>
      <c r="J431" s="28"/>
      <c r="K431" s="28"/>
      <c r="L431" s="28"/>
      <c r="M431" s="28"/>
      <c r="N431" s="28"/>
      <c r="O431" s="28"/>
      <c r="P431" s="28"/>
      <c r="Q431" s="28"/>
      <c r="R431" s="28"/>
      <c r="S431" s="28"/>
      <c r="T431" s="28"/>
      <c r="U431" s="28"/>
      <c r="V431" s="28"/>
      <c r="W431" s="28"/>
      <c r="X431" s="28"/>
      <c r="Y431" s="28"/>
      <c r="Z431" s="28"/>
    </row>
    <row r="432" ht="15.75" customHeight="1">
      <c r="A432" s="125"/>
      <c r="B432" s="125"/>
      <c r="C432" s="125"/>
      <c r="D432" s="128"/>
      <c r="E432" s="126"/>
      <c r="F432" s="38"/>
      <c r="G432" s="127"/>
      <c r="H432" s="28"/>
      <c r="I432" s="28"/>
      <c r="J432" s="28"/>
      <c r="K432" s="28"/>
      <c r="L432" s="28"/>
      <c r="M432" s="28"/>
      <c r="N432" s="28"/>
      <c r="O432" s="28"/>
      <c r="P432" s="28"/>
      <c r="Q432" s="28"/>
      <c r="R432" s="28"/>
      <c r="S432" s="28"/>
      <c r="T432" s="28"/>
      <c r="U432" s="28"/>
      <c r="V432" s="28"/>
      <c r="W432" s="28"/>
      <c r="X432" s="28"/>
      <c r="Y432" s="28"/>
      <c r="Z432" s="28"/>
    </row>
    <row r="433" ht="15.75" customHeight="1">
      <c r="A433" s="125"/>
      <c r="B433" s="125"/>
      <c r="C433" s="125"/>
      <c r="D433" s="128"/>
      <c r="E433" s="126"/>
      <c r="F433" s="38"/>
      <c r="G433" s="127"/>
      <c r="H433" s="28"/>
      <c r="I433" s="28"/>
      <c r="J433" s="28"/>
      <c r="K433" s="28"/>
      <c r="L433" s="28"/>
      <c r="M433" s="28"/>
      <c r="N433" s="28"/>
      <c r="O433" s="28"/>
      <c r="P433" s="28"/>
      <c r="Q433" s="28"/>
      <c r="R433" s="28"/>
      <c r="S433" s="28"/>
      <c r="T433" s="28"/>
      <c r="U433" s="28"/>
      <c r="V433" s="28"/>
      <c r="W433" s="28"/>
      <c r="X433" s="28"/>
      <c r="Y433" s="28"/>
      <c r="Z433" s="28"/>
    </row>
    <row r="434" ht="15.75" customHeight="1">
      <c r="A434" s="125"/>
      <c r="B434" s="125"/>
      <c r="C434" s="125"/>
      <c r="D434" s="128"/>
      <c r="E434" s="126"/>
      <c r="F434" s="38"/>
      <c r="G434" s="127"/>
      <c r="H434" s="28"/>
      <c r="I434" s="28"/>
      <c r="J434" s="28"/>
      <c r="K434" s="28"/>
      <c r="L434" s="28"/>
      <c r="M434" s="28"/>
      <c r="N434" s="28"/>
      <c r="O434" s="28"/>
      <c r="P434" s="28"/>
      <c r="Q434" s="28"/>
      <c r="R434" s="28"/>
      <c r="S434" s="28"/>
      <c r="T434" s="28"/>
      <c r="U434" s="28"/>
      <c r="V434" s="28"/>
      <c r="W434" s="28"/>
      <c r="X434" s="28"/>
      <c r="Y434" s="28"/>
      <c r="Z434" s="28"/>
    </row>
    <row r="435" ht="15.75" customHeight="1">
      <c r="A435" s="125"/>
      <c r="B435" s="125"/>
      <c r="C435" s="125"/>
      <c r="D435" s="128"/>
      <c r="E435" s="126"/>
      <c r="F435" s="38"/>
      <c r="G435" s="127"/>
      <c r="H435" s="28"/>
      <c r="I435" s="28"/>
      <c r="J435" s="28"/>
      <c r="K435" s="28"/>
      <c r="L435" s="28"/>
      <c r="M435" s="28"/>
      <c r="N435" s="28"/>
      <c r="O435" s="28"/>
      <c r="P435" s="28"/>
      <c r="Q435" s="28"/>
      <c r="R435" s="28"/>
      <c r="S435" s="28"/>
      <c r="T435" s="28"/>
      <c r="U435" s="28"/>
      <c r="V435" s="28"/>
      <c r="W435" s="28"/>
      <c r="X435" s="28"/>
      <c r="Y435" s="28"/>
      <c r="Z435" s="28"/>
    </row>
    <row r="436" ht="15.75" customHeight="1">
      <c r="A436" s="125"/>
      <c r="B436" s="125"/>
      <c r="C436" s="125"/>
      <c r="D436" s="128"/>
      <c r="E436" s="126"/>
      <c r="F436" s="38"/>
      <c r="G436" s="127"/>
      <c r="H436" s="28"/>
      <c r="I436" s="28"/>
      <c r="J436" s="28"/>
      <c r="K436" s="28"/>
      <c r="L436" s="28"/>
      <c r="M436" s="28"/>
      <c r="N436" s="28"/>
      <c r="O436" s="28"/>
      <c r="P436" s="28"/>
      <c r="Q436" s="28"/>
      <c r="R436" s="28"/>
      <c r="S436" s="28"/>
      <c r="T436" s="28"/>
      <c r="U436" s="28"/>
      <c r="V436" s="28"/>
      <c r="W436" s="28"/>
      <c r="X436" s="28"/>
      <c r="Y436" s="28"/>
      <c r="Z436" s="28"/>
    </row>
    <row r="437" ht="15.75" customHeight="1">
      <c r="A437" s="125"/>
      <c r="B437" s="125"/>
      <c r="C437" s="125"/>
      <c r="D437" s="128"/>
      <c r="E437" s="126"/>
      <c r="F437" s="38"/>
      <c r="G437" s="127"/>
      <c r="H437" s="28"/>
      <c r="I437" s="28"/>
      <c r="J437" s="28"/>
      <c r="K437" s="28"/>
      <c r="L437" s="28"/>
      <c r="M437" s="28"/>
      <c r="N437" s="28"/>
      <c r="O437" s="28"/>
      <c r="P437" s="28"/>
      <c r="Q437" s="28"/>
      <c r="R437" s="28"/>
      <c r="S437" s="28"/>
      <c r="T437" s="28"/>
      <c r="U437" s="28"/>
      <c r="V437" s="28"/>
      <c r="W437" s="28"/>
      <c r="X437" s="28"/>
      <c r="Y437" s="28"/>
      <c r="Z437" s="28"/>
    </row>
    <row r="438" ht="15.75" customHeight="1">
      <c r="A438" s="125"/>
      <c r="B438" s="125"/>
      <c r="C438" s="125"/>
      <c r="D438" s="128"/>
      <c r="E438" s="126"/>
      <c r="F438" s="38"/>
      <c r="G438" s="127"/>
      <c r="H438" s="28"/>
      <c r="I438" s="28"/>
      <c r="J438" s="28"/>
      <c r="K438" s="28"/>
      <c r="L438" s="28"/>
      <c r="M438" s="28"/>
      <c r="N438" s="28"/>
      <c r="O438" s="28"/>
      <c r="P438" s="28"/>
      <c r="Q438" s="28"/>
      <c r="R438" s="28"/>
      <c r="S438" s="28"/>
      <c r="T438" s="28"/>
      <c r="U438" s="28"/>
      <c r="V438" s="28"/>
      <c r="W438" s="28"/>
      <c r="X438" s="28"/>
      <c r="Y438" s="28"/>
      <c r="Z438" s="28"/>
    </row>
    <row r="439" ht="15.75" customHeight="1">
      <c r="A439" s="125"/>
      <c r="B439" s="125"/>
      <c r="C439" s="125"/>
      <c r="D439" s="128"/>
      <c r="E439" s="126"/>
      <c r="F439" s="38"/>
      <c r="G439" s="127"/>
      <c r="H439" s="28"/>
      <c r="I439" s="28"/>
      <c r="J439" s="28"/>
      <c r="K439" s="28"/>
      <c r="L439" s="28"/>
      <c r="M439" s="28"/>
      <c r="N439" s="28"/>
      <c r="O439" s="28"/>
      <c r="P439" s="28"/>
      <c r="Q439" s="28"/>
      <c r="R439" s="28"/>
      <c r="S439" s="28"/>
      <c r="T439" s="28"/>
      <c r="U439" s="28"/>
      <c r="V439" s="28"/>
      <c r="W439" s="28"/>
      <c r="X439" s="28"/>
      <c r="Y439" s="28"/>
      <c r="Z439" s="28"/>
    </row>
    <row r="440" ht="15.75" customHeight="1">
      <c r="A440" s="125"/>
      <c r="B440" s="125"/>
      <c r="C440" s="125"/>
      <c r="D440" s="128"/>
      <c r="E440" s="126"/>
      <c r="F440" s="38"/>
      <c r="G440" s="127"/>
      <c r="H440" s="28"/>
      <c r="I440" s="28"/>
      <c r="J440" s="28"/>
      <c r="K440" s="28"/>
      <c r="L440" s="28"/>
      <c r="M440" s="28"/>
      <c r="N440" s="28"/>
      <c r="O440" s="28"/>
      <c r="P440" s="28"/>
      <c r="Q440" s="28"/>
      <c r="R440" s="28"/>
      <c r="S440" s="28"/>
      <c r="T440" s="28"/>
      <c r="U440" s="28"/>
      <c r="V440" s="28"/>
      <c r="W440" s="28"/>
      <c r="X440" s="28"/>
      <c r="Y440" s="28"/>
      <c r="Z440" s="28"/>
    </row>
    <row r="441" ht="15.75" customHeight="1">
      <c r="A441" s="125"/>
      <c r="B441" s="125"/>
      <c r="C441" s="125"/>
      <c r="D441" s="128"/>
      <c r="E441" s="126"/>
      <c r="F441" s="38"/>
      <c r="G441" s="127"/>
      <c r="H441" s="28"/>
      <c r="I441" s="28"/>
      <c r="J441" s="28"/>
      <c r="K441" s="28"/>
      <c r="L441" s="28"/>
      <c r="M441" s="28"/>
      <c r="N441" s="28"/>
      <c r="O441" s="28"/>
      <c r="P441" s="28"/>
      <c r="Q441" s="28"/>
      <c r="R441" s="28"/>
      <c r="S441" s="28"/>
      <c r="T441" s="28"/>
      <c r="U441" s="28"/>
      <c r="V441" s="28"/>
      <c r="W441" s="28"/>
      <c r="X441" s="28"/>
      <c r="Y441" s="28"/>
      <c r="Z441" s="28"/>
    </row>
    <row r="442" ht="15.75" customHeight="1">
      <c r="A442" s="125"/>
      <c r="B442" s="125"/>
      <c r="C442" s="125"/>
      <c r="D442" s="128"/>
      <c r="E442" s="126"/>
      <c r="F442" s="38"/>
      <c r="G442" s="127"/>
      <c r="H442" s="28"/>
      <c r="I442" s="28"/>
      <c r="J442" s="28"/>
      <c r="K442" s="28"/>
      <c r="L442" s="28"/>
      <c r="M442" s="28"/>
      <c r="N442" s="28"/>
      <c r="O442" s="28"/>
      <c r="P442" s="28"/>
      <c r="Q442" s="28"/>
      <c r="R442" s="28"/>
      <c r="S442" s="28"/>
      <c r="T442" s="28"/>
      <c r="U442" s="28"/>
      <c r="V442" s="28"/>
      <c r="W442" s="28"/>
      <c r="X442" s="28"/>
      <c r="Y442" s="28"/>
      <c r="Z442" s="28"/>
    </row>
    <row r="443" ht="15.75" customHeight="1">
      <c r="A443" s="125"/>
      <c r="B443" s="125"/>
      <c r="C443" s="125"/>
      <c r="D443" s="128"/>
      <c r="E443" s="126"/>
      <c r="F443" s="38"/>
      <c r="G443" s="127"/>
      <c r="H443" s="28"/>
      <c r="I443" s="28"/>
      <c r="J443" s="28"/>
      <c r="K443" s="28"/>
      <c r="L443" s="28"/>
      <c r="M443" s="28"/>
      <c r="N443" s="28"/>
      <c r="O443" s="28"/>
      <c r="P443" s="28"/>
      <c r="Q443" s="28"/>
      <c r="R443" s="28"/>
      <c r="S443" s="28"/>
      <c r="T443" s="28"/>
      <c r="U443" s="28"/>
      <c r="V443" s="28"/>
      <c r="W443" s="28"/>
      <c r="X443" s="28"/>
      <c r="Y443" s="28"/>
      <c r="Z443" s="28"/>
    </row>
    <row r="444" ht="15.75" customHeight="1">
      <c r="A444" s="125"/>
      <c r="B444" s="125"/>
      <c r="C444" s="125"/>
      <c r="D444" s="128"/>
      <c r="E444" s="126"/>
      <c r="F444" s="38"/>
      <c r="G444" s="127"/>
      <c r="H444" s="28"/>
      <c r="I444" s="28"/>
      <c r="J444" s="28"/>
      <c r="K444" s="28"/>
      <c r="L444" s="28"/>
      <c r="M444" s="28"/>
      <c r="N444" s="28"/>
      <c r="O444" s="28"/>
      <c r="P444" s="28"/>
      <c r="Q444" s="28"/>
      <c r="R444" s="28"/>
      <c r="S444" s="28"/>
      <c r="T444" s="28"/>
      <c r="U444" s="28"/>
      <c r="V444" s="28"/>
      <c r="W444" s="28"/>
      <c r="X444" s="28"/>
      <c r="Y444" s="28"/>
      <c r="Z444" s="28"/>
    </row>
    <row r="445" ht="15.75" customHeight="1">
      <c r="A445" s="125"/>
      <c r="B445" s="125"/>
      <c r="C445" s="125"/>
      <c r="D445" s="128"/>
      <c r="E445" s="126"/>
      <c r="F445" s="38"/>
      <c r="G445" s="127"/>
      <c r="H445" s="28"/>
      <c r="I445" s="28"/>
      <c r="J445" s="28"/>
      <c r="K445" s="28"/>
      <c r="L445" s="28"/>
      <c r="M445" s="28"/>
      <c r="N445" s="28"/>
      <c r="O445" s="28"/>
      <c r="P445" s="28"/>
      <c r="Q445" s="28"/>
      <c r="R445" s="28"/>
      <c r="S445" s="28"/>
      <c r="T445" s="28"/>
      <c r="U445" s="28"/>
      <c r="V445" s="28"/>
      <c r="W445" s="28"/>
      <c r="X445" s="28"/>
      <c r="Y445" s="28"/>
      <c r="Z445" s="28"/>
    </row>
    <row r="446" ht="15.75" customHeight="1">
      <c r="A446" s="125"/>
      <c r="B446" s="125"/>
      <c r="C446" s="125"/>
      <c r="D446" s="128"/>
      <c r="E446" s="126"/>
      <c r="F446" s="38"/>
      <c r="G446" s="127"/>
      <c r="H446" s="28"/>
      <c r="I446" s="28"/>
      <c r="J446" s="28"/>
      <c r="K446" s="28"/>
      <c r="L446" s="28"/>
      <c r="M446" s="28"/>
      <c r="N446" s="28"/>
      <c r="O446" s="28"/>
      <c r="P446" s="28"/>
      <c r="Q446" s="28"/>
      <c r="R446" s="28"/>
      <c r="S446" s="28"/>
      <c r="T446" s="28"/>
      <c r="U446" s="28"/>
      <c r="V446" s="28"/>
      <c r="W446" s="28"/>
      <c r="X446" s="28"/>
      <c r="Y446" s="28"/>
      <c r="Z446" s="28"/>
    </row>
    <row r="447" ht="15.75" customHeight="1">
      <c r="A447" s="125"/>
      <c r="B447" s="125"/>
      <c r="C447" s="125"/>
      <c r="D447" s="128"/>
      <c r="E447" s="126"/>
      <c r="F447" s="38"/>
      <c r="G447" s="127"/>
      <c r="H447" s="28"/>
      <c r="I447" s="28"/>
      <c r="J447" s="28"/>
      <c r="K447" s="28"/>
      <c r="L447" s="28"/>
      <c r="M447" s="28"/>
      <c r="N447" s="28"/>
      <c r="O447" s="28"/>
      <c r="P447" s="28"/>
      <c r="Q447" s="28"/>
      <c r="R447" s="28"/>
      <c r="S447" s="28"/>
      <c r="T447" s="28"/>
      <c r="U447" s="28"/>
      <c r="V447" s="28"/>
      <c r="W447" s="28"/>
      <c r="X447" s="28"/>
      <c r="Y447" s="28"/>
      <c r="Z447" s="28"/>
    </row>
    <row r="448" ht="15.75" customHeight="1">
      <c r="A448" s="125"/>
      <c r="B448" s="125"/>
      <c r="C448" s="125"/>
      <c r="D448" s="128"/>
      <c r="E448" s="126"/>
      <c r="F448" s="38"/>
      <c r="G448" s="127"/>
      <c r="H448" s="28"/>
      <c r="I448" s="28"/>
      <c r="J448" s="28"/>
      <c r="K448" s="28"/>
      <c r="L448" s="28"/>
      <c r="M448" s="28"/>
      <c r="N448" s="28"/>
      <c r="O448" s="28"/>
      <c r="P448" s="28"/>
      <c r="Q448" s="28"/>
      <c r="R448" s="28"/>
      <c r="S448" s="28"/>
      <c r="T448" s="28"/>
      <c r="U448" s="28"/>
      <c r="V448" s="28"/>
      <c r="W448" s="28"/>
      <c r="X448" s="28"/>
      <c r="Y448" s="28"/>
      <c r="Z448" s="28"/>
    </row>
    <row r="449" ht="15.75" customHeight="1">
      <c r="A449" s="125"/>
      <c r="B449" s="125"/>
      <c r="C449" s="125"/>
      <c r="D449" s="128"/>
      <c r="E449" s="126"/>
      <c r="F449" s="38"/>
      <c r="G449" s="127"/>
      <c r="H449" s="28"/>
      <c r="I449" s="28"/>
      <c r="J449" s="28"/>
      <c r="K449" s="28"/>
      <c r="L449" s="28"/>
      <c r="M449" s="28"/>
      <c r="N449" s="28"/>
      <c r="O449" s="28"/>
      <c r="P449" s="28"/>
      <c r="Q449" s="28"/>
      <c r="R449" s="28"/>
      <c r="S449" s="28"/>
      <c r="T449" s="28"/>
      <c r="U449" s="28"/>
      <c r="V449" s="28"/>
      <c r="W449" s="28"/>
      <c r="X449" s="28"/>
      <c r="Y449" s="28"/>
      <c r="Z449" s="28"/>
    </row>
    <row r="450" ht="15.75" customHeight="1">
      <c r="A450" s="125"/>
      <c r="B450" s="125"/>
      <c r="C450" s="125"/>
      <c r="D450" s="128"/>
      <c r="E450" s="126"/>
      <c r="F450" s="38"/>
      <c r="G450" s="127"/>
      <c r="H450" s="28"/>
      <c r="I450" s="28"/>
      <c r="J450" s="28"/>
      <c r="K450" s="28"/>
      <c r="L450" s="28"/>
      <c r="M450" s="28"/>
      <c r="N450" s="28"/>
      <c r="O450" s="28"/>
      <c r="P450" s="28"/>
      <c r="Q450" s="28"/>
      <c r="R450" s="28"/>
      <c r="S450" s="28"/>
      <c r="T450" s="28"/>
      <c r="U450" s="28"/>
      <c r="V450" s="28"/>
      <c r="W450" s="28"/>
      <c r="X450" s="28"/>
      <c r="Y450" s="28"/>
      <c r="Z450" s="28"/>
    </row>
    <row r="451" ht="15.75" customHeight="1">
      <c r="A451" s="125"/>
      <c r="B451" s="125"/>
      <c r="C451" s="125"/>
      <c r="D451" s="128"/>
      <c r="E451" s="126"/>
      <c r="F451" s="38"/>
      <c r="G451" s="127"/>
      <c r="H451" s="28"/>
      <c r="I451" s="28"/>
      <c r="J451" s="28"/>
      <c r="K451" s="28"/>
      <c r="L451" s="28"/>
      <c r="M451" s="28"/>
      <c r="N451" s="28"/>
      <c r="O451" s="28"/>
      <c r="P451" s="28"/>
      <c r="Q451" s="28"/>
      <c r="R451" s="28"/>
      <c r="S451" s="28"/>
      <c r="T451" s="28"/>
      <c r="U451" s="28"/>
      <c r="V451" s="28"/>
      <c r="W451" s="28"/>
      <c r="X451" s="28"/>
      <c r="Y451" s="28"/>
      <c r="Z451" s="28"/>
    </row>
    <row r="452" ht="15.75" customHeight="1">
      <c r="A452" s="125"/>
      <c r="B452" s="125"/>
      <c r="C452" s="125"/>
      <c r="D452" s="128"/>
      <c r="E452" s="126"/>
      <c r="F452" s="38"/>
      <c r="G452" s="127"/>
      <c r="H452" s="28"/>
      <c r="I452" s="28"/>
      <c r="J452" s="28"/>
      <c r="K452" s="28"/>
      <c r="L452" s="28"/>
      <c r="M452" s="28"/>
      <c r="N452" s="28"/>
      <c r="O452" s="28"/>
      <c r="P452" s="28"/>
      <c r="Q452" s="28"/>
      <c r="R452" s="28"/>
      <c r="S452" s="28"/>
      <c r="T452" s="28"/>
      <c r="U452" s="28"/>
      <c r="V452" s="28"/>
      <c r="W452" s="28"/>
      <c r="X452" s="28"/>
      <c r="Y452" s="28"/>
      <c r="Z452" s="28"/>
    </row>
    <row r="453" ht="15.75" customHeight="1">
      <c r="A453" s="125"/>
      <c r="B453" s="125"/>
      <c r="C453" s="125"/>
      <c r="D453" s="128"/>
      <c r="E453" s="126"/>
      <c r="F453" s="38"/>
      <c r="G453" s="127"/>
      <c r="H453" s="28"/>
      <c r="I453" s="28"/>
      <c r="J453" s="28"/>
      <c r="K453" s="28"/>
      <c r="L453" s="28"/>
      <c r="M453" s="28"/>
      <c r="N453" s="28"/>
      <c r="O453" s="28"/>
      <c r="P453" s="28"/>
      <c r="Q453" s="28"/>
      <c r="R453" s="28"/>
      <c r="S453" s="28"/>
      <c r="T453" s="28"/>
      <c r="U453" s="28"/>
      <c r="V453" s="28"/>
      <c r="W453" s="28"/>
      <c r="X453" s="28"/>
      <c r="Y453" s="28"/>
      <c r="Z453" s="28"/>
    </row>
    <row r="454" ht="15.75" customHeight="1">
      <c r="A454" s="125"/>
      <c r="B454" s="125"/>
      <c r="C454" s="125"/>
      <c r="D454" s="128"/>
      <c r="E454" s="126"/>
      <c r="F454" s="38"/>
      <c r="G454" s="127"/>
      <c r="H454" s="28"/>
      <c r="I454" s="28"/>
      <c r="J454" s="28"/>
      <c r="K454" s="28"/>
      <c r="L454" s="28"/>
      <c r="M454" s="28"/>
      <c r="N454" s="28"/>
      <c r="O454" s="28"/>
      <c r="P454" s="28"/>
      <c r="Q454" s="28"/>
      <c r="R454" s="28"/>
      <c r="S454" s="28"/>
      <c r="T454" s="28"/>
      <c r="U454" s="28"/>
      <c r="V454" s="28"/>
      <c r="W454" s="28"/>
      <c r="X454" s="28"/>
      <c r="Y454" s="28"/>
      <c r="Z454" s="28"/>
    </row>
    <row r="455" ht="15.75" customHeight="1">
      <c r="A455" s="125"/>
      <c r="B455" s="125"/>
      <c r="C455" s="125"/>
      <c r="D455" s="128"/>
      <c r="E455" s="126"/>
      <c r="F455" s="38"/>
      <c r="G455" s="127"/>
      <c r="H455" s="28"/>
      <c r="I455" s="28"/>
      <c r="J455" s="28"/>
      <c r="K455" s="28"/>
      <c r="L455" s="28"/>
      <c r="M455" s="28"/>
      <c r="N455" s="28"/>
      <c r="O455" s="28"/>
      <c r="P455" s="28"/>
      <c r="Q455" s="28"/>
      <c r="R455" s="28"/>
      <c r="S455" s="28"/>
      <c r="T455" s="28"/>
      <c r="U455" s="28"/>
      <c r="V455" s="28"/>
      <c r="W455" s="28"/>
      <c r="X455" s="28"/>
      <c r="Y455" s="28"/>
      <c r="Z455" s="28"/>
    </row>
    <row r="456" ht="15.75" customHeight="1">
      <c r="A456" s="125"/>
      <c r="B456" s="125"/>
      <c r="C456" s="125"/>
      <c r="D456" s="128"/>
      <c r="E456" s="126"/>
      <c r="F456" s="38"/>
      <c r="G456" s="127"/>
      <c r="H456" s="28"/>
      <c r="I456" s="28"/>
      <c r="J456" s="28"/>
      <c r="K456" s="28"/>
      <c r="L456" s="28"/>
      <c r="M456" s="28"/>
      <c r="N456" s="28"/>
      <c r="O456" s="28"/>
      <c r="P456" s="28"/>
      <c r="Q456" s="28"/>
      <c r="R456" s="28"/>
      <c r="S456" s="28"/>
      <c r="T456" s="28"/>
      <c r="U456" s="28"/>
      <c r="V456" s="28"/>
      <c r="W456" s="28"/>
      <c r="X456" s="28"/>
      <c r="Y456" s="28"/>
      <c r="Z456" s="28"/>
    </row>
    <row r="457" ht="15.75" customHeight="1">
      <c r="A457" s="125"/>
      <c r="B457" s="125"/>
      <c r="C457" s="125"/>
      <c r="D457" s="128"/>
      <c r="E457" s="126"/>
      <c r="F457" s="38"/>
      <c r="G457" s="127"/>
      <c r="H457" s="28"/>
      <c r="I457" s="28"/>
      <c r="J457" s="28"/>
      <c r="K457" s="28"/>
      <c r="L457" s="28"/>
      <c r="M457" s="28"/>
      <c r="N457" s="28"/>
      <c r="O457" s="28"/>
      <c r="P457" s="28"/>
      <c r="Q457" s="28"/>
      <c r="R457" s="28"/>
      <c r="S457" s="28"/>
      <c r="T457" s="28"/>
      <c r="U457" s="28"/>
      <c r="V457" s="28"/>
      <c r="W457" s="28"/>
      <c r="X457" s="28"/>
      <c r="Y457" s="28"/>
      <c r="Z457" s="28"/>
    </row>
    <row r="458" ht="15.75" customHeight="1">
      <c r="A458" s="125"/>
      <c r="B458" s="125"/>
      <c r="C458" s="125"/>
      <c r="D458" s="128"/>
      <c r="E458" s="126"/>
      <c r="F458" s="38"/>
      <c r="G458" s="127"/>
      <c r="H458" s="28"/>
      <c r="I458" s="28"/>
      <c r="J458" s="28"/>
      <c r="K458" s="28"/>
      <c r="L458" s="28"/>
      <c r="M458" s="28"/>
      <c r="N458" s="28"/>
      <c r="O458" s="28"/>
      <c r="P458" s="28"/>
      <c r="Q458" s="28"/>
      <c r="R458" s="28"/>
      <c r="S458" s="28"/>
      <c r="T458" s="28"/>
      <c r="U458" s="28"/>
      <c r="V458" s="28"/>
      <c r="W458" s="28"/>
      <c r="X458" s="28"/>
      <c r="Y458" s="28"/>
      <c r="Z458" s="28"/>
    </row>
    <row r="459" ht="15.75" customHeight="1">
      <c r="A459" s="125"/>
      <c r="B459" s="125"/>
      <c r="C459" s="125"/>
      <c r="D459" s="128"/>
      <c r="E459" s="126"/>
      <c r="F459" s="38"/>
      <c r="G459" s="127"/>
      <c r="H459" s="28"/>
      <c r="I459" s="28"/>
      <c r="J459" s="28"/>
      <c r="K459" s="28"/>
      <c r="L459" s="28"/>
      <c r="M459" s="28"/>
      <c r="N459" s="28"/>
      <c r="O459" s="28"/>
      <c r="P459" s="28"/>
      <c r="Q459" s="28"/>
      <c r="R459" s="28"/>
      <c r="S459" s="28"/>
      <c r="T459" s="28"/>
      <c r="U459" s="28"/>
      <c r="V459" s="28"/>
      <c r="W459" s="28"/>
      <c r="X459" s="28"/>
      <c r="Y459" s="28"/>
      <c r="Z459" s="28"/>
    </row>
    <row r="460" ht="15.75" customHeight="1">
      <c r="A460" s="125"/>
      <c r="B460" s="125"/>
      <c r="C460" s="125"/>
      <c r="D460" s="128"/>
      <c r="E460" s="126"/>
      <c r="F460" s="38"/>
      <c r="G460" s="127"/>
      <c r="H460" s="28"/>
      <c r="I460" s="28"/>
      <c r="J460" s="28"/>
      <c r="K460" s="28"/>
      <c r="L460" s="28"/>
      <c r="M460" s="28"/>
      <c r="N460" s="28"/>
      <c r="O460" s="28"/>
      <c r="P460" s="28"/>
      <c r="Q460" s="28"/>
      <c r="R460" s="28"/>
      <c r="S460" s="28"/>
      <c r="T460" s="28"/>
      <c r="U460" s="28"/>
      <c r="V460" s="28"/>
      <c r="W460" s="28"/>
      <c r="X460" s="28"/>
      <c r="Y460" s="28"/>
      <c r="Z460" s="28"/>
    </row>
    <row r="461" ht="15.75" customHeight="1">
      <c r="A461" s="125"/>
      <c r="B461" s="125"/>
      <c r="C461" s="125"/>
      <c r="D461" s="128"/>
      <c r="E461" s="126"/>
      <c r="F461" s="38"/>
      <c r="G461" s="127"/>
      <c r="H461" s="28"/>
      <c r="I461" s="28"/>
      <c r="J461" s="28"/>
      <c r="K461" s="28"/>
      <c r="L461" s="28"/>
      <c r="M461" s="28"/>
      <c r="N461" s="28"/>
      <c r="O461" s="28"/>
      <c r="P461" s="28"/>
      <c r="Q461" s="28"/>
      <c r="R461" s="28"/>
      <c r="S461" s="28"/>
      <c r="T461" s="28"/>
      <c r="U461" s="28"/>
      <c r="V461" s="28"/>
      <c r="W461" s="28"/>
      <c r="X461" s="28"/>
      <c r="Y461" s="28"/>
      <c r="Z461" s="28"/>
    </row>
    <row r="462" ht="15.75" customHeight="1">
      <c r="A462" s="125"/>
      <c r="B462" s="125"/>
      <c r="C462" s="125"/>
      <c r="D462" s="128"/>
      <c r="E462" s="126"/>
      <c r="F462" s="38"/>
      <c r="G462" s="127"/>
      <c r="H462" s="28"/>
      <c r="I462" s="28"/>
      <c r="J462" s="28"/>
      <c r="K462" s="28"/>
      <c r="L462" s="28"/>
      <c r="M462" s="28"/>
      <c r="N462" s="28"/>
      <c r="O462" s="28"/>
      <c r="P462" s="28"/>
      <c r="Q462" s="28"/>
      <c r="R462" s="28"/>
      <c r="S462" s="28"/>
      <c r="T462" s="28"/>
      <c r="U462" s="28"/>
      <c r="V462" s="28"/>
      <c r="W462" s="28"/>
      <c r="X462" s="28"/>
      <c r="Y462" s="28"/>
      <c r="Z462" s="28"/>
    </row>
    <row r="463" ht="15.75" customHeight="1">
      <c r="A463" s="125"/>
      <c r="B463" s="125"/>
      <c r="C463" s="125"/>
      <c r="D463" s="128"/>
      <c r="E463" s="126"/>
      <c r="F463" s="38"/>
      <c r="G463" s="127"/>
      <c r="H463" s="28"/>
      <c r="I463" s="28"/>
      <c r="J463" s="28"/>
      <c r="K463" s="28"/>
      <c r="L463" s="28"/>
      <c r="M463" s="28"/>
      <c r="N463" s="28"/>
      <c r="O463" s="28"/>
      <c r="P463" s="28"/>
      <c r="Q463" s="28"/>
      <c r="R463" s="28"/>
      <c r="S463" s="28"/>
      <c r="T463" s="28"/>
      <c r="U463" s="28"/>
      <c r="V463" s="28"/>
      <c r="W463" s="28"/>
      <c r="X463" s="28"/>
      <c r="Y463" s="28"/>
      <c r="Z463" s="28"/>
    </row>
    <row r="464" ht="15.75" customHeight="1">
      <c r="A464" s="125"/>
      <c r="B464" s="125"/>
      <c r="C464" s="125"/>
      <c r="D464" s="128"/>
      <c r="E464" s="126"/>
      <c r="F464" s="38"/>
      <c r="G464" s="127"/>
      <c r="H464" s="28"/>
      <c r="I464" s="28"/>
      <c r="J464" s="28"/>
      <c r="K464" s="28"/>
      <c r="L464" s="28"/>
      <c r="M464" s="28"/>
      <c r="N464" s="28"/>
      <c r="O464" s="28"/>
      <c r="P464" s="28"/>
      <c r="Q464" s="28"/>
      <c r="R464" s="28"/>
      <c r="S464" s="28"/>
      <c r="T464" s="28"/>
      <c r="U464" s="28"/>
      <c r="V464" s="28"/>
      <c r="W464" s="28"/>
      <c r="X464" s="28"/>
      <c r="Y464" s="28"/>
      <c r="Z464" s="28"/>
    </row>
    <row r="465" ht="15.75" customHeight="1">
      <c r="A465" s="125"/>
      <c r="B465" s="125"/>
      <c r="C465" s="125"/>
      <c r="D465" s="128"/>
      <c r="E465" s="126"/>
      <c r="F465" s="38"/>
      <c r="G465" s="127"/>
      <c r="H465" s="28"/>
      <c r="I465" s="28"/>
      <c r="J465" s="28"/>
      <c r="K465" s="28"/>
      <c r="L465" s="28"/>
      <c r="M465" s="28"/>
      <c r="N465" s="28"/>
      <c r="O465" s="28"/>
      <c r="P465" s="28"/>
      <c r="Q465" s="28"/>
      <c r="R465" s="28"/>
      <c r="S465" s="28"/>
      <c r="T465" s="28"/>
      <c r="U465" s="28"/>
      <c r="V465" s="28"/>
      <c r="W465" s="28"/>
      <c r="X465" s="28"/>
      <c r="Y465" s="28"/>
      <c r="Z465" s="28"/>
    </row>
    <row r="466" ht="15.75" customHeight="1">
      <c r="A466" s="125"/>
      <c r="B466" s="125"/>
      <c r="C466" s="125"/>
      <c r="D466" s="128"/>
      <c r="E466" s="126"/>
      <c r="F466" s="38"/>
      <c r="G466" s="127"/>
      <c r="H466" s="28"/>
      <c r="I466" s="28"/>
      <c r="J466" s="28"/>
      <c r="K466" s="28"/>
      <c r="L466" s="28"/>
      <c r="M466" s="28"/>
      <c r="N466" s="28"/>
      <c r="O466" s="28"/>
      <c r="P466" s="28"/>
      <c r="Q466" s="28"/>
      <c r="R466" s="28"/>
      <c r="S466" s="28"/>
      <c r="T466" s="28"/>
      <c r="U466" s="28"/>
      <c r="V466" s="28"/>
      <c r="W466" s="28"/>
      <c r="X466" s="28"/>
      <c r="Y466" s="28"/>
      <c r="Z466" s="28"/>
    </row>
    <row r="467" ht="15.75" customHeight="1">
      <c r="A467" s="125"/>
      <c r="B467" s="125"/>
      <c r="C467" s="125"/>
      <c r="D467" s="128"/>
      <c r="E467" s="126"/>
      <c r="F467" s="38"/>
      <c r="G467" s="127"/>
      <c r="H467" s="28"/>
      <c r="I467" s="28"/>
      <c r="J467" s="28"/>
      <c r="K467" s="28"/>
      <c r="L467" s="28"/>
      <c r="M467" s="28"/>
      <c r="N467" s="28"/>
      <c r="O467" s="28"/>
      <c r="P467" s="28"/>
      <c r="Q467" s="28"/>
      <c r="R467" s="28"/>
      <c r="S467" s="28"/>
      <c r="T467" s="28"/>
      <c r="U467" s="28"/>
      <c r="V467" s="28"/>
      <c r="W467" s="28"/>
      <c r="X467" s="28"/>
      <c r="Y467" s="28"/>
      <c r="Z467" s="28"/>
    </row>
    <row r="468" ht="15.75" customHeight="1">
      <c r="A468" s="125"/>
      <c r="B468" s="125"/>
      <c r="C468" s="125"/>
      <c r="D468" s="128"/>
      <c r="E468" s="126"/>
      <c r="F468" s="38"/>
      <c r="G468" s="127"/>
      <c r="H468" s="28"/>
      <c r="I468" s="28"/>
      <c r="J468" s="28"/>
      <c r="K468" s="28"/>
      <c r="L468" s="28"/>
      <c r="M468" s="28"/>
      <c r="N468" s="28"/>
      <c r="O468" s="28"/>
      <c r="P468" s="28"/>
      <c r="Q468" s="28"/>
      <c r="R468" s="28"/>
      <c r="S468" s="28"/>
      <c r="T468" s="28"/>
      <c r="U468" s="28"/>
      <c r="V468" s="28"/>
      <c r="W468" s="28"/>
      <c r="X468" s="28"/>
      <c r="Y468" s="28"/>
      <c r="Z468" s="28"/>
    </row>
    <row r="469" ht="15.75" customHeight="1">
      <c r="A469" s="125"/>
      <c r="B469" s="125"/>
      <c r="C469" s="125"/>
      <c r="D469" s="128"/>
      <c r="E469" s="126"/>
      <c r="F469" s="38"/>
      <c r="G469" s="127"/>
      <c r="H469" s="28"/>
      <c r="I469" s="28"/>
      <c r="J469" s="28"/>
      <c r="K469" s="28"/>
      <c r="L469" s="28"/>
      <c r="M469" s="28"/>
      <c r="N469" s="28"/>
      <c r="O469" s="28"/>
      <c r="P469" s="28"/>
      <c r="Q469" s="28"/>
      <c r="R469" s="28"/>
      <c r="S469" s="28"/>
      <c r="T469" s="28"/>
      <c r="U469" s="28"/>
      <c r="V469" s="28"/>
      <c r="W469" s="28"/>
      <c r="X469" s="28"/>
      <c r="Y469" s="28"/>
      <c r="Z469" s="28"/>
    </row>
    <row r="470" ht="15.75" customHeight="1">
      <c r="A470" s="125"/>
      <c r="B470" s="125"/>
      <c r="C470" s="125"/>
      <c r="D470" s="128"/>
      <c r="E470" s="126"/>
      <c r="F470" s="38"/>
      <c r="G470" s="127"/>
      <c r="H470" s="28"/>
      <c r="I470" s="28"/>
      <c r="J470" s="28"/>
      <c r="K470" s="28"/>
      <c r="L470" s="28"/>
      <c r="M470" s="28"/>
      <c r="N470" s="28"/>
      <c r="O470" s="28"/>
      <c r="P470" s="28"/>
      <c r="Q470" s="28"/>
      <c r="R470" s="28"/>
      <c r="S470" s="28"/>
      <c r="T470" s="28"/>
      <c r="U470" s="28"/>
      <c r="V470" s="28"/>
      <c r="W470" s="28"/>
      <c r="X470" s="28"/>
      <c r="Y470" s="28"/>
      <c r="Z470" s="28"/>
    </row>
    <row r="471" ht="15.75" customHeight="1">
      <c r="A471" s="125"/>
      <c r="B471" s="125"/>
      <c r="C471" s="125"/>
      <c r="D471" s="128"/>
      <c r="E471" s="126"/>
      <c r="F471" s="38"/>
      <c r="G471" s="127"/>
      <c r="H471" s="28"/>
      <c r="I471" s="28"/>
      <c r="J471" s="28"/>
      <c r="K471" s="28"/>
      <c r="L471" s="28"/>
      <c r="M471" s="28"/>
      <c r="N471" s="28"/>
      <c r="O471" s="28"/>
      <c r="P471" s="28"/>
      <c r="Q471" s="28"/>
      <c r="R471" s="28"/>
      <c r="S471" s="28"/>
      <c r="T471" s="28"/>
      <c r="U471" s="28"/>
      <c r="V471" s="28"/>
      <c r="W471" s="28"/>
      <c r="X471" s="28"/>
      <c r="Y471" s="28"/>
      <c r="Z471" s="28"/>
    </row>
    <row r="472" ht="15.75" customHeight="1">
      <c r="A472" s="125"/>
      <c r="B472" s="125"/>
      <c r="C472" s="125"/>
      <c r="D472" s="128"/>
      <c r="E472" s="126"/>
      <c r="F472" s="38"/>
      <c r="G472" s="127"/>
      <c r="H472" s="28"/>
      <c r="I472" s="28"/>
      <c r="J472" s="28"/>
      <c r="K472" s="28"/>
      <c r="L472" s="28"/>
      <c r="M472" s="28"/>
      <c r="N472" s="28"/>
      <c r="O472" s="28"/>
      <c r="P472" s="28"/>
      <c r="Q472" s="28"/>
      <c r="R472" s="28"/>
      <c r="S472" s="28"/>
      <c r="T472" s="28"/>
      <c r="U472" s="28"/>
      <c r="V472" s="28"/>
      <c r="W472" s="28"/>
      <c r="X472" s="28"/>
      <c r="Y472" s="28"/>
      <c r="Z472" s="28"/>
    </row>
    <row r="473" ht="15.75" customHeight="1">
      <c r="A473" s="125"/>
      <c r="B473" s="125"/>
      <c r="C473" s="125"/>
      <c r="D473" s="128"/>
      <c r="E473" s="126"/>
      <c r="F473" s="38"/>
      <c r="G473" s="127"/>
      <c r="H473" s="28"/>
      <c r="I473" s="28"/>
      <c r="J473" s="28"/>
      <c r="K473" s="28"/>
      <c r="L473" s="28"/>
      <c r="M473" s="28"/>
      <c r="N473" s="28"/>
      <c r="O473" s="28"/>
      <c r="P473" s="28"/>
      <c r="Q473" s="28"/>
      <c r="R473" s="28"/>
      <c r="S473" s="28"/>
      <c r="T473" s="28"/>
      <c r="U473" s="28"/>
      <c r="V473" s="28"/>
      <c r="W473" s="28"/>
      <c r="X473" s="28"/>
      <c r="Y473" s="28"/>
      <c r="Z473" s="28"/>
    </row>
    <row r="474" ht="15.75" customHeight="1">
      <c r="A474" s="125"/>
      <c r="B474" s="125"/>
      <c r="C474" s="125"/>
      <c r="D474" s="128"/>
      <c r="E474" s="126"/>
      <c r="F474" s="38"/>
      <c r="G474" s="127"/>
      <c r="H474" s="28"/>
      <c r="I474" s="28"/>
      <c r="J474" s="28"/>
      <c r="K474" s="28"/>
      <c r="L474" s="28"/>
      <c r="M474" s="28"/>
      <c r="N474" s="28"/>
      <c r="O474" s="28"/>
      <c r="P474" s="28"/>
      <c r="Q474" s="28"/>
      <c r="R474" s="28"/>
      <c r="S474" s="28"/>
      <c r="T474" s="28"/>
      <c r="U474" s="28"/>
      <c r="V474" s="28"/>
      <c r="W474" s="28"/>
      <c r="X474" s="28"/>
      <c r="Y474" s="28"/>
      <c r="Z474" s="28"/>
    </row>
    <row r="475" ht="15.75" customHeight="1">
      <c r="A475" s="125"/>
      <c r="B475" s="125"/>
      <c r="C475" s="125"/>
      <c r="D475" s="128"/>
      <c r="E475" s="126"/>
      <c r="F475" s="38"/>
      <c r="G475" s="127"/>
      <c r="H475" s="28"/>
      <c r="I475" s="28"/>
      <c r="J475" s="28"/>
      <c r="K475" s="28"/>
      <c r="L475" s="28"/>
      <c r="M475" s="28"/>
      <c r="N475" s="28"/>
      <c r="O475" s="28"/>
      <c r="P475" s="28"/>
      <c r="Q475" s="28"/>
      <c r="R475" s="28"/>
      <c r="S475" s="28"/>
      <c r="T475" s="28"/>
      <c r="U475" s="28"/>
      <c r="V475" s="28"/>
      <c r="W475" s="28"/>
      <c r="X475" s="28"/>
      <c r="Y475" s="28"/>
      <c r="Z475" s="28"/>
    </row>
    <row r="476" ht="15.75" customHeight="1">
      <c r="A476" s="125"/>
      <c r="B476" s="125"/>
      <c r="C476" s="125"/>
      <c r="D476" s="128"/>
      <c r="E476" s="126"/>
      <c r="F476" s="38"/>
      <c r="G476" s="127"/>
      <c r="H476" s="28"/>
      <c r="I476" s="28"/>
      <c r="J476" s="28"/>
      <c r="K476" s="28"/>
      <c r="L476" s="28"/>
      <c r="M476" s="28"/>
      <c r="N476" s="28"/>
      <c r="O476" s="28"/>
      <c r="P476" s="28"/>
      <c r="Q476" s="28"/>
      <c r="R476" s="28"/>
      <c r="S476" s="28"/>
      <c r="T476" s="28"/>
      <c r="U476" s="28"/>
      <c r="V476" s="28"/>
      <c r="W476" s="28"/>
      <c r="X476" s="28"/>
      <c r="Y476" s="28"/>
      <c r="Z476" s="28"/>
    </row>
    <row r="477" ht="15.75" customHeight="1">
      <c r="A477" s="125"/>
      <c r="B477" s="125"/>
      <c r="C477" s="125"/>
      <c r="D477" s="128"/>
      <c r="E477" s="126"/>
      <c r="F477" s="38"/>
      <c r="G477" s="127"/>
      <c r="H477" s="28"/>
      <c r="I477" s="28"/>
      <c r="J477" s="28"/>
      <c r="K477" s="28"/>
      <c r="L477" s="28"/>
      <c r="M477" s="28"/>
      <c r="N477" s="28"/>
      <c r="O477" s="28"/>
      <c r="P477" s="28"/>
      <c r="Q477" s="28"/>
      <c r="R477" s="28"/>
      <c r="S477" s="28"/>
      <c r="T477" s="28"/>
      <c r="U477" s="28"/>
      <c r="V477" s="28"/>
      <c r="W477" s="28"/>
      <c r="X477" s="28"/>
      <c r="Y477" s="28"/>
      <c r="Z477" s="28"/>
    </row>
    <row r="478" ht="15.75" customHeight="1">
      <c r="A478" s="125"/>
      <c r="B478" s="125"/>
      <c r="C478" s="125"/>
      <c r="D478" s="128"/>
      <c r="E478" s="126"/>
      <c r="F478" s="38"/>
      <c r="G478" s="127"/>
      <c r="H478" s="28"/>
      <c r="I478" s="28"/>
      <c r="J478" s="28"/>
      <c r="K478" s="28"/>
      <c r="L478" s="28"/>
      <c r="M478" s="28"/>
      <c r="N478" s="28"/>
      <c r="O478" s="28"/>
      <c r="P478" s="28"/>
      <c r="Q478" s="28"/>
      <c r="R478" s="28"/>
      <c r="S478" s="28"/>
      <c r="T478" s="28"/>
      <c r="U478" s="28"/>
      <c r="V478" s="28"/>
      <c r="W478" s="28"/>
      <c r="X478" s="28"/>
      <c r="Y478" s="28"/>
      <c r="Z478" s="28"/>
    </row>
    <row r="479" ht="15.75" customHeight="1">
      <c r="A479" s="125"/>
      <c r="B479" s="125"/>
      <c r="C479" s="125"/>
      <c r="D479" s="128"/>
      <c r="E479" s="126"/>
      <c r="F479" s="38"/>
      <c r="G479" s="127"/>
      <c r="H479" s="28"/>
      <c r="I479" s="28"/>
      <c r="J479" s="28"/>
      <c r="K479" s="28"/>
      <c r="L479" s="28"/>
      <c r="M479" s="28"/>
      <c r="N479" s="28"/>
      <c r="O479" s="28"/>
      <c r="P479" s="28"/>
      <c r="Q479" s="28"/>
      <c r="R479" s="28"/>
      <c r="S479" s="28"/>
      <c r="T479" s="28"/>
      <c r="U479" s="28"/>
      <c r="V479" s="28"/>
      <c r="W479" s="28"/>
      <c r="X479" s="28"/>
      <c r="Y479" s="28"/>
      <c r="Z479" s="28"/>
    </row>
    <row r="480" ht="15.75" customHeight="1">
      <c r="A480" s="125"/>
      <c r="B480" s="125"/>
      <c r="C480" s="125"/>
      <c r="D480" s="128"/>
      <c r="E480" s="126"/>
      <c r="F480" s="38"/>
      <c r="G480" s="127"/>
      <c r="H480" s="28"/>
      <c r="I480" s="28"/>
      <c r="J480" s="28"/>
      <c r="K480" s="28"/>
      <c r="L480" s="28"/>
      <c r="M480" s="28"/>
      <c r="N480" s="28"/>
      <c r="O480" s="28"/>
      <c r="P480" s="28"/>
      <c r="Q480" s="28"/>
      <c r="R480" s="28"/>
      <c r="S480" s="28"/>
      <c r="T480" s="28"/>
      <c r="U480" s="28"/>
      <c r="V480" s="28"/>
      <c r="W480" s="28"/>
      <c r="X480" s="28"/>
      <c r="Y480" s="28"/>
      <c r="Z480" s="28"/>
    </row>
    <row r="481" ht="15.75" customHeight="1">
      <c r="A481" s="125"/>
      <c r="B481" s="125"/>
      <c r="C481" s="125"/>
      <c r="D481" s="128"/>
      <c r="E481" s="126"/>
      <c r="F481" s="38"/>
      <c r="G481" s="127"/>
      <c r="H481" s="28"/>
      <c r="I481" s="28"/>
      <c r="J481" s="28"/>
      <c r="K481" s="28"/>
      <c r="L481" s="28"/>
      <c r="M481" s="28"/>
      <c r="N481" s="28"/>
      <c r="O481" s="28"/>
      <c r="P481" s="28"/>
      <c r="Q481" s="28"/>
      <c r="R481" s="28"/>
      <c r="S481" s="28"/>
      <c r="T481" s="28"/>
      <c r="U481" s="28"/>
      <c r="V481" s="28"/>
      <c r="W481" s="28"/>
      <c r="X481" s="28"/>
      <c r="Y481" s="28"/>
      <c r="Z481" s="28"/>
    </row>
    <row r="482" ht="15.75" customHeight="1">
      <c r="A482" s="125"/>
      <c r="B482" s="125"/>
      <c r="C482" s="125"/>
      <c r="D482" s="128"/>
      <c r="E482" s="126"/>
      <c r="F482" s="38"/>
      <c r="G482" s="127"/>
      <c r="H482" s="28"/>
      <c r="I482" s="28"/>
      <c r="J482" s="28"/>
      <c r="K482" s="28"/>
      <c r="L482" s="28"/>
      <c r="M482" s="28"/>
      <c r="N482" s="28"/>
      <c r="O482" s="28"/>
      <c r="P482" s="28"/>
      <c r="Q482" s="28"/>
      <c r="R482" s="28"/>
      <c r="S482" s="28"/>
      <c r="T482" s="28"/>
      <c r="U482" s="28"/>
      <c r="V482" s="28"/>
      <c r="W482" s="28"/>
      <c r="X482" s="28"/>
      <c r="Y482" s="28"/>
      <c r="Z482" s="28"/>
    </row>
    <row r="483" ht="15.75" customHeight="1">
      <c r="A483" s="125"/>
      <c r="B483" s="125"/>
      <c r="C483" s="125"/>
      <c r="D483" s="128"/>
      <c r="E483" s="126"/>
      <c r="F483" s="38"/>
      <c r="G483" s="127"/>
      <c r="H483" s="28"/>
      <c r="I483" s="28"/>
      <c r="J483" s="28"/>
      <c r="K483" s="28"/>
      <c r="L483" s="28"/>
      <c r="M483" s="28"/>
      <c r="N483" s="28"/>
      <c r="O483" s="28"/>
      <c r="P483" s="28"/>
      <c r="Q483" s="28"/>
      <c r="R483" s="28"/>
      <c r="S483" s="28"/>
      <c r="T483" s="28"/>
      <c r="U483" s="28"/>
      <c r="V483" s="28"/>
      <c r="W483" s="28"/>
      <c r="X483" s="28"/>
      <c r="Y483" s="28"/>
      <c r="Z483" s="28"/>
    </row>
    <row r="484" ht="15.75" customHeight="1">
      <c r="A484" s="125"/>
      <c r="B484" s="125"/>
      <c r="C484" s="125"/>
      <c r="D484" s="128"/>
      <c r="E484" s="126"/>
      <c r="F484" s="38"/>
      <c r="G484" s="127"/>
      <c r="H484" s="28"/>
      <c r="I484" s="28"/>
      <c r="J484" s="28"/>
      <c r="K484" s="28"/>
      <c r="L484" s="28"/>
      <c r="M484" s="28"/>
      <c r="N484" s="28"/>
      <c r="O484" s="28"/>
      <c r="P484" s="28"/>
      <c r="Q484" s="28"/>
      <c r="R484" s="28"/>
      <c r="S484" s="28"/>
      <c r="T484" s="28"/>
      <c r="U484" s="28"/>
      <c r="V484" s="28"/>
      <c r="W484" s="28"/>
      <c r="X484" s="28"/>
      <c r="Y484" s="28"/>
      <c r="Z484" s="28"/>
    </row>
    <row r="485" ht="15.75" customHeight="1">
      <c r="A485" s="125"/>
      <c r="B485" s="125"/>
      <c r="C485" s="125"/>
      <c r="D485" s="128"/>
      <c r="E485" s="126"/>
      <c r="F485" s="38"/>
      <c r="G485" s="127"/>
      <c r="H485" s="28"/>
      <c r="I485" s="28"/>
      <c r="J485" s="28"/>
      <c r="K485" s="28"/>
      <c r="L485" s="28"/>
      <c r="M485" s="28"/>
      <c r="N485" s="28"/>
      <c r="O485" s="28"/>
      <c r="P485" s="28"/>
      <c r="Q485" s="28"/>
      <c r="R485" s="28"/>
      <c r="S485" s="28"/>
      <c r="T485" s="28"/>
      <c r="U485" s="28"/>
      <c r="V485" s="28"/>
      <c r="W485" s="28"/>
      <c r="X485" s="28"/>
      <c r="Y485" s="28"/>
      <c r="Z485" s="28"/>
    </row>
    <row r="486" ht="15.75" customHeight="1">
      <c r="A486" s="125"/>
      <c r="B486" s="125"/>
      <c r="C486" s="125"/>
      <c r="D486" s="128"/>
      <c r="E486" s="126"/>
      <c r="F486" s="38"/>
      <c r="G486" s="127"/>
      <c r="H486" s="28"/>
      <c r="I486" s="28"/>
      <c r="J486" s="28"/>
      <c r="K486" s="28"/>
      <c r="L486" s="28"/>
      <c r="M486" s="28"/>
      <c r="N486" s="28"/>
      <c r="O486" s="28"/>
      <c r="P486" s="28"/>
      <c r="Q486" s="28"/>
      <c r="R486" s="28"/>
      <c r="S486" s="28"/>
      <c r="T486" s="28"/>
      <c r="U486" s="28"/>
      <c r="V486" s="28"/>
      <c r="W486" s="28"/>
      <c r="X486" s="28"/>
      <c r="Y486" s="28"/>
      <c r="Z486" s="28"/>
    </row>
    <row r="487" ht="15.75" customHeight="1">
      <c r="A487" s="125"/>
      <c r="B487" s="125"/>
      <c r="C487" s="125"/>
      <c r="D487" s="128"/>
      <c r="E487" s="126"/>
      <c r="F487" s="38"/>
      <c r="G487" s="127"/>
      <c r="H487" s="28"/>
      <c r="I487" s="28"/>
      <c r="J487" s="28"/>
      <c r="K487" s="28"/>
      <c r="L487" s="28"/>
      <c r="M487" s="28"/>
      <c r="N487" s="28"/>
      <c r="O487" s="28"/>
      <c r="P487" s="28"/>
      <c r="Q487" s="28"/>
      <c r="R487" s="28"/>
      <c r="S487" s="28"/>
      <c r="T487" s="28"/>
      <c r="U487" s="28"/>
      <c r="V487" s="28"/>
      <c r="W487" s="28"/>
      <c r="X487" s="28"/>
      <c r="Y487" s="28"/>
      <c r="Z487" s="28"/>
    </row>
    <row r="488" ht="15.75" customHeight="1">
      <c r="A488" s="125"/>
      <c r="B488" s="125"/>
      <c r="C488" s="125"/>
      <c r="D488" s="128"/>
      <c r="E488" s="126"/>
      <c r="F488" s="38"/>
      <c r="G488" s="127"/>
      <c r="H488" s="28"/>
      <c r="I488" s="28"/>
      <c r="J488" s="28"/>
      <c r="K488" s="28"/>
      <c r="L488" s="28"/>
      <c r="M488" s="28"/>
      <c r="N488" s="28"/>
      <c r="O488" s="28"/>
      <c r="P488" s="28"/>
      <c r="Q488" s="28"/>
      <c r="R488" s="28"/>
      <c r="S488" s="28"/>
      <c r="T488" s="28"/>
      <c r="U488" s="28"/>
      <c r="V488" s="28"/>
      <c r="W488" s="28"/>
      <c r="X488" s="28"/>
      <c r="Y488" s="28"/>
      <c r="Z488" s="28"/>
    </row>
    <row r="489" ht="15.75" customHeight="1">
      <c r="A489" s="125"/>
      <c r="B489" s="125"/>
      <c r="C489" s="125"/>
      <c r="D489" s="128"/>
      <c r="E489" s="126"/>
      <c r="F489" s="38"/>
      <c r="G489" s="127"/>
      <c r="H489" s="28"/>
      <c r="I489" s="28"/>
      <c r="J489" s="28"/>
      <c r="K489" s="28"/>
      <c r="L489" s="28"/>
      <c r="M489" s="28"/>
      <c r="N489" s="28"/>
      <c r="O489" s="28"/>
      <c r="P489" s="28"/>
      <c r="Q489" s="28"/>
      <c r="R489" s="28"/>
      <c r="S489" s="28"/>
      <c r="T489" s="28"/>
      <c r="U489" s="28"/>
      <c r="V489" s="28"/>
      <c r="W489" s="28"/>
      <c r="X489" s="28"/>
      <c r="Y489" s="28"/>
      <c r="Z489" s="28"/>
    </row>
    <row r="490" ht="15.75" customHeight="1">
      <c r="A490" s="125"/>
      <c r="B490" s="125"/>
      <c r="C490" s="125"/>
      <c r="D490" s="128"/>
      <c r="E490" s="126"/>
      <c r="F490" s="38"/>
      <c r="G490" s="127"/>
      <c r="H490" s="28"/>
      <c r="I490" s="28"/>
      <c r="J490" s="28"/>
      <c r="K490" s="28"/>
      <c r="L490" s="28"/>
      <c r="M490" s="28"/>
      <c r="N490" s="28"/>
      <c r="O490" s="28"/>
      <c r="P490" s="28"/>
      <c r="Q490" s="28"/>
      <c r="R490" s="28"/>
      <c r="S490" s="28"/>
      <c r="T490" s="28"/>
      <c r="U490" s="28"/>
      <c r="V490" s="28"/>
      <c r="W490" s="28"/>
      <c r="X490" s="28"/>
      <c r="Y490" s="28"/>
      <c r="Z490" s="28"/>
    </row>
    <row r="491" ht="15.75" customHeight="1">
      <c r="A491" s="125"/>
      <c r="B491" s="125"/>
      <c r="C491" s="125"/>
      <c r="D491" s="128"/>
      <c r="E491" s="126"/>
      <c r="F491" s="38"/>
      <c r="G491" s="127"/>
      <c r="H491" s="28"/>
      <c r="I491" s="28"/>
      <c r="J491" s="28"/>
      <c r="K491" s="28"/>
      <c r="L491" s="28"/>
      <c r="M491" s="28"/>
      <c r="N491" s="28"/>
      <c r="O491" s="28"/>
      <c r="P491" s="28"/>
      <c r="Q491" s="28"/>
      <c r="R491" s="28"/>
      <c r="S491" s="28"/>
      <c r="T491" s="28"/>
      <c r="U491" s="28"/>
      <c r="V491" s="28"/>
      <c r="W491" s="28"/>
      <c r="X491" s="28"/>
      <c r="Y491" s="28"/>
      <c r="Z491" s="28"/>
    </row>
    <row r="492" ht="15.75" customHeight="1">
      <c r="A492" s="125"/>
      <c r="B492" s="125"/>
      <c r="C492" s="125"/>
      <c r="D492" s="128"/>
      <c r="E492" s="126"/>
      <c r="F492" s="38"/>
      <c r="G492" s="127"/>
      <c r="H492" s="28"/>
      <c r="I492" s="28"/>
      <c r="J492" s="28"/>
      <c r="K492" s="28"/>
      <c r="L492" s="28"/>
      <c r="M492" s="28"/>
      <c r="N492" s="28"/>
      <c r="O492" s="28"/>
      <c r="P492" s="28"/>
      <c r="Q492" s="28"/>
      <c r="R492" s="28"/>
      <c r="S492" s="28"/>
      <c r="T492" s="28"/>
      <c r="U492" s="28"/>
      <c r="V492" s="28"/>
      <c r="W492" s="28"/>
      <c r="X492" s="28"/>
      <c r="Y492" s="28"/>
      <c r="Z492" s="28"/>
    </row>
    <row r="493" ht="15.75" customHeight="1">
      <c r="A493" s="125"/>
      <c r="B493" s="125"/>
      <c r="C493" s="125"/>
      <c r="D493" s="128"/>
      <c r="E493" s="126"/>
      <c r="F493" s="38"/>
      <c r="G493" s="127"/>
      <c r="H493" s="28"/>
      <c r="I493" s="28"/>
      <c r="J493" s="28"/>
      <c r="K493" s="28"/>
      <c r="L493" s="28"/>
      <c r="M493" s="28"/>
      <c r="N493" s="28"/>
      <c r="O493" s="28"/>
      <c r="P493" s="28"/>
      <c r="Q493" s="28"/>
      <c r="R493" s="28"/>
      <c r="S493" s="28"/>
      <c r="T493" s="28"/>
      <c r="U493" s="28"/>
      <c r="V493" s="28"/>
      <c r="W493" s="28"/>
      <c r="X493" s="28"/>
      <c r="Y493" s="28"/>
      <c r="Z493" s="28"/>
    </row>
    <row r="494" ht="15.75" customHeight="1">
      <c r="A494" s="125"/>
      <c r="B494" s="125"/>
      <c r="C494" s="125"/>
      <c r="D494" s="128"/>
      <c r="E494" s="126"/>
      <c r="F494" s="38"/>
      <c r="G494" s="127"/>
      <c r="H494" s="28"/>
      <c r="I494" s="28"/>
      <c r="J494" s="28"/>
      <c r="K494" s="28"/>
      <c r="L494" s="28"/>
      <c r="M494" s="28"/>
      <c r="N494" s="28"/>
      <c r="O494" s="28"/>
      <c r="P494" s="28"/>
      <c r="Q494" s="28"/>
      <c r="R494" s="28"/>
      <c r="S494" s="28"/>
      <c r="T494" s="28"/>
      <c r="U494" s="28"/>
      <c r="V494" s="28"/>
      <c r="W494" s="28"/>
      <c r="X494" s="28"/>
      <c r="Y494" s="28"/>
      <c r="Z494" s="28"/>
    </row>
    <row r="495" ht="15.75" customHeight="1">
      <c r="A495" s="125"/>
      <c r="B495" s="125"/>
      <c r="C495" s="125"/>
      <c r="D495" s="128"/>
      <c r="E495" s="126"/>
      <c r="F495" s="38"/>
      <c r="G495" s="127"/>
      <c r="H495" s="28"/>
      <c r="I495" s="28"/>
      <c r="J495" s="28"/>
      <c r="K495" s="28"/>
      <c r="L495" s="28"/>
      <c r="M495" s="28"/>
      <c r="N495" s="28"/>
      <c r="O495" s="28"/>
      <c r="P495" s="28"/>
      <c r="Q495" s="28"/>
      <c r="R495" s="28"/>
      <c r="S495" s="28"/>
      <c r="T495" s="28"/>
      <c r="U495" s="28"/>
      <c r="V495" s="28"/>
      <c r="W495" s="28"/>
      <c r="X495" s="28"/>
      <c r="Y495" s="28"/>
      <c r="Z495" s="28"/>
    </row>
    <row r="496" ht="15.75" customHeight="1">
      <c r="A496" s="125"/>
      <c r="B496" s="125"/>
      <c r="C496" s="125"/>
      <c r="D496" s="128"/>
      <c r="E496" s="126"/>
      <c r="F496" s="38"/>
      <c r="G496" s="127"/>
      <c r="H496" s="28"/>
      <c r="I496" s="28"/>
      <c r="J496" s="28"/>
      <c r="K496" s="28"/>
      <c r="L496" s="28"/>
      <c r="M496" s="28"/>
      <c r="N496" s="28"/>
      <c r="O496" s="28"/>
      <c r="P496" s="28"/>
      <c r="Q496" s="28"/>
      <c r="R496" s="28"/>
      <c r="S496" s="28"/>
      <c r="T496" s="28"/>
      <c r="U496" s="28"/>
      <c r="V496" s="28"/>
      <c r="W496" s="28"/>
      <c r="X496" s="28"/>
      <c r="Y496" s="28"/>
      <c r="Z496" s="28"/>
    </row>
    <row r="497" ht="15.75" customHeight="1">
      <c r="A497" s="125"/>
      <c r="B497" s="125"/>
      <c r="C497" s="125"/>
      <c r="D497" s="128"/>
      <c r="E497" s="126"/>
      <c r="F497" s="38"/>
      <c r="G497" s="127"/>
      <c r="H497" s="28"/>
      <c r="I497" s="28"/>
      <c r="J497" s="28"/>
      <c r="K497" s="28"/>
      <c r="L497" s="28"/>
      <c r="M497" s="28"/>
      <c r="N497" s="28"/>
      <c r="O497" s="28"/>
      <c r="P497" s="28"/>
      <c r="Q497" s="28"/>
      <c r="R497" s="28"/>
      <c r="S497" s="28"/>
      <c r="T497" s="28"/>
      <c r="U497" s="28"/>
      <c r="V497" s="28"/>
      <c r="W497" s="28"/>
      <c r="X497" s="28"/>
      <c r="Y497" s="28"/>
      <c r="Z497" s="28"/>
    </row>
    <row r="498" ht="15.75" customHeight="1">
      <c r="A498" s="125"/>
      <c r="B498" s="125"/>
      <c r="C498" s="125"/>
      <c r="D498" s="128"/>
      <c r="E498" s="126"/>
      <c r="F498" s="38"/>
      <c r="G498" s="127"/>
      <c r="H498" s="28"/>
      <c r="I498" s="28"/>
      <c r="J498" s="28"/>
      <c r="K498" s="28"/>
      <c r="L498" s="28"/>
      <c r="M498" s="28"/>
      <c r="N498" s="28"/>
      <c r="O498" s="28"/>
      <c r="P498" s="28"/>
      <c r="Q498" s="28"/>
      <c r="R498" s="28"/>
      <c r="S498" s="28"/>
      <c r="T498" s="28"/>
      <c r="U498" s="28"/>
      <c r="V498" s="28"/>
      <c r="W498" s="28"/>
      <c r="X498" s="28"/>
      <c r="Y498" s="28"/>
      <c r="Z498" s="28"/>
    </row>
    <row r="499" ht="15.75" customHeight="1">
      <c r="A499" s="125"/>
      <c r="B499" s="125"/>
      <c r="C499" s="125"/>
      <c r="D499" s="128"/>
      <c r="E499" s="126"/>
      <c r="F499" s="38"/>
      <c r="G499" s="127"/>
      <c r="H499" s="28"/>
      <c r="I499" s="28"/>
      <c r="J499" s="28"/>
      <c r="K499" s="28"/>
      <c r="L499" s="28"/>
      <c r="M499" s="28"/>
      <c r="N499" s="28"/>
      <c r="O499" s="28"/>
      <c r="P499" s="28"/>
      <c r="Q499" s="28"/>
      <c r="R499" s="28"/>
      <c r="S499" s="28"/>
      <c r="T499" s="28"/>
      <c r="U499" s="28"/>
      <c r="V499" s="28"/>
      <c r="W499" s="28"/>
      <c r="X499" s="28"/>
      <c r="Y499" s="28"/>
      <c r="Z499" s="28"/>
    </row>
    <row r="500" ht="15.75" customHeight="1">
      <c r="A500" s="125"/>
      <c r="B500" s="125"/>
      <c r="C500" s="125"/>
      <c r="D500" s="128"/>
      <c r="E500" s="126"/>
      <c r="F500" s="38"/>
      <c r="G500" s="127"/>
      <c r="H500" s="28"/>
      <c r="I500" s="28"/>
      <c r="J500" s="28"/>
      <c r="K500" s="28"/>
      <c r="L500" s="28"/>
      <c r="M500" s="28"/>
      <c r="N500" s="28"/>
      <c r="O500" s="28"/>
      <c r="P500" s="28"/>
      <c r="Q500" s="28"/>
      <c r="R500" s="28"/>
      <c r="S500" s="28"/>
      <c r="T500" s="28"/>
      <c r="U500" s="28"/>
      <c r="V500" s="28"/>
      <c r="W500" s="28"/>
      <c r="X500" s="28"/>
      <c r="Y500" s="28"/>
      <c r="Z500" s="28"/>
    </row>
    <row r="501" ht="15.75" customHeight="1">
      <c r="A501" s="125"/>
      <c r="B501" s="125"/>
      <c r="C501" s="125"/>
      <c r="D501" s="128"/>
      <c r="E501" s="126"/>
      <c r="F501" s="38"/>
      <c r="G501" s="127"/>
      <c r="H501" s="28"/>
      <c r="I501" s="28"/>
      <c r="J501" s="28"/>
      <c r="K501" s="28"/>
      <c r="L501" s="28"/>
      <c r="M501" s="28"/>
      <c r="N501" s="28"/>
      <c r="O501" s="28"/>
      <c r="P501" s="28"/>
      <c r="Q501" s="28"/>
      <c r="R501" s="28"/>
      <c r="S501" s="28"/>
      <c r="T501" s="28"/>
      <c r="U501" s="28"/>
      <c r="V501" s="28"/>
      <c r="W501" s="28"/>
      <c r="X501" s="28"/>
      <c r="Y501" s="28"/>
      <c r="Z501" s="28"/>
    </row>
    <row r="502" ht="15.75" customHeight="1">
      <c r="A502" s="125"/>
      <c r="B502" s="125"/>
      <c r="C502" s="125"/>
      <c r="D502" s="128"/>
      <c r="E502" s="126"/>
      <c r="F502" s="38"/>
      <c r="G502" s="127"/>
      <c r="H502" s="28"/>
      <c r="I502" s="28"/>
      <c r="J502" s="28"/>
      <c r="K502" s="28"/>
      <c r="L502" s="28"/>
      <c r="M502" s="28"/>
      <c r="N502" s="28"/>
      <c r="O502" s="28"/>
      <c r="P502" s="28"/>
      <c r="Q502" s="28"/>
      <c r="R502" s="28"/>
      <c r="S502" s="28"/>
      <c r="T502" s="28"/>
      <c r="U502" s="28"/>
      <c r="V502" s="28"/>
      <c r="W502" s="28"/>
      <c r="X502" s="28"/>
      <c r="Y502" s="28"/>
      <c r="Z502" s="28"/>
    </row>
    <row r="503" ht="15.75" customHeight="1">
      <c r="A503" s="125"/>
      <c r="B503" s="125"/>
      <c r="C503" s="125"/>
      <c r="D503" s="128"/>
      <c r="E503" s="126"/>
      <c r="F503" s="38"/>
      <c r="G503" s="127"/>
      <c r="H503" s="28"/>
      <c r="I503" s="28"/>
      <c r="J503" s="28"/>
      <c r="K503" s="28"/>
      <c r="L503" s="28"/>
      <c r="M503" s="28"/>
      <c r="N503" s="28"/>
      <c r="O503" s="28"/>
      <c r="P503" s="28"/>
      <c r="Q503" s="28"/>
      <c r="R503" s="28"/>
      <c r="S503" s="28"/>
      <c r="T503" s="28"/>
      <c r="U503" s="28"/>
      <c r="V503" s="28"/>
      <c r="W503" s="28"/>
      <c r="X503" s="28"/>
      <c r="Y503" s="28"/>
      <c r="Z503" s="28"/>
    </row>
    <row r="504" ht="15.75" customHeight="1">
      <c r="A504" s="125"/>
      <c r="B504" s="125"/>
      <c r="C504" s="125"/>
      <c r="D504" s="128"/>
      <c r="E504" s="126"/>
      <c r="F504" s="38"/>
      <c r="G504" s="127"/>
      <c r="H504" s="28"/>
      <c r="I504" s="28"/>
      <c r="J504" s="28"/>
      <c r="K504" s="28"/>
      <c r="L504" s="28"/>
      <c r="M504" s="28"/>
      <c r="N504" s="28"/>
      <c r="O504" s="28"/>
      <c r="P504" s="28"/>
      <c r="Q504" s="28"/>
      <c r="R504" s="28"/>
      <c r="S504" s="28"/>
      <c r="T504" s="28"/>
      <c r="U504" s="28"/>
      <c r="V504" s="28"/>
      <c r="W504" s="28"/>
      <c r="X504" s="28"/>
      <c r="Y504" s="28"/>
      <c r="Z504" s="28"/>
    </row>
    <row r="505" ht="15.75" customHeight="1">
      <c r="A505" s="125"/>
      <c r="B505" s="125"/>
      <c r="C505" s="125"/>
      <c r="D505" s="128"/>
      <c r="E505" s="126"/>
      <c r="F505" s="38"/>
      <c r="G505" s="127"/>
      <c r="H505" s="28"/>
      <c r="I505" s="28"/>
      <c r="J505" s="28"/>
      <c r="K505" s="28"/>
      <c r="L505" s="28"/>
      <c r="M505" s="28"/>
      <c r="N505" s="28"/>
      <c r="O505" s="28"/>
      <c r="P505" s="28"/>
      <c r="Q505" s="28"/>
      <c r="R505" s="28"/>
      <c r="S505" s="28"/>
      <c r="T505" s="28"/>
      <c r="U505" s="28"/>
      <c r="V505" s="28"/>
      <c r="W505" s="28"/>
      <c r="X505" s="28"/>
      <c r="Y505" s="28"/>
      <c r="Z505" s="28"/>
    </row>
    <row r="506" ht="15.75" customHeight="1">
      <c r="A506" s="125"/>
      <c r="B506" s="125"/>
      <c r="C506" s="125"/>
      <c r="D506" s="128"/>
      <c r="E506" s="126"/>
      <c r="F506" s="38"/>
      <c r="G506" s="127"/>
      <c r="H506" s="28"/>
      <c r="I506" s="28"/>
      <c r="J506" s="28"/>
      <c r="K506" s="28"/>
      <c r="L506" s="28"/>
      <c r="M506" s="28"/>
      <c r="N506" s="28"/>
      <c r="O506" s="28"/>
      <c r="P506" s="28"/>
      <c r="Q506" s="28"/>
      <c r="R506" s="28"/>
      <c r="S506" s="28"/>
      <c r="T506" s="28"/>
      <c r="U506" s="28"/>
      <c r="V506" s="28"/>
      <c r="W506" s="28"/>
      <c r="X506" s="28"/>
      <c r="Y506" s="28"/>
      <c r="Z506" s="28"/>
    </row>
    <row r="507" ht="15.75" customHeight="1">
      <c r="A507" s="125"/>
      <c r="B507" s="125"/>
      <c r="C507" s="125"/>
      <c r="D507" s="128"/>
      <c r="E507" s="126"/>
      <c r="F507" s="38"/>
      <c r="G507" s="127"/>
      <c r="H507" s="28"/>
      <c r="I507" s="28"/>
      <c r="J507" s="28"/>
      <c r="K507" s="28"/>
      <c r="L507" s="28"/>
      <c r="M507" s="28"/>
      <c r="N507" s="28"/>
      <c r="O507" s="28"/>
      <c r="P507" s="28"/>
      <c r="Q507" s="28"/>
      <c r="R507" s="28"/>
      <c r="S507" s="28"/>
      <c r="T507" s="28"/>
      <c r="U507" s="28"/>
      <c r="V507" s="28"/>
      <c r="W507" s="28"/>
      <c r="X507" s="28"/>
      <c r="Y507" s="28"/>
      <c r="Z507" s="28"/>
    </row>
    <row r="508" ht="15.75" customHeight="1">
      <c r="A508" s="125"/>
      <c r="B508" s="125"/>
      <c r="C508" s="125"/>
      <c r="D508" s="128"/>
      <c r="E508" s="126"/>
      <c r="F508" s="38"/>
      <c r="G508" s="127"/>
      <c r="H508" s="28"/>
      <c r="I508" s="28"/>
      <c r="J508" s="28"/>
      <c r="K508" s="28"/>
      <c r="L508" s="28"/>
      <c r="M508" s="28"/>
      <c r="N508" s="28"/>
      <c r="O508" s="28"/>
      <c r="P508" s="28"/>
      <c r="Q508" s="28"/>
      <c r="R508" s="28"/>
      <c r="S508" s="28"/>
      <c r="T508" s="28"/>
      <c r="U508" s="28"/>
      <c r="V508" s="28"/>
      <c r="W508" s="28"/>
      <c r="X508" s="28"/>
      <c r="Y508" s="28"/>
      <c r="Z508" s="28"/>
    </row>
    <row r="509" ht="15.75" customHeight="1">
      <c r="A509" s="125"/>
      <c r="B509" s="125"/>
      <c r="C509" s="125"/>
      <c r="D509" s="128"/>
      <c r="E509" s="126"/>
      <c r="F509" s="38"/>
      <c r="G509" s="127"/>
      <c r="H509" s="28"/>
      <c r="I509" s="28"/>
      <c r="J509" s="28"/>
      <c r="K509" s="28"/>
      <c r="L509" s="28"/>
      <c r="M509" s="28"/>
      <c r="N509" s="28"/>
      <c r="O509" s="28"/>
      <c r="P509" s="28"/>
      <c r="Q509" s="28"/>
      <c r="R509" s="28"/>
      <c r="S509" s="28"/>
      <c r="T509" s="28"/>
      <c r="U509" s="28"/>
      <c r="V509" s="28"/>
      <c r="W509" s="28"/>
      <c r="X509" s="28"/>
      <c r="Y509" s="28"/>
      <c r="Z509" s="28"/>
    </row>
    <row r="510" ht="15.75" customHeight="1">
      <c r="A510" s="125"/>
      <c r="B510" s="125"/>
      <c r="C510" s="125"/>
      <c r="D510" s="128"/>
      <c r="E510" s="126"/>
      <c r="F510" s="38"/>
      <c r="G510" s="127"/>
      <c r="H510" s="28"/>
      <c r="I510" s="28"/>
      <c r="J510" s="28"/>
      <c r="K510" s="28"/>
      <c r="L510" s="28"/>
      <c r="M510" s="28"/>
      <c r="N510" s="28"/>
      <c r="O510" s="28"/>
      <c r="P510" s="28"/>
      <c r="Q510" s="28"/>
      <c r="R510" s="28"/>
      <c r="S510" s="28"/>
      <c r="T510" s="28"/>
      <c r="U510" s="28"/>
      <c r="V510" s="28"/>
      <c r="W510" s="28"/>
      <c r="X510" s="28"/>
      <c r="Y510" s="28"/>
      <c r="Z510" s="28"/>
    </row>
    <row r="511" ht="15.75" customHeight="1">
      <c r="A511" s="125"/>
      <c r="B511" s="125"/>
      <c r="C511" s="125"/>
      <c r="D511" s="128"/>
      <c r="E511" s="126"/>
      <c r="F511" s="38"/>
      <c r="G511" s="127"/>
      <c r="H511" s="28"/>
      <c r="I511" s="28"/>
      <c r="J511" s="28"/>
      <c r="K511" s="28"/>
      <c r="L511" s="28"/>
      <c r="M511" s="28"/>
      <c r="N511" s="28"/>
      <c r="O511" s="28"/>
      <c r="P511" s="28"/>
      <c r="Q511" s="28"/>
      <c r="R511" s="28"/>
      <c r="S511" s="28"/>
      <c r="T511" s="28"/>
      <c r="U511" s="28"/>
      <c r="V511" s="28"/>
      <c r="W511" s="28"/>
      <c r="X511" s="28"/>
      <c r="Y511" s="28"/>
      <c r="Z511" s="28"/>
    </row>
    <row r="512" ht="15.75" customHeight="1">
      <c r="A512" s="125"/>
      <c r="B512" s="125"/>
      <c r="C512" s="125"/>
      <c r="D512" s="128"/>
      <c r="E512" s="126"/>
      <c r="F512" s="38"/>
      <c r="G512" s="127"/>
      <c r="H512" s="28"/>
      <c r="I512" s="28"/>
      <c r="J512" s="28"/>
      <c r="K512" s="28"/>
      <c r="L512" s="28"/>
      <c r="M512" s="28"/>
      <c r="N512" s="28"/>
      <c r="O512" s="28"/>
      <c r="P512" s="28"/>
      <c r="Q512" s="28"/>
      <c r="R512" s="28"/>
      <c r="S512" s="28"/>
      <c r="T512" s="28"/>
      <c r="U512" s="28"/>
      <c r="V512" s="28"/>
      <c r="W512" s="28"/>
      <c r="X512" s="28"/>
      <c r="Y512" s="28"/>
      <c r="Z512" s="28"/>
    </row>
    <row r="513" ht="15.75" customHeight="1">
      <c r="A513" s="125"/>
      <c r="B513" s="125"/>
      <c r="C513" s="125"/>
      <c r="D513" s="128"/>
      <c r="E513" s="126"/>
      <c r="F513" s="38"/>
      <c r="G513" s="127"/>
      <c r="H513" s="28"/>
      <c r="I513" s="28"/>
      <c r="J513" s="28"/>
      <c r="K513" s="28"/>
      <c r="L513" s="28"/>
      <c r="M513" s="28"/>
      <c r="N513" s="28"/>
      <c r="O513" s="28"/>
      <c r="P513" s="28"/>
      <c r="Q513" s="28"/>
      <c r="R513" s="28"/>
      <c r="S513" s="28"/>
      <c r="T513" s="28"/>
      <c r="U513" s="28"/>
      <c r="V513" s="28"/>
      <c r="W513" s="28"/>
      <c r="X513" s="28"/>
      <c r="Y513" s="28"/>
      <c r="Z513" s="28"/>
    </row>
    <row r="514" ht="15.75" customHeight="1">
      <c r="A514" s="125"/>
      <c r="B514" s="125"/>
      <c r="C514" s="125"/>
      <c r="D514" s="128"/>
      <c r="E514" s="126"/>
      <c r="F514" s="38"/>
      <c r="G514" s="127"/>
      <c r="H514" s="28"/>
      <c r="I514" s="28"/>
      <c r="J514" s="28"/>
      <c r="K514" s="28"/>
      <c r="L514" s="28"/>
      <c r="M514" s="28"/>
      <c r="N514" s="28"/>
      <c r="O514" s="28"/>
      <c r="P514" s="28"/>
      <c r="Q514" s="28"/>
      <c r="R514" s="28"/>
      <c r="S514" s="28"/>
      <c r="T514" s="28"/>
      <c r="U514" s="28"/>
      <c r="V514" s="28"/>
      <c r="W514" s="28"/>
      <c r="X514" s="28"/>
      <c r="Y514" s="28"/>
      <c r="Z514" s="28"/>
    </row>
    <row r="515" ht="15.75" customHeight="1">
      <c r="A515" s="125"/>
      <c r="B515" s="125"/>
      <c r="C515" s="125"/>
      <c r="D515" s="128"/>
      <c r="E515" s="126"/>
      <c r="F515" s="38"/>
      <c r="G515" s="127"/>
      <c r="H515" s="28"/>
      <c r="I515" s="28"/>
      <c r="J515" s="28"/>
      <c r="K515" s="28"/>
      <c r="L515" s="28"/>
      <c r="M515" s="28"/>
      <c r="N515" s="28"/>
      <c r="O515" s="28"/>
      <c r="P515" s="28"/>
      <c r="Q515" s="28"/>
      <c r="R515" s="28"/>
      <c r="S515" s="28"/>
      <c r="T515" s="28"/>
      <c r="U515" s="28"/>
      <c r="V515" s="28"/>
      <c r="W515" s="28"/>
      <c r="X515" s="28"/>
      <c r="Y515" s="28"/>
      <c r="Z515" s="28"/>
    </row>
    <row r="516" ht="15.75" customHeight="1">
      <c r="A516" s="125"/>
      <c r="B516" s="125"/>
      <c r="C516" s="125"/>
      <c r="D516" s="128"/>
      <c r="E516" s="126"/>
      <c r="F516" s="38"/>
      <c r="G516" s="127"/>
      <c r="H516" s="28"/>
      <c r="I516" s="28"/>
      <c r="J516" s="28"/>
      <c r="K516" s="28"/>
      <c r="L516" s="28"/>
      <c r="M516" s="28"/>
      <c r="N516" s="28"/>
      <c r="O516" s="28"/>
      <c r="P516" s="28"/>
      <c r="Q516" s="28"/>
      <c r="R516" s="28"/>
      <c r="S516" s="28"/>
      <c r="T516" s="28"/>
      <c r="U516" s="28"/>
      <c r="V516" s="28"/>
      <c r="W516" s="28"/>
      <c r="X516" s="28"/>
      <c r="Y516" s="28"/>
      <c r="Z516" s="28"/>
    </row>
    <row r="517" ht="15.75" customHeight="1">
      <c r="A517" s="125"/>
      <c r="B517" s="125"/>
      <c r="C517" s="125"/>
      <c r="D517" s="128"/>
      <c r="E517" s="126"/>
      <c r="F517" s="38"/>
      <c r="G517" s="127"/>
      <c r="H517" s="28"/>
      <c r="I517" s="28"/>
      <c r="J517" s="28"/>
      <c r="K517" s="28"/>
      <c r="L517" s="28"/>
      <c r="M517" s="28"/>
      <c r="N517" s="28"/>
      <c r="O517" s="28"/>
      <c r="P517" s="28"/>
      <c r="Q517" s="28"/>
      <c r="R517" s="28"/>
      <c r="S517" s="28"/>
      <c r="T517" s="28"/>
      <c r="U517" s="28"/>
      <c r="V517" s="28"/>
      <c r="W517" s="28"/>
      <c r="X517" s="28"/>
      <c r="Y517" s="28"/>
      <c r="Z517" s="28"/>
    </row>
    <row r="518" ht="15.75" customHeight="1">
      <c r="A518" s="125"/>
      <c r="B518" s="125"/>
      <c r="C518" s="125"/>
      <c r="D518" s="128"/>
      <c r="E518" s="126"/>
      <c r="F518" s="38"/>
      <c r="G518" s="127"/>
      <c r="H518" s="28"/>
      <c r="I518" s="28"/>
      <c r="J518" s="28"/>
      <c r="K518" s="28"/>
      <c r="L518" s="28"/>
      <c r="M518" s="28"/>
      <c r="N518" s="28"/>
      <c r="O518" s="28"/>
      <c r="P518" s="28"/>
      <c r="Q518" s="28"/>
      <c r="R518" s="28"/>
      <c r="S518" s="28"/>
      <c r="T518" s="28"/>
      <c r="U518" s="28"/>
      <c r="V518" s="28"/>
      <c r="W518" s="28"/>
      <c r="X518" s="28"/>
      <c r="Y518" s="28"/>
      <c r="Z518" s="28"/>
    </row>
    <row r="519" ht="15.75" customHeight="1">
      <c r="A519" s="125"/>
      <c r="B519" s="125"/>
      <c r="C519" s="125"/>
      <c r="D519" s="128"/>
      <c r="E519" s="126"/>
      <c r="F519" s="38"/>
      <c r="G519" s="127"/>
      <c r="H519" s="28"/>
      <c r="I519" s="28"/>
      <c r="J519" s="28"/>
      <c r="K519" s="28"/>
      <c r="L519" s="28"/>
      <c r="M519" s="28"/>
      <c r="N519" s="28"/>
      <c r="O519" s="28"/>
      <c r="P519" s="28"/>
      <c r="Q519" s="28"/>
      <c r="R519" s="28"/>
      <c r="S519" s="28"/>
      <c r="T519" s="28"/>
      <c r="U519" s="28"/>
      <c r="V519" s="28"/>
      <c r="W519" s="28"/>
      <c r="X519" s="28"/>
      <c r="Y519" s="28"/>
      <c r="Z519" s="28"/>
    </row>
    <row r="520" ht="15.75" customHeight="1">
      <c r="A520" s="125"/>
      <c r="B520" s="125"/>
      <c r="C520" s="125"/>
      <c r="D520" s="128"/>
      <c r="E520" s="126"/>
      <c r="F520" s="38"/>
      <c r="G520" s="127"/>
      <c r="H520" s="28"/>
      <c r="I520" s="28"/>
      <c r="J520" s="28"/>
      <c r="K520" s="28"/>
      <c r="L520" s="28"/>
      <c r="M520" s="28"/>
      <c r="N520" s="28"/>
      <c r="O520" s="28"/>
      <c r="P520" s="28"/>
      <c r="Q520" s="28"/>
      <c r="R520" s="28"/>
      <c r="S520" s="28"/>
      <c r="T520" s="28"/>
      <c r="U520" s="28"/>
      <c r="V520" s="28"/>
      <c r="W520" s="28"/>
      <c r="X520" s="28"/>
      <c r="Y520" s="28"/>
      <c r="Z520" s="28"/>
    </row>
    <row r="521" ht="15.75" customHeight="1">
      <c r="A521" s="125"/>
      <c r="B521" s="125"/>
      <c r="C521" s="125"/>
      <c r="D521" s="128"/>
      <c r="E521" s="126"/>
      <c r="F521" s="38"/>
      <c r="G521" s="127"/>
      <c r="H521" s="28"/>
      <c r="I521" s="28"/>
      <c r="J521" s="28"/>
      <c r="K521" s="28"/>
      <c r="L521" s="28"/>
      <c r="M521" s="28"/>
      <c r="N521" s="28"/>
      <c r="O521" s="28"/>
      <c r="P521" s="28"/>
      <c r="Q521" s="28"/>
      <c r="R521" s="28"/>
      <c r="S521" s="28"/>
      <c r="T521" s="28"/>
      <c r="U521" s="28"/>
      <c r="V521" s="28"/>
      <c r="W521" s="28"/>
      <c r="X521" s="28"/>
      <c r="Y521" s="28"/>
      <c r="Z521" s="28"/>
    </row>
    <row r="522" ht="15.75" customHeight="1">
      <c r="A522" s="125"/>
      <c r="B522" s="125"/>
      <c r="C522" s="125"/>
      <c r="D522" s="128"/>
      <c r="E522" s="126"/>
      <c r="F522" s="38"/>
      <c r="G522" s="127"/>
      <c r="H522" s="28"/>
      <c r="I522" s="28"/>
      <c r="J522" s="28"/>
      <c r="K522" s="28"/>
      <c r="L522" s="28"/>
      <c r="M522" s="28"/>
      <c r="N522" s="28"/>
      <c r="O522" s="28"/>
      <c r="P522" s="28"/>
      <c r="Q522" s="28"/>
      <c r="R522" s="28"/>
      <c r="S522" s="28"/>
      <c r="T522" s="28"/>
      <c r="U522" s="28"/>
      <c r="V522" s="28"/>
      <c r="W522" s="28"/>
      <c r="X522" s="28"/>
      <c r="Y522" s="28"/>
      <c r="Z522" s="28"/>
    </row>
    <row r="523" ht="15.75" customHeight="1">
      <c r="A523" s="125"/>
      <c r="B523" s="125"/>
      <c r="C523" s="125"/>
      <c r="D523" s="128"/>
      <c r="E523" s="126"/>
      <c r="F523" s="38"/>
      <c r="G523" s="127"/>
      <c r="H523" s="28"/>
      <c r="I523" s="28"/>
      <c r="J523" s="28"/>
      <c r="K523" s="28"/>
      <c r="L523" s="28"/>
      <c r="M523" s="28"/>
      <c r="N523" s="28"/>
      <c r="O523" s="28"/>
      <c r="P523" s="28"/>
      <c r="Q523" s="28"/>
      <c r="R523" s="28"/>
      <c r="S523" s="28"/>
      <c r="T523" s="28"/>
      <c r="U523" s="28"/>
      <c r="V523" s="28"/>
      <c r="W523" s="28"/>
      <c r="X523" s="28"/>
      <c r="Y523" s="28"/>
      <c r="Z523" s="28"/>
    </row>
    <row r="524" ht="15.75" customHeight="1">
      <c r="A524" s="125"/>
      <c r="B524" s="125"/>
      <c r="C524" s="125"/>
      <c r="D524" s="128"/>
      <c r="E524" s="126"/>
      <c r="F524" s="38"/>
      <c r="G524" s="127"/>
      <c r="H524" s="28"/>
      <c r="I524" s="28"/>
      <c r="J524" s="28"/>
      <c r="K524" s="28"/>
      <c r="L524" s="28"/>
      <c r="M524" s="28"/>
      <c r="N524" s="28"/>
      <c r="O524" s="28"/>
      <c r="P524" s="28"/>
      <c r="Q524" s="28"/>
      <c r="R524" s="28"/>
      <c r="S524" s="28"/>
      <c r="T524" s="28"/>
      <c r="U524" s="28"/>
      <c r="V524" s="28"/>
      <c r="W524" s="28"/>
      <c r="X524" s="28"/>
      <c r="Y524" s="28"/>
      <c r="Z524" s="28"/>
    </row>
    <row r="525" ht="15.75" customHeight="1">
      <c r="A525" s="125"/>
      <c r="B525" s="125"/>
      <c r="C525" s="125"/>
      <c r="D525" s="128"/>
      <c r="E525" s="126"/>
      <c r="F525" s="38"/>
      <c r="G525" s="127"/>
      <c r="H525" s="28"/>
      <c r="I525" s="28"/>
      <c r="J525" s="28"/>
      <c r="K525" s="28"/>
      <c r="L525" s="28"/>
      <c r="M525" s="28"/>
      <c r="N525" s="28"/>
      <c r="O525" s="28"/>
      <c r="P525" s="28"/>
      <c r="Q525" s="28"/>
      <c r="R525" s="28"/>
      <c r="S525" s="28"/>
      <c r="T525" s="28"/>
      <c r="U525" s="28"/>
      <c r="V525" s="28"/>
      <c r="W525" s="28"/>
      <c r="X525" s="28"/>
      <c r="Y525" s="28"/>
      <c r="Z525" s="28"/>
    </row>
    <row r="526" ht="15.75" customHeight="1">
      <c r="A526" s="125"/>
      <c r="B526" s="125"/>
      <c r="C526" s="125"/>
      <c r="D526" s="128"/>
      <c r="E526" s="126"/>
      <c r="F526" s="38"/>
      <c r="G526" s="127"/>
      <c r="H526" s="28"/>
      <c r="I526" s="28"/>
      <c r="J526" s="28"/>
      <c r="K526" s="28"/>
      <c r="L526" s="28"/>
      <c r="M526" s="28"/>
      <c r="N526" s="28"/>
      <c r="O526" s="28"/>
      <c r="P526" s="28"/>
      <c r="Q526" s="28"/>
      <c r="R526" s="28"/>
      <c r="S526" s="28"/>
      <c r="T526" s="28"/>
      <c r="U526" s="28"/>
      <c r="V526" s="28"/>
      <c r="W526" s="28"/>
      <c r="X526" s="28"/>
      <c r="Y526" s="28"/>
      <c r="Z526" s="28"/>
    </row>
    <row r="527" ht="15.75" customHeight="1">
      <c r="A527" s="125"/>
      <c r="B527" s="125"/>
      <c r="C527" s="125"/>
      <c r="D527" s="128"/>
      <c r="E527" s="126"/>
      <c r="F527" s="38"/>
      <c r="G527" s="127"/>
      <c r="H527" s="28"/>
      <c r="I527" s="28"/>
      <c r="J527" s="28"/>
      <c r="K527" s="28"/>
      <c r="L527" s="28"/>
      <c r="M527" s="28"/>
      <c r="N527" s="28"/>
      <c r="O527" s="28"/>
      <c r="P527" s="28"/>
      <c r="Q527" s="28"/>
      <c r="R527" s="28"/>
      <c r="S527" s="28"/>
      <c r="T527" s="28"/>
      <c r="U527" s="28"/>
      <c r="V527" s="28"/>
      <c r="W527" s="28"/>
      <c r="X527" s="28"/>
      <c r="Y527" s="28"/>
      <c r="Z527" s="28"/>
    </row>
    <row r="528" ht="15.75" customHeight="1">
      <c r="A528" s="125"/>
      <c r="B528" s="125"/>
      <c r="C528" s="125"/>
      <c r="D528" s="128"/>
      <c r="E528" s="126"/>
      <c r="F528" s="38"/>
      <c r="G528" s="127"/>
      <c r="H528" s="28"/>
      <c r="I528" s="28"/>
      <c r="J528" s="28"/>
      <c r="K528" s="28"/>
      <c r="L528" s="28"/>
      <c r="M528" s="28"/>
      <c r="N528" s="28"/>
      <c r="O528" s="28"/>
      <c r="P528" s="28"/>
      <c r="Q528" s="28"/>
      <c r="R528" s="28"/>
      <c r="S528" s="28"/>
      <c r="T528" s="28"/>
      <c r="U528" s="28"/>
      <c r="V528" s="28"/>
      <c r="W528" s="28"/>
      <c r="X528" s="28"/>
      <c r="Y528" s="28"/>
      <c r="Z528" s="28"/>
    </row>
    <row r="529" ht="15.75" customHeight="1">
      <c r="A529" s="125"/>
      <c r="B529" s="125"/>
      <c r="C529" s="125"/>
      <c r="D529" s="128"/>
      <c r="E529" s="126"/>
      <c r="F529" s="38"/>
      <c r="G529" s="127"/>
      <c r="H529" s="28"/>
      <c r="I529" s="28"/>
      <c r="J529" s="28"/>
      <c r="K529" s="28"/>
      <c r="L529" s="28"/>
      <c r="M529" s="28"/>
      <c r="N529" s="28"/>
      <c r="O529" s="28"/>
      <c r="P529" s="28"/>
      <c r="Q529" s="28"/>
      <c r="R529" s="28"/>
      <c r="S529" s="28"/>
      <c r="T529" s="28"/>
      <c r="U529" s="28"/>
      <c r="V529" s="28"/>
      <c r="W529" s="28"/>
      <c r="X529" s="28"/>
      <c r="Y529" s="28"/>
      <c r="Z529" s="28"/>
    </row>
    <row r="530" ht="15.75" customHeight="1">
      <c r="A530" s="125"/>
      <c r="B530" s="125"/>
      <c r="C530" s="125"/>
      <c r="D530" s="128"/>
      <c r="E530" s="126"/>
      <c r="F530" s="38"/>
      <c r="G530" s="127"/>
      <c r="H530" s="28"/>
      <c r="I530" s="28"/>
      <c r="J530" s="28"/>
      <c r="K530" s="28"/>
      <c r="L530" s="28"/>
      <c r="M530" s="28"/>
      <c r="N530" s="28"/>
      <c r="O530" s="28"/>
      <c r="P530" s="28"/>
      <c r="Q530" s="28"/>
      <c r="R530" s="28"/>
      <c r="S530" s="28"/>
      <c r="T530" s="28"/>
      <c r="U530" s="28"/>
      <c r="V530" s="28"/>
      <c r="W530" s="28"/>
      <c r="X530" s="28"/>
      <c r="Y530" s="28"/>
      <c r="Z530" s="28"/>
    </row>
    <row r="531" ht="15.75" customHeight="1">
      <c r="A531" s="125"/>
      <c r="B531" s="125"/>
      <c r="C531" s="125"/>
      <c r="D531" s="128"/>
      <c r="E531" s="126"/>
      <c r="F531" s="38"/>
      <c r="G531" s="127"/>
      <c r="H531" s="28"/>
      <c r="I531" s="28"/>
      <c r="J531" s="28"/>
      <c r="K531" s="28"/>
      <c r="L531" s="28"/>
      <c r="M531" s="28"/>
      <c r="N531" s="28"/>
      <c r="O531" s="28"/>
      <c r="P531" s="28"/>
      <c r="Q531" s="28"/>
      <c r="R531" s="28"/>
      <c r="S531" s="28"/>
      <c r="T531" s="28"/>
      <c r="U531" s="28"/>
      <c r="V531" s="28"/>
      <c r="W531" s="28"/>
      <c r="X531" s="28"/>
      <c r="Y531" s="28"/>
      <c r="Z531" s="28"/>
    </row>
    <row r="532" ht="15.75" customHeight="1">
      <c r="A532" s="125"/>
      <c r="B532" s="125"/>
      <c r="C532" s="125"/>
      <c r="D532" s="128"/>
      <c r="E532" s="126"/>
      <c r="F532" s="38"/>
      <c r="G532" s="127"/>
      <c r="H532" s="28"/>
      <c r="I532" s="28"/>
      <c r="J532" s="28"/>
      <c r="K532" s="28"/>
      <c r="L532" s="28"/>
      <c r="M532" s="28"/>
      <c r="N532" s="28"/>
      <c r="O532" s="28"/>
      <c r="P532" s="28"/>
      <c r="Q532" s="28"/>
      <c r="R532" s="28"/>
      <c r="S532" s="28"/>
      <c r="T532" s="28"/>
      <c r="U532" s="28"/>
      <c r="V532" s="28"/>
      <c r="W532" s="28"/>
      <c r="X532" s="28"/>
      <c r="Y532" s="28"/>
      <c r="Z532" s="28"/>
    </row>
    <row r="533" ht="15.75" customHeight="1">
      <c r="A533" s="125"/>
      <c r="B533" s="125"/>
      <c r="C533" s="125"/>
      <c r="D533" s="128"/>
      <c r="E533" s="126"/>
      <c r="F533" s="38"/>
      <c r="G533" s="127"/>
      <c r="H533" s="28"/>
      <c r="I533" s="28"/>
      <c r="J533" s="28"/>
      <c r="K533" s="28"/>
      <c r="L533" s="28"/>
      <c r="M533" s="28"/>
      <c r="N533" s="28"/>
      <c r="O533" s="28"/>
      <c r="P533" s="28"/>
      <c r="Q533" s="28"/>
      <c r="R533" s="28"/>
      <c r="S533" s="28"/>
      <c r="T533" s="28"/>
      <c r="U533" s="28"/>
      <c r="V533" s="28"/>
      <c r="W533" s="28"/>
      <c r="X533" s="28"/>
      <c r="Y533" s="28"/>
      <c r="Z533" s="28"/>
    </row>
    <row r="534" ht="15.75" customHeight="1">
      <c r="A534" s="125"/>
      <c r="B534" s="125"/>
      <c r="C534" s="125"/>
      <c r="D534" s="128"/>
      <c r="E534" s="126"/>
      <c r="F534" s="38"/>
      <c r="G534" s="127"/>
      <c r="H534" s="28"/>
      <c r="I534" s="28"/>
      <c r="J534" s="28"/>
      <c r="K534" s="28"/>
      <c r="L534" s="28"/>
      <c r="M534" s="28"/>
      <c r="N534" s="28"/>
      <c r="O534" s="28"/>
      <c r="P534" s="28"/>
      <c r="Q534" s="28"/>
      <c r="R534" s="28"/>
      <c r="S534" s="28"/>
      <c r="T534" s="28"/>
      <c r="U534" s="28"/>
      <c r="V534" s="28"/>
      <c r="W534" s="28"/>
      <c r="X534" s="28"/>
      <c r="Y534" s="28"/>
      <c r="Z534" s="28"/>
    </row>
    <row r="535" ht="15.75" customHeight="1">
      <c r="A535" s="125"/>
      <c r="B535" s="125"/>
      <c r="C535" s="125"/>
      <c r="D535" s="128"/>
      <c r="E535" s="126"/>
      <c r="F535" s="38"/>
      <c r="G535" s="127"/>
      <c r="H535" s="28"/>
      <c r="I535" s="28"/>
      <c r="J535" s="28"/>
      <c r="K535" s="28"/>
      <c r="L535" s="28"/>
      <c r="M535" s="28"/>
      <c r="N535" s="28"/>
      <c r="O535" s="28"/>
      <c r="P535" s="28"/>
      <c r="Q535" s="28"/>
      <c r="R535" s="28"/>
      <c r="S535" s="28"/>
      <c r="T535" s="28"/>
      <c r="U535" s="28"/>
      <c r="V535" s="28"/>
      <c r="W535" s="28"/>
      <c r="X535" s="28"/>
      <c r="Y535" s="28"/>
      <c r="Z535" s="28"/>
    </row>
    <row r="536" ht="15.75" customHeight="1">
      <c r="A536" s="125"/>
      <c r="B536" s="125"/>
      <c r="C536" s="125"/>
      <c r="D536" s="128"/>
      <c r="E536" s="126"/>
      <c r="F536" s="38"/>
      <c r="G536" s="127"/>
      <c r="H536" s="28"/>
      <c r="I536" s="28"/>
      <c r="J536" s="28"/>
      <c r="K536" s="28"/>
      <c r="L536" s="28"/>
      <c r="M536" s="28"/>
      <c r="N536" s="28"/>
      <c r="O536" s="28"/>
      <c r="P536" s="28"/>
      <c r="Q536" s="28"/>
      <c r="R536" s="28"/>
      <c r="S536" s="28"/>
      <c r="T536" s="28"/>
      <c r="U536" s="28"/>
      <c r="V536" s="28"/>
      <c r="W536" s="28"/>
      <c r="X536" s="28"/>
      <c r="Y536" s="28"/>
      <c r="Z536" s="28"/>
    </row>
    <row r="537" ht="15.75" customHeight="1">
      <c r="A537" s="125"/>
      <c r="B537" s="125"/>
      <c r="C537" s="125"/>
      <c r="D537" s="128"/>
      <c r="E537" s="126"/>
      <c r="F537" s="38"/>
      <c r="G537" s="127"/>
      <c r="H537" s="28"/>
      <c r="I537" s="28"/>
      <c r="J537" s="28"/>
      <c r="K537" s="28"/>
      <c r="L537" s="28"/>
      <c r="M537" s="28"/>
      <c r="N537" s="28"/>
      <c r="O537" s="28"/>
      <c r="P537" s="28"/>
      <c r="Q537" s="28"/>
      <c r="R537" s="28"/>
      <c r="S537" s="28"/>
      <c r="T537" s="28"/>
      <c r="U537" s="28"/>
      <c r="V537" s="28"/>
      <c r="W537" s="28"/>
      <c r="X537" s="28"/>
      <c r="Y537" s="28"/>
      <c r="Z537" s="28"/>
    </row>
    <row r="538" ht="15.75" customHeight="1">
      <c r="A538" s="125"/>
      <c r="B538" s="125"/>
      <c r="C538" s="125"/>
      <c r="D538" s="128"/>
      <c r="E538" s="126"/>
      <c r="F538" s="38"/>
      <c r="G538" s="127"/>
      <c r="H538" s="28"/>
      <c r="I538" s="28"/>
      <c r="J538" s="28"/>
      <c r="K538" s="28"/>
      <c r="L538" s="28"/>
      <c r="M538" s="28"/>
      <c r="N538" s="28"/>
      <c r="O538" s="28"/>
      <c r="P538" s="28"/>
      <c r="Q538" s="28"/>
      <c r="R538" s="28"/>
      <c r="S538" s="28"/>
      <c r="T538" s="28"/>
      <c r="U538" s="28"/>
      <c r="V538" s="28"/>
      <c r="W538" s="28"/>
      <c r="X538" s="28"/>
      <c r="Y538" s="28"/>
      <c r="Z538" s="28"/>
    </row>
    <row r="539" ht="15.75" customHeight="1">
      <c r="A539" s="125"/>
      <c r="B539" s="125"/>
      <c r="C539" s="125"/>
      <c r="D539" s="128"/>
      <c r="E539" s="126"/>
      <c r="F539" s="38"/>
      <c r="G539" s="127"/>
      <c r="H539" s="28"/>
      <c r="I539" s="28"/>
      <c r="J539" s="28"/>
      <c r="K539" s="28"/>
      <c r="L539" s="28"/>
      <c r="M539" s="28"/>
      <c r="N539" s="28"/>
      <c r="O539" s="28"/>
      <c r="P539" s="28"/>
      <c r="Q539" s="28"/>
      <c r="R539" s="28"/>
      <c r="S539" s="28"/>
      <c r="T539" s="28"/>
      <c r="U539" s="28"/>
      <c r="V539" s="28"/>
      <c r="W539" s="28"/>
      <c r="X539" s="28"/>
      <c r="Y539" s="28"/>
      <c r="Z539" s="28"/>
    </row>
    <row r="540" ht="15.75" customHeight="1">
      <c r="A540" s="125"/>
      <c r="B540" s="125"/>
      <c r="C540" s="125"/>
      <c r="D540" s="128"/>
      <c r="E540" s="126"/>
      <c r="F540" s="38"/>
      <c r="G540" s="127"/>
      <c r="H540" s="28"/>
      <c r="I540" s="28"/>
      <c r="J540" s="28"/>
      <c r="K540" s="28"/>
      <c r="L540" s="28"/>
      <c r="M540" s="28"/>
      <c r="N540" s="28"/>
      <c r="O540" s="28"/>
      <c r="P540" s="28"/>
      <c r="Q540" s="28"/>
      <c r="R540" s="28"/>
      <c r="S540" s="28"/>
      <c r="T540" s="28"/>
      <c r="U540" s="28"/>
      <c r="V540" s="28"/>
      <c r="W540" s="28"/>
      <c r="X540" s="28"/>
      <c r="Y540" s="28"/>
      <c r="Z540" s="28"/>
    </row>
    <row r="541" ht="15.75" customHeight="1">
      <c r="A541" s="125"/>
      <c r="B541" s="125"/>
      <c r="C541" s="125"/>
      <c r="D541" s="128"/>
      <c r="E541" s="126"/>
      <c r="F541" s="38"/>
      <c r="G541" s="127"/>
      <c r="H541" s="28"/>
      <c r="I541" s="28"/>
      <c r="J541" s="28"/>
      <c r="K541" s="28"/>
      <c r="L541" s="28"/>
      <c r="M541" s="28"/>
      <c r="N541" s="28"/>
      <c r="O541" s="28"/>
      <c r="P541" s="28"/>
      <c r="Q541" s="28"/>
      <c r="R541" s="28"/>
      <c r="S541" s="28"/>
      <c r="T541" s="28"/>
      <c r="U541" s="28"/>
      <c r="V541" s="28"/>
      <c r="W541" s="28"/>
      <c r="X541" s="28"/>
      <c r="Y541" s="28"/>
      <c r="Z541" s="28"/>
    </row>
    <row r="542" ht="15.75" customHeight="1">
      <c r="A542" s="125"/>
      <c r="B542" s="125"/>
      <c r="C542" s="125"/>
      <c r="D542" s="128"/>
      <c r="E542" s="126"/>
      <c r="F542" s="38"/>
      <c r="G542" s="127"/>
      <c r="H542" s="28"/>
      <c r="I542" s="28"/>
      <c r="J542" s="28"/>
      <c r="K542" s="28"/>
      <c r="L542" s="28"/>
      <c r="M542" s="28"/>
      <c r="N542" s="28"/>
      <c r="O542" s="28"/>
      <c r="P542" s="28"/>
      <c r="Q542" s="28"/>
      <c r="R542" s="28"/>
      <c r="S542" s="28"/>
      <c r="T542" s="28"/>
      <c r="U542" s="28"/>
      <c r="V542" s="28"/>
      <c r="W542" s="28"/>
      <c r="X542" s="28"/>
      <c r="Y542" s="28"/>
      <c r="Z542" s="28"/>
    </row>
    <row r="543" ht="15.75" customHeight="1">
      <c r="A543" s="125"/>
      <c r="B543" s="125"/>
      <c r="C543" s="125"/>
      <c r="D543" s="128"/>
      <c r="E543" s="126"/>
      <c r="F543" s="38"/>
      <c r="G543" s="127"/>
      <c r="H543" s="28"/>
      <c r="I543" s="28"/>
      <c r="J543" s="28"/>
      <c r="K543" s="28"/>
      <c r="L543" s="28"/>
      <c r="M543" s="28"/>
      <c r="N543" s="28"/>
      <c r="O543" s="28"/>
      <c r="P543" s="28"/>
      <c r="Q543" s="28"/>
      <c r="R543" s="28"/>
      <c r="S543" s="28"/>
      <c r="T543" s="28"/>
      <c r="U543" s="28"/>
      <c r="V543" s="28"/>
      <c r="W543" s="28"/>
      <c r="X543" s="28"/>
      <c r="Y543" s="28"/>
      <c r="Z543" s="28"/>
    </row>
    <row r="544" ht="15.75" customHeight="1">
      <c r="A544" s="125"/>
      <c r="B544" s="125"/>
      <c r="C544" s="125"/>
      <c r="D544" s="128"/>
      <c r="E544" s="126"/>
      <c r="F544" s="38"/>
      <c r="G544" s="127"/>
      <c r="H544" s="28"/>
      <c r="I544" s="28"/>
      <c r="J544" s="28"/>
      <c r="K544" s="28"/>
      <c r="L544" s="28"/>
      <c r="M544" s="28"/>
      <c r="N544" s="28"/>
      <c r="O544" s="28"/>
      <c r="P544" s="28"/>
      <c r="Q544" s="28"/>
      <c r="R544" s="28"/>
      <c r="S544" s="28"/>
      <c r="T544" s="28"/>
      <c r="U544" s="28"/>
      <c r="V544" s="28"/>
      <c r="W544" s="28"/>
      <c r="X544" s="28"/>
      <c r="Y544" s="28"/>
      <c r="Z544" s="28"/>
    </row>
    <row r="545" ht="15.75" customHeight="1">
      <c r="A545" s="125"/>
      <c r="B545" s="125"/>
      <c r="C545" s="125"/>
      <c r="D545" s="128"/>
      <c r="E545" s="126"/>
      <c r="F545" s="38"/>
      <c r="G545" s="127"/>
      <c r="H545" s="28"/>
      <c r="I545" s="28"/>
      <c r="J545" s="28"/>
      <c r="K545" s="28"/>
      <c r="L545" s="28"/>
      <c r="M545" s="28"/>
      <c r="N545" s="28"/>
      <c r="O545" s="28"/>
      <c r="P545" s="28"/>
      <c r="Q545" s="28"/>
      <c r="R545" s="28"/>
      <c r="S545" s="28"/>
      <c r="T545" s="28"/>
      <c r="U545" s="28"/>
      <c r="V545" s="28"/>
      <c r="W545" s="28"/>
      <c r="X545" s="28"/>
      <c r="Y545" s="28"/>
      <c r="Z545" s="28"/>
    </row>
    <row r="546" ht="15.75" customHeight="1">
      <c r="A546" s="125"/>
      <c r="B546" s="125"/>
      <c r="C546" s="125"/>
      <c r="D546" s="128"/>
      <c r="E546" s="126"/>
      <c r="F546" s="38"/>
      <c r="G546" s="127"/>
      <c r="H546" s="28"/>
      <c r="I546" s="28"/>
      <c r="J546" s="28"/>
      <c r="K546" s="28"/>
      <c r="L546" s="28"/>
      <c r="M546" s="28"/>
      <c r="N546" s="28"/>
      <c r="O546" s="28"/>
      <c r="P546" s="28"/>
      <c r="Q546" s="28"/>
      <c r="R546" s="28"/>
      <c r="S546" s="28"/>
      <c r="T546" s="28"/>
      <c r="U546" s="28"/>
      <c r="V546" s="28"/>
      <c r="W546" s="28"/>
      <c r="X546" s="28"/>
      <c r="Y546" s="28"/>
      <c r="Z546" s="28"/>
    </row>
    <row r="547" ht="15.75" customHeight="1">
      <c r="A547" s="125"/>
      <c r="B547" s="125"/>
      <c r="C547" s="125"/>
      <c r="D547" s="128"/>
      <c r="E547" s="126"/>
      <c r="F547" s="38"/>
      <c r="G547" s="127"/>
      <c r="H547" s="28"/>
      <c r="I547" s="28"/>
      <c r="J547" s="28"/>
      <c r="K547" s="28"/>
      <c r="L547" s="28"/>
      <c r="M547" s="28"/>
      <c r="N547" s="28"/>
      <c r="O547" s="28"/>
      <c r="P547" s="28"/>
      <c r="Q547" s="28"/>
      <c r="R547" s="28"/>
      <c r="S547" s="28"/>
      <c r="T547" s="28"/>
      <c r="U547" s="28"/>
      <c r="V547" s="28"/>
      <c r="W547" s="28"/>
      <c r="X547" s="28"/>
      <c r="Y547" s="28"/>
      <c r="Z547" s="28"/>
    </row>
    <row r="548" ht="15.75" customHeight="1">
      <c r="A548" s="125"/>
      <c r="B548" s="125"/>
      <c r="C548" s="125"/>
      <c r="D548" s="128"/>
      <c r="E548" s="126"/>
      <c r="F548" s="38"/>
      <c r="G548" s="127"/>
      <c r="H548" s="28"/>
      <c r="I548" s="28"/>
      <c r="J548" s="28"/>
      <c r="K548" s="28"/>
      <c r="L548" s="28"/>
      <c r="M548" s="28"/>
      <c r="N548" s="28"/>
      <c r="O548" s="28"/>
      <c r="P548" s="28"/>
      <c r="Q548" s="28"/>
      <c r="R548" s="28"/>
      <c r="S548" s="28"/>
      <c r="T548" s="28"/>
      <c r="U548" s="28"/>
      <c r="V548" s="28"/>
      <c r="W548" s="28"/>
      <c r="X548" s="28"/>
      <c r="Y548" s="28"/>
      <c r="Z548" s="28"/>
    </row>
    <row r="549" ht="15.75" customHeight="1">
      <c r="A549" s="125"/>
      <c r="B549" s="125"/>
      <c r="C549" s="125"/>
      <c r="D549" s="128"/>
      <c r="E549" s="126"/>
      <c r="F549" s="38"/>
      <c r="G549" s="127"/>
      <c r="H549" s="28"/>
      <c r="I549" s="28"/>
      <c r="J549" s="28"/>
      <c r="K549" s="28"/>
      <c r="L549" s="28"/>
      <c r="M549" s="28"/>
      <c r="N549" s="28"/>
      <c r="O549" s="28"/>
      <c r="P549" s="28"/>
      <c r="Q549" s="28"/>
      <c r="R549" s="28"/>
      <c r="S549" s="28"/>
      <c r="T549" s="28"/>
      <c r="U549" s="28"/>
      <c r="V549" s="28"/>
      <c r="W549" s="28"/>
      <c r="X549" s="28"/>
      <c r="Y549" s="28"/>
      <c r="Z549" s="28"/>
    </row>
    <row r="550" ht="15.75" customHeight="1">
      <c r="A550" s="125"/>
      <c r="B550" s="125"/>
      <c r="C550" s="125"/>
      <c r="D550" s="128"/>
      <c r="E550" s="126"/>
      <c r="F550" s="38"/>
      <c r="G550" s="127"/>
      <c r="H550" s="28"/>
      <c r="I550" s="28"/>
      <c r="J550" s="28"/>
      <c r="K550" s="28"/>
      <c r="L550" s="28"/>
      <c r="M550" s="28"/>
      <c r="N550" s="28"/>
      <c r="O550" s="28"/>
      <c r="P550" s="28"/>
      <c r="Q550" s="28"/>
      <c r="R550" s="28"/>
      <c r="S550" s="28"/>
      <c r="T550" s="28"/>
      <c r="U550" s="28"/>
      <c r="V550" s="28"/>
      <c r="W550" s="28"/>
      <c r="X550" s="28"/>
      <c r="Y550" s="28"/>
      <c r="Z550" s="28"/>
    </row>
    <row r="551" ht="15.75" customHeight="1">
      <c r="A551" s="125"/>
      <c r="B551" s="125"/>
      <c r="C551" s="125"/>
      <c r="D551" s="128"/>
      <c r="E551" s="126"/>
      <c r="F551" s="38"/>
      <c r="G551" s="127"/>
      <c r="H551" s="28"/>
      <c r="I551" s="28"/>
      <c r="J551" s="28"/>
      <c r="K551" s="28"/>
      <c r="L551" s="28"/>
      <c r="M551" s="28"/>
      <c r="N551" s="28"/>
      <c r="O551" s="28"/>
      <c r="P551" s="28"/>
      <c r="Q551" s="28"/>
      <c r="R551" s="28"/>
      <c r="S551" s="28"/>
      <c r="T551" s="28"/>
      <c r="U551" s="28"/>
      <c r="V551" s="28"/>
      <c r="W551" s="28"/>
      <c r="X551" s="28"/>
      <c r="Y551" s="28"/>
      <c r="Z551" s="28"/>
    </row>
    <row r="552" ht="15.75" customHeight="1">
      <c r="A552" s="125"/>
      <c r="B552" s="125"/>
      <c r="C552" s="125"/>
      <c r="D552" s="128"/>
      <c r="E552" s="126"/>
      <c r="F552" s="38"/>
      <c r="G552" s="127"/>
      <c r="H552" s="28"/>
      <c r="I552" s="28"/>
      <c r="J552" s="28"/>
      <c r="K552" s="28"/>
      <c r="L552" s="28"/>
      <c r="M552" s="28"/>
      <c r="N552" s="28"/>
      <c r="O552" s="28"/>
      <c r="P552" s="28"/>
      <c r="Q552" s="28"/>
      <c r="R552" s="28"/>
      <c r="S552" s="28"/>
      <c r="T552" s="28"/>
      <c r="U552" s="28"/>
      <c r="V552" s="28"/>
      <c r="W552" s="28"/>
      <c r="X552" s="28"/>
      <c r="Y552" s="28"/>
      <c r="Z552" s="28"/>
    </row>
    <row r="553" ht="15.75" customHeight="1">
      <c r="A553" s="125"/>
      <c r="B553" s="125"/>
      <c r="C553" s="125"/>
      <c r="D553" s="128"/>
      <c r="E553" s="126"/>
      <c r="F553" s="38"/>
      <c r="G553" s="127"/>
      <c r="H553" s="28"/>
      <c r="I553" s="28"/>
      <c r="J553" s="28"/>
      <c r="K553" s="28"/>
      <c r="L553" s="28"/>
      <c r="M553" s="28"/>
      <c r="N553" s="28"/>
      <c r="O553" s="28"/>
      <c r="P553" s="28"/>
      <c r="Q553" s="28"/>
      <c r="R553" s="28"/>
      <c r="S553" s="28"/>
      <c r="T553" s="28"/>
      <c r="U553" s="28"/>
      <c r="V553" s="28"/>
      <c r="W553" s="28"/>
      <c r="X553" s="28"/>
      <c r="Y553" s="28"/>
      <c r="Z553" s="28"/>
    </row>
    <row r="554" ht="15.75" customHeight="1">
      <c r="A554" s="125"/>
      <c r="B554" s="125"/>
      <c r="C554" s="125"/>
      <c r="D554" s="128"/>
      <c r="E554" s="126"/>
      <c r="F554" s="38"/>
      <c r="G554" s="127"/>
      <c r="H554" s="28"/>
      <c r="I554" s="28"/>
      <c r="J554" s="28"/>
      <c r="K554" s="28"/>
      <c r="L554" s="28"/>
      <c r="M554" s="28"/>
      <c r="N554" s="28"/>
      <c r="O554" s="28"/>
      <c r="P554" s="28"/>
      <c r="Q554" s="28"/>
      <c r="R554" s="28"/>
      <c r="S554" s="28"/>
      <c r="T554" s="28"/>
      <c r="U554" s="28"/>
      <c r="V554" s="28"/>
      <c r="W554" s="28"/>
      <c r="X554" s="28"/>
      <c r="Y554" s="28"/>
      <c r="Z554" s="28"/>
    </row>
    <row r="555" ht="15.75" customHeight="1">
      <c r="A555" s="125"/>
      <c r="B555" s="125"/>
      <c r="C555" s="125"/>
      <c r="D555" s="128"/>
      <c r="E555" s="126"/>
      <c r="F555" s="38"/>
      <c r="G555" s="127"/>
      <c r="H555" s="28"/>
      <c r="I555" s="28"/>
      <c r="J555" s="28"/>
      <c r="K555" s="28"/>
      <c r="L555" s="28"/>
      <c r="M555" s="28"/>
      <c r="N555" s="28"/>
      <c r="O555" s="28"/>
      <c r="P555" s="28"/>
      <c r="Q555" s="28"/>
      <c r="R555" s="28"/>
      <c r="S555" s="28"/>
      <c r="T555" s="28"/>
      <c r="U555" s="28"/>
      <c r="V555" s="28"/>
      <c r="W555" s="28"/>
      <c r="X555" s="28"/>
      <c r="Y555" s="28"/>
      <c r="Z555" s="28"/>
    </row>
    <row r="556" ht="15.75" customHeight="1">
      <c r="A556" s="125"/>
      <c r="B556" s="125"/>
      <c r="C556" s="125"/>
      <c r="D556" s="128"/>
      <c r="E556" s="126"/>
      <c r="F556" s="38"/>
      <c r="G556" s="127"/>
      <c r="H556" s="28"/>
      <c r="I556" s="28"/>
      <c r="J556" s="28"/>
      <c r="K556" s="28"/>
      <c r="L556" s="28"/>
      <c r="M556" s="28"/>
      <c r="N556" s="28"/>
      <c r="O556" s="28"/>
      <c r="P556" s="28"/>
      <c r="Q556" s="28"/>
      <c r="R556" s="28"/>
      <c r="S556" s="28"/>
      <c r="T556" s="28"/>
      <c r="U556" s="28"/>
      <c r="V556" s="28"/>
      <c r="W556" s="28"/>
      <c r="X556" s="28"/>
      <c r="Y556" s="28"/>
      <c r="Z556" s="28"/>
    </row>
    <row r="557" ht="15.75" customHeight="1">
      <c r="A557" s="125"/>
      <c r="B557" s="125"/>
      <c r="C557" s="125"/>
      <c r="D557" s="128"/>
      <c r="E557" s="126"/>
      <c r="F557" s="38"/>
      <c r="G557" s="127"/>
      <c r="H557" s="28"/>
      <c r="I557" s="28"/>
      <c r="J557" s="28"/>
      <c r="K557" s="28"/>
      <c r="L557" s="28"/>
      <c r="M557" s="28"/>
      <c r="N557" s="28"/>
      <c r="O557" s="28"/>
      <c r="P557" s="28"/>
      <c r="Q557" s="28"/>
      <c r="R557" s="28"/>
      <c r="S557" s="28"/>
      <c r="T557" s="28"/>
      <c r="U557" s="28"/>
      <c r="V557" s="28"/>
      <c r="W557" s="28"/>
      <c r="X557" s="28"/>
      <c r="Y557" s="28"/>
      <c r="Z557" s="28"/>
    </row>
    <row r="558" ht="15.75" customHeight="1">
      <c r="A558" s="125"/>
      <c r="B558" s="125"/>
      <c r="C558" s="125"/>
      <c r="D558" s="128"/>
      <c r="E558" s="126"/>
      <c r="F558" s="38"/>
      <c r="G558" s="127"/>
      <c r="H558" s="28"/>
      <c r="I558" s="28"/>
      <c r="J558" s="28"/>
      <c r="K558" s="28"/>
      <c r="L558" s="28"/>
      <c r="M558" s="28"/>
      <c r="N558" s="28"/>
      <c r="O558" s="28"/>
      <c r="P558" s="28"/>
      <c r="Q558" s="28"/>
      <c r="R558" s="28"/>
      <c r="S558" s="28"/>
      <c r="T558" s="28"/>
      <c r="U558" s="28"/>
      <c r="V558" s="28"/>
      <c r="W558" s="28"/>
      <c r="X558" s="28"/>
      <c r="Y558" s="28"/>
      <c r="Z558" s="28"/>
    </row>
    <row r="559" ht="15.75" customHeight="1">
      <c r="A559" s="125"/>
      <c r="B559" s="125"/>
      <c r="C559" s="125"/>
      <c r="D559" s="128"/>
      <c r="E559" s="126"/>
      <c r="F559" s="38"/>
      <c r="G559" s="127"/>
      <c r="H559" s="28"/>
      <c r="I559" s="28"/>
      <c r="J559" s="28"/>
      <c r="K559" s="28"/>
      <c r="L559" s="28"/>
      <c r="M559" s="28"/>
      <c r="N559" s="28"/>
      <c r="O559" s="28"/>
      <c r="P559" s="28"/>
      <c r="Q559" s="28"/>
      <c r="R559" s="28"/>
      <c r="S559" s="28"/>
      <c r="T559" s="28"/>
      <c r="U559" s="28"/>
      <c r="V559" s="28"/>
      <c r="W559" s="28"/>
      <c r="X559" s="28"/>
      <c r="Y559" s="28"/>
      <c r="Z559" s="28"/>
    </row>
    <row r="560" ht="15.75" customHeight="1">
      <c r="A560" s="125"/>
      <c r="B560" s="125"/>
      <c r="C560" s="125"/>
      <c r="D560" s="128"/>
      <c r="E560" s="126"/>
      <c r="F560" s="38"/>
      <c r="G560" s="127"/>
      <c r="H560" s="28"/>
      <c r="I560" s="28"/>
      <c r="J560" s="28"/>
      <c r="K560" s="28"/>
      <c r="L560" s="28"/>
      <c r="M560" s="28"/>
      <c r="N560" s="28"/>
      <c r="O560" s="28"/>
      <c r="P560" s="28"/>
      <c r="Q560" s="28"/>
      <c r="R560" s="28"/>
      <c r="S560" s="28"/>
      <c r="T560" s="28"/>
      <c r="U560" s="28"/>
      <c r="V560" s="28"/>
      <c r="W560" s="28"/>
      <c r="X560" s="28"/>
      <c r="Y560" s="28"/>
      <c r="Z560" s="28"/>
    </row>
    <row r="561" ht="15.75" customHeight="1">
      <c r="A561" s="125"/>
      <c r="B561" s="125"/>
      <c r="C561" s="125"/>
      <c r="D561" s="128"/>
      <c r="E561" s="126"/>
      <c r="F561" s="38"/>
      <c r="G561" s="127"/>
      <c r="H561" s="28"/>
      <c r="I561" s="28"/>
      <c r="J561" s="28"/>
      <c r="K561" s="28"/>
      <c r="L561" s="28"/>
      <c r="M561" s="28"/>
      <c r="N561" s="28"/>
      <c r="O561" s="28"/>
      <c r="P561" s="28"/>
      <c r="Q561" s="28"/>
      <c r="R561" s="28"/>
      <c r="S561" s="28"/>
      <c r="T561" s="28"/>
      <c r="U561" s="28"/>
      <c r="V561" s="28"/>
      <c r="W561" s="28"/>
      <c r="X561" s="28"/>
      <c r="Y561" s="28"/>
      <c r="Z561" s="28"/>
    </row>
    <row r="562" ht="15.75" customHeight="1">
      <c r="A562" s="125"/>
      <c r="B562" s="125"/>
      <c r="C562" s="125"/>
      <c r="D562" s="128"/>
      <c r="E562" s="126"/>
      <c r="F562" s="38"/>
      <c r="G562" s="127"/>
      <c r="H562" s="28"/>
      <c r="I562" s="28"/>
      <c r="J562" s="28"/>
      <c r="K562" s="28"/>
      <c r="L562" s="28"/>
      <c r="M562" s="28"/>
      <c r="N562" s="28"/>
      <c r="O562" s="28"/>
      <c r="P562" s="28"/>
      <c r="Q562" s="28"/>
      <c r="R562" s="28"/>
      <c r="S562" s="28"/>
      <c r="T562" s="28"/>
      <c r="U562" s="28"/>
      <c r="V562" s="28"/>
      <c r="W562" s="28"/>
      <c r="X562" s="28"/>
      <c r="Y562" s="28"/>
      <c r="Z562" s="28"/>
    </row>
    <row r="563" ht="15.75" customHeight="1">
      <c r="A563" s="125"/>
      <c r="B563" s="125"/>
      <c r="C563" s="125"/>
      <c r="D563" s="128"/>
      <c r="E563" s="126"/>
      <c r="F563" s="38"/>
      <c r="G563" s="127"/>
      <c r="H563" s="28"/>
      <c r="I563" s="28"/>
      <c r="J563" s="28"/>
      <c r="K563" s="28"/>
      <c r="L563" s="28"/>
      <c r="M563" s="28"/>
      <c r="N563" s="28"/>
      <c r="O563" s="28"/>
      <c r="P563" s="28"/>
      <c r="Q563" s="28"/>
      <c r="R563" s="28"/>
      <c r="S563" s="28"/>
      <c r="T563" s="28"/>
      <c r="U563" s="28"/>
      <c r="V563" s="28"/>
      <c r="W563" s="28"/>
      <c r="X563" s="28"/>
      <c r="Y563" s="28"/>
      <c r="Z563" s="28"/>
    </row>
    <row r="564" ht="15.75" customHeight="1">
      <c r="A564" s="125"/>
      <c r="B564" s="125"/>
      <c r="C564" s="125"/>
      <c r="D564" s="128"/>
      <c r="E564" s="126"/>
      <c r="F564" s="38"/>
      <c r="G564" s="127"/>
      <c r="H564" s="28"/>
      <c r="I564" s="28"/>
      <c r="J564" s="28"/>
      <c r="K564" s="28"/>
      <c r="L564" s="28"/>
      <c r="M564" s="28"/>
      <c r="N564" s="28"/>
      <c r="O564" s="28"/>
      <c r="P564" s="28"/>
      <c r="Q564" s="28"/>
      <c r="R564" s="28"/>
      <c r="S564" s="28"/>
      <c r="T564" s="28"/>
      <c r="U564" s="28"/>
      <c r="V564" s="28"/>
      <c r="W564" s="28"/>
      <c r="X564" s="28"/>
      <c r="Y564" s="28"/>
      <c r="Z564" s="28"/>
    </row>
    <row r="565" ht="15.75" customHeight="1">
      <c r="A565" s="125"/>
      <c r="B565" s="125"/>
      <c r="C565" s="125"/>
      <c r="D565" s="128"/>
      <c r="E565" s="126"/>
      <c r="F565" s="38"/>
      <c r="G565" s="127"/>
      <c r="H565" s="28"/>
      <c r="I565" s="28"/>
      <c r="J565" s="28"/>
      <c r="K565" s="28"/>
      <c r="L565" s="28"/>
      <c r="M565" s="28"/>
      <c r="N565" s="28"/>
      <c r="O565" s="28"/>
      <c r="P565" s="28"/>
      <c r="Q565" s="28"/>
      <c r="R565" s="28"/>
      <c r="S565" s="28"/>
      <c r="T565" s="28"/>
      <c r="U565" s="28"/>
      <c r="V565" s="28"/>
      <c r="W565" s="28"/>
      <c r="X565" s="28"/>
      <c r="Y565" s="28"/>
      <c r="Z565" s="28"/>
    </row>
    <row r="566" ht="15.75" customHeight="1">
      <c r="A566" s="125"/>
      <c r="B566" s="125"/>
      <c r="C566" s="125"/>
      <c r="D566" s="128"/>
      <c r="E566" s="126"/>
      <c r="F566" s="38"/>
      <c r="G566" s="127"/>
      <c r="H566" s="28"/>
      <c r="I566" s="28"/>
      <c r="J566" s="28"/>
      <c r="K566" s="28"/>
      <c r="L566" s="28"/>
      <c r="M566" s="28"/>
      <c r="N566" s="28"/>
      <c r="O566" s="28"/>
      <c r="P566" s="28"/>
      <c r="Q566" s="28"/>
      <c r="R566" s="28"/>
      <c r="S566" s="28"/>
      <c r="T566" s="28"/>
      <c r="U566" s="28"/>
      <c r="V566" s="28"/>
      <c r="W566" s="28"/>
      <c r="X566" s="28"/>
      <c r="Y566" s="28"/>
      <c r="Z566" s="28"/>
    </row>
    <row r="567" ht="15.75" customHeight="1">
      <c r="A567" s="125"/>
      <c r="B567" s="125"/>
      <c r="C567" s="125"/>
      <c r="D567" s="128"/>
      <c r="E567" s="126"/>
      <c r="F567" s="38"/>
      <c r="G567" s="127"/>
      <c r="H567" s="28"/>
      <c r="I567" s="28"/>
      <c r="J567" s="28"/>
      <c r="K567" s="28"/>
      <c r="L567" s="28"/>
      <c r="M567" s="28"/>
      <c r="N567" s="28"/>
      <c r="O567" s="28"/>
      <c r="P567" s="28"/>
      <c r="Q567" s="28"/>
      <c r="R567" s="28"/>
      <c r="S567" s="28"/>
      <c r="T567" s="28"/>
      <c r="U567" s="28"/>
      <c r="V567" s="28"/>
      <c r="W567" s="28"/>
      <c r="X567" s="28"/>
      <c r="Y567" s="28"/>
      <c r="Z567" s="28"/>
    </row>
    <row r="568" ht="15.75" customHeight="1">
      <c r="A568" s="125"/>
      <c r="B568" s="125"/>
      <c r="C568" s="125"/>
      <c r="D568" s="128"/>
      <c r="E568" s="126"/>
      <c r="F568" s="38"/>
      <c r="G568" s="127"/>
      <c r="H568" s="28"/>
      <c r="I568" s="28"/>
      <c r="J568" s="28"/>
      <c r="K568" s="28"/>
      <c r="L568" s="28"/>
      <c r="M568" s="28"/>
      <c r="N568" s="28"/>
      <c r="O568" s="28"/>
      <c r="P568" s="28"/>
      <c r="Q568" s="28"/>
      <c r="R568" s="28"/>
      <c r="S568" s="28"/>
      <c r="T568" s="28"/>
      <c r="U568" s="28"/>
      <c r="V568" s="28"/>
      <c r="W568" s="28"/>
      <c r="X568" s="28"/>
      <c r="Y568" s="28"/>
      <c r="Z568" s="28"/>
    </row>
    <row r="569" ht="15.75" customHeight="1">
      <c r="A569" s="125"/>
      <c r="B569" s="125"/>
      <c r="C569" s="125"/>
      <c r="D569" s="128"/>
      <c r="E569" s="126"/>
      <c r="F569" s="38"/>
      <c r="G569" s="127"/>
      <c r="H569" s="28"/>
      <c r="I569" s="28"/>
      <c r="J569" s="28"/>
      <c r="K569" s="28"/>
      <c r="L569" s="28"/>
      <c r="M569" s="28"/>
      <c r="N569" s="28"/>
      <c r="O569" s="28"/>
      <c r="P569" s="28"/>
      <c r="Q569" s="28"/>
      <c r="R569" s="28"/>
      <c r="S569" s="28"/>
      <c r="T569" s="28"/>
      <c r="U569" s="28"/>
      <c r="V569" s="28"/>
      <c r="W569" s="28"/>
      <c r="X569" s="28"/>
      <c r="Y569" s="28"/>
      <c r="Z569" s="28"/>
    </row>
    <row r="570" ht="15.75" customHeight="1">
      <c r="A570" s="125"/>
      <c r="B570" s="125"/>
      <c r="C570" s="125"/>
      <c r="D570" s="128"/>
      <c r="E570" s="126"/>
      <c r="F570" s="38"/>
      <c r="G570" s="127"/>
      <c r="H570" s="28"/>
      <c r="I570" s="28"/>
      <c r="J570" s="28"/>
      <c r="K570" s="28"/>
      <c r="L570" s="28"/>
      <c r="M570" s="28"/>
      <c r="N570" s="28"/>
      <c r="O570" s="28"/>
      <c r="P570" s="28"/>
      <c r="Q570" s="28"/>
      <c r="R570" s="28"/>
      <c r="S570" s="28"/>
      <c r="T570" s="28"/>
      <c r="U570" s="28"/>
      <c r="V570" s="28"/>
      <c r="W570" s="28"/>
      <c r="X570" s="28"/>
      <c r="Y570" s="28"/>
      <c r="Z570" s="28"/>
    </row>
    <row r="571" ht="15.75" customHeight="1">
      <c r="A571" s="125"/>
      <c r="B571" s="125"/>
      <c r="C571" s="125"/>
      <c r="D571" s="128"/>
      <c r="E571" s="126"/>
      <c r="F571" s="38"/>
      <c r="G571" s="127"/>
      <c r="H571" s="28"/>
      <c r="I571" s="28"/>
      <c r="J571" s="28"/>
      <c r="K571" s="28"/>
      <c r="L571" s="28"/>
      <c r="M571" s="28"/>
      <c r="N571" s="28"/>
      <c r="O571" s="28"/>
      <c r="P571" s="28"/>
      <c r="Q571" s="28"/>
      <c r="R571" s="28"/>
      <c r="S571" s="28"/>
      <c r="T571" s="28"/>
      <c r="U571" s="28"/>
      <c r="V571" s="28"/>
      <c r="W571" s="28"/>
      <c r="X571" s="28"/>
      <c r="Y571" s="28"/>
      <c r="Z571" s="28"/>
    </row>
    <row r="572" ht="15.75" customHeight="1">
      <c r="A572" s="125"/>
      <c r="B572" s="125"/>
      <c r="C572" s="125"/>
      <c r="D572" s="128"/>
      <c r="E572" s="126"/>
      <c r="F572" s="38"/>
      <c r="G572" s="127"/>
      <c r="H572" s="28"/>
      <c r="I572" s="28"/>
      <c r="J572" s="28"/>
      <c r="K572" s="28"/>
      <c r="L572" s="28"/>
      <c r="M572" s="28"/>
      <c r="N572" s="28"/>
      <c r="O572" s="28"/>
      <c r="P572" s="28"/>
      <c r="Q572" s="28"/>
      <c r="R572" s="28"/>
      <c r="S572" s="28"/>
      <c r="T572" s="28"/>
      <c r="U572" s="28"/>
      <c r="V572" s="28"/>
      <c r="W572" s="28"/>
      <c r="X572" s="28"/>
      <c r="Y572" s="28"/>
      <c r="Z572" s="28"/>
    </row>
    <row r="573" ht="15.75" customHeight="1">
      <c r="A573" s="125"/>
      <c r="B573" s="125"/>
      <c r="C573" s="125"/>
      <c r="D573" s="128"/>
      <c r="E573" s="126"/>
      <c r="F573" s="38"/>
      <c r="G573" s="127"/>
      <c r="H573" s="28"/>
      <c r="I573" s="28"/>
      <c r="J573" s="28"/>
      <c r="K573" s="28"/>
      <c r="L573" s="28"/>
      <c r="M573" s="28"/>
      <c r="N573" s="28"/>
      <c r="O573" s="28"/>
      <c r="P573" s="28"/>
      <c r="Q573" s="28"/>
      <c r="R573" s="28"/>
      <c r="S573" s="28"/>
      <c r="T573" s="28"/>
      <c r="U573" s="28"/>
      <c r="V573" s="28"/>
      <c r="W573" s="28"/>
      <c r="X573" s="28"/>
      <c r="Y573" s="28"/>
      <c r="Z573" s="28"/>
    </row>
    <row r="574" ht="15.75" customHeight="1">
      <c r="A574" s="125"/>
      <c r="B574" s="125"/>
      <c r="C574" s="125"/>
      <c r="D574" s="128"/>
      <c r="E574" s="126"/>
      <c r="F574" s="38"/>
      <c r="G574" s="127"/>
      <c r="H574" s="28"/>
      <c r="I574" s="28"/>
      <c r="J574" s="28"/>
      <c r="K574" s="28"/>
      <c r="L574" s="28"/>
      <c r="M574" s="28"/>
      <c r="N574" s="28"/>
      <c r="O574" s="28"/>
      <c r="P574" s="28"/>
      <c r="Q574" s="28"/>
      <c r="R574" s="28"/>
      <c r="S574" s="28"/>
      <c r="T574" s="28"/>
      <c r="U574" s="28"/>
      <c r="V574" s="28"/>
      <c r="W574" s="28"/>
      <c r="X574" s="28"/>
      <c r="Y574" s="28"/>
      <c r="Z574" s="28"/>
    </row>
    <row r="575" ht="15.75" customHeight="1">
      <c r="A575" s="125"/>
      <c r="B575" s="125"/>
      <c r="C575" s="125"/>
      <c r="D575" s="128"/>
      <c r="E575" s="126"/>
      <c r="F575" s="38"/>
      <c r="G575" s="127"/>
      <c r="H575" s="28"/>
      <c r="I575" s="28"/>
      <c r="J575" s="28"/>
      <c r="K575" s="28"/>
      <c r="L575" s="28"/>
      <c r="M575" s="28"/>
      <c r="N575" s="28"/>
      <c r="O575" s="28"/>
      <c r="P575" s="28"/>
      <c r="Q575" s="28"/>
      <c r="R575" s="28"/>
      <c r="S575" s="28"/>
      <c r="T575" s="28"/>
      <c r="U575" s="28"/>
      <c r="V575" s="28"/>
      <c r="W575" s="28"/>
      <c r="X575" s="28"/>
      <c r="Y575" s="28"/>
      <c r="Z575" s="28"/>
    </row>
    <row r="576" ht="15.75" customHeight="1">
      <c r="A576" s="125"/>
      <c r="B576" s="125"/>
      <c r="C576" s="125"/>
      <c r="D576" s="128"/>
      <c r="E576" s="126"/>
      <c r="F576" s="38"/>
      <c r="G576" s="127"/>
      <c r="H576" s="28"/>
      <c r="I576" s="28"/>
      <c r="J576" s="28"/>
      <c r="K576" s="28"/>
      <c r="L576" s="28"/>
      <c r="M576" s="28"/>
      <c r="N576" s="28"/>
      <c r="O576" s="28"/>
      <c r="P576" s="28"/>
      <c r="Q576" s="28"/>
      <c r="R576" s="28"/>
      <c r="S576" s="28"/>
      <c r="T576" s="28"/>
      <c r="U576" s="28"/>
      <c r="V576" s="28"/>
      <c r="W576" s="28"/>
      <c r="X576" s="28"/>
      <c r="Y576" s="28"/>
      <c r="Z576" s="28"/>
    </row>
    <row r="577" ht="15.75" customHeight="1">
      <c r="A577" s="125"/>
      <c r="B577" s="125"/>
      <c r="C577" s="125"/>
      <c r="D577" s="128"/>
      <c r="E577" s="126"/>
      <c r="F577" s="38"/>
      <c r="G577" s="127"/>
      <c r="H577" s="28"/>
      <c r="I577" s="28"/>
      <c r="J577" s="28"/>
      <c r="K577" s="28"/>
      <c r="L577" s="28"/>
      <c r="M577" s="28"/>
      <c r="N577" s="28"/>
      <c r="O577" s="28"/>
      <c r="P577" s="28"/>
      <c r="Q577" s="28"/>
      <c r="R577" s="28"/>
      <c r="S577" s="28"/>
      <c r="T577" s="28"/>
      <c r="U577" s="28"/>
      <c r="V577" s="28"/>
      <c r="W577" s="28"/>
      <c r="X577" s="28"/>
      <c r="Y577" s="28"/>
      <c r="Z577" s="28"/>
    </row>
    <row r="578" ht="15.75" customHeight="1">
      <c r="A578" s="125"/>
      <c r="B578" s="125"/>
      <c r="C578" s="125"/>
      <c r="D578" s="128"/>
      <c r="E578" s="126"/>
      <c r="F578" s="38"/>
      <c r="G578" s="127"/>
      <c r="H578" s="28"/>
      <c r="I578" s="28"/>
      <c r="J578" s="28"/>
      <c r="K578" s="28"/>
      <c r="L578" s="28"/>
      <c r="M578" s="28"/>
      <c r="N578" s="28"/>
      <c r="O578" s="28"/>
      <c r="P578" s="28"/>
      <c r="Q578" s="28"/>
      <c r="R578" s="28"/>
      <c r="S578" s="28"/>
      <c r="T578" s="28"/>
      <c r="U578" s="28"/>
      <c r="V578" s="28"/>
      <c r="W578" s="28"/>
      <c r="X578" s="28"/>
      <c r="Y578" s="28"/>
      <c r="Z578" s="28"/>
    </row>
    <row r="579" ht="15.75" customHeight="1">
      <c r="A579" s="125"/>
      <c r="B579" s="125"/>
      <c r="C579" s="125"/>
      <c r="D579" s="128"/>
      <c r="E579" s="126"/>
      <c r="F579" s="38"/>
      <c r="G579" s="127"/>
      <c r="H579" s="28"/>
      <c r="I579" s="28"/>
      <c r="J579" s="28"/>
      <c r="K579" s="28"/>
      <c r="L579" s="28"/>
      <c r="M579" s="28"/>
      <c r="N579" s="28"/>
      <c r="O579" s="28"/>
      <c r="P579" s="28"/>
      <c r="Q579" s="28"/>
      <c r="R579" s="28"/>
      <c r="S579" s="28"/>
      <c r="T579" s="28"/>
      <c r="U579" s="28"/>
      <c r="V579" s="28"/>
      <c r="W579" s="28"/>
      <c r="X579" s="28"/>
      <c r="Y579" s="28"/>
      <c r="Z579" s="28"/>
    </row>
    <row r="580" ht="15.75" customHeight="1">
      <c r="A580" s="125"/>
      <c r="B580" s="125"/>
      <c r="C580" s="125"/>
      <c r="D580" s="128"/>
      <c r="E580" s="126"/>
      <c r="F580" s="38"/>
      <c r="G580" s="127"/>
      <c r="H580" s="28"/>
      <c r="I580" s="28"/>
      <c r="J580" s="28"/>
      <c r="K580" s="28"/>
      <c r="L580" s="28"/>
      <c r="M580" s="28"/>
      <c r="N580" s="28"/>
      <c r="O580" s="28"/>
      <c r="P580" s="28"/>
      <c r="Q580" s="28"/>
      <c r="R580" s="28"/>
      <c r="S580" s="28"/>
      <c r="T580" s="28"/>
      <c r="U580" s="28"/>
      <c r="V580" s="28"/>
      <c r="W580" s="28"/>
      <c r="X580" s="28"/>
      <c r="Y580" s="28"/>
      <c r="Z580" s="28"/>
    </row>
    <row r="581" ht="15.75" customHeight="1">
      <c r="A581" s="125"/>
      <c r="B581" s="125"/>
      <c r="C581" s="125"/>
      <c r="D581" s="128"/>
      <c r="E581" s="126"/>
      <c r="F581" s="38"/>
      <c r="G581" s="127"/>
      <c r="H581" s="28"/>
      <c r="I581" s="28"/>
      <c r="J581" s="28"/>
      <c r="K581" s="28"/>
      <c r="L581" s="28"/>
      <c r="M581" s="28"/>
      <c r="N581" s="28"/>
      <c r="O581" s="28"/>
      <c r="P581" s="28"/>
      <c r="Q581" s="28"/>
      <c r="R581" s="28"/>
      <c r="S581" s="28"/>
      <c r="T581" s="28"/>
      <c r="U581" s="28"/>
      <c r="V581" s="28"/>
      <c r="W581" s="28"/>
      <c r="X581" s="28"/>
      <c r="Y581" s="28"/>
      <c r="Z581" s="28"/>
    </row>
    <row r="582" ht="15.75" customHeight="1">
      <c r="A582" s="125"/>
      <c r="B582" s="125"/>
      <c r="C582" s="125"/>
      <c r="D582" s="128"/>
      <c r="E582" s="126"/>
      <c r="F582" s="38"/>
      <c r="G582" s="127"/>
      <c r="H582" s="28"/>
      <c r="I582" s="28"/>
      <c r="J582" s="28"/>
      <c r="K582" s="28"/>
      <c r="L582" s="28"/>
      <c r="M582" s="28"/>
      <c r="N582" s="28"/>
      <c r="O582" s="28"/>
      <c r="P582" s="28"/>
      <c r="Q582" s="28"/>
      <c r="R582" s="28"/>
      <c r="S582" s="28"/>
      <c r="T582" s="28"/>
      <c r="U582" s="28"/>
      <c r="V582" s="28"/>
      <c r="W582" s="28"/>
      <c r="X582" s="28"/>
      <c r="Y582" s="28"/>
      <c r="Z582" s="28"/>
    </row>
    <row r="583" ht="15.75" customHeight="1">
      <c r="A583" s="125"/>
      <c r="B583" s="125"/>
      <c r="C583" s="125"/>
      <c r="D583" s="128"/>
      <c r="E583" s="126"/>
      <c r="F583" s="38"/>
      <c r="G583" s="127"/>
      <c r="H583" s="28"/>
      <c r="I583" s="28"/>
      <c r="J583" s="28"/>
      <c r="K583" s="28"/>
      <c r="L583" s="28"/>
      <c r="M583" s="28"/>
      <c r="N583" s="28"/>
      <c r="O583" s="28"/>
      <c r="P583" s="28"/>
      <c r="Q583" s="28"/>
      <c r="R583" s="28"/>
      <c r="S583" s="28"/>
      <c r="T583" s="28"/>
      <c r="U583" s="28"/>
      <c r="V583" s="28"/>
      <c r="W583" s="28"/>
      <c r="X583" s="28"/>
      <c r="Y583" s="28"/>
      <c r="Z583" s="28"/>
    </row>
    <row r="584" ht="15.75" customHeight="1">
      <c r="A584" s="125"/>
      <c r="B584" s="125"/>
      <c r="C584" s="125"/>
      <c r="D584" s="128"/>
      <c r="E584" s="126"/>
      <c r="F584" s="38"/>
      <c r="G584" s="127"/>
      <c r="H584" s="28"/>
      <c r="I584" s="28"/>
      <c r="J584" s="28"/>
      <c r="K584" s="28"/>
      <c r="L584" s="28"/>
      <c r="M584" s="28"/>
      <c r="N584" s="28"/>
      <c r="O584" s="28"/>
      <c r="P584" s="28"/>
      <c r="Q584" s="28"/>
      <c r="R584" s="28"/>
      <c r="S584" s="28"/>
      <c r="T584" s="28"/>
      <c r="U584" s="28"/>
      <c r="V584" s="28"/>
      <c r="W584" s="28"/>
      <c r="X584" s="28"/>
      <c r="Y584" s="28"/>
      <c r="Z584" s="28"/>
    </row>
    <row r="585" ht="15.75" customHeight="1">
      <c r="A585" s="125"/>
      <c r="B585" s="125"/>
      <c r="C585" s="125"/>
      <c r="D585" s="128"/>
      <c r="E585" s="126"/>
      <c r="F585" s="38"/>
      <c r="G585" s="127"/>
      <c r="H585" s="28"/>
      <c r="I585" s="28"/>
      <c r="J585" s="28"/>
      <c r="K585" s="28"/>
      <c r="L585" s="28"/>
      <c r="M585" s="28"/>
      <c r="N585" s="28"/>
      <c r="O585" s="28"/>
      <c r="P585" s="28"/>
      <c r="Q585" s="28"/>
      <c r="R585" s="28"/>
      <c r="S585" s="28"/>
      <c r="T585" s="28"/>
      <c r="U585" s="28"/>
      <c r="V585" s="28"/>
      <c r="W585" s="28"/>
      <c r="X585" s="28"/>
      <c r="Y585" s="28"/>
      <c r="Z585" s="28"/>
    </row>
    <row r="586" ht="15.75" customHeight="1">
      <c r="A586" s="125"/>
      <c r="B586" s="125"/>
      <c r="C586" s="125"/>
      <c r="D586" s="128"/>
      <c r="E586" s="126"/>
      <c r="F586" s="38"/>
      <c r="G586" s="127"/>
      <c r="H586" s="28"/>
      <c r="I586" s="28"/>
      <c r="J586" s="28"/>
      <c r="K586" s="28"/>
      <c r="L586" s="28"/>
      <c r="M586" s="28"/>
      <c r="N586" s="28"/>
      <c r="O586" s="28"/>
      <c r="P586" s="28"/>
      <c r="Q586" s="28"/>
      <c r="R586" s="28"/>
      <c r="S586" s="28"/>
      <c r="T586" s="28"/>
      <c r="U586" s="28"/>
      <c r="V586" s="28"/>
      <c r="W586" s="28"/>
      <c r="X586" s="28"/>
      <c r="Y586" s="28"/>
      <c r="Z586" s="28"/>
    </row>
    <row r="587" ht="15.75" customHeight="1">
      <c r="A587" s="125"/>
      <c r="B587" s="125"/>
      <c r="C587" s="125"/>
      <c r="D587" s="128"/>
      <c r="E587" s="126"/>
      <c r="F587" s="38"/>
      <c r="G587" s="127"/>
      <c r="H587" s="28"/>
      <c r="I587" s="28"/>
      <c r="J587" s="28"/>
      <c r="K587" s="28"/>
      <c r="L587" s="28"/>
      <c r="M587" s="28"/>
      <c r="N587" s="28"/>
      <c r="O587" s="28"/>
      <c r="P587" s="28"/>
      <c r="Q587" s="28"/>
      <c r="R587" s="28"/>
      <c r="S587" s="28"/>
      <c r="T587" s="28"/>
      <c r="U587" s="28"/>
      <c r="V587" s="28"/>
      <c r="W587" s="28"/>
      <c r="X587" s="28"/>
      <c r="Y587" s="28"/>
      <c r="Z587" s="28"/>
    </row>
    <row r="588" ht="15.75" customHeight="1">
      <c r="A588" s="125"/>
      <c r="B588" s="125"/>
      <c r="C588" s="125"/>
      <c r="D588" s="128"/>
      <c r="E588" s="126"/>
      <c r="F588" s="38"/>
      <c r="G588" s="127"/>
      <c r="H588" s="28"/>
      <c r="I588" s="28"/>
      <c r="J588" s="28"/>
      <c r="K588" s="28"/>
      <c r="L588" s="28"/>
      <c r="M588" s="28"/>
      <c r="N588" s="28"/>
      <c r="O588" s="28"/>
      <c r="P588" s="28"/>
      <c r="Q588" s="28"/>
      <c r="R588" s="28"/>
      <c r="S588" s="28"/>
      <c r="T588" s="28"/>
      <c r="U588" s="28"/>
      <c r="V588" s="28"/>
      <c r="W588" s="28"/>
      <c r="X588" s="28"/>
      <c r="Y588" s="28"/>
      <c r="Z588" s="28"/>
    </row>
    <row r="589" ht="15.75" customHeight="1">
      <c r="A589" s="125"/>
      <c r="B589" s="125"/>
      <c r="C589" s="125"/>
      <c r="D589" s="128"/>
      <c r="E589" s="126"/>
      <c r="F589" s="38"/>
      <c r="G589" s="127"/>
      <c r="H589" s="28"/>
      <c r="I589" s="28"/>
      <c r="J589" s="28"/>
      <c r="K589" s="28"/>
      <c r="L589" s="28"/>
      <c r="M589" s="28"/>
      <c r="N589" s="28"/>
      <c r="O589" s="28"/>
      <c r="P589" s="28"/>
      <c r="Q589" s="28"/>
      <c r="R589" s="28"/>
      <c r="S589" s="28"/>
      <c r="T589" s="28"/>
      <c r="U589" s="28"/>
      <c r="V589" s="28"/>
      <c r="W589" s="28"/>
      <c r="X589" s="28"/>
      <c r="Y589" s="28"/>
      <c r="Z589" s="28"/>
    </row>
    <row r="590" ht="15.75" customHeight="1">
      <c r="A590" s="125"/>
      <c r="B590" s="125"/>
      <c r="C590" s="125"/>
      <c r="D590" s="128"/>
      <c r="E590" s="126"/>
      <c r="F590" s="38"/>
      <c r="G590" s="127"/>
      <c r="H590" s="28"/>
      <c r="I590" s="28"/>
      <c r="J590" s="28"/>
      <c r="K590" s="28"/>
      <c r="L590" s="28"/>
      <c r="M590" s="28"/>
      <c r="N590" s="28"/>
      <c r="O590" s="28"/>
      <c r="P590" s="28"/>
      <c r="Q590" s="28"/>
      <c r="R590" s="28"/>
      <c r="S590" s="28"/>
      <c r="T590" s="28"/>
      <c r="U590" s="28"/>
      <c r="V590" s="28"/>
      <c r="W590" s="28"/>
      <c r="X590" s="28"/>
      <c r="Y590" s="28"/>
      <c r="Z590" s="28"/>
    </row>
    <row r="591" ht="15.75" customHeight="1">
      <c r="A591" s="125"/>
      <c r="B591" s="125"/>
      <c r="C591" s="125"/>
      <c r="D591" s="128"/>
      <c r="E591" s="126"/>
      <c r="F591" s="38"/>
      <c r="G591" s="127"/>
      <c r="H591" s="28"/>
      <c r="I591" s="28"/>
      <c r="J591" s="28"/>
      <c r="K591" s="28"/>
      <c r="L591" s="28"/>
      <c r="M591" s="28"/>
      <c r="N591" s="28"/>
      <c r="O591" s="28"/>
      <c r="P591" s="28"/>
      <c r="Q591" s="28"/>
      <c r="R591" s="28"/>
      <c r="S591" s="28"/>
      <c r="T591" s="28"/>
      <c r="U591" s="28"/>
      <c r="V591" s="28"/>
      <c r="W591" s="28"/>
      <c r="X591" s="28"/>
      <c r="Y591" s="28"/>
      <c r="Z591" s="28"/>
    </row>
    <row r="592" ht="15.75" customHeight="1">
      <c r="A592" s="125"/>
      <c r="B592" s="125"/>
      <c r="C592" s="125"/>
      <c r="D592" s="128"/>
      <c r="E592" s="126"/>
      <c r="F592" s="38"/>
      <c r="G592" s="127"/>
      <c r="H592" s="28"/>
      <c r="I592" s="28"/>
      <c r="J592" s="28"/>
      <c r="K592" s="28"/>
      <c r="L592" s="28"/>
      <c r="M592" s="28"/>
      <c r="N592" s="28"/>
      <c r="O592" s="28"/>
      <c r="P592" s="28"/>
      <c r="Q592" s="28"/>
      <c r="R592" s="28"/>
      <c r="S592" s="28"/>
      <c r="T592" s="28"/>
      <c r="U592" s="28"/>
      <c r="V592" s="28"/>
      <c r="W592" s="28"/>
      <c r="X592" s="28"/>
      <c r="Y592" s="28"/>
      <c r="Z592" s="28"/>
    </row>
    <row r="593" ht="15.75" customHeight="1">
      <c r="A593" s="125"/>
      <c r="B593" s="125"/>
      <c r="C593" s="125"/>
      <c r="D593" s="128"/>
      <c r="E593" s="126"/>
      <c r="F593" s="38"/>
      <c r="G593" s="127"/>
      <c r="H593" s="28"/>
      <c r="I593" s="28"/>
      <c r="J593" s="28"/>
      <c r="K593" s="28"/>
      <c r="L593" s="28"/>
      <c r="M593" s="28"/>
      <c r="N593" s="28"/>
      <c r="O593" s="28"/>
      <c r="P593" s="28"/>
      <c r="Q593" s="28"/>
      <c r="R593" s="28"/>
      <c r="S593" s="28"/>
      <c r="T593" s="28"/>
      <c r="U593" s="28"/>
      <c r="V593" s="28"/>
      <c r="W593" s="28"/>
      <c r="X593" s="28"/>
      <c r="Y593" s="28"/>
      <c r="Z593" s="28"/>
    </row>
    <row r="594" ht="15.75" customHeight="1">
      <c r="A594" s="125"/>
      <c r="B594" s="125"/>
      <c r="C594" s="125"/>
      <c r="D594" s="128"/>
      <c r="E594" s="126"/>
      <c r="F594" s="38"/>
      <c r="G594" s="127"/>
      <c r="H594" s="28"/>
      <c r="I594" s="28"/>
      <c r="J594" s="28"/>
      <c r="K594" s="28"/>
      <c r="L594" s="28"/>
      <c r="M594" s="28"/>
      <c r="N594" s="28"/>
      <c r="O594" s="28"/>
      <c r="P594" s="28"/>
      <c r="Q594" s="28"/>
      <c r="R594" s="28"/>
      <c r="S594" s="28"/>
      <c r="T594" s="28"/>
      <c r="U594" s="28"/>
      <c r="V594" s="28"/>
      <c r="W594" s="28"/>
      <c r="X594" s="28"/>
      <c r="Y594" s="28"/>
      <c r="Z594" s="28"/>
    </row>
    <row r="595" ht="15.75" customHeight="1">
      <c r="A595" s="125"/>
      <c r="B595" s="125"/>
      <c r="C595" s="125"/>
      <c r="D595" s="128"/>
      <c r="E595" s="126"/>
      <c r="F595" s="38"/>
      <c r="G595" s="127"/>
      <c r="H595" s="28"/>
      <c r="I595" s="28"/>
      <c r="J595" s="28"/>
      <c r="K595" s="28"/>
      <c r="L595" s="28"/>
      <c r="M595" s="28"/>
      <c r="N595" s="28"/>
      <c r="O595" s="28"/>
      <c r="P595" s="28"/>
      <c r="Q595" s="28"/>
      <c r="R595" s="28"/>
      <c r="S595" s="28"/>
      <c r="T595" s="28"/>
      <c r="U595" s="28"/>
      <c r="V595" s="28"/>
      <c r="W595" s="28"/>
      <c r="X595" s="28"/>
      <c r="Y595" s="28"/>
      <c r="Z595" s="28"/>
    </row>
    <row r="596" ht="15.75" customHeight="1">
      <c r="A596" s="125"/>
      <c r="B596" s="125"/>
      <c r="C596" s="125"/>
      <c r="D596" s="128"/>
      <c r="E596" s="126"/>
      <c r="F596" s="38"/>
      <c r="G596" s="127"/>
      <c r="H596" s="28"/>
      <c r="I596" s="28"/>
      <c r="J596" s="28"/>
      <c r="K596" s="28"/>
      <c r="L596" s="28"/>
      <c r="M596" s="28"/>
      <c r="N596" s="28"/>
      <c r="O596" s="28"/>
      <c r="P596" s="28"/>
      <c r="Q596" s="28"/>
      <c r="R596" s="28"/>
      <c r="S596" s="28"/>
      <c r="T596" s="28"/>
      <c r="U596" s="28"/>
      <c r="V596" s="28"/>
      <c r="W596" s="28"/>
      <c r="X596" s="28"/>
      <c r="Y596" s="28"/>
      <c r="Z596" s="28"/>
    </row>
    <row r="597" ht="15.75" customHeight="1">
      <c r="A597" s="125"/>
      <c r="B597" s="125"/>
      <c r="C597" s="125"/>
      <c r="D597" s="128"/>
      <c r="E597" s="126"/>
      <c r="F597" s="38"/>
      <c r="G597" s="127"/>
      <c r="H597" s="28"/>
      <c r="I597" s="28"/>
      <c r="J597" s="28"/>
      <c r="K597" s="28"/>
      <c r="L597" s="28"/>
      <c r="M597" s="28"/>
      <c r="N597" s="28"/>
      <c r="O597" s="28"/>
      <c r="P597" s="28"/>
      <c r="Q597" s="28"/>
      <c r="R597" s="28"/>
      <c r="S597" s="28"/>
      <c r="T597" s="28"/>
      <c r="U597" s="28"/>
      <c r="V597" s="28"/>
      <c r="W597" s="28"/>
      <c r="X597" s="28"/>
      <c r="Y597" s="28"/>
      <c r="Z597" s="28"/>
    </row>
    <row r="598" ht="15.75" customHeight="1">
      <c r="A598" s="125"/>
      <c r="B598" s="125"/>
      <c r="C598" s="125"/>
      <c r="D598" s="128"/>
      <c r="E598" s="126"/>
      <c r="F598" s="38"/>
      <c r="G598" s="127"/>
      <c r="H598" s="28"/>
      <c r="I598" s="28"/>
      <c r="J598" s="28"/>
      <c r="K598" s="28"/>
      <c r="L598" s="28"/>
      <c r="M598" s="28"/>
      <c r="N598" s="28"/>
      <c r="O598" s="28"/>
      <c r="P598" s="28"/>
      <c r="Q598" s="28"/>
      <c r="R598" s="28"/>
      <c r="S598" s="28"/>
      <c r="T598" s="28"/>
      <c r="U598" s="28"/>
      <c r="V598" s="28"/>
      <c r="W598" s="28"/>
      <c r="X598" s="28"/>
      <c r="Y598" s="28"/>
      <c r="Z598" s="28"/>
    </row>
    <row r="599" ht="15.75" customHeight="1">
      <c r="A599" s="125"/>
      <c r="B599" s="125"/>
      <c r="C599" s="125"/>
      <c r="D599" s="128"/>
      <c r="E599" s="126"/>
      <c r="F599" s="38"/>
      <c r="G599" s="127"/>
      <c r="H599" s="28"/>
      <c r="I599" s="28"/>
      <c r="J599" s="28"/>
      <c r="K599" s="28"/>
      <c r="L599" s="28"/>
      <c r="M599" s="28"/>
      <c r="N599" s="28"/>
      <c r="O599" s="28"/>
      <c r="P599" s="28"/>
      <c r="Q599" s="28"/>
      <c r="R599" s="28"/>
      <c r="S599" s="28"/>
      <c r="T599" s="28"/>
      <c r="U599" s="28"/>
      <c r="V599" s="28"/>
      <c r="W599" s="28"/>
      <c r="X599" s="28"/>
      <c r="Y599" s="28"/>
      <c r="Z599" s="28"/>
    </row>
    <row r="600" ht="15.75" customHeight="1">
      <c r="A600" s="125"/>
      <c r="B600" s="125"/>
      <c r="C600" s="125"/>
      <c r="D600" s="128"/>
      <c r="E600" s="126"/>
      <c r="F600" s="38"/>
      <c r="G600" s="127"/>
      <c r="H600" s="28"/>
      <c r="I600" s="28"/>
      <c r="J600" s="28"/>
      <c r="K600" s="28"/>
      <c r="L600" s="28"/>
      <c r="M600" s="28"/>
      <c r="N600" s="28"/>
      <c r="O600" s="28"/>
      <c r="P600" s="28"/>
      <c r="Q600" s="28"/>
      <c r="R600" s="28"/>
      <c r="S600" s="28"/>
      <c r="T600" s="28"/>
      <c r="U600" s="28"/>
      <c r="V600" s="28"/>
      <c r="W600" s="28"/>
      <c r="X600" s="28"/>
      <c r="Y600" s="28"/>
      <c r="Z600" s="28"/>
    </row>
    <row r="601" ht="15.75" customHeight="1">
      <c r="A601" s="125"/>
      <c r="B601" s="125"/>
      <c r="C601" s="125"/>
      <c r="D601" s="128"/>
      <c r="E601" s="126"/>
      <c r="F601" s="38"/>
      <c r="G601" s="127"/>
      <c r="H601" s="28"/>
      <c r="I601" s="28"/>
      <c r="J601" s="28"/>
      <c r="K601" s="28"/>
      <c r="L601" s="28"/>
      <c r="M601" s="28"/>
      <c r="N601" s="28"/>
      <c r="O601" s="28"/>
      <c r="P601" s="28"/>
      <c r="Q601" s="28"/>
      <c r="R601" s="28"/>
      <c r="S601" s="28"/>
      <c r="T601" s="28"/>
      <c r="U601" s="28"/>
      <c r="V601" s="28"/>
      <c r="W601" s="28"/>
      <c r="X601" s="28"/>
      <c r="Y601" s="28"/>
      <c r="Z601" s="28"/>
    </row>
    <row r="602" ht="15.75" customHeight="1">
      <c r="A602" s="125"/>
      <c r="B602" s="125"/>
      <c r="C602" s="125"/>
      <c r="D602" s="128"/>
      <c r="E602" s="126"/>
      <c r="F602" s="38"/>
      <c r="G602" s="127"/>
      <c r="H602" s="28"/>
      <c r="I602" s="28"/>
      <c r="J602" s="28"/>
      <c r="K602" s="28"/>
      <c r="L602" s="28"/>
      <c r="M602" s="28"/>
      <c r="N602" s="28"/>
      <c r="O602" s="28"/>
      <c r="P602" s="28"/>
      <c r="Q602" s="28"/>
      <c r="R602" s="28"/>
      <c r="S602" s="28"/>
      <c r="T602" s="28"/>
      <c r="U602" s="28"/>
      <c r="V602" s="28"/>
      <c r="W602" s="28"/>
      <c r="X602" s="28"/>
      <c r="Y602" s="28"/>
      <c r="Z602" s="28"/>
    </row>
    <row r="603" ht="15.75" customHeight="1">
      <c r="A603" s="125"/>
      <c r="B603" s="125"/>
      <c r="C603" s="125"/>
      <c r="D603" s="128"/>
      <c r="E603" s="126"/>
      <c r="F603" s="38"/>
      <c r="G603" s="127"/>
      <c r="H603" s="28"/>
      <c r="I603" s="28"/>
      <c r="J603" s="28"/>
      <c r="K603" s="28"/>
      <c r="L603" s="28"/>
      <c r="M603" s="28"/>
      <c r="N603" s="28"/>
      <c r="O603" s="28"/>
      <c r="P603" s="28"/>
      <c r="Q603" s="28"/>
      <c r="R603" s="28"/>
      <c r="S603" s="28"/>
      <c r="T603" s="28"/>
      <c r="U603" s="28"/>
      <c r="V603" s="28"/>
      <c r="W603" s="28"/>
      <c r="X603" s="28"/>
      <c r="Y603" s="28"/>
      <c r="Z603" s="28"/>
    </row>
    <row r="604" ht="15.75" customHeight="1">
      <c r="A604" s="125"/>
      <c r="B604" s="125"/>
      <c r="C604" s="125"/>
      <c r="D604" s="128"/>
      <c r="E604" s="126"/>
      <c r="F604" s="38"/>
      <c r="G604" s="127"/>
      <c r="H604" s="28"/>
      <c r="I604" s="28"/>
      <c r="J604" s="28"/>
      <c r="K604" s="28"/>
      <c r="L604" s="28"/>
      <c r="M604" s="28"/>
      <c r="N604" s="28"/>
      <c r="O604" s="28"/>
      <c r="P604" s="28"/>
      <c r="Q604" s="28"/>
      <c r="R604" s="28"/>
      <c r="S604" s="28"/>
      <c r="T604" s="28"/>
      <c r="U604" s="28"/>
      <c r="V604" s="28"/>
      <c r="W604" s="28"/>
      <c r="X604" s="28"/>
      <c r="Y604" s="28"/>
      <c r="Z604" s="28"/>
    </row>
    <row r="605" ht="15.75" customHeight="1">
      <c r="A605" s="125"/>
      <c r="B605" s="125"/>
      <c r="C605" s="125"/>
      <c r="D605" s="128"/>
      <c r="E605" s="126"/>
      <c r="F605" s="38"/>
      <c r="G605" s="127"/>
      <c r="H605" s="28"/>
      <c r="I605" s="28"/>
      <c r="J605" s="28"/>
      <c r="K605" s="28"/>
      <c r="L605" s="28"/>
      <c r="M605" s="28"/>
      <c r="N605" s="28"/>
      <c r="O605" s="28"/>
      <c r="P605" s="28"/>
      <c r="Q605" s="28"/>
      <c r="R605" s="28"/>
      <c r="S605" s="28"/>
      <c r="T605" s="28"/>
      <c r="U605" s="28"/>
      <c r="V605" s="28"/>
      <c r="W605" s="28"/>
      <c r="X605" s="28"/>
      <c r="Y605" s="28"/>
      <c r="Z605" s="28"/>
    </row>
    <row r="606" ht="15.75" customHeight="1">
      <c r="A606" s="125"/>
      <c r="B606" s="125"/>
      <c r="C606" s="125"/>
      <c r="D606" s="128"/>
      <c r="E606" s="126"/>
      <c r="F606" s="38"/>
      <c r="G606" s="127"/>
      <c r="H606" s="28"/>
      <c r="I606" s="28"/>
      <c r="J606" s="28"/>
      <c r="K606" s="28"/>
      <c r="L606" s="28"/>
      <c r="M606" s="28"/>
      <c r="N606" s="28"/>
      <c r="O606" s="28"/>
      <c r="P606" s="28"/>
      <c r="Q606" s="28"/>
      <c r="R606" s="28"/>
      <c r="S606" s="28"/>
      <c r="T606" s="28"/>
      <c r="U606" s="28"/>
      <c r="V606" s="28"/>
      <c r="W606" s="28"/>
      <c r="X606" s="28"/>
      <c r="Y606" s="28"/>
      <c r="Z606" s="28"/>
    </row>
    <row r="607" ht="15.75" customHeight="1">
      <c r="A607" s="125"/>
      <c r="B607" s="125"/>
      <c r="C607" s="125"/>
      <c r="D607" s="128"/>
      <c r="E607" s="126"/>
      <c r="F607" s="38"/>
      <c r="G607" s="127"/>
      <c r="H607" s="28"/>
      <c r="I607" s="28"/>
      <c r="J607" s="28"/>
      <c r="K607" s="28"/>
      <c r="L607" s="28"/>
      <c r="M607" s="28"/>
      <c r="N607" s="28"/>
      <c r="O607" s="28"/>
      <c r="P607" s="28"/>
      <c r="Q607" s="28"/>
      <c r="R607" s="28"/>
      <c r="S607" s="28"/>
      <c r="T607" s="28"/>
      <c r="U607" s="28"/>
      <c r="V607" s="28"/>
      <c r="W607" s="28"/>
      <c r="X607" s="28"/>
      <c r="Y607" s="28"/>
      <c r="Z607" s="28"/>
    </row>
    <row r="608" ht="15.75" customHeight="1">
      <c r="A608" s="125"/>
      <c r="B608" s="125"/>
      <c r="C608" s="125"/>
      <c r="D608" s="128"/>
      <c r="E608" s="126"/>
      <c r="F608" s="38"/>
      <c r="G608" s="127"/>
      <c r="H608" s="28"/>
      <c r="I608" s="28"/>
      <c r="J608" s="28"/>
      <c r="K608" s="28"/>
      <c r="L608" s="28"/>
      <c r="M608" s="28"/>
      <c r="N608" s="28"/>
      <c r="O608" s="28"/>
      <c r="P608" s="28"/>
      <c r="Q608" s="28"/>
      <c r="R608" s="28"/>
      <c r="S608" s="28"/>
      <c r="T608" s="28"/>
      <c r="U608" s="28"/>
      <c r="V608" s="28"/>
      <c r="W608" s="28"/>
      <c r="X608" s="28"/>
      <c r="Y608" s="28"/>
      <c r="Z608" s="28"/>
    </row>
    <row r="609" ht="15.75" customHeight="1">
      <c r="A609" s="125"/>
      <c r="B609" s="125"/>
      <c r="C609" s="125"/>
      <c r="D609" s="128"/>
      <c r="E609" s="126"/>
      <c r="F609" s="38"/>
      <c r="G609" s="127"/>
      <c r="H609" s="28"/>
      <c r="I609" s="28"/>
      <c r="J609" s="28"/>
      <c r="K609" s="28"/>
      <c r="L609" s="28"/>
      <c r="M609" s="28"/>
      <c r="N609" s="28"/>
      <c r="O609" s="28"/>
      <c r="P609" s="28"/>
      <c r="Q609" s="28"/>
      <c r="R609" s="28"/>
      <c r="S609" s="28"/>
      <c r="T609" s="28"/>
      <c r="U609" s="28"/>
      <c r="V609" s="28"/>
      <c r="W609" s="28"/>
      <c r="X609" s="28"/>
      <c r="Y609" s="28"/>
      <c r="Z609" s="28"/>
    </row>
    <row r="610" ht="15.75" customHeight="1">
      <c r="A610" s="125"/>
      <c r="B610" s="125"/>
      <c r="C610" s="125"/>
      <c r="D610" s="128"/>
      <c r="E610" s="126"/>
      <c r="F610" s="38"/>
      <c r="G610" s="127"/>
      <c r="H610" s="28"/>
      <c r="I610" s="28"/>
      <c r="J610" s="28"/>
      <c r="K610" s="28"/>
      <c r="L610" s="28"/>
      <c r="M610" s="28"/>
      <c r="N610" s="28"/>
      <c r="O610" s="28"/>
      <c r="P610" s="28"/>
      <c r="Q610" s="28"/>
      <c r="R610" s="28"/>
      <c r="S610" s="28"/>
      <c r="T610" s="28"/>
      <c r="U610" s="28"/>
      <c r="V610" s="28"/>
      <c r="W610" s="28"/>
      <c r="X610" s="28"/>
      <c r="Y610" s="28"/>
      <c r="Z610" s="28"/>
    </row>
    <row r="611" ht="15.75" customHeight="1">
      <c r="A611" s="125"/>
      <c r="B611" s="125"/>
      <c r="C611" s="125"/>
      <c r="D611" s="128"/>
      <c r="E611" s="126"/>
      <c r="F611" s="38"/>
      <c r="G611" s="127"/>
      <c r="H611" s="28"/>
      <c r="I611" s="28"/>
      <c r="J611" s="28"/>
      <c r="K611" s="28"/>
      <c r="L611" s="28"/>
      <c r="M611" s="28"/>
      <c r="N611" s="28"/>
      <c r="O611" s="28"/>
      <c r="P611" s="28"/>
      <c r="Q611" s="28"/>
      <c r="R611" s="28"/>
      <c r="S611" s="28"/>
      <c r="T611" s="28"/>
      <c r="U611" s="28"/>
      <c r="V611" s="28"/>
      <c r="W611" s="28"/>
      <c r="X611" s="28"/>
      <c r="Y611" s="28"/>
      <c r="Z611" s="28"/>
    </row>
    <row r="612" ht="15.75" customHeight="1">
      <c r="A612" s="125"/>
      <c r="B612" s="125"/>
      <c r="C612" s="125"/>
      <c r="D612" s="128"/>
      <c r="E612" s="126"/>
      <c r="F612" s="38"/>
      <c r="G612" s="127"/>
      <c r="H612" s="28"/>
      <c r="I612" s="28"/>
      <c r="J612" s="28"/>
      <c r="K612" s="28"/>
      <c r="L612" s="28"/>
      <c r="M612" s="28"/>
      <c r="N612" s="28"/>
      <c r="O612" s="28"/>
      <c r="P612" s="28"/>
      <c r="Q612" s="28"/>
      <c r="R612" s="28"/>
      <c r="S612" s="28"/>
      <c r="T612" s="28"/>
      <c r="U612" s="28"/>
      <c r="V612" s="28"/>
      <c r="W612" s="28"/>
      <c r="X612" s="28"/>
      <c r="Y612" s="28"/>
      <c r="Z612" s="28"/>
    </row>
    <row r="613" ht="15.75" customHeight="1">
      <c r="A613" s="125"/>
      <c r="B613" s="125"/>
      <c r="C613" s="125"/>
      <c r="D613" s="128"/>
      <c r="E613" s="126"/>
      <c r="F613" s="38"/>
      <c r="G613" s="127"/>
      <c r="H613" s="28"/>
      <c r="I613" s="28"/>
      <c r="J613" s="28"/>
      <c r="K613" s="28"/>
      <c r="L613" s="28"/>
      <c r="M613" s="28"/>
      <c r="N613" s="28"/>
      <c r="O613" s="28"/>
      <c r="P613" s="28"/>
      <c r="Q613" s="28"/>
      <c r="R613" s="28"/>
      <c r="S613" s="28"/>
      <c r="T613" s="28"/>
      <c r="U613" s="28"/>
      <c r="V613" s="28"/>
      <c r="W613" s="28"/>
      <c r="X613" s="28"/>
      <c r="Y613" s="28"/>
      <c r="Z613" s="28"/>
    </row>
    <row r="614" ht="15.75" customHeight="1">
      <c r="A614" s="125"/>
      <c r="B614" s="125"/>
      <c r="C614" s="125"/>
      <c r="D614" s="128"/>
      <c r="E614" s="126"/>
      <c r="F614" s="38"/>
      <c r="G614" s="127"/>
      <c r="H614" s="28"/>
      <c r="I614" s="28"/>
      <c r="J614" s="28"/>
      <c r="K614" s="28"/>
      <c r="L614" s="28"/>
      <c r="M614" s="28"/>
      <c r="N614" s="28"/>
      <c r="O614" s="28"/>
      <c r="P614" s="28"/>
      <c r="Q614" s="28"/>
      <c r="R614" s="28"/>
      <c r="S614" s="28"/>
      <c r="T614" s="28"/>
      <c r="U614" s="28"/>
      <c r="V614" s="28"/>
      <c r="W614" s="28"/>
      <c r="X614" s="28"/>
      <c r="Y614" s="28"/>
      <c r="Z614" s="28"/>
    </row>
    <row r="615" ht="15.75" customHeight="1">
      <c r="A615" s="125"/>
      <c r="B615" s="125"/>
      <c r="C615" s="125"/>
      <c r="D615" s="128"/>
      <c r="E615" s="126"/>
      <c r="F615" s="38"/>
      <c r="G615" s="127"/>
      <c r="H615" s="28"/>
      <c r="I615" s="28"/>
      <c r="J615" s="28"/>
      <c r="K615" s="28"/>
      <c r="L615" s="28"/>
      <c r="M615" s="28"/>
      <c r="N615" s="28"/>
      <c r="O615" s="28"/>
      <c r="P615" s="28"/>
      <c r="Q615" s="28"/>
      <c r="R615" s="28"/>
      <c r="S615" s="28"/>
      <c r="T615" s="28"/>
      <c r="U615" s="28"/>
      <c r="V615" s="28"/>
      <c r="W615" s="28"/>
      <c r="X615" s="28"/>
      <c r="Y615" s="28"/>
      <c r="Z615" s="28"/>
    </row>
    <row r="616" ht="15.75" customHeight="1">
      <c r="A616" s="125"/>
      <c r="B616" s="125"/>
      <c r="C616" s="125"/>
      <c r="D616" s="128"/>
      <c r="E616" s="126"/>
      <c r="F616" s="38"/>
      <c r="G616" s="127"/>
      <c r="H616" s="28"/>
      <c r="I616" s="28"/>
      <c r="J616" s="28"/>
      <c r="K616" s="28"/>
      <c r="L616" s="28"/>
      <c r="M616" s="28"/>
      <c r="N616" s="28"/>
      <c r="O616" s="28"/>
      <c r="P616" s="28"/>
      <c r="Q616" s="28"/>
      <c r="R616" s="28"/>
      <c r="S616" s="28"/>
      <c r="T616" s="28"/>
      <c r="U616" s="28"/>
      <c r="V616" s="28"/>
      <c r="W616" s="28"/>
      <c r="X616" s="28"/>
      <c r="Y616" s="28"/>
      <c r="Z616" s="28"/>
    </row>
    <row r="617" ht="15.75" customHeight="1">
      <c r="A617" s="125"/>
      <c r="B617" s="125"/>
      <c r="C617" s="125"/>
      <c r="D617" s="128"/>
      <c r="E617" s="126"/>
      <c r="F617" s="38"/>
      <c r="G617" s="127"/>
      <c r="H617" s="28"/>
      <c r="I617" s="28"/>
      <c r="J617" s="28"/>
      <c r="K617" s="28"/>
      <c r="L617" s="28"/>
      <c r="M617" s="28"/>
      <c r="N617" s="28"/>
      <c r="O617" s="28"/>
      <c r="P617" s="28"/>
      <c r="Q617" s="28"/>
      <c r="R617" s="28"/>
      <c r="S617" s="28"/>
      <c r="T617" s="28"/>
      <c r="U617" s="28"/>
      <c r="V617" s="28"/>
      <c r="W617" s="28"/>
      <c r="X617" s="28"/>
      <c r="Y617" s="28"/>
      <c r="Z617" s="28"/>
    </row>
    <row r="618" ht="15.75" customHeight="1">
      <c r="A618" s="125"/>
      <c r="B618" s="125"/>
      <c r="C618" s="125"/>
      <c r="D618" s="128"/>
      <c r="E618" s="126"/>
      <c r="F618" s="38"/>
      <c r="G618" s="127"/>
      <c r="H618" s="28"/>
      <c r="I618" s="28"/>
      <c r="J618" s="28"/>
      <c r="K618" s="28"/>
      <c r="L618" s="28"/>
      <c r="M618" s="28"/>
      <c r="N618" s="28"/>
      <c r="O618" s="28"/>
      <c r="P618" s="28"/>
      <c r="Q618" s="28"/>
      <c r="R618" s="28"/>
      <c r="S618" s="28"/>
      <c r="T618" s="28"/>
      <c r="U618" s="28"/>
      <c r="V618" s="28"/>
      <c r="W618" s="28"/>
      <c r="X618" s="28"/>
      <c r="Y618" s="28"/>
      <c r="Z618" s="28"/>
    </row>
    <row r="619" ht="15.75" customHeight="1">
      <c r="A619" s="125"/>
      <c r="B619" s="125"/>
      <c r="C619" s="125"/>
      <c r="D619" s="128"/>
      <c r="E619" s="126"/>
      <c r="F619" s="38"/>
      <c r="G619" s="127"/>
      <c r="H619" s="28"/>
      <c r="I619" s="28"/>
      <c r="J619" s="28"/>
      <c r="K619" s="28"/>
      <c r="L619" s="28"/>
      <c r="M619" s="28"/>
      <c r="N619" s="28"/>
      <c r="O619" s="28"/>
      <c r="P619" s="28"/>
      <c r="Q619" s="28"/>
      <c r="R619" s="28"/>
      <c r="S619" s="28"/>
      <c r="T619" s="28"/>
      <c r="U619" s="28"/>
      <c r="V619" s="28"/>
      <c r="W619" s="28"/>
      <c r="X619" s="28"/>
      <c r="Y619" s="28"/>
      <c r="Z619" s="28"/>
    </row>
    <row r="620" ht="15.75" customHeight="1">
      <c r="A620" s="125"/>
      <c r="B620" s="125"/>
      <c r="C620" s="125"/>
      <c r="D620" s="128"/>
      <c r="E620" s="126"/>
      <c r="F620" s="38"/>
      <c r="G620" s="127"/>
      <c r="H620" s="28"/>
      <c r="I620" s="28"/>
      <c r="J620" s="28"/>
      <c r="K620" s="28"/>
      <c r="L620" s="28"/>
      <c r="M620" s="28"/>
      <c r="N620" s="28"/>
      <c r="O620" s="28"/>
      <c r="P620" s="28"/>
      <c r="Q620" s="28"/>
      <c r="R620" s="28"/>
      <c r="S620" s="28"/>
      <c r="T620" s="28"/>
      <c r="U620" s="28"/>
      <c r="V620" s="28"/>
      <c r="W620" s="28"/>
      <c r="X620" s="28"/>
      <c r="Y620" s="28"/>
      <c r="Z620" s="28"/>
    </row>
    <row r="621" ht="15.75" customHeight="1">
      <c r="A621" s="125"/>
      <c r="B621" s="125"/>
      <c r="C621" s="125"/>
      <c r="D621" s="128"/>
      <c r="E621" s="126"/>
      <c r="F621" s="38"/>
      <c r="G621" s="127"/>
      <c r="H621" s="28"/>
      <c r="I621" s="28"/>
      <c r="J621" s="28"/>
      <c r="K621" s="28"/>
      <c r="L621" s="28"/>
      <c r="M621" s="28"/>
      <c r="N621" s="28"/>
      <c r="O621" s="28"/>
      <c r="P621" s="28"/>
      <c r="Q621" s="28"/>
      <c r="R621" s="28"/>
      <c r="S621" s="28"/>
      <c r="T621" s="28"/>
      <c r="U621" s="28"/>
      <c r="V621" s="28"/>
      <c r="W621" s="28"/>
      <c r="X621" s="28"/>
      <c r="Y621" s="28"/>
      <c r="Z621" s="28"/>
    </row>
    <row r="622" ht="15.75" customHeight="1">
      <c r="A622" s="125"/>
      <c r="B622" s="125"/>
      <c r="C622" s="125"/>
      <c r="D622" s="128"/>
      <c r="E622" s="126"/>
      <c r="F622" s="38"/>
      <c r="G622" s="127"/>
      <c r="H622" s="28"/>
      <c r="I622" s="28"/>
      <c r="J622" s="28"/>
      <c r="K622" s="28"/>
      <c r="L622" s="28"/>
      <c r="M622" s="28"/>
      <c r="N622" s="28"/>
      <c r="O622" s="28"/>
      <c r="P622" s="28"/>
      <c r="Q622" s="28"/>
      <c r="R622" s="28"/>
      <c r="S622" s="28"/>
      <c r="T622" s="28"/>
      <c r="U622" s="28"/>
      <c r="V622" s="28"/>
      <c r="W622" s="28"/>
      <c r="X622" s="28"/>
      <c r="Y622" s="28"/>
      <c r="Z622" s="28"/>
    </row>
    <row r="623" ht="15.75" customHeight="1">
      <c r="A623" s="125"/>
      <c r="B623" s="125"/>
      <c r="C623" s="125"/>
      <c r="D623" s="128"/>
      <c r="E623" s="126"/>
      <c r="F623" s="38"/>
      <c r="G623" s="127"/>
      <c r="H623" s="28"/>
      <c r="I623" s="28"/>
      <c r="J623" s="28"/>
      <c r="K623" s="28"/>
      <c r="L623" s="28"/>
      <c r="M623" s="28"/>
      <c r="N623" s="28"/>
      <c r="O623" s="28"/>
      <c r="P623" s="28"/>
      <c r="Q623" s="28"/>
      <c r="R623" s="28"/>
      <c r="S623" s="28"/>
      <c r="T623" s="28"/>
      <c r="U623" s="28"/>
      <c r="V623" s="28"/>
      <c r="W623" s="28"/>
      <c r="X623" s="28"/>
      <c r="Y623" s="28"/>
      <c r="Z623" s="28"/>
    </row>
    <row r="624" ht="15.75" customHeight="1">
      <c r="A624" s="125"/>
      <c r="B624" s="125"/>
      <c r="C624" s="125"/>
      <c r="D624" s="128"/>
      <c r="E624" s="126"/>
      <c r="F624" s="38"/>
      <c r="G624" s="127"/>
      <c r="H624" s="28"/>
      <c r="I624" s="28"/>
      <c r="J624" s="28"/>
      <c r="K624" s="28"/>
      <c r="L624" s="28"/>
      <c r="M624" s="28"/>
      <c r="N624" s="28"/>
      <c r="O624" s="28"/>
      <c r="P624" s="28"/>
      <c r="Q624" s="28"/>
      <c r="R624" s="28"/>
      <c r="S624" s="28"/>
      <c r="T624" s="28"/>
      <c r="U624" s="28"/>
      <c r="V624" s="28"/>
      <c r="W624" s="28"/>
      <c r="X624" s="28"/>
      <c r="Y624" s="28"/>
      <c r="Z624" s="28"/>
    </row>
    <row r="625" ht="15.75" customHeight="1">
      <c r="A625" s="125"/>
      <c r="B625" s="125"/>
      <c r="C625" s="125"/>
      <c r="D625" s="128"/>
      <c r="E625" s="126"/>
      <c r="F625" s="38"/>
      <c r="G625" s="127"/>
      <c r="H625" s="28"/>
      <c r="I625" s="28"/>
      <c r="J625" s="28"/>
      <c r="K625" s="28"/>
      <c r="L625" s="28"/>
      <c r="M625" s="28"/>
      <c r="N625" s="28"/>
      <c r="O625" s="28"/>
      <c r="P625" s="28"/>
      <c r="Q625" s="28"/>
      <c r="R625" s="28"/>
      <c r="S625" s="28"/>
      <c r="T625" s="28"/>
      <c r="U625" s="28"/>
      <c r="V625" s="28"/>
      <c r="W625" s="28"/>
      <c r="X625" s="28"/>
      <c r="Y625" s="28"/>
      <c r="Z625" s="28"/>
    </row>
    <row r="626" ht="15.75" customHeight="1">
      <c r="A626" s="125"/>
      <c r="B626" s="125"/>
      <c r="C626" s="125"/>
      <c r="D626" s="128"/>
      <c r="E626" s="126"/>
      <c r="F626" s="38"/>
      <c r="G626" s="127"/>
      <c r="H626" s="28"/>
      <c r="I626" s="28"/>
      <c r="J626" s="28"/>
      <c r="K626" s="28"/>
      <c r="L626" s="28"/>
      <c r="M626" s="28"/>
      <c r="N626" s="28"/>
      <c r="O626" s="28"/>
      <c r="P626" s="28"/>
      <c r="Q626" s="28"/>
      <c r="R626" s="28"/>
      <c r="S626" s="28"/>
      <c r="T626" s="28"/>
      <c r="U626" s="28"/>
      <c r="V626" s="28"/>
      <c r="W626" s="28"/>
      <c r="X626" s="28"/>
      <c r="Y626" s="28"/>
      <c r="Z626" s="28"/>
    </row>
    <row r="627" ht="15.75" customHeight="1">
      <c r="A627" s="125"/>
      <c r="B627" s="125"/>
      <c r="C627" s="125"/>
      <c r="D627" s="128"/>
      <c r="E627" s="126"/>
      <c r="F627" s="38"/>
      <c r="G627" s="127"/>
      <c r="H627" s="28"/>
      <c r="I627" s="28"/>
      <c r="J627" s="28"/>
      <c r="K627" s="28"/>
      <c r="L627" s="28"/>
      <c r="M627" s="28"/>
      <c r="N627" s="28"/>
      <c r="O627" s="28"/>
      <c r="P627" s="28"/>
      <c r="Q627" s="28"/>
      <c r="R627" s="28"/>
      <c r="S627" s="28"/>
      <c r="T627" s="28"/>
      <c r="U627" s="28"/>
      <c r="V627" s="28"/>
      <c r="W627" s="28"/>
      <c r="X627" s="28"/>
      <c r="Y627" s="28"/>
      <c r="Z627" s="28"/>
    </row>
    <row r="628" ht="15.75" customHeight="1">
      <c r="A628" s="125"/>
      <c r="B628" s="125"/>
      <c r="C628" s="125"/>
      <c r="D628" s="128"/>
      <c r="E628" s="126"/>
      <c r="F628" s="38"/>
      <c r="G628" s="127"/>
      <c r="H628" s="28"/>
      <c r="I628" s="28"/>
      <c r="J628" s="28"/>
      <c r="K628" s="28"/>
      <c r="L628" s="28"/>
      <c r="M628" s="28"/>
      <c r="N628" s="28"/>
      <c r="O628" s="28"/>
      <c r="P628" s="28"/>
      <c r="Q628" s="28"/>
      <c r="R628" s="28"/>
      <c r="S628" s="28"/>
      <c r="T628" s="28"/>
      <c r="U628" s="28"/>
      <c r="V628" s="28"/>
      <c r="W628" s="28"/>
      <c r="X628" s="28"/>
      <c r="Y628" s="28"/>
      <c r="Z628" s="28"/>
    </row>
    <row r="629" ht="15.75" customHeight="1">
      <c r="A629" s="125"/>
      <c r="B629" s="125"/>
      <c r="C629" s="125"/>
      <c r="D629" s="128"/>
      <c r="E629" s="126"/>
      <c r="F629" s="38"/>
      <c r="G629" s="127"/>
      <c r="H629" s="28"/>
      <c r="I629" s="28"/>
      <c r="J629" s="28"/>
      <c r="K629" s="28"/>
      <c r="L629" s="28"/>
      <c r="M629" s="28"/>
      <c r="N629" s="28"/>
      <c r="O629" s="28"/>
      <c r="P629" s="28"/>
      <c r="Q629" s="28"/>
      <c r="R629" s="28"/>
      <c r="S629" s="28"/>
      <c r="T629" s="28"/>
      <c r="U629" s="28"/>
      <c r="V629" s="28"/>
      <c r="W629" s="28"/>
      <c r="X629" s="28"/>
      <c r="Y629" s="28"/>
      <c r="Z629" s="28"/>
    </row>
    <row r="630" ht="15.75" customHeight="1">
      <c r="A630" s="125"/>
      <c r="B630" s="125"/>
      <c r="C630" s="125"/>
      <c r="D630" s="128"/>
      <c r="E630" s="126"/>
      <c r="F630" s="38"/>
      <c r="G630" s="127"/>
      <c r="H630" s="28"/>
      <c r="I630" s="28"/>
      <c r="J630" s="28"/>
      <c r="K630" s="28"/>
      <c r="L630" s="28"/>
      <c r="M630" s="28"/>
      <c r="N630" s="28"/>
      <c r="O630" s="28"/>
      <c r="P630" s="28"/>
      <c r="Q630" s="28"/>
      <c r="R630" s="28"/>
      <c r="S630" s="28"/>
      <c r="T630" s="28"/>
      <c r="U630" s="28"/>
      <c r="V630" s="28"/>
      <c r="W630" s="28"/>
      <c r="X630" s="28"/>
      <c r="Y630" s="28"/>
      <c r="Z630" s="28"/>
    </row>
    <row r="631" ht="15.75" customHeight="1">
      <c r="A631" s="125"/>
      <c r="B631" s="125"/>
      <c r="C631" s="125"/>
      <c r="D631" s="128"/>
      <c r="E631" s="126"/>
      <c r="F631" s="38"/>
      <c r="G631" s="127"/>
      <c r="H631" s="28"/>
      <c r="I631" s="28"/>
      <c r="J631" s="28"/>
      <c r="K631" s="28"/>
      <c r="L631" s="28"/>
      <c r="M631" s="28"/>
      <c r="N631" s="28"/>
      <c r="O631" s="28"/>
      <c r="P631" s="28"/>
      <c r="Q631" s="28"/>
      <c r="R631" s="28"/>
      <c r="S631" s="28"/>
      <c r="T631" s="28"/>
      <c r="U631" s="28"/>
      <c r="V631" s="28"/>
      <c r="W631" s="28"/>
      <c r="X631" s="28"/>
      <c r="Y631" s="28"/>
      <c r="Z631" s="28"/>
    </row>
    <row r="632" ht="15.75" customHeight="1">
      <c r="A632" s="125"/>
      <c r="B632" s="125"/>
      <c r="C632" s="125"/>
      <c r="D632" s="128"/>
      <c r="E632" s="126"/>
      <c r="F632" s="38"/>
      <c r="G632" s="127"/>
      <c r="H632" s="28"/>
      <c r="I632" s="28"/>
      <c r="J632" s="28"/>
      <c r="K632" s="28"/>
      <c r="L632" s="28"/>
      <c r="M632" s="28"/>
      <c r="N632" s="28"/>
      <c r="O632" s="28"/>
      <c r="P632" s="28"/>
      <c r="Q632" s="28"/>
      <c r="R632" s="28"/>
      <c r="S632" s="28"/>
      <c r="T632" s="28"/>
      <c r="U632" s="28"/>
      <c r="V632" s="28"/>
      <c r="W632" s="28"/>
      <c r="X632" s="28"/>
      <c r="Y632" s="28"/>
      <c r="Z632" s="28"/>
    </row>
    <row r="633" ht="15.75" customHeight="1">
      <c r="A633" s="125"/>
      <c r="B633" s="125"/>
      <c r="C633" s="125"/>
      <c r="D633" s="128"/>
      <c r="E633" s="126"/>
      <c r="F633" s="38"/>
      <c r="G633" s="127"/>
      <c r="H633" s="28"/>
      <c r="I633" s="28"/>
      <c r="J633" s="28"/>
      <c r="K633" s="28"/>
      <c r="L633" s="28"/>
      <c r="M633" s="28"/>
      <c r="N633" s="28"/>
      <c r="O633" s="28"/>
      <c r="P633" s="28"/>
      <c r="Q633" s="28"/>
      <c r="R633" s="28"/>
      <c r="S633" s="28"/>
      <c r="T633" s="28"/>
      <c r="U633" s="28"/>
      <c r="V633" s="28"/>
      <c r="W633" s="28"/>
      <c r="X633" s="28"/>
      <c r="Y633" s="28"/>
      <c r="Z633" s="28"/>
    </row>
    <row r="634" ht="15.75" customHeight="1">
      <c r="A634" s="125"/>
      <c r="B634" s="125"/>
      <c r="C634" s="125"/>
      <c r="D634" s="128"/>
      <c r="E634" s="126"/>
      <c r="F634" s="38"/>
      <c r="G634" s="127"/>
      <c r="H634" s="28"/>
      <c r="I634" s="28"/>
      <c r="J634" s="28"/>
      <c r="K634" s="28"/>
      <c r="L634" s="28"/>
      <c r="M634" s="28"/>
      <c r="N634" s="28"/>
      <c r="O634" s="28"/>
      <c r="P634" s="28"/>
      <c r="Q634" s="28"/>
      <c r="R634" s="28"/>
      <c r="S634" s="28"/>
      <c r="T634" s="28"/>
      <c r="U634" s="28"/>
      <c r="V634" s="28"/>
      <c r="W634" s="28"/>
      <c r="X634" s="28"/>
      <c r="Y634" s="28"/>
      <c r="Z634" s="28"/>
    </row>
    <row r="635" ht="15.75" customHeight="1">
      <c r="A635" s="125"/>
      <c r="B635" s="125"/>
      <c r="C635" s="125"/>
      <c r="D635" s="128"/>
      <c r="E635" s="126"/>
      <c r="F635" s="38"/>
      <c r="G635" s="127"/>
      <c r="H635" s="28"/>
      <c r="I635" s="28"/>
      <c r="J635" s="28"/>
      <c r="K635" s="28"/>
      <c r="L635" s="28"/>
      <c r="M635" s="28"/>
      <c r="N635" s="28"/>
      <c r="O635" s="28"/>
      <c r="P635" s="28"/>
      <c r="Q635" s="28"/>
      <c r="R635" s="28"/>
      <c r="S635" s="28"/>
      <c r="T635" s="28"/>
      <c r="U635" s="28"/>
      <c r="V635" s="28"/>
      <c r="W635" s="28"/>
      <c r="X635" s="28"/>
      <c r="Y635" s="28"/>
      <c r="Z635" s="28"/>
    </row>
    <row r="636" ht="15.75" customHeight="1">
      <c r="A636" s="125"/>
      <c r="B636" s="125"/>
      <c r="C636" s="125"/>
      <c r="D636" s="128"/>
      <c r="E636" s="126"/>
      <c r="F636" s="38"/>
      <c r="G636" s="127"/>
      <c r="H636" s="28"/>
      <c r="I636" s="28"/>
      <c r="J636" s="28"/>
      <c r="K636" s="28"/>
      <c r="L636" s="28"/>
      <c r="M636" s="28"/>
      <c r="N636" s="28"/>
      <c r="O636" s="28"/>
      <c r="P636" s="28"/>
      <c r="Q636" s="28"/>
      <c r="R636" s="28"/>
      <c r="S636" s="28"/>
      <c r="T636" s="28"/>
      <c r="U636" s="28"/>
      <c r="V636" s="28"/>
      <c r="W636" s="28"/>
      <c r="X636" s="28"/>
      <c r="Y636" s="28"/>
      <c r="Z636" s="28"/>
    </row>
    <row r="637" ht="15.75" customHeight="1">
      <c r="A637" s="125"/>
      <c r="B637" s="125"/>
      <c r="C637" s="125"/>
      <c r="D637" s="128"/>
      <c r="E637" s="126"/>
      <c r="F637" s="38"/>
      <c r="G637" s="127"/>
      <c r="H637" s="28"/>
      <c r="I637" s="28"/>
      <c r="J637" s="28"/>
      <c r="K637" s="28"/>
      <c r="L637" s="28"/>
      <c r="M637" s="28"/>
      <c r="N637" s="28"/>
      <c r="O637" s="28"/>
      <c r="P637" s="28"/>
      <c r="Q637" s="28"/>
      <c r="R637" s="28"/>
      <c r="S637" s="28"/>
      <c r="T637" s="28"/>
      <c r="U637" s="28"/>
      <c r="V637" s="28"/>
      <c r="W637" s="28"/>
      <c r="X637" s="28"/>
      <c r="Y637" s="28"/>
      <c r="Z637" s="28"/>
    </row>
    <row r="638" ht="15.75" customHeight="1">
      <c r="A638" s="125"/>
      <c r="B638" s="125"/>
      <c r="C638" s="125"/>
      <c r="D638" s="128"/>
      <c r="E638" s="126"/>
      <c r="F638" s="38"/>
      <c r="G638" s="127"/>
      <c r="H638" s="28"/>
      <c r="I638" s="28"/>
      <c r="J638" s="28"/>
      <c r="K638" s="28"/>
      <c r="L638" s="28"/>
      <c r="M638" s="28"/>
      <c r="N638" s="28"/>
      <c r="O638" s="28"/>
      <c r="P638" s="28"/>
      <c r="Q638" s="28"/>
      <c r="R638" s="28"/>
      <c r="S638" s="28"/>
      <c r="T638" s="28"/>
      <c r="U638" s="28"/>
      <c r="V638" s="28"/>
      <c r="W638" s="28"/>
      <c r="X638" s="28"/>
      <c r="Y638" s="28"/>
      <c r="Z638" s="28"/>
    </row>
    <row r="639" ht="15.75" customHeight="1">
      <c r="A639" s="125"/>
      <c r="B639" s="125"/>
      <c r="C639" s="125"/>
      <c r="D639" s="128"/>
      <c r="E639" s="126"/>
      <c r="F639" s="38"/>
      <c r="G639" s="127"/>
      <c r="H639" s="28"/>
      <c r="I639" s="28"/>
      <c r="J639" s="28"/>
      <c r="K639" s="28"/>
      <c r="L639" s="28"/>
      <c r="M639" s="28"/>
      <c r="N639" s="28"/>
      <c r="O639" s="28"/>
      <c r="P639" s="28"/>
      <c r="Q639" s="28"/>
      <c r="R639" s="28"/>
      <c r="S639" s="28"/>
      <c r="T639" s="28"/>
      <c r="U639" s="28"/>
      <c r="V639" s="28"/>
      <c r="W639" s="28"/>
      <c r="X639" s="28"/>
      <c r="Y639" s="28"/>
      <c r="Z639" s="28"/>
    </row>
    <row r="640" ht="15.75" customHeight="1">
      <c r="A640" s="125"/>
      <c r="B640" s="125"/>
      <c r="C640" s="125"/>
      <c r="D640" s="128"/>
      <c r="E640" s="126"/>
      <c r="F640" s="38"/>
      <c r="G640" s="127"/>
      <c r="H640" s="28"/>
      <c r="I640" s="28"/>
      <c r="J640" s="28"/>
      <c r="K640" s="28"/>
      <c r="L640" s="28"/>
      <c r="M640" s="28"/>
      <c r="N640" s="28"/>
      <c r="O640" s="28"/>
      <c r="P640" s="28"/>
      <c r="Q640" s="28"/>
      <c r="R640" s="28"/>
      <c r="S640" s="28"/>
      <c r="T640" s="28"/>
      <c r="U640" s="28"/>
      <c r="V640" s="28"/>
      <c r="W640" s="28"/>
      <c r="X640" s="28"/>
      <c r="Y640" s="28"/>
      <c r="Z640" s="28"/>
    </row>
    <row r="641" ht="15.75" customHeight="1">
      <c r="A641" s="125"/>
      <c r="B641" s="125"/>
      <c r="C641" s="125"/>
      <c r="D641" s="128"/>
      <c r="E641" s="126"/>
      <c r="F641" s="38"/>
      <c r="G641" s="127"/>
      <c r="H641" s="28"/>
      <c r="I641" s="28"/>
      <c r="J641" s="28"/>
      <c r="K641" s="28"/>
      <c r="L641" s="28"/>
      <c r="M641" s="28"/>
      <c r="N641" s="28"/>
      <c r="O641" s="28"/>
      <c r="P641" s="28"/>
      <c r="Q641" s="28"/>
      <c r="R641" s="28"/>
      <c r="S641" s="28"/>
      <c r="T641" s="28"/>
      <c r="U641" s="28"/>
      <c r="V641" s="28"/>
      <c r="W641" s="28"/>
      <c r="X641" s="28"/>
      <c r="Y641" s="28"/>
      <c r="Z641" s="28"/>
    </row>
    <row r="642" ht="15.75" customHeight="1">
      <c r="A642" s="125"/>
      <c r="B642" s="125"/>
      <c r="C642" s="125"/>
      <c r="D642" s="128"/>
      <c r="E642" s="126"/>
      <c r="F642" s="38"/>
      <c r="G642" s="127"/>
      <c r="H642" s="28"/>
      <c r="I642" s="28"/>
      <c r="J642" s="28"/>
      <c r="K642" s="28"/>
      <c r="L642" s="28"/>
      <c r="M642" s="28"/>
      <c r="N642" s="28"/>
      <c r="O642" s="28"/>
      <c r="P642" s="28"/>
      <c r="Q642" s="28"/>
      <c r="R642" s="28"/>
      <c r="S642" s="28"/>
      <c r="T642" s="28"/>
      <c r="U642" s="28"/>
      <c r="V642" s="28"/>
      <c r="W642" s="28"/>
      <c r="X642" s="28"/>
      <c r="Y642" s="28"/>
      <c r="Z642" s="28"/>
    </row>
    <row r="643" ht="15.75" customHeight="1">
      <c r="A643" s="125"/>
      <c r="B643" s="125"/>
      <c r="C643" s="125"/>
      <c r="D643" s="128"/>
      <c r="E643" s="126"/>
      <c r="F643" s="38"/>
      <c r="G643" s="127"/>
      <c r="H643" s="28"/>
      <c r="I643" s="28"/>
      <c r="J643" s="28"/>
      <c r="K643" s="28"/>
      <c r="L643" s="28"/>
      <c r="M643" s="28"/>
      <c r="N643" s="28"/>
      <c r="O643" s="28"/>
      <c r="P643" s="28"/>
      <c r="Q643" s="28"/>
      <c r="R643" s="28"/>
      <c r="S643" s="28"/>
      <c r="T643" s="28"/>
      <c r="U643" s="28"/>
      <c r="V643" s="28"/>
      <c r="W643" s="28"/>
      <c r="X643" s="28"/>
      <c r="Y643" s="28"/>
      <c r="Z643" s="28"/>
    </row>
    <row r="644" ht="15.75" customHeight="1">
      <c r="A644" s="125"/>
      <c r="B644" s="125"/>
      <c r="C644" s="125"/>
      <c r="D644" s="128"/>
      <c r="E644" s="126"/>
      <c r="F644" s="38"/>
      <c r="G644" s="127"/>
      <c r="H644" s="28"/>
      <c r="I644" s="28"/>
      <c r="J644" s="28"/>
      <c r="K644" s="28"/>
      <c r="L644" s="28"/>
      <c r="M644" s="28"/>
      <c r="N644" s="28"/>
      <c r="O644" s="28"/>
      <c r="P644" s="28"/>
      <c r="Q644" s="28"/>
      <c r="R644" s="28"/>
      <c r="S644" s="28"/>
      <c r="T644" s="28"/>
      <c r="U644" s="28"/>
      <c r="V644" s="28"/>
      <c r="W644" s="28"/>
      <c r="X644" s="28"/>
      <c r="Y644" s="28"/>
      <c r="Z644" s="28"/>
    </row>
    <row r="645" ht="15.75" customHeight="1">
      <c r="A645" s="125"/>
      <c r="B645" s="125"/>
      <c r="C645" s="125"/>
      <c r="D645" s="128"/>
      <c r="E645" s="126"/>
      <c r="F645" s="38"/>
      <c r="G645" s="127"/>
      <c r="H645" s="28"/>
      <c r="I645" s="28"/>
      <c r="J645" s="28"/>
      <c r="K645" s="28"/>
      <c r="L645" s="28"/>
      <c r="M645" s="28"/>
      <c r="N645" s="28"/>
      <c r="O645" s="28"/>
      <c r="P645" s="28"/>
      <c r="Q645" s="28"/>
      <c r="R645" s="28"/>
      <c r="S645" s="28"/>
      <c r="T645" s="28"/>
      <c r="U645" s="28"/>
      <c r="V645" s="28"/>
      <c r="W645" s="28"/>
      <c r="X645" s="28"/>
      <c r="Y645" s="28"/>
      <c r="Z645" s="28"/>
    </row>
    <row r="646" ht="15.75" customHeight="1">
      <c r="A646" s="125"/>
      <c r="B646" s="125"/>
      <c r="C646" s="125"/>
      <c r="D646" s="128"/>
      <c r="E646" s="126"/>
      <c r="F646" s="38"/>
      <c r="G646" s="127"/>
      <c r="H646" s="28"/>
      <c r="I646" s="28"/>
      <c r="J646" s="28"/>
      <c r="K646" s="28"/>
      <c r="L646" s="28"/>
      <c r="M646" s="28"/>
      <c r="N646" s="28"/>
      <c r="O646" s="28"/>
      <c r="P646" s="28"/>
      <c r="Q646" s="28"/>
      <c r="R646" s="28"/>
      <c r="S646" s="28"/>
      <c r="T646" s="28"/>
      <c r="U646" s="28"/>
      <c r="V646" s="28"/>
      <c r="W646" s="28"/>
      <c r="X646" s="28"/>
      <c r="Y646" s="28"/>
      <c r="Z646" s="28"/>
    </row>
    <row r="647" ht="15.75" customHeight="1">
      <c r="A647" s="125"/>
      <c r="B647" s="125"/>
      <c r="C647" s="125"/>
      <c r="D647" s="128"/>
      <c r="E647" s="126"/>
      <c r="F647" s="38"/>
      <c r="G647" s="127"/>
      <c r="H647" s="28"/>
      <c r="I647" s="28"/>
      <c r="J647" s="28"/>
      <c r="K647" s="28"/>
      <c r="L647" s="28"/>
      <c r="M647" s="28"/>
      <c r="N647" s="28"/>
      <c r="O647" s="28"/>
      <c r="P647" s="28"/>
      <c r="Q647" s="28"/>
      <c r="R647" s="28"/>
      <c r="S647" s="28"/>
      <c r="T647" s="28"/>
      <c r="U647" s="28"/>
      <c r="V647" s="28"/>
      <c r="W647" s="28"/>
      <c r="X647" s="28"/>
      <c r="Y647" s="28"/>
      <c r="Z647" s="28"/>
    </row>
    <row r="648" ht="15.75" customHeight="1">
      <c r="A648" s="125"/>
      <c r="B648" s="125"/>
      <c r="C648" s="125"/>
      <c r="D648" s="128"/>
      <c r="E648" s="126"/>
      <c r="F648" s="38"/>
      <c r="G648" s="127"/>
      <c r="H648" s="28"/>
      <c r="I648" s="28"/>
      <c r="J648" s="28"/>
      <c r="K648" s="28"/>
      <c r="L648" s="28"/>
      <c r="M648" s="28"/>
      <c r="N648" s="28"/>
      <c r="O648" s="28"/>
      <c r="P648" s="28"/>
      <c r="Q648" s="28"/>
      <c r="R648" s="28"/>
      <c r="S648" s="28"/>
      <c r="T648" s="28"/>
      <c r="U648" s="28"/>
      <c r="V648" s="28"/>
      <c r="W648" s="28"/>
      <c r="X648" s="28"/>
      <c r="Y648" s="28"/>
      <c r="Z648" s="28"/>
    </row>
    <row r="649" ht="15.75" customHeight="1">
      <c r="A649" s="125"/>
      <c r="B649" s="125"/>
      <c r="C649" s="125"/>
      <c r="D649" s="128"/>
      <c r="E649" s="126"/>
      <c r="F649" s="38"/>
      <c r="G649" s="127"/>
      <c r="H649" s="28"/>
      <c r="I649" s="28"/>
      <c r="J649" s="28"/>
      <c r="K649" s="28"/>
      <c r="L649" s="28"/>
      <c r="M649" s="28"/>
      <c r="N649" s="28"/>
      <c r="O649" s="28"/>
      <c r="P649" s="28"/>
      <c r="Q649" s="28"/>
      <c r="R649" s="28"/>
      <c r="S649" s="28"/>
      <c r="T649" s="28"/>
      <c r="U649" s="28"/>
      <c r="V649" s="28"/>
      <c r="W649" s="28"/>
      <c r="X649" s="28"/>
      <c r="Y649" s="28"/>
      <c r="Z649" s="28"/>
    </row>
    <row r="650" ht="15.75" customHeight="1">
      <c r="A650" s="125"/>
      <c r="B650" s="125"/>
      <c r="C650" s="125"/>
      <c r="D650" s="128"/>
      <c r="E650" s="126"/>
      <c r="F650" s="38"/>
      <c r="G650" s="127"/>
      <c r="H650" s="28"/>
      <c r="I650" s="28"/>
      <c r="J650" s="28"/>
      <c r="K650" s="28"/>
      <c r="L650" s="28"/>
      <c r="M650" s="28"/>
      <c r="N650" s="28"/>
      <c r="O650" s="28"/>
      <c r="P650" s="28"/>
      <c r="Q650" s="28"/>
      <c r="R650" s="28"/>
      <c r="S650" s="28"/>
      <c r="T650" s="28"/>
      <c r="U650" s="28"/>
      <c r="V650" s="28"/>
      <c r="W650" s="28"/>
      <c r="X650" s="28"/>
      <c r="Y650" s="28"/>
      <c r="Z650" s="28"/>
    </row>
    <row r="651" ht="15.75" customHeight="1">
      <c r="A651" s="125"/>
      <c r="B651" s="125"/>
      <c r="C651" s="125"/>
      <c r="D651" s="128"/>
      <c r="E651" s="126"/>
      <c r="F651" s="38"/>
      <c r="G651" s="127"/>
      <c r="H651" s="28"/>
      <c r="I651" s="28"/>
      <c r="J651" s="28"/>
      <c r="K651" s="28"/>
      <c r="L651" s="28"/>
      <c r="M651" s="28"/>
      <c r="N651" s="28"/>
      <c r="O651" s="28"/>
      <c r="P651" s="28"/>
      <c r="Q651" s="28"/>
      <c r="R651" s="28"/>
      <c r="S651" s="28"/>
      <c r="T651" s="28"/>
      <c r="U651" s="28"/>
      <c r="V651" s="28"/>
      <c r="W651" s="28"/>
      <c r="X651" s="28"/>
      <c r="Y651" s="28"/>
      <c r="Z651" s="28"/>
    </row>
    <row r="652" ht="15.75" customHeight="1">
      <c r="A652" s="125"/>
      <c r="B652" s="125"/>
      <c r="C652" s="125"/>
      <c r="D652" s="128"/>
      <c r="E652" s="126"/>
      <c r="F652" s="38"/>
      <c r="G652" s="127"/>
      <c r="H652" s="28"/>
      <c r="I652" s="28"/>
      <c r="J652" s="28"/>
      <c r="K652" s="28"/>
      <c r="L652" s="28"/>
      <c r="M652" s="28"/>
      <c r="N652" s="28"/>
      <c r="O652" s="28"/>
      <c r="P652" s="28"/>
      <c r="Q652" s="28"/>
      <c r="R652" s="28"/>
      <c r="S652" s="28"/>
      <c r="T652" s="28"/>
      <c r="U652" s="28"/>
      <c r="V652" s="28"/>
      <c r="W652" s="28"/>
      <c r="X652" s="28"/>
      <c r="Y652" s="28"/>
      <c r="Z652" s="28"/>
    </row>
    <row r="653" ht="15.75" customHeight="1">
      <c r="A653" s="125"/>
      <c r="B653" s="125"/>
      <c r="C653" s="125"/>
      <c r="D653" s="128"/>
      <c r="E653" s="126"/>
      <c r="F653" s="38"/>
      <c r="G653" s="127"/>
      <c r="H653" s="28"/>
      <c r="I653" s="28"/>
      <c r="J653" s="28"/>
      <c r="K653" s="28"/>
      <c r="L653" s="28"/>
      <c r="M653" s="28"/>
      <c r="N653" s="28"/>
      <c r="O653" s="28"/>
      <c r="P653" s="28"/>
      <c r="Q653" s="28"/>
      <c r="R653" s="28"/>
      <c r="S653" s="28"/>
      <c r="T653" s="28"/>
      <c r="U653" s="28"/>
      <c r="V653" s="28"/>
      <c r="W653" s="28"/>
      <c r="X653" s="28"/>
      <c r="Y653" s="28"/>
      <c r="Z653" s="28"/>
    </row>
    <row r="654" ht="15.75" customHeight="1">
      <c r="A654" s="125"/>
      <c r="B654" s="125"/>
      <c r="C654" s="125"/>
      <c r="D654" s="128"/>
      <c r="E654" s="126"/>
      <c r="F654" s="38"/>
      <c r="G654" s="127"/>
      <c r="H654" s="28"/>
      <c r="I654" s="28"/>
      <c r="J654" s="28"/>
      <c r="K654" s="28"/>
      <c r="L654" s="28"/>
      <c r="M654" s="28"/>
      <c r="N654" s="28"/>
      <c r="O654" s="28"/>
      <c r="P654" s="28"/>
      <c r="Q654" s="28"/>
      <c r="R654" s="28"/>
      <c r="S654" s="28"/>
      <c r="T654" s="28"/>
      <c r="U654" s="28"/>
      <c r="V654" s="28"/>
      <c r="W654" s="28"/>
      <c r="X654" s="28"/>
      <c r="Y654" s="28"/>
      <c r="Z654" s="28"/>
    </row>
    <row r="655" ht="15.75" customHeight="1">
      <c r="A655" s="125"/>
      <c r="B655" s="125"/>
      <c r="C655" s="125"/>
      <c r="D655" s="128"/>
      <c r="E655" s="126"/>
      <c r="F655" s="38"/>
      <c r="G655" s="127"/>
      <c r="H655" s="28"/>
      <c r="I655" s="28"/>
      <c r="J655" s="28"/>
      <c r="K655" s="28"/>
      <c r="L655" s="28"/>
      <c r="M655" s="28"/>
      <c r="N655" s="28"/>
      <c r="O655" s="28"/>
      <c r="P655" s="28"/>
      <c r="Q655" s="28"/>
      <c r="R655" s="28"/>
      <c r="S655" s="28"/>
      <c r="T655" s="28"/>
      <c r="U655" s="28"/>
      <c r="V655" s="28"/>
      <c r="W655" s="28"/>
      <c r="X655" s="28"/>
      <c r="Y655" s="28"/>
      <c r="Z655" s="28"/>
    </row>
    <row r="656" ht="15.75" customHeight="1">
      <c r="A656" s="125"/>
      <c r="B656" s="125"/>
      <c r="C656" s="125"/>
      <c r="D656" s="128"/>
      <c r="E656" s="126"/>
      <c r="F656" s="38"/>
      <c r="G656" s="127"/>
      <c r="H656" s="28"/>
      <c r="I656" s="28"/>
      <c r="J656" s="28"/>
      <c r="K656" s="28"/>
      <c r="L656" s="28"/>
      <c r="M656" s="28"/>
      <c r="N656" s="28"/>
      <c r="O656" s="28"/>
      <c r="P656" s="28"/>
      <c r="Q656" s="28"/>
      <c r="R656" s="28"/>
      <c r="S656" s="28"/>
      <c r="T656" s="28"/>
      <c r="U656" s="28"/>
      <c r="V656" s="28"/>
      <c r="W656" s="28"/>
      <c r="X656" s="28"/>
      <c r="Y656" s="28"/>
      <c r="Z656" s="28"/>
    </row>
    <row r="657" ht="15.75" customHeight="1">
      <c r="A657" s="125"/>
      <c r="B657" s="125"/>
      <c r="C657" s="125"/>
      <c r="D657" s="128"/>
      <c r="E657" s="126"/>
      <c r="F657" s="38"/>
      <c r="G657" s="127"/>
      <c r="H657" s="28"/>
      <c r="I657" s="28"/>
      <c r="J657" s="28"/>
      <c r="K657" s="28"/>
      <c r="L657" s="28"/>
      <c r="M657" s="28"/>
      <c r="N657" s="28"/>
      <c r="O657" s="28"/>
      <c r="P657" s="28"/>
      <c r="Q657" s="28"/>
      <c r="R657" s="28"/>
      <c r="S657" s="28"/>
      <c r="T657" s="28"/>
      <c r="U657" s="28"/>
      <c r="V657" s="28"/>
      <c r="W657" s="28"/>
      <c r="X657" s="28"/>
      <c r="Y657" s="28"/>
      <c r="Z657" s="28"/>
    </row>
    <row r="658" ht="15.75" customHeight="1">
      <c r="A658" s="125"/>
      <c r="B658" s="125"/>
      <c r="C658" s="125"/>
      <c r="D658" s="128"/>
      <c r="E658" s="126"/>
      <c r="F658" s="38"/>
      <c r="G658" s="127"/>
      <c r="H658" s="28"/>
      <c r="I658" s="28"/>
      <c r="J658" s="28"/>
      <c r="K658" s="28"/>
      <c r="L658" s="28"/>
      <c r="M658" s="28"/>
      <c r="N658" s="28"/>
      <c r="O658" s="28"/>
      <c r="P658" s="28"/>
      <c r="Q658" s="28"/>
      <c r="R658" s="28"/>
      <c r="S658" s="28"/>
      <c r="T658" s="28"/>
      <c r="U658" s="28"/>
      <c r="V658" s="28"/>
      <c r="W658" s="28"/>
      <c r="X658" s="28"/>
      <c r="Y658" s="28"/>
      <c r="Z658" s="28"/>
    </row>
    <row r="659" ht="15.75" customHeight="1">
      <c r="A659" s="125"/>
      <c r="B659" s="125"/>
      <c r="C659" s="125"/>
      <c r="D659" s="128"/>
      <c r="E659" s="126"/>
      <c r="F659" s="38"/>
      <c r="G659" s="127"/>
      <c r="H659" s="28"/>
      <c r="I659" s="28"/>
      <c r="J659" s="28"/>
      <c r="K659" s="28"/>
      <c r="L659" s="28"/>
      <c r="M659" s="28"/>
      <c r="N659" s="28"/>
      <c r="O659" s="28"/>
      <c r="P659" s="28"/>
      <c r="Q659" s="28"/>
      <c r="R659" s="28"/>
      <c r="S659" s="28"/>
      <c r="T659" s="28"/>
      <c r="U659" s="28"/>
      <c r="V659" s="28"/>
      <c r="W659" s="28"/>
      <c r="X659" s="28"/>
      <c r="Y659" s="28"/>
      <c r="Z659" s="28"/>
    </row>
    <row r="660" ht="15.75" customHeight="1">
      <c r="A660" s="125"/>
      <c r="B660" s="125"/>
      <c r="C660" s="125"/>
      <c r="D660" s="128"/>
      <c r="E660" s="126"/>
      <c r="F660" s="38"/>
      <c r="G660" s="127"/>
      <c r="H660" s="28"/>
      <c r="I660" s="28"/>
      <c r="J660" s="28"/>
      <c r="K660" s="28"/>
      <c r="L660" s="28"/>
      <c r="M660" s="28"/>
      <c r="N660" s="28"/>
      <c r="O660" s="28"/>
      <c r="P660" s="28"/>
      <c r="Q660" s="28"/>
      <c r="R660" s="28"/>
      <c r="S660" s="28"/>
      <c r="T660" s="28"/>
      <c r="U660" s="28"/>
      <c r="V660" s="28"/>
      <c r="W660" s="28"/>
      <c r="X660" s="28"/>
      <c r="Y660" s="28"/>
      <c r="Z660" s="28"/>
    </row>
    <row r="661" ht="15.75" customHeight="1">
      <c r="A661" s="125"/>
      <c r="B661" s="125"/>
      <c r="C661" s="125"/>
      <c r="D661" s="128"/>
      <c r="E661" s="126"/>
      <c r="F661" s="38"/>
      <c r="G661" s="127"/>
      <c r="H661" s="28"/>
      <c r="I661" s="28"/>
      <c r="J661" s="28"/>
      <c r="K661" s="28"/>
      <c r="L661" s="28"/>
      <c r="M661" s="28"/>
      <c r="N661" s="28"/>
      <c r="O661" s="28"/>
      <c r="P661" s="28"/>
      <c r="Q661" s="28"/>
      <c r="R661" s="28"/>
      <c r="S661" s="28"/>
      <c r="T661" s="28"/>
      <c r="U661" s="28"/>
      <c r="V661" s="28"/>
      <c r="W661" s="28"/>
      <c r="X661" s="28"/>
      <c r="Y661" s="28"/>
      <c r="Z661" s="28"/>
    </row>
    <row r="662" ht="15.75" customHeight="1">
      <c r="A662" s="125"/>
      <c r="B662" s="125"/>
      <c r="C662" s="125"/>
      <c r="D662" s="128"/>
      <c r="E662" s="126"/>
      <c r="F662" s="38"/>
      <c r="G662" s="127"/>
      <c r="H662" s="28"/>
      <c r="I662" s="28"/>
      <c r="J662" s="28"/>
      <c r="K662" s="28"/>
      <c r="L662" s="28"/>
      <c r="M662" s="28"/>
      <c r="N662" s="28"/>
      <c r="O662" s="28"/>
      <c r="P662" s="28"/>
      <c r="Q662" s="28"/>
      <c r="R662" s="28"/>
      <c r="S662" s="28"/>
      <c r="T662" s="28"/>
      <c r="U662" s="28"/>
      <c r="V662" s="28"/>
      <c r="W662" s="28"/>
      <c r="X662" s="28"/>
      <c r="Y662" s="28"/>
      <c r="Z662" s="28"/>
    </row>
    <row r="663" ht="15.75" customHeight="1">
      <c r="A663" s="125"/>
      <c r="B663" s="125"/>
      <c r="C663" s="125"/>
      <c r="D663" s="128"/>
      <c r="E663" s="126"/>
      <c r="F663" s="38"/>
      <c r="G663" s="127"/>
      <c r="H663" s="28"/>
      <c r="I663" s="28"/>
      <c r="J663" s="28"/>
      <c r="K663" s="28"/>
      <c r="L663" s="28"/>
      <c r="M663" s="28"/>
      <c r="N663" s="28"/>
      <c r="O663" s="28"/>
      <c r="P663" s="28"/>
      <c r="Q663" s="28"/>
      <c r="R663" s="28"/>
      <c r="S663" s="28"/>
      <c r="T663" s="28"/>
      <c r="U663" s="28"/>
      <c r="V663" s="28"/>
      <c r="W663" s="28"/>
      <c r="X663" s="28"/>
      <c r="Y663" s="28"/>
      <c r="Z663" s="28"/>
    </row>
    <row r="664" ht="15.75" customHeight="1">
      <c r="A664" s="125"/>
      <c r="B664" s="125"/>
      <c r="C664" s="125"/>
      <c r="D664" s="128"/>
      <c r="E664" s="126"/>
      <c r="F664" s="38"/>
      <c r="G664" s="127"/>
      <c r="H664" s="28"/>
      <c r="I664" s="28"/>
      <c r="J664" s="28"/>
      <c r="K664" s="28"/>
      <c r="L664" s="28"/>
      <c r="M664" s="28"/>
      <c r="N664" s="28"/>
      <c r="O664" s="28"/>
      <c r="P664" s="28"/>
      <c r="Q664" s="28"/>
      <c r="R664" s="28"/>
      <c r="S664" s="28"/>
      <c r="T664" s="28"/>
      <c r="U664" s="28"/>
      <c r="V664" s="28"/>
      <c r="W664" s="28"/>
      <c r="X664" s="28"/>
      <c r="Y664" s="28"/>
      <c r="Z664" s="28"/>
    </row>
    <row r="665" ht="15.75" customHeight="1">
      <c r="A665" s="125"/>
      <c r="B665" s="125"/>
      <c r="C665" s="125"/>
      <c r="D665" s="128"/>
      <c r="E665" s="126"/>
      <c r="F665" s="38"/>
      <c r="G665" s="127"/>
      <c r="H665" s="28"/>
      <c r="I665" s="28"/>
      <c r="J665" s="28"/>
      <c r="K665" s="28"/>
      <c r="L665" s="28"/>
      <c r="M665" s="28"/>
      <c r="N665" s="28"/>
      <c r="O665" s="28"/>
      <c r="P665" s="28"/>
      <c r="Q665" s="28"/>
      <c r="R665" s="28"/>
      <c r="S665" s="28"/>
      <c r="T665" s="28"/>
      <c r="U665" s="28"/>
      <c r="V665" s="28"/>
      <c r="W665" s="28"/>
      <c r="X665" s="28"/>
      <c r="Y665" s="28"/>
      <c r="Z665" s="28"/>
    </row>
    <row r="666" ht="15.75" customHeight="1">
      <c r="A666" s="125"/>
      <c r="B666" s="125"/>
      <c r="C666" s="125"/>
      <c r="D666" s="128"/>
      <c r="E666" s="126"/>
      <c r="F666" s="38"/>
      <c r="G666" s="127"/>
      <c r="H666" s="28"/>
      <c r="I666" s="28"/>
      <c r="J666" s="28"/>
      <c r="K666" s="28"/>
      <c r="L666" s="28"/>
      <c r="M666" s="28"/>
      <c r="N666" s="28"/>
      <c r="O666" s="28"/>
      <c r="P666" s="28"/>
      <c r="Q666" s="28"/>
      <c r="R666" s="28"/>
      <c r="S666" s="28"/>
      <c r="T666" s="28"/>
      <c r="U666" s="28"/>
      <c r="V666" s="28"/>
      <c r="W666" s="28"/>
      <c r="X666" s="28"/>
      <c r="Y666" s="28"/>
      <c r="Z666" s="28"/>
    </row>
    <row r="667" ht="15.75" customHeight="1">
      <c r="A667" s="125"/>
      <c r="B667" s="125"/>
      <c r="C667" s="125"/>
      <c r="D667" s="128"/>
      <c r="E667" s="126"/>
      <c r="F667" s="38"/>
      <c r="G667" s="127"/>
      <c r="H667" s="28"/>
      <c r="I667" s="28"/>
      <c r="J667" s="28"/>
      <c r="K667" s="28"/>
      <c r="L667" s="28"/>
      <c r="M667" s="28"/>
      <c r="N667" s="28"/>
      <c r="O667" s="28"/>
      <c r="P667" s="28"/>
      <c r="Q667" s="28"/>
      <c r="R667" s="28"/>
      <c r="S667" s="28"/>
      <c r="T667" s="28"/>
      <c r="U667" s="28"/>
      <c r="V667" s="28"/>
      <c r="W667" s="28"/>
      <c r="X667" s="28"/>
      <c r="Y667" s="28"/>
      <c r="Z667" s="28"/>
    </row>
    <row r="668" ht="15.75" customHeight="1">
      <c r="A668" s="125"/>
      <c r="B668" s="125"/>
      <c r="C668" s="125"/>
      <c r="D668" s="128"/>
      <c r="E668" s="126"/>
      <c r="F668" s="38"/>
      <c r="G668" s="127"/>
      <c r="H668" s="28"/>
      <c r="I668" s="28"/>
      <c r="J668" s="28"/>
      <c r="K668" s="28"/>
      <c r="L668" s="28"/>
      <c r="M668" s="28"/>
      <c r="N668" s="28"/>
      <c r="O668" s="28"/>
      <c r="P668" s="28"/>
      <c r="Q668" s="28"/>
      <c r="R668" s="28"/>
      <c r="S668" s="28"/>
      <c r="T668" s="28"/>
      <c r="U668" s="28"/>
      <c r="V668" s="28"/>
      <c r="W668" s="28"/>
      <c r="X668" s="28"/>
      <c r="Y668" s="28"/>
      <c r="Z668" s="28"/>
    </row>
    <row r="669" ht="15.75" customHeight="1">
      <c r="A669" s="125"/>
      <c r="B669" s="125"/>
      <c r="C669" s="125"/>
      <c r="D669" s="128"/>
      <c r="E669" s="126"/>
      <c r="F669" s="38"/>
      <c r="G669" s="127"/>
      <c r="H669" s="28"/>
      <c r="I669" s="28"/>
      <c r="J669" s="28"/>
      <c r="K669" s="28"/>
      <c r="L669" s="28"/>
      <c r="M669" s="28"/>
      <c r="N669" s="28"/>
      <c r="O669" s="28"/>
      <c r="P669" s="28"/>
      <c r="Q669" s="28"/>
      <c r="R669" s="28"/>
      <c r="S669" s="28"/>
      <c r="T669" s="28"/>
      <c r="U669" s="28"/>
      <c r="V669" s="28"/>
      <c r="W669" s="28"/>
      <c r="X669" s="28"/>
      <c r="Y669" s="28"/>
      <c r="Z669" s="28"/>
    </row>
    <row r="670" ht="15.75" customHeight="1">
      <c r="A670" s="125"/>
      <c r="B670" s="125"/>
      <c r="C670" s="125"/>
      <c r="D670" s="128"/>
      <c r="E670" s="126"/>
      <c r="F670" s="38"/>
      <c r="G670" s="127"/>
      <c r="H670" s="28"/>
      <c r="I670" s="28"/>
      <c r="J670" s="28"/>
      <c r="K670" s="28"/>
      <c r="L670" s="28"/>
      <c r="M670" s="28"/>
      <c r="N670" s="28"/>
      <c r="O670" s="28"/>
      <c r="P670" s="28"/>
      <c r="Q670" s="28"/>
      <c r="R670" s="28"/>
      <c r="S670" s="28"/>
      <c r="T670" s="28"/>
      <c r="U670" s="28"/>
      <c r="V670" s="28"/>
      <c r="W670" s="28"/>
      <c r="X670" s="28"/>
      <c r="Y670" s="28"/>
      <c r="Z670" s="28"/>
    </row>
    <row r="671" ht="15.75" customHeight="1">
      <c r="A671" s="125"/>
      <c r="B671" s="125"/>
      <c r="C671" s="125"/>
      <c r="D671" s="128"/>
      <c r="E671" s="126"/>
      <c r="F671" s="38"/>
      <c r="G671" s="127"/>
      <c r="H671" s="28"/>
      <c r="I671" s="28"/>
      <c r="J671" s="28"/>
      <c r="K671" s="28"/>
      <c r="L671" s="28"/>
      <c r="M671" s="28"/>
      <c r="N671" s="28"/>
      <c r="O671" s="28"/>
      <c r="P671" s="28"/>
      <c r="Q671" s="28"/>
      <c r="R671" s="28"/>
      <c r="S671" s="28"/>
      <c r="T671" s="28"/>
      <c r="U671" s="28"/>
      <c r="V671" s="28"/>
      <c r="W671" s="28"/>
      <c r="X671" s="28"/>
      <c r="Y671" s="28"/>
      <c r="Z671" s="28"/>
    </row>
    <row r="672" ht="15.75" customHeight="1">
      <c r="A672" s="125"/>
      <c r="B672" s="125"/>
      <c r="C672" s="125"/>
      <c r="D672" s="128"/>
      <c r="E672" s="126"/>
      <c r="F672" s="38"/>
      <c r="G672" s="127"/>
      <c r="H672" s="28"/>
      <c r="I672" s="28"/>
      <c r="J672" s="28"/>
      <c r="K672" s="28"/>
      <c r="L672" s="28"/>
      <c r="M672" s="28"/>
      <c r="N672" s="28"/>
      <c r="O672" s="28"/>
      <c r="P672" s="28"/>
      <c r="Q672" s="28"/>
      <c r="R672" s="28"/>
      <c r="S672" s="28"/>
      <c r="T672" s="28"/>
      <c r="U672" s="28"/>
      <c r="V672" s="28"/>
      <c r="W672" s="28"/>
      <c r="X672" s="28"/>
      <c r="Y672" s="28"/>
      <c r="Z672" s="28"/>
    </row>
    <row r="673" ht="15.75" customHeight="1">
      <c r="A673" s="125"/>
      <c r="B673" s="125"/>
      <c r="C673" s="125"/>
      <c r="D673" s="128"/>
      <c r="E673" s="126"/>
      <c r="F673" s="38"/>
      <c r="G673" s="127"/>
      <c r="H673" s="28"/>
      <c r="I673" s="28"/>
      <c r="J673" s="28"/>
      <c r="K673" s="28"/>
      <c r="L673" s="28"/>
      <c r="M673" s="28"/>
      <c r="N673" s="28"/>
      <c r="O673" s="28"/>
      <c r="P673" s="28"/>
      <c r="Q673" s="28"/>
      <c r="R673" s="28"/>
      <c r="S673" s="28"/>
      <c r="T673" s="28"/>
      <c r="U673" s="28"/>
      <c r="V673" s="28"/>
      <c r="W673" s="28"/>
      <c r="X673" s="28"/>
      <c r="Y673" s="28"/>
      <c r="Z673" s="28"/>
    </row>
    <row r="674" ht="15.75" customHeight="1">
      <c r="A674" s="125"/>
      <c r="B674" s="125"/>
      <c r="C674" s="125"/>
      <c r="D674" s="128"/>
      <c r="E674" s="126"/>
      <c r="F674" s="38"/>
      <c r="G674" s="127"/>
      <c r="H674" s="28"/>
      <c r="I674" s="28"/>
      <c r="J674" s="28"/>
      <c r="K674" s="28"/>
      <c r="L674" s="28"/>
      <c r="M674" s="28"/>
      <c r="N674" s="28"/>
      <c r="O674" s="28"/>
      <c r="P674" s="28"/>
      <c r="Q674" s="28"/>
      <c r="R674" s="28"/>
      <c r="S674" s="28"/>
      <c r="T674" s="28"/>
      <c r="U674" s="28"/>
      <c r="V674" s="28"/>
      <c r="W674" s="28"/>
      <c r="X674" s="28"/>
      <c r="Y674" s="28"/>
      <c r="Z674" s="28"/>
    </row>
    <row r="675" ht="15.75" customHeight="1">
      <c r="A675" s="125"/>
      <c r="B675" s="125"/>
      <c r="C675" s="125"/>
      <c r="D675" s="128"/>
      <c r="E675" s="126"/>
      <c r="F675" s="38"/>
      <c r="G675" s="127"/>
      <c r="H675" s="28"/>
      <c r="I675" s="28"/>
      <c r="J675" s="28"/>
      <c r="K675" s="28"/>
      <c r="L675" s="28"/>
      <c r="M675" s="28"/>
      <c r="N675" s="28"/>
      <c r="O675" s="28"/>
      <c r="P675" s="28"/>
      <c r="Q675" s="28"/>
      <c r="R675" s="28"/>
      <c r="S675" s="28"/>
      <c r="T675" s="28"/>
      <c r="U675" s="28"/>
      <c r="V675" s="28"/>
      <c r="W675" s="28"/>
      <c r="X675" s="28"/>
      <c r="Y675" s="28"/>
      <c r="Z675" s="28"/>
    </row>
    <row r="676" ht="15.75" customHeight="1">
      <c r="A676" s="125"/>
      <c r="B676" s="125"/>
      <c r="C676" s="125"/>
      <c r="D676" s="128"/>
      <c r="E676" s="126"/>
      <c r="F676" s="38"/>
      <c r="G676" s="127"/>
      <c r="H676" s="28"/>
      <c r="I676" s="28"/>
      <c r="J676" s="28"/>
      <c r="K676" s="28"/>
      <c r="L676" s="28"/>
      <c r="M676" s="28"/>
      <c r="N676" s="28"/>
      <c r="O676" s="28"/>
      <c r="P676" s="28"/>
      <c r="Q676" s="28"/>
      <c r="R676" s="28"/>
      <c r="S676" s="28"/>
      <c r="T676" s="28"/>
      <c r="U676" s="28"/>
      <c r="V676" s="28"/>
      <c r="W676" s="28"/>
      <c r="X676" s="28"/>
      <c r="Y676" s="28"/>
      <c r="Z676" s="28"/>
    </row>
    <row r="677" ht="15.75" customHeight="1">
      <c r="A677" s="125"/>
      <c r="B677" s="125"/>
      <c r="C677" s="125"/>
      <c r="D677" s="128"/>
      <c r="E677" s="126"/>
      <c r="F677" s="38"/>
      <c r="G677" s="127"/>
      <c r="H677" s="28"/>
      <c r="I677" s="28"/>
      <c r="J677" s="28"/>
      <c r="K677" s="28"/>
      <c r="L677" s="28"/>
      <c r="M677" s="28"/>
      <c r="N677" s="28"/>
      <c r="O677" s="28"/>
      <c r="P677" s="28"/>
      <c r="Q677" s="28"/>
      <c r="R677" s="28"/>
      <c r="S677" s="28"/>
      <c r="T677" s="28"/>
      <c r="U677" s="28"/>
      <c r="V677" s="28"/>
      <c r="W677" s="28"/>
      <c r="X677" s="28"/>
      <c r="Y677" s="28"/>
      <c r="Z677" s="28"/>
    </row>
    <row r="678" ht="15.75" customHeight="1">
      <c r="A678" s="125"/>
      <c r="B678" s="125"/>
      <c r="C678" s="125"/>
      <c r="D678" s="128"/>
      <c r="E678" s="126"/>
      <c r="F678" s="38"/>
      <c r="G678" s="127"/>
      <c r="H678" s="28"/>
      <c r="I678" s="28"/>
      <c r="J678" s="28"/>
      <c r="K678" s="28"/>
      <c r="L678" s="28"/>
      <c r="M678" s="28"/>
      <c r="N678" s="28"/>
      <c r="O678" s="28"/>
      <c r="P678" s="28"/>
      <c r="Q678" s="28"/>
      <c r="R678" s="28"/>
      <c r="S678" s="28"/>
      <c r="T678" s="28"/>
      <c r="U678" s="28"/>
      <c r="V678" s="28"/>
      <c r="W678" s="28"/>
      <c r="X678" s="28"/>
      <c r="Y678" s="28"/>
      <c r="Z678" s="28"/>
    </row>
    <row r="679" ht="15.75" customHeight="1">
      <c r="A679" s="125"/>
      <c r="B679" s="125"/>
      <c r="C679" s="125"/>
      <c r="D679" s="128"/>
      <c r="E679" s="126"/>
      <c r="F679" s="38"/>
      <c r="G679" s="127"/>
      <c r="H679" s="28"/>
      <c r="I679" s="28"/>
      <c r="J679" s="28"/>
      <c r="K679" s="28"/>
      <c r="L679" s="28"/>
      <c r="M679" s="28"/>
      <c r="N679" s="28"/>
      <c r="O679" s="28"/>
      <c r="P679" s="28"/>
      <c r="Q679" s="28"/>
      <c r="R679" s="28"/>
      <c r="S679" s="28"/>
      <c r="T679" s="28"/>
      <c r="U679" s="28"/>
      <c r="V679" s="28"/>
      <c r="W679" s="28"/>
      <c r="X679" s="28"/>
      <c r="Y679" s="28"/>
      <c r="Z679" s="28"/>
    </row>
    <row r="680" ht="15.75" customHeight="1">
      <c r="A680" s="125"/>
      <c r="B680" s="125"/>
      <c r="C680" s="125"/>
      <c r="D680" s="128"/>
      <c r="E680" s="126"/>
      <c r="F680" s="38"/>
      <c r="G680" s="127"/>
      <c r="H680" s="28"/>
      <c r="I680" s="28"/>
      <c r="J680" s="28"/>
      <c r="K680" s="28"/>
      <c r="L680" s="28"/>
      <c r="M680" s="28"/>
      <c r="N680" s="28"/>
      <c r="O680" s="28"/>
      <c r="P680" s="28"/>
      <c r="Q680" s="28"/>
      <c r="R680" s="28"/>
      <c r="S680" s="28"/>
      <c r="T680" s="28"/>
      <c r="U680" s="28"/>
      <c r="V680" s="28"/>
      <c r="W680" s="28"/>
      <c r="X680" s="28"/>
      <c r="Y680" s="28"/>
      <c r="Z680" s="28"/>
    </row>
    <row r="681" ht="15.75" customHeight="1">
      <c r="A681" s="125"/>
      <c r="B681" s="125"/>
      <c r="C681" s="125"/>
      <c r="D681" s="128"/>
      <c r="E681" s="126"/>
      <c r="F681" s="38"/>
      <c r="G681" s="127"/>
      <c r="H681" s="28"/>
      <c r="I681" s="28"/>
      <c r="J681" s="28"/>
      <c r="K681" s="28"/>
      <c r="L681" s="28"/>
      <c r="M681" s="28"/>
      <c r="N681" s="28"/>
      <c r="O681" s="28"/>
      <c r="P681" s="28"/>
      <c r="Q681" s="28"/>
      <c r="R681" s="28"/>
      <c r="S681" s="28"/>
      <c r="T681" s="28"/>
      <c r="U681" s="28"/>
      <c r="V681" s="28"/>
      <c r="W681" s="28"/>
      <c r="X681" s="28"/>
      <c r="Y681" s="28"/>
      <c r="Z681" s="28"/>
    </row>
    <row r="682" ht="15.75" customHeight="1">
      <c r="A682" s="125"/>
      <c r="B682" s="125"/>
      <c r="C682" s="125"/>
      <c r="D682" s="128"/>
      <c r="E682" s="126"/>
      <c r="F682" s="38"/>
      <c r="G682" s="127"/>
      <c r="H682" s="28"/>
      <c r="I682" s="28"/>
      <c r="J682" s="28"/>
      <c r="K682" s="28"/>
      <c r="L682" s="28"/>
      <c r="M682" s="28"/>
      <c r="N682" s="28"/>
      <c r="O682" s="28"/>
      <c r="P682" s="28"/>
      <c r="Q682" s="28"/>
      <c r="R682" s="28"/>
      <c r="S682" s="28"/>
      <c r="T682" s="28"/>
      <c r="U682" s="28"/>
      <c r="V682" s="28"/>
      <c r="W682" s="28"/>
      <c r="X682" s="28"/>
      <c r="Y682" s="28"/>
      <c r="Z682" s="28"/>
    </row>
    <row r="683" ht="15.75" customHeight="1">
      <c r="A683" s="125"/>
      <c r="B683" s="125"/>
      <c r="C683" s="125"/>
      <c r="D683" s="128"/>
      <c r="E683" s="126"/>
      <c r="F683" s="38"/>
      <c r="G683" s="127"/>
      <c r="H683" s="28"/>
      <c r="I683" s="28"/>
      <c r="J683" s="28"/>
      <c r="K683" s="28"/>
      <c r="L683" s="28"/>
      <c r="M683" s="28"/>
      <c r="N683" s="28"/>
      <c r="O683" s="28"/>
      <c r="P683" s="28"/>
      <c r="Q683" s="28"/>
      <c r="R683" s="28"/>
      <c r="S683" s="28"/>
      <c r="T683" s="28"/>
      <c r="U683" s="28"/>
      <c r="V683" s="28"/>
      <c r="W683" s="28"/>
      <c r="X683" s="28"/>
      <c r="Y683" s="28"/>
      <c r="Z683" s="28"/>
    </row>
    <row r="684" ht="15.75" customHeight="1">
      <c r="A684" s="125"/>
      <c r="B684" s="125"/>
      <c r="C684" s="125"/>
      <c r="D684" s="128"/>
      <c r="E684" s="126"/>
      <c r="F684" s="38"/>
      <c r="G684" s="127"/>
      <c r="H684" s="28"/>
      <c r="I684" s="28"/>
      <c r="J684" s="28"/>
      <c r="K684" s="28"/>
      <c r="L684" s="28"/>
      <c r="M684" s="28"/>
      <c r="N684" s="28"/>
      <c r="O684" s="28"/>
      <c r="P684" s="28"/>
      <c r="Q684" s="28"/>
      <c r="R684" s="28"/>
      <c r="S684" s="28"/>
      <c r="T684" s="28"/>
      <c r="U684" s="28"/>
      <c r="V684" s="28"/>
      <c r="W684" s="28"/>
      <c r="X684" s="28"/>
      <c r="Y684" s="28"/>
      <c r="Z684" s="28"/>
    </row>
    <row r="685" ht="15.75" customHeight="1">
      <c r="A685" s="125"/>
      <c r="B685" s="125"/>
      <c r="C685" s="125"/>
      <c r="D685" s="128"/>
      <c r="E685" s="126"/>
      <c r="F685" s="38"/>
      <c r="G685" s="127"/>
      <c r="H685" s="28"/>
      <c r="I685" s="28"/>
      <c r="J685" s="28"/>
      <c r="K685" s="28"/>
      <c r="L685" s="28"/>
      <c r="M685" s="28"/>
      <c r="N685" s="28"/>
      <c r="O685" s="28"/>
      <c r="P685" s="28"/>
      <c r="Q685" s="28"/>
      <c r="R685" s="28"/>
      <c r="S685" s="28"/>
      <c r="T685" s="28"/>
      <c r="U685" s="28"/>
      <c r="V685" s="28"/>
      <c r="W685" s="28"/>
      <c r="X685" s="28"/>
      <c r="Y685" s="28"/>
      <c r="Z685" s="28"/>
    </row>
    <row r="686" ht="15.75" customHeight="1">
      <c r="A686" s="125"/>
      <c r="B686" s="125"/>
      <c r="C686" s="125"/>
      <c r="D686" s="128"/>
      <c r="E686" s="126"/>
      <c r="F686" s="38"/>
      <c r="G686" s="127"/>
      <c r="H686" s="28"/>
      <c r="I686" s="28"/>
      <c r="J686" s="28"/>
      <c r="K686" s="28"/>
      <c r="L686" s="28"/>
      <c r="M686" s="28"/>
      <c r="N686" s="28"/>
      <c r="O686" s="28"/>
      <c r="P686" s="28"/>
      <c r="Q686" s="28"/>
      <c r="R686" s="28"/>
      <c r="S686" s="28"/>
      <c r="T686" s="28"/>
      <c r="U686" s="28"/>
      <c r="V686" s="28"/>
      <c r="W686" s="28"/>
      <c r="X686" s="28"/>
      <c r="Y686" s="28"/>
      <c r="Z686" s="28"/>
    </row>
    <row r="687" ht="15.75" customHeight="1">
      <c r="A687" s="125"/>
      <c r="B687" s="125"/>
      <c r="C687" s="125"/>
      <c r="D687" s="128"/>
      <c r="E687" s="126"/>
      <c r="F687" s="38"/>
      <c r="G687" s="127"/>
      <c r="H687" s="28"/>
      <c r="I687" s="28"/>
      <c r="J687" s="28"/>
      <c r="K687" s="28"/>
      <c r="L687" s="28"/>
      <c r="M687" s="28"/>
      <c r="N687" s="28"/>
      <c r="O687" s="28"/>
      <c r="P687" s="28"/>
      <c r="Q687" s="28"/>
      <c r="R687" s="28"/>
      <c r="S687" s="28"/>
      <c r="T687" s="28"/>
      <c r="U687" s="28"/>
      <c r="V687" s="28"/>
      <c r="W687" s="28"/>
      <c r="X687" s="28"/>
      <c r="Y687" s="28"/>
      <c r="Z687" s="28"/>
    </row>
    <row r="688" ht="15.75" customHeight="1">
      <c r="A688" s="125"/>
      <c r="B688" s="125"/>
      <c r="C688" s="125"/>
      <c r="D688" s="128"/>
      <c r="E688" s="126"/>
      <c r="F688" s="38"/>
      <c r="G688" s="127"/>
      <c r="H688" s="28"/>
      <c r="I688" s="28"/>
      <c r="J688" s="28"/>
      <c r="K688" s="28"/>
      <c r="L688" s="28"/>
      <c r="M688" s="28"/>
      <c r="N688" s="28"/>
      <c r="O688" s="28"/>
      <c r="P688" s="28"/>
      <c r="Q688" s="28"/>
      <c r="R688" s="28"/>
      <c r="S688" s="28"/>
      <c r="T688" s="28"/>
      <c r="U688" s="28"/>
      <c r="V688" s="28"/>
      <c r="W688" s="28"/>
      <c r="X688" s="28"/>
      <c r="Y688" s="28"/>
      <c r="Z688" s="28"/>
    </row>
    <row r="689" ht="15.75" customHeight="1">
      <c r="A689" s="125"/>
      <c r="B689" s="125"/>
      <c r="C689" s="125"/>
      <c r="D689" s="128"/>
      <c r="E689" s="126"/>
      <c r="F689" s="38"/>
      <c r="G689" s="127"/>
      <c r="H689" s="28"/>
      <c r="I689" s="28"/>
      <c r="J689" s="28"/>
      <c r="K689" s="28"/>
      <c r="L689" s="28"/>
      <c r="M689" s="28"/>
      <c r="N689" s="28"/>
      <c r="O689" s="28"/>
      <c r="P689" s="28"/>
      <c r="Q689" s="28"/>
      <c r="R689" s="28"/>
      <c r="S689" s="28"/>
      <c r="T689" s="28"/>
      <c r="U689" s="28"/>
      <c r="V689" s="28"/>
      <c r="W689" s="28"/>
      <c r="X689" s="28"/>
      <c r="Y689" s="28"/>
      <c r="Z689" s="28"/>
    </row>
    <row r="690" ht="15.75" customHeight="1">
      <c r="A690" s="125"/>
      <c r="B690" s="125"/>
      <c r="C690" s="125"/>
      <c r="D690" s="128"/>
      <c r="E690" s="126"/>
      <c r="F690" s="38"/>
      <c r="G690" s="127"/>
      <c r="H690" s="28"/>
      <c r="I690" s="28"/>
      <c r="J690" s="28"/>
      <c r="K690" s="28"/>
      <c r="L690" s="28"/>
      <c r="M690" s="28"/>
      <c r="N690" s="28"/>
      <c r="O690" s="28"/>
      <c r="P690" s="28"/>
      <c r="Q690" s="28"/>
      <c r="R690" s="28"/>
      <c r="S690" s="28"/>
      <c r="T690" s="28"/>
      <c r="U690" s="28"/>
      <c r="V690" s="28"/>
      <c r="W690" s="28"/>
      <c r="X690" s="28"/>
      <c r="Y690" s="28"/>
      <c r="Z690" s="28"/>
    </row>
    <row r="691" ht="15.75" customHeight="1">
      <c r="A691" s="125"/>
      <c r="B691" s="125"/>
      <c r="C691" s="125"/>
      <c r="D691" s="128"/>
      <c r="E691" s="126"/>
      <c r="F691" s="38"/>
      <c r="G691" s="127"/>
      <c r="H691" s="28"/>
      <c r="I691" s="28"/>
      <c r="J691" s="28"/>
      <c r="K691" s="28"/>
      <c r="L691" s="28"/>
      <c r="M691" s="28"/>
      <c r="N691" s="28"/>
      <c r="O691" s="28"/>
      <c r="P691" s="28"/>
      <c r="Q691" s="28"/>
      <c r="R691" s="28"/>
      <c r="S691" s="28"/>
      <c r="T691" s="28"/>
      <c r="U691" s="28"/>
      <c r="V691" s="28"/>
      <c r="W691" s="28"/>
      <c r="X691" s="28"/>
      <c r="Y691" s="28"/>
      <c r="Z691" s="28"/>
    </row>
    <row r="692" ht="15.75" customHeight="1">
      <c r="A692" s="125"/>
      <c r="B692" s="125"/>
      <c r="C692" s="125"/>
      <c r="D692" s="128"/>
      <c r="E692" s="126"/>
      <c r="F692" s="38"/>
      <c r="G692" s="127"/>
      <c r="H692" s="28"/>
      <c r="I692" s="28"/>
      <c r="J692" s="28"/>
      <c r="K692" s="28"/>
      <c r="L692" s="28"/>
      <c r="M692" s="28"/>
      <c r="N692" s="28"/>
      <c r="O692" s="28"/>
      <c r="P692" s="28"/>
      <c r="Q692" s="28"/>
      <c r="R692" s="28"/>
      <c r="S692" s="28"/>
      <c r="T692" s="28"/>
      <c r="U692" s="28"/>
      <c r="V692" s="28"/>
      <c r="W692" s="28"/>
      <c r="X692" s="28"/>
      <c r="Y692" s="28"/>
      <c r="Z692" s="28"/>
    </row>
    <row r="693" ht="15.75" customHeight="1">
      <c r="A693" s="125"/>
      <c r="B693" s="125"/>
      <c r="C693" s="125"/>
      <c r="D693" s="128"/>
      <c r="E693" s="126"/>
      <c r="F693" s="38"/>
      <c r="G693" s="127"/>
      <c r="H693" s="28"/>
      <c r="I693" s="28"/>
      <c r="J693" s="28"/>
      <c r="K693" s="28"/>
      <c r="L693" s="28"/>
      <c r="M693" s="28"/>
      <c r="N693" s="28"/>
      <c r="O693" s="28"/>
      <c r="P693" s="28"/>
      <c r="Q693" s="28"/>
      <c r="R693" s="28"/>
      <c r="S693" s="28"/>
      <c r="T693" s="28"/>
      <c r="U693" s="28"/>
      <c r="V693" s="28"/>
      <c r="W693" s="28"/>
      <c r="X693" s="28"/>
      <c r="Y693" s="28"/>
      <c r="Z693" s="28"/>
    </row>
    <row r="694" ht="15.75" customHeight="1">
      <c r="A694" s="125"/>
      <c r="B694" s="125"/>
      <c r="C694" s="125"/>
      <c r="D694" s="128"/>
      <c r="E694" s="126"/>
      <c r="F694" s="38"/>
      <c r="G694" s="127"/>
      <c r="H694" s="28"/>
      <c r="I694" s="28"/>
      <c r="J694" s="28"/>
      <c r="K694" s="28"/>
      <c r="L694" s="28"/>
      <c r="M694" s="28"/>
      <c r="N694" s="28"/>
      <c r="O694" s="28"/>
      <c r="P694" s="28"/>
      <c r="Q694" s="28"/>
      <c r="R694" s="28"/>
      <c r="S694" s="28"/>
      <c r="T694" s="28"/>
      <c r="U694" s="28"/>
      <c r="V694" s="28"/>
      <c r="W694" s="28"/>
      <c r="X694" s="28"/>
      <c r="Y694" s="28"/>
      <c r="Z694" s="28"/>
    </row>
    <row r="695" ht="15.75" customHeight="1">
      <c r="A695" s="125"/>
      <c r="B695" s="125"/>
      <c r="C695" s="125"/>
      <c r="D695" s="128"/>
      <c r="E695" s="126"/>
      <c r="F695" s="38"/>
      <c r="G695" s="127"/>
      <c r="H695" s="28"/>
      <c r="I695" s="28"/>
      <c r="J695" s="28"/>
      <c r="K695" s="28"/>
      <c r="L695" s="28"/>
      <c r="M695" s="28"/>
      <c r="N695" s="28"/>
      <c r="O695" s="28"/>
      <c r="P695" s="28"/>
      <c r="Q695" s="28"/>
      <c r="R695" s="28"/>
      <c r="S695" s="28"/>
      <c r="T695" s="28"/>
      <c r="U695" s="28"/>
      <c r="V695" s="28"/>
      <c r="W695" s="28"/>
      <c r="X695" s="28"/>
      <c r="Y695" s="28"/>
      <c r="Z695" s="28"/>
    </row>
    <row r="696" ht="15.75" customHeight="1">
      <c r="A696" s="125"/>
      <c r="B696" s="125"/>
      <c r="C696" s="125"/>
      <c r="D696" s="128"/>
      <c r="E696" s="126"/>
      <c r="F696" s="38"/>
      <c r="G696" s="127"/>
      <c r="H696" s="28"/>
      <c r="I696" s="28"/>
      <c r="J696" s="28"/>
      <c r="K696" s="28"/>
      <c r="L696" s="28"/>
      <c r="M696" s="28"/>
      <c r="N696" s="28"/>
      <c r="O696" s="28"/>
      <c r="P696" s="28"/>
      <c r="Q696" s="28"/>
      <c r="R696" s="28"/>
      <c r="S696" s="28"/>
      <c r="T696" s="28"/>
      <c r="U696" s="28"/>
      <c r="V696" s="28"/>
      <c r="W696" s="28"/>
      <c r="X696" s="28"/>
      <c r="Y696" s="28"/>
      <c r="Z696" s="28"/>
    </row>
    <row r="697" ht="15.75" customHeight="1">
      <c r="A697" s="125"/>
      <c r="B697" s="125"/>
      <c r="C697" s="125"/>
      <c r="D697" s="128"/>
      <c r="E697" s="126"/>
      <c r="F697" s="38"/>
      <c r="G697" s="127"/>
      <c r="H697" s="28"/>
      <c r="I697" s="28"/>
      <c r="J697" s="28"/>
      <c r="K697" s="28"/>
      <c r="L697" s="28"/>
      <c r="M697" s="28"/>
      <c r="N697" s="28"/>
      <c r="O697" s="28"/>
      <c r="P697" s="28"/>
      <c r="Q697" s="28"/>
      <c r="R697" s="28"/>
      <c r="S697" s="28"/>
      <c r="T697" s="28"/>
      <c r="U697" s="28"/>
      <c r="V697" s="28"/>
      <c r="W697" s="28"/>
      <c r="X697" s="28"/>
      <c r="Y697" s="28"/>
      <c r="Z697" s="28"/>
    </row>
    <row r="698" ht="15.75" customHeight="1">
      <c r="A698" s="125"/>
      <c r="B698" s="125"/>
      <c r="C698" s="125"/>
      <c r="D698" s="128"/>
      <c r="E698" s="126"/>
      <c r="F698" s="38"/>
      <c r="G698" s="127"/>
      <c r="H698" s="28"/>
      <c r="I698" s="28"/>
      <c r="J698" s="28"/>
      <c r="K698" s="28"/>
      <c r="L698" s="28"/>
      <c r="M698" s="28"/>
      <c r="N698" s="28"/>
      <c r="O698" s="28"/>
      <c r="P698" s="28"/>
      <c r="Q698" s="28"/>
      <c r="R698" s="28"/>
      <c r="S698" s="28"/>
      <c r="T698" s="28"/>
      <c r="U698" s="28"/>
      <c r="V698" s="28"/>
      <c r="W698" s="28"/>
      <c r="X698" s="28"/>
      <c r="Y698" s="28"/>
      <c r="Z698" s="28"/>
    </row>
    <row r="699" ht="15.75" customHeight="1">
      <c r="A699" s="125"/>
      <c r="B699" s="125"/>
      <c r="C699" s="125"/>
      <c r="D699" s="128"/>
      <c r="E699" s="126"/>
      <c r="F699" s="38"/>
      <c r="G699" s="127"/>
      <c r="H699" s="28"/>
      <c r="I699" s="28"/>
      <c r="J699" s="28"/>
      <c r="K699" s="28"/>
      <c r="L699" s="28"/>
      <c r="M699" s="28"/>
      <c r="N699" s="28"/>
      <c r="O699" s="28"/>
      <c r="P699" s="28"/>
      <c r="Q699" s="28"/>
      <c r="R699" s="28"/>
      <c r="S699" s="28"/>
      <c r="T699" s="28"/>
      <c r="U699" s="28"/>
      <c r="V699" s="28"/>
      <c r="W699" s="28"/>
      <c r="X699" s="28"/>
      <c r="Y699" s="28"/>
      <c r="Z699" s="28"/>
    </row>
    <row r="700" ht="15.75" customHeight="1">
      <c r="A700" s="125"/>
      <c r="B700" s="125"/>
      <c r="C700" s="125"/>
      <c r="D700" s="128"/>
      <c r="E700" s="126"/>
      <c r="F700" s="38"/>
      <c r="G700" s="127"/>
      <c r="H700" s="28"/>
      <c r="I700" s="28"/>
      <c r="J700" s="28"/>
      <c r="K700" s="28"/>
      <c r="L700" s="28"/>
      <c r="M700" s="28"/>
      <c r="N700" s="28"/>
      <c r="O700" s="28"/>
      <c r="P700" s="28"/>
      <c r="Q700" s="28"/>
      <c r="R700" s="28"/>
      <c r="S700" s="28"/>
      <c r="T700" s="28"/>
      <c r="U700" s="28"/>
      <c r="V700" s="28"/>
      <c r="W700" s="28"/>
      <c r="X700" s="28"/>
      <c r="Y700" s="28"/>
      <c r="Z700" s="28"/>
    </row>
    <row r="701" ht="15.75" customHeight="1">
      <c r="A701" s="125"/>
      <c r="B701" s="125"/>
      <c r="C701" s="125"/>
      <c r="D701" s="128"/>
      <c r="E701" s="126"/>
      <c r="F701" s="38"/>
      <c r="G701" s="127"/>
      <c r="H701" s="28"/>
      <c r="I701" s="28"/>
      <c r="J701" s="28"/>
      <c r="K701" s="28"/>
      <c r="L701" s="28"/>
      <c r="M701" s="28"/>
      <c r="N701" s="28"/>
      <c r="O701" s="28"/>
      <c r="P701" s="28"/>
      <c r="Q701" s="28"/>
      <c r="R701" s="28"/>
      <c r="S701" s="28"/>
      <c r="T701" s="28"/>
      <c r="U701" s="28"/>
      <c r="V701" s="28"/>
      <c r="W701" s="28"/>
      <c r="X701" s="28"/>
      <c r="Y701" s="28"/>
      <c r="Z701" s="28"/>
    </row>
    <row r="702" ht="15.75" customHeight="1">
      <c r="A702" s="125"/>
      <c r="B702" s="125"/>
      <c r="C702" s="125"/>
      <c r="D702" s="128"/>
      <c r="E702" s="126"/>
      <c r="F702" s="38"/>
      <c r="G702" s="127"/>
      <c r="H702" s="28"/>
      <c r="I702" s="28"/>
      <c r="J702" s="28"/>
      <c r="K702" s="28"/>
      <c r="L702" s="28"/>
      <c r="M702" s="28"/>
      <c r="N702" s="28"/>
      <c r="O702" s="28"/>
      <c r="P702" s="28"/>
      <c r="Q702" s="28"/>
      <c r="R702" s="28"/>
      <c r="S702" s="28"/>
      <c r="T702" s="28"/>
      <c r="U702" s="28"/>
      <c r="V702" s="28"/>
      <c r="W702" s="28"/>
      <c r="X702" s="28"/>
      <c r="Y702" s="28"/>
      <c r="Z702" s="28"/>
    </row>
    <row r="703" ht="15.75" customHeight="1">
      <c r="A703" s="125"/>
      <c r="B703" s="125"/>
      <c r="C703" s="125"/>
      <c r="D703" s="128"/>
      <c r="E703" s="126"/>
      <c r="F703" s="38"/>
      <c r="G703" s="127"/>
      <c r="H703" s="28"/>
      <c r="I703" s="28"/>
      <c r="J703" s="28"/>
      <c r="K703" s="28"/>
      <c r="L703" s="28"/>
      <c r="M703" s="28"/>
      <c r="N703" s="28"/>
      <c r="O703" s="28"/>
      <c r="P703" s="28"/>
      <c r="Q703" s="28"/>
      <c r="R703" s="28"/>
      <c r="S703" s="28"/>
      <c r="T703" s="28"/>
      <c r="U703" s="28"/>
      <c r="V703" s="28"/>
      <c r="W703" s="28"/>
      <c r="X703" s="28"/>
      <c r="Y703" s="28"/>
      <c r="Z703" s="28"/>
    </row>
    <row r="704" ht="15.75" customHeight="1">
      <c r="A704" s="125"/>
      <c r="B704" s="125"/>
      <c r="C704" s="125"/>
      <c r="D704" s="128"/>
      <c r="E704" s="126"/>
      <c r="F704" s="38"/>
      <c r="G704" s="127"/>
      <c r="H704" s="28"/>
      <c r="I704" s="28"/>
      <c r="J704" s="28"/>
      <c r="K704" s="28"/>
      <c r="L704" s="28"/>
      <c r="M704" s="28"/>
      <c r="N704" s="28"/>
      <c r="O704" s="28"/>
      <c r="P704" s="28"/>
      <c r="Q704" s="28"/>
      <c r="R704" s="28"/>
      <c r="S704" s="28"/>
      <c r="T704" s="28"/>
      <c r="U704" s="28"/>
      <c r="V704" s="28"/>
      <c r="W704" s="28"/>
      <c r="X704" s="28"/>
      <c r="Y704" s="28"/>
      <c r="Z704" s="28"/>
    </row>
    <row r="705" ht="15.75" customHeight="1">
      <c r="A705" s="125"/>
      <c r="B705" s="125"/>
      <c r="C705" s="125"/>
      <c r="D705" s="128"/>
      <c r="E705" s="126"/>
      <c r="F705" s="38"/>
      <c r="G705" s="127"/>
      <c r="H705" s="28"/>
      <c r="I705" s="28"/>
      <c r="J705" s="28"/>
      <c r="K705" s="28"/>
      <c r="L705" s="28"/>
      <c r="M705" s="28"/>
      <c r="N705" s="28"/>
      <c r="O705" s="28"/>
      <c r="P705" s="28"/>
      <c r="Q705" s="28"/>
      <c r="R705" s="28"/>
      <c r="S705" s="28"/>
      <c r="T705" s="28"/>
      <c r="U705" s="28"/>
      <c r="V705" s="28"/>
      <c r="W705" s="28"/>
      <c r="X705" s="28"/>
      <c r="Y705" s="28"/>
      <c r="Z705" s="28"/>
    </row>
    <row r="706" ht="15.75" customHeight="1">
      <c r="A706" s="125"/>
      <c r="B706" s="125"/>
      <c r="C706" s="125"/>
      <c r="D706" s="128"/>
      <c r="E706" s="126"/>
      <c r="F706" s="38"/>
      <c r="G706" s="127"/>
      <c r="H706" s="28"/>
      <c r="I706" s="28"/>
      <c r="J706" s="28"/>
      <c r="K706" s="28"/>
      <c r="L706" s="28"/>
      <c r="M706" s="28"/>
      <c r="N706" s="28"/>
      <c r="O706" s="28"/>
      <c r="P706" s="28"/>
      <c r="Q706" s="28"/>
      <c r="R706" s="28"/>
      <c r="S706" s="28"/>
      <c r="T706" s="28"/>
      <c r="U706" s="28"/>
      <c r="V706" s="28"/>
      <c r="W706" s="28"/>
      <c r="X706" s="28"/>
      <c r="Y706" s="28"/>
      <c r="Z706" s="28"/>
    </row>
    <row r="707" ht="15.75" customHeight="1">
      <c r="A707" s="125"/>
      <c r="B707" s="125"/>
      <c r="C707" s="125"/>
      <c r="D707" s="128"/>
      <c r="E707" s="126"/>
      <c r="F707" s="38"/>
      <c r="G707" s="127"/>
      <c r="H707" s="28"/>
      <c r="I707" s="28"/>
      <c r="J707" s="28"/>
      <c r="K707" s="28"/>
      <c r="L707" s="28"/>
      <c r="M707" s="28"/>
      <c r="N707" s="28"/>
      <c r="O707" s="28"/>
      <c r="P707" s="28"/>
      <c r="Q707" s="28"/>
      <c r="R707" s="28"/>
      <c r="S707" s="28"/>
      <c r="T707" s="28"/>
      <c r="U707" s="28"/>
      <c r="V707" s="28"/>
      <c r="W707" s="28"/>
      <c r="X707" s="28"/>
      <c r="Y707" s="28"/>
      <c r="Z707" s="28"/>
    </row>
    <row r="708" ht="15.75" customHeight="1">
      <c r="A708" s="125"/>
      <c r="B708" s="125"/>
      <c r="C708" s="125"/>
      <c r="D708" s="128"/>
      <c r="E708" s="126"/>
      <c r="F708" s="38"/>
      <c r="G708" s="127"/>
      <c r="H708" s="28"/>
      <c r="I708" s="28"/>
      <c r="J708" s="28"/>
      <c r="K708" s="28"/>
      <c r="L708" s="28"/>
      <c r="M708" s="28"/>
      <c r="N708" s="28"/>
      <c r="O708" s="28"/>
      <c r="P708" s="28"/>
      <c r="Q708" s="28"/>
      <c r="R708" s="28"/>
      <c r="S708" s="28"/>
      <c r="T708" s="28"/>
      <c r="U708" s="28"/>
      <c r="V708" s="28"/>
      <c r="W708" s="28"/>
      <c r="X708" s="28"/>
      <c r="Y708" s="28"/>
      <c r="Z708" s="28"/>
    </row>
    <row r="709" ht="15.75" customHeight="1">
      <c r="A709" s="125"/>
      <c r="B709" s="125"/>
      <c r="C709" s="125"/>
      <c r="D709" s="128"/>
      <c r="E709" s="126"/>
      <c r="F709" s="38"/>
      <c r="G709" s="127"/>
      <c r="H709" s="28"/>
      <c r="I709" s="28"/>
      <c r="J709" s="28"/>
      <c r="K709" s="28"/>
      <c r="L709" s="28"/>
      <c r="M709" s="28"/>
      <c r="N709" s="28"/>
      <c r="O709" s="28"/>
      <c r="P709" s="28"/>
      <c r="Q709" s="28"/>
      <c r="R709" s="28"/>
      <c r="S709" s="28"/>
      <c r="T709" s="28"/>
      <c r="U709" s="28"/>
      <c r="V709" s="28"/>
      <c r="W709" s="28"/>
      <c r="X709" s="28"/>
      <c r="Y709" s="28"/>
      <c r="Z709" s="28"/>
    </row>
    <row r="710" ht="15.75" customHeight="1">
      <c r="A710" s="125"/>
      <c r="B710" s="125"/>
      <c r="C710" s="125"/>
      <c r="D710" s="128"/>
      <c r="E710" s="126"/>
      <c r="F710" s="38"/>
      <c r="G710" s="127"/>
      <c r="H710" s="28"/>
      <c r="I710" s="28"/>
      <c r="J710" s="28"/>
      <c r="K710" s="28"/>
      <c r="L710" s="28"/>
      <c r="M710" s="28"/>
      <c r="N710" s="28"/>
      <c r="O710" s="28"/>
      <c r="P710" s="28"/>
      <c r="Q710" s="28"/>
      <c r="R710" s="28"/>
      <c r="S710" s="28"/>
      <c r="T710" s="28"/>
      <c r="U710" s="28"/>
      <c r="V710" s="28"/>
      <c r="W710" s="28"/>
      <c r="X710" s="28"/>
      <c r="Y710" s="28"/>
      <c r="Z710" s="28"/>
    </row>
    <row r="711" ht="15.75" customHeight="1">
      <c r="A711" s="125"/>
      <c r="B711" s="125"/>
      <c r="C711" s="125"/>
      <c r="D711" s="128"/>
      <c r="E711" s="126"/>
      <c r="F711" s="38"/>
      <c r="G711" s="127"/>
      <c r="H711" s="28"/>
      <c r="I711" s="28"/>
      <c r="J711" s="28"/>
      <c r="K711" s="28"/>
      <c r="L711" s="28"/>
      <c r="M711" s="28"/>
      <c r="N711" s="28"/>
      <c r="O711" s="28"/>
      <c r="P711" s="28"/>
      <c r="Q711" s="28"/>
      <c r="R711" s="28"/>
      <c r="S711" s="28"/>
      <c r="T711" s="28"/>
      <c r="U711" s="28"/>
      <c r="V711" s="28"/>
      <c r="W711" s="28"/>
      <c r="X711" s="28"/>
      <c r="Y711" s="28"/>
      <c r="Z711" s="28"/>
    </row>
    <row r="712" ht="15.75" customHeight="1">
      <c r="A712" s="125"/>
      <c r="B712" s="125"/>
      <c r="C712" s="125"/>
      <c r="D712" s="128"/>
      <c r="E712" s="126"/>
      <c r="F712" s="38"/>
      <c r="G712" s="127"/>
      <c r="H712" s="28"/>
      <c r="I712" s="28"/>
      <c r="J712" s="28"/>
      <c r="K712" s="28"/>
      <c r="L712" s="28"/>
      <c r="M712" s="28"/>
      <c r="N712" s="28"/>
      <c r="O712" s="28"/>
      <c r="P712" s="28"/>
      <c r="Q712" s="28"/>
      <c r="R712" s="28"/>
      <c r="S712" s="28"/>
      <c r="T712" s="28"/>
      <c r="U712" s="28"/>
      <c r="V712" s="28"/>
      <c r="W712" s="28"/>
      <c r="X712" s="28"/>
      <c r="Y712" s="28"/>
      <c r="Z712" s="28"/>
    </row>
    <row r="713" ht="15.75" customHeight="1">
      <c r="A713" s="125"/>
      <c r="B713" s="125"/>
      <c r="C713" s="125"/>
      <c r="D713" s="128"/>
      <c r="E713" s="126"/>
      <c r="F713" s="38"/>
      <c r="G713" s="127"/>
      <c r="H713" s="28"/>
      <c r="I713" s="28"/>
      <c r="J713" s="28"/>
      <c r="K713" s="28"/>
      <c r="L713" s="28"/>
      <c r="M713" s="28"/>
      <c r="N713" s="28"/>
      <c r="O713" s="28"/>
      <c r="P713" s="28"/>
      <c r="Q713" s="28"/>
      <c r="R713" s="28"/>
      <c r="S713" s="28"/>
      <c r="T713" s="28"/>
      <c r="U713" s="28"/>
      <c r="V713" s="28"/>
      <c r="W713" s="28"/>
      <c r="X713" s="28"/>
      <c r="Y713" s="28"/>
      <c r="Z713" s="28"/>
    </row>
    <row r="714" ht="15.75" customHeight="1">
      <c r="A714" s="125"/>
      <c r="B714" s="125"/>
      <c r="C714" s="125"/>
      <c r="D714" s="128"/>
      <c r="E714" s="126"/>
      <c r="F714" s="38"/>
      <c r="G714" s="127"/>
      <c r="H714" s="28"/>
      <c r="I714" s="28"/>
      <c r="J714" s="28"/>
      <c r="K714" s="28"/>
      <c r="L714" s="28"/>
      <c r="M714" s="28"/>
      <c r="N714" s="28"/>
      <c r="O714" s="28"/>
      <c r="P714" s="28"/>
      <c r="Q714" s="28"/>
      <c r="R714" s="28"/>
      <c r="S714" s="28"/>
      <c r="T714" s="28"/>
      <c r="U714" s="28"/>
      <c r="V714" s="28"/>
      <c r="W714" s="28"/>
      <c r="X714" s="28"/>
      <c r="Y714" s="28"/>
      <c r="Z714" s="28"/>
    </row>
    <row r="715" ht="15.75" customHeight="1">
      <c r="A715" s="125"/>
      <c r="B715" s="125"/>
      <c r="C715" s="125"/>
      <c r="D715" s="128"/>
      <c r="E715" s="126"/>
      <c r="F715" s="38"/>
      <c r="G715" s="127"/>
      <c r="H715" s="28"/>
      <c r="I715" s="28"/>
      <c r="J715" s="28"/>
      <c r="K715" s="28"/>
      <c r="L715" s="28"/>
      <c r="M715" s="28"/>
      <c r="N715" s="28"/>
      <c r="O715" s="28"/>
      <c r="P715" s="28"/>
      <c r="Q715" s="28"/>
      <c r="R715" s="28"/>
      <c r="S715" s="28"/>
      <c r="T715" s="28"/>
      <c r="U715" s="28"/>
      <c r="V715" s="28"/>
      <c r="W715" s="28"/>
      <c r="X715" s="28"/>
      <c r="Y715" s="28"/>
      <c r="Z715" s="28"/>
    </row>
    <row r="716" ht="15.75" customHeight="1">
      <c r="A716" s="125"/>
      <c r="B716" s="125"/>
      <c r="C716" s="125"/>
      <c r="D716" s="128"/>
      <c r="E716" s="126"/>
      <c r="F716" s="38"/>
      <c r="G716" s="127"/>
      <c r="H716" s="28"/>
      <c r="I716" s="28"/>
      <c r="J716" s="28"/>
      <c r="K716" s="28"/>
      <c r="L716" s="28"/>
      <c r="M716" s="28"/>
      <c r="N716" s="28"/>
      <c r="O716" s="28"/>
      <c r="P716" s="28"/>
      <c r="Q716" s="28"/>
      <c r="R716" s="28"/>
      <c r="S716" s="28"/>
      <c r="T716" s="28"/>
      <c r="U716" s="28"/>
      <c r="V716" s="28"/>
      <c r="W716" s="28"/>
      <c r="X716" s="28"/>
      <c r="Y716" s="28"/>
      <c r="Z716" s="28"/>
    </row>
    <row r="717" ht="15.75" customHeight="1">
      <c r="A717" s="125"/>
      <c r="B717" s="125"/>
      <c r="C717" s="125"/>
      <c r="D717" s="128"/>
      <c r="E717" s="126"/>
      <c r="F717" s="38"/>
      <c r="G717" s="127"/>
      <c r="H717" s="28"/>
      <c r="I717" s="28"/>
      <c r="J717" s="28"/>
      <c r="K717" s="28"/>
      <c r="L717" s="28"/>
      <c r="M717" s="28"/>
      <c r="N717" s="28"/>
      <c r="O717" s="28"/>
      <c r="P717" s="28"/>
      <c r="Q717" s="28"/>
      <c r="R717" s="28"/>
      <c r="S717" s="28"/>
      <c r="T717" s="28"/>
      <c r="U717" s="28"/>
      <c r="V717" s="28"/>
      <c r="W717" s="28"/>
      <c r="X717" s="28"/>
      <c r="Y717" s="28"/>
      <c r="Z717" s="28"/>
    </row>
    <row r="718" ht="15.75" customHeight="1">
      <c r="A718" s="125"/>
      <c r="B718" s="125"/>
      <c r="C718" s="125"/>
      <c r="D718" s="128"/>
      <c r="E718" s="126"/>
      <c r="F718" s="38"/>
      <c r="G718" s="127"/>
      <c r="H718" s="28"/>
      <c r="I718" s="28"/>
      <c r="J718" s="28"/>
      <c r="K718" s="28"/>
      <c r="L718" s="28"/>
      <c r="M718" s="28"/>
      <c r="N718" s="28"/>
      <c r="O718" s="28"/>
      <c r="P718" s="28"/>
      <c r="Q718" s="28"/>
      <c r="R718" s="28"/>
      <c r="S718" s="28"/>
      <c r="T718" s="28"/>
      <c r="U718" s="28"/>
      <c r="V718" s="28"/>
      <c r="W718" s="28"/>
      <c r="X718" s="28"/>
      <c r="Y718" s="28"/>
      <c r="Z718" s="28"/>
    </row>
    <row r="719" ht="15.75" customHeight="1">
      <c r="A719" s="125"/>
      <c r="B719" s="125"/>
      <c r="C719" s="125"/>
      <c r="D719" s="128"/>
      <c r="E719" s="126"/>
      <c r="F719" s="38"/>
      <c r="G719" s="127"/>
      <c r="H719" s="28"/>
      <c r="I719" s="28"/>
      <c r="J719" s="28"/>
      <c r="K719" s="28"/>
      <c r="L719" s="28"/>
      <c r="M719" s="28"/>
      <c r="N719" s="28"/>
      <c r="O719" s="28"/>
      <c r="P719" s="28"/>
      <c r="Q719" s="28"/>
      <c r="R719" s="28"/>
      <c r="S719" s="28"/>
      <c r="T719" s="28"/>
      <c r="U719" s="28"/>
      <c r="V719" s="28"/>
      <c r="W719" s="28"/>
      <c r="X719" s="28"/>
      <c r="Y719" s="28"/>
      <c r="Z719" s="28"/>
    </row>
    <row r="720" ht="15.75" customHeight="1">
      <c r="A720" s="125"/>
      <c r="B720" s="125"/>
      <c r="C720" s="125"/>
      <c r="D720" s="128"/>
      <c r="E720" s="126"/>
      <c r="F720" s="38"/>
      <c r="G720" s="127"/>
      <c r="H720" s="28"/>
      <c r="I720" s="28"/>
      <c r="J720" s="28"/>
      <c r="K720" s="28"/>
      <c r="L720" s="28"/>
      <c r="M720" s="28"/>
      <c r="N720" s="28"/>
      <c r="O720" s="28"/>
      <c r="P720" s="28"/>
      <c r="Q720" s="28"/>
      <c r="R720" s="28"/>
      <c r="S720" s="28"/>
      <c r="T720" s="28"/>
      <c r="U720" s="28"/>
      <c r="V720" s="28"/>
      <c r="W720" s="28"/>
      <c r="X720" s="28"/>
      <c r="Y720" s="28"/>
      <c r="Z720" s="28"/>
    </row>
    <row r="721" ht="15.75" customHeight="1">
      <c r="A721" s="125"/>
      <c r="B721" s="125"/>
      <c r="C721" s="125"/>
      <c r="D721" s="128"/>
      <c r="E721" s="126"/>
      <c r="F721" s="38"/>
      <c r="G721" s="127"/>
      <c r="H721" s="28"/>
      <c r="I721" s="28"/>
      <c r="J721" s="28"/>
      <c r="K721" s="28"/>
      <c r="L721" s="28"/>
      <c r="M721" s="28"/>
      <c r="N721" s="28"/>
      <c r="O721" s="28"/>
      <c r="P721" s="28"/>
      <c r="Q721" s="28"/>
      <c r="R721" s="28"/>
      <c r="S721" s="28"/>
      <c r="T721" s="28"/>
      <c r="U721" s="28"/>
      <c r="V721" s="28"/>
      <c r="W721" s="28"/>
      <c r="X721" s="28"/>
      <c r="Y721" s="28"/>
      <c r="Z721" s="28"/>
    </row>
    <row r="722" ht="15.75" customHeight="1">
      <c r="A722" s="125"/>
      <c r="B722" s="125"/>
      <c r="C722" s="125"/>
      <c r="D722" s="128"/>
      <c r="E722" s="126"/>
      <c r="F722" s="38"/>
      <c r="G722" s="127"/>
      <c r="H722" s="28"/>
      <c r="I722" s="28"/>
      <c r="J722" s="28"/>
      <c r="K722" s="28"/>
      <c r="L722" s="28"/>
      <c r="M722" s="28"/>
      <c r="N722" s="28"/>
      <c r="O722" s="28"/>
      <c r="P722" s="28"/>
      <c r="Q722" s="28"/>
      <c r="R722" s="28"/>
      <c r="S722" s="28"/>
      <c r="T722" s="28"/>
      <c r="U722" s="28"/>
      <c r="V722" s="28"/>
      <c r="W722" s="28"/>
      <c r="X722" s="28"/>
      <c r="Y722" s="28"/>
      <c r="Z722" s="28"/>
    </row>
    <row r="723" ht="15.75" customHeight="1">
      <c r="A723" s="125"/>
      <c r="B723" s="125"/>
      <c r="C723" s="125"/>
      <c r="D723" s="128"/>
      <c r="E723" s="126"/>
      <c r="F723" s="38"/>
      <c r="G723" s="127"/>
      <c r="H723" s="28"/>
      <c r="I723" s="28"/>
      <c r="J723" s="28"/>
      <c r="K723" s="28"/>
      <c r="L723" s="28"/>
      <c r="M723" s="28"/>
      <c r="N723" s="28"/>
      <c r="O723" s="28"/>
      <c r="P723" s="28"/>
      <c r="Q723" s="28"/>
      <c r="R723" s="28"/>
      <c r="S723" s="28"/>
      <c r="T723" s="28"/>
      <c r="U723" s="28"/>
      <c r="V723" s="28"/>
      <c r="W723" s="28"/>
      <c r="X723" s="28"/>
      <c r="Y723" s="28"/>
      <c r="Z723" s="28"/>
    </row>
    <row r="724" ht="15.75" customHeight="1">
      <c r="A724" s="125"/>
      <c r="B724" s="125"/>
      <c r="C724" s="125"/>
      <c r="D724" s="128"/>
      <c r="E724" s="126"/>
      <c r="F724" s="38"/>
      <c r="G724" s="127"/>
      <c r="H724" s="28"/>
      <c r="I724" s="28"/>
      <c r="J724" s="28"/>
      <c r="K724" s="28"/>
      <c r="L724" s="28"/>
      <c r="M724" s="28"/>
      <c r="N724" s="28"/>
      <c r="O724" s="28"/>
      <c r="P724" s="28"/>
      <c r="Q724" s="28"/>
      <c r="R724" s="28"/>
      <c r="S724" s="28"/>
      <c r="T724" s="28"/>
      <c r="U724" s="28"/>
      <c r="V724" s="28"/>
      <c r="W724" s="28"/>
      <c r="X724" s="28"/>
      <c r="Y724" s="28"/>
      <c r="Z724" s="28"/>
    </row>
    <row r="725" ht="15.75" customHeight="1">
      <c r="A725" s="125"/>
      <c r="B725" s="125"/>
      <c r="C725" s="125"/>
      <c r="D725" s="128"/>
      <c r="E725" s="126"/>
      <c r="F725" s="38"/>
      <c r="G725" s="127"/>
      <c r="H725" s="28"/>
      <c r="I725" s="28"/>
      <c r="J725" s="28"/>
      <c r="K725" s="28"/>
      <c r="L725" s="28"/>
      <c r="M725" s="28"/>
      <c r="N725" s="28"/>
      <c r="O725" s="28"/>
      <c r="P725" s="28"/>
      <c r="Q725" s="28"/>
      <c r="R725" s="28"/>
      <c r="S725" s="28"/>
      <c r="T725" s="28"/>
      <c r="U725" s="28"/>
      <c r="V725" s="28"/>
      <c r="W725" s="28"/>
      <c r="X725" s="28"/>
      <c r="Y725" s="28"/>
      <c r="Z725" s="28"/>
    </row>
    <row r="726" ht="15.75" customHeight="1">
      <c r="A726" s="125"/>
      <c r="B726" s="125"/>
      <c r="C726" s="125"/>
      <c r="D726" s="128"/>
      <c r="E726" s="126"/>
      <c r="F726" s="38"/>
      <c r="G726" s="127"/>
      <c r="H726" s="28"/>
      <c r="I726" s="28"/>
      <c r="J726" s="28"/>
      <c r="K726" s="28"/>
      <c r="L726" s="28"/>
      <c r="M726" s="28"/>
      <c r="N726" s="28"/>
      <c r="O726" s="28"/>
      <c r="P726" s="28"/>
      <c r="Q726" s="28"/>
      <c r="R726" s="28"/>
      <c r="S726" s="28"/>
      <c r="T726" s="28"/>
      <c r="U726" s="28"/>
      <c r="V726" s="28"/>
      <c r="W726" s="28"/>
      <c r="X726" s="28"/>
      <c r="Y726" s="28"/>
      <c r="Z726" s="28"/>
    </row>
    <row r="727" ht="15.75" customHeight="1">
      <c r="A727" s="125"/>
      <c r="B727" s="125"/>
      <c r="C727" s="125"/>
      <c r="D727" s="128"/>
      <c r="E727" s="126"/>
      <c r="F727" s="38"/>
      <c r="G727" s="127"/>
      <c r="H727" s="28"/>
      <c r="I727" s="28"/>
      <c r="J727" s="28"/>
      <c r="K727" s="28"/>
      <c r="L727" s="28"/>
      <c r="M727" s="28"/>
      <c r="N727" s="28"/>
      <c r="O727" s="28"/>
      <c r="P727" s="28"/>
      <c r="Q727" s="28"/>
      <c r="R727" s="28"/>
      <c r="S727" s="28"/>
      <c r="T727" s="28"/>
      <c r="U727" s="28"/>
      <c r="V727" s="28"/>
      <c r="W727" s="28"/>
      <c r="X727" s="28"/>
      <c r="Y727" s="28"/>
      <c r="Z727" s="28"/>
    </row>
    <row r="728" ht="15.75" customHeight="1">
      <c r="A728" s="125"/>
      <c r="B728" s="125"/>
      <c r="C728" s="125"/>
      <c r="D728" s="128"/>
      <c r="E728" s="126"/>
      <c r="F728" s="38"/>
      <c r="G728" s="127"/>
      <c r="H728" s="28"/>
      <c r="I728" s="28"/>
      <c r="J728" s="28"/>
      <c r="K728" s="28"/>
      <c r="L728" s="28"/>
      <c r="M728" s="28"/>
      <c r="N728" s="28"/>
      <c r="O728" s="28"/>
      <c r="P728" s="28"/>
      <c r="Q728" s="28"/>
      <c r="R728" s="28"/>
      <c r="S728" s="28"/>
      <c r="T728" s="28"/>
      <c r="U728" s="28"/>
      <c r="V728" s="28"/>
      <c r="W728" s="28"/>
      <c r="X728" s="28"/>
      <c r="Y728" s="28"/>
      <c r="Z728" s="28"/>
    </row>
    <row r="729" ht="15.75" customHeight="1">
      <c r="A729" s="125"/>
      <c r="B729" s="125"/>
      <c r="C729" s="125"/>
      <c r="D729" s="128"/>
      <c r="E729" s="126"/>
      <c r="F729" s="38"/>
      <c r="G729" s="127"/>
      <c r="H729" s="28"/>
      <c r="I729" s="28"/>
      <c r="J729" s="28"/>
      <c r="K729" s="28"/>
      <c r="L729" s="28"/>
      <c r="M729" s="28"/>
      <c r="N729" s="28"/>
      <c r="O729" s="28"/>
      <c r="P729" s="28"/>
      <c r="Q729" s="28"/>
      <c r="R729" s="28"/>
      <c r="S729" s="28"/>
      <c r="T729" s="28"/>
      <c r="U729" s="28"/>
      <c r="V729" s="28"/>
      <c r="W729" s="28"/>
      <c r="X729" s="28"/>
      <c r="Y729" s="28"/>
      <c r="Z729" s="28"/>
    </row>
    <row r="730" ht="15.75" customHeight="1">
      <c r="A730" s="125"/>
      <c r="B730" s="125"/>
      <c r="C730" s="125"/>
      <c r="D730" s="128"/>
      <c r="E730" s="126"/>
      <c r="F730" s="38"/>
      <c r="G730" s="127"/>
      <c r="H730" s="28"/>
      <c r="I730" s="28"/>
      <c r="J730" s="28"/>
      <c r="K730" s="28"/>
      <c r="L730" s="28"/>
      <c r="M730" s="28"/>
      <c r="N730" s="28"/>
      <c r="O730" s="28"/>
      <c r="P730" s="28"/>
      <c r="Q730" s="28"/>
      <c r="R730" s="28"/>
      <c r="S730" s="28"/>
      <c r="T730" s="28"/>
      <c r="U730" s="28"/>
      <c r="V730" s="28"/>
      <c r="W730" s="28"/>
      <c r="X730" s="28"/>
      <c r="Y730" s="28"/>
      <c r="Z730" s="28"/>
    </row>
    <row r="731" ht="15.75" customHeight="1">
      <c r="A731" s="125"/>
      <c r="B731" s="125"/>
      <c r="C731" s="125"/>
      <c r="D731" s="128"/>
      <c r="E731" s="126"/>
      <c r="F731" s="38"/>
      <c r="G731" s="127"/>
      <c r="H731" s="28"/>
      <c r="I731" s="28"/>
      <c r="J731" s="28"/>
      <c r="K731" s="28"/>
      <c r="L731" s="28"/>
      <c r="M731" s="28"/>
      <c r="N731" s="28"/>
      <c r="O731" s="28"/>
      <c r="P731" s="28"/>
      <c r="Q731" s="28"/>
      <c r="R731" s="28"/>
      <c r="S731" s="28"/>
      <c r="T731" s="28"/>
      <c r="U731" s="28"/>
      <c r="V731" s="28"/>
      <c r="W731" s="28"/>
      <c r="X731" s="28"/>
      <c r="Y731" s="28"/>
      <c r="Z731" s="28"/>
    </row>
    <row r="732" ht="15.75" customHeight="1">
      <c r="A732" s="125"/>
      <c r="B732" s="125"/>
      <c r="C732" s="125"/>
      <c r="D732" s="128"/>
      <c r="E732" s="126"/>
      <c r="F732" s="38"/>
      <c r="G732" s="127"/>
      <c r="H732" s="28"/>
      <c r="I732" s="28"/>
      <c r="J732" s="28"/>
      <c r="K732" s="28"/>
      <c r="L732" s="28"/>
      <c r="M732" s="28"/>
      <c r="N732" s="28"/>
      <c r="O732" s="28"/>
      <c r="P732" s="28"/>
      <c r="Q732" s="28"/>
      <c r="R732" s="28"/>
      <c r="S732" s="28"/>
      <c r="T732" s="28"/>
      <c r="U732" s="28"/>
      <c r="V732" s="28"/>
      <c r="W732" s="28"/>
      <c r="X732" s="28"/>
      <c r="Y732" s="28"/>
      <c r="Z732" s="28"/>
    </row>
    <row r="733" ht="15.75" customHeight="1">
      <c r="A733" s="125"/>
      <c r="B733" s="125"/>
      <c r="C733" s="125"/>
      <c r="D733" s="128"/>
      <c r="E733" s="126"/>
      <c r="F733" s="38"/>
      <c r="G733" s="127"/>
      <c r="H733" s="28"/>
      <c r="I733" s="28"/>
      <c r="J733" s="28"/>
      <c r="K733" s="28"/>
      <c r="L733" s="28"/>
      <c r="M733" s="28"/>
      <c r="N733" s="28"/>
      <c r="O733" s="28"/>
      <c r="P733" s="28"/>
      <c r="Q733" s="28"/>
      <c r="R733" s="28"/>
      <c r="S733" s="28"/>
      <c r="T733" s="28"/>
      <c r="U733" s="28"/>
      <c r="V733" s="28"/>
      <c r="W733" s="28"/>
      <c r="X733" s="28"/>
      <c r="Y733" s="28"/>
      <c r="Z733" s="28"/>
    </row>
    <row r="734" ht="15.75" customHeight="1">
      <c r="A734" s="125"/>
      <c r="B734" s="125"/>
      <c r="C734" s="125"/>
      <c r="D734" s="37"/>
      <c r="E734" s="37"/>
      <c r="F734" s="38"/>
      <c r="G734" s="129"/>
      <c r="H734" s="28"/>
      <c r="I734" s="28"/>
      <c r="J734" s="28"/>
      <c r="K734" s="28"/>
      <c r="L734" s="28"/>
      <c r="M734" s="28"/>
      <c r="N734" s="28"/>
      <c r="O734" s="28"/>
      <c r="P734" s="28"/>
      <c r="Q734" s="28"/>
      <c r="R734" s="28"/>
      <c r="S734" s="28"/>
      <c r="T734" s="28"/>
      <c r="U734" s="28"/>
      <c r="V734" s="28"/>
      <c r="W734" s="28"/>
      <c r="X734" s="28"/>
      <c r="Y734" s="28"/>
      <c r="Z734" s="28"/>
    </row>
    <row r="735" ht="15.75" customHeight="1">
      <c r="A735" s="125"/>
      <c r="B735" s="125"/>
      <c r="C735" s="125"/>
      <c r="D735" s="37"/>
      <c r="E735" s="37"/>
      <c r="F735" s="38"/>
      <c r="G735" s="129"/>
      <c r="H735" s="28"/>
      <c r="I735" s="28"/>
      <c r="J735" s="28"/>
      <c r="K735" s="28"/>
      <c r="L735" s="28"/>
      <c r="M735" s="28"/>
      <c r="N735" s="28"/>
      <c r="O735" s="28"/>
      <c r="P735" s="28"/>
      <c r="Q735" s="28"/>
      <c r="R735" s="28"/>
      <c r="S735" s="28"/>
      <c r="T735" s="28"/>
      <c r="U735" s="28"/>
      <c r="V735" s="28"/>
      <c r="W735" s="28"/>
      <c r="X735" s="28"/>
      <c r="Y735" s="28"/>
      <c r="Z735" s="28"/>
    </row>
    <row r="736" ht="15.75" customHeight="1">
      <c r="A736" s="125"/>
      <c r="B736" s="125"/>
      <c r="C736" s="125"/>
      <c r="D736" s="37"/>
      <c r="E736" s="37"/>
      <c r="F736" s="38"/>
      <c r="G736" s="129"/>
      <c r="H736" s="28"/>
      <c r="I736" s="28"/>
      <c r="J736" s="28"/>
      <c r="K736" s="28"/>
      <c r="L736" s="28"/>
      <c r="M736" s="28"/>
      <c r="N736" s="28"/>
      <c r="O736" s="28"/>
      <c r="P736" s="28"/>
      <c r="Q736" s="28"/>
      <c r="R736" s="28"/>
      <c r="S736" s="28"/>
      <c r="T736" s="28"/>
      <c r="U736" s="28"/>
      <c r="V736" s="28"/>
      <c r="W736" s="28"/>
      <c r="X736" s="28"/>
      <c r="Y736" s="28"/>
      <c r="Z736" s="28"/>
    </row>
    <row r="737" ht="15.75" customHeight="1">
      <c r="A737" s="125"/>
      <c r="B737" s="125"/>
      <c r="C737" s="125"/>
      <c r="D737" s="37"/>
      <c r="E737" s="37"/>
      <c r="F737" s="38"/>
      <c r="G737" s="129"/>
      <c r="H737" s="28"/>
      <c r="I737" s="28"/>
      <c r="J737" s="28"/>
      <c r="K737" s="28"/>
      <c r="L737" s="28"/>
      <c r="M737" s="28"/>
      <c r="N737" s="28"/>
      <c r="O737" s="28"/>
      <c r="P737" s="28"/>
      <c r="Q737" s="28"/>
      <c r="R737" s="28"/>
      <c r="S737" s="28"/>
      <c r="T737" s="28"/>
      <c r="U737" s="28"/>
      <c r="V737" s="28"/>
      <c r="W737" s="28"/>
      <c r="X737" s="28"/>
      <c r="Y737" s="28"/>
      <c r="Z737" s="28"/>
    </row>
    <row r="738" ht="15.75" customHeight="1">
      <c r="A738" s="125"/>
      <c r="B738" s="125"/>
      <c r="C738" s="125"/>
      <c r="D738" s="37"/>
      <c r="E738" s="37"/>
      <c r="F738" s="38"/>
      <c r="G738" s="129"/>
      <c r="H738" s="28"/>
      <c r="I738" s="28"/>
      <c r="J738" s="28"/>
      <c r="K738" s="28"/>
      <c r="L738" s="28"/>
      <c r="M738" s="28"/>
      <c r="N738" s="28"/>
      <c r="O738" s="28"/>
      <c r="P738" s="28"/>
      <c r="Q738" s="28"/>
      <c r="R738" s="28"/>
      <c r="S738" s="28"/>
      <c r="T738" s="28"/>
      <c r="U738" s="28"/>
      <c r="V738" s="28"/>
      <c r="W738" s="28"/>
      <c r="X738" s="28"/>
      <c r="Y738" s="28"/>
      <c r="Z738" s="28"/>
    </row>
    <row r="739" ht="15.75" customHeight="1">
      <c r="A739" s="125"/>
      <c r="B739" s="125"/>
      <c r="C739" s="125"/>
      <c r="D739" s="37"/>
      <c r="E739" s="37"/>
      <c r="F739" s="38"/>
      <c r="G739" s="129"/>
      <c r="H739" s="28"/>
      <c r="I739" s="28"/>
      <c r="J739" s="28"/>
      <c r="K739" s="28"/>
      <c r="L739" s="28"/>
      <c r="M739" s="28"/>
      <c r="N739" s="28"/>
      <c r="O739" s="28"/>
      <c r="P739" s="28"/>
      <c r="Q739" s="28"/>
      <c r="R739" s="28"/>
      <c r="S739" s="28"/>
      <c r="T739" s="28"/>
      <c r="U739" s="28"/>
      <c r="V739" s="28"/>
      <c r="W739" s="28"/>
      <c r="X739" s="28"/>
      <c r="Y739" s="28"/>
      <c r="Z739" s="28"/>
    </row>
    <row r="740" ht="15.75" customHeight="1">
      <c r="A740" s="125"/>
      <c r="B740" s="125"/>
      <c r="C740" s="125"/>
      <c r="D740" s="37"/>
      <c r="E740" s="37"/>
      <c r="F740" s="38"/>
      <c r="G740" s="129"/>
      <c r="H740" s="28"/>
      <c r="I740" s="28"/>
      <c r="J740" s="28"/>
      <c r="K740" s="28"/>
      <c r="L740" s="28"/>
      <c r="M740" s="28"/>
      <c r="N740" s="28"/>
      <c r="O740" s="28"/>
      <c r="P740" s="28"/>
      <c r="Q740" s="28"/>
      <c r="R740" s="28"/>
      <c r="S740" s="28"/>
      <c r="T740" s="28"/>
      <c r="U740" s="28"/>
      <c r="V740" s="28"/>
      <c r="W740" s="28"/>
      <c r="X740" s="28"/>
      <c r="Y740" s="28"/>
      <c r="Z740" s="28"/>
    </row>
    <row r="741" ht="15.75" customHeight="1">
      <c r="A741" s="125"/>
      <c r="B741" s="125"/>
      <c r="C741" s="125"/>
      <c r="D741" s="37"/>
      <c r="E741" s="37"/>
      <c r="F741" s="38"/>
      <c r="G741" s="129"/>
      <c r="H741" s="28"/>
      <c r="I741" s="28"/>
      <c r="J741" s="28"/>
      <c r="K741" s="28"/>
      <c r="L741" s="28"/>
      <c r="M741" s="28"/>
      <c r="N741" s="28"/>
      <c r="O741" s="28"/>
      <c r="P741" s="28"/>
      <c r="Q741" s="28"/>
      <c r="R741" s="28"/>
      <c r="S741" s="28"/>
      <c r="T741" s="28"/>
      <c r="U741" s="28"/>
      <c r="V741" s="28"/>
      <c r="W741" s="28"/>
      <c r="X741" s="28"/>
      <c r="Y741" s="28"/>
      <c r="Z741" s="28"/>
    </row>
    <row r="742" ht="15.75" customHeight="1">
      <c r="A742" s="125"/>
      <c r="B742" s="125"/>
      <c r="C742" s="125"/>
      <c r="D742" s="37"/>
      <c r="E742" s="37"/>
      <c r="F742" s="38"/>
      <c r="G742" s="129"/>
      <c r="H742" s="28"/>
      <c r="I742" s="28"/>
      <c r="J742" s="28"/>
      <c r="K742" s="28"/>
      <c r="L742" s="28"/>
      <c r="M742" s="28"/>
      <c r="N742" s="28"/>
      <c r="O742" s="28"/>
      <c r="P742" s="28"/>
      <c r="Q742" s="28"/>
      <c r="R742" s="28"/>
      <c r="S742" s="28"/>
      <c r="T742" s="28"/>
      <c r="U742" s="28"/>
      <c r="V742" s="28"/>
      <c r="W742" s="28"/>
      <c r="X742" s="28"/>
      <c r="Y742" s="28"/>
      <c r="Z742" s="28"/>
    </row>
    <row r="743" ht="15.75" customHeight="1">
      <c r="A743" s="125"/>
      <c r="B743" s="125"/>
      <c r="C743" s="125"/>
      <c r="D743" s="37"/>
      <c r="E743" s="37"/>
      <c r="F743" s="38"/>
      <c r="G743" s="129"/>
      <c r="H743" s="28"/>
      <c r="I743" s="28"/>
      <c r="J743" s="28"/>
      <c r="K743" s="28"/>
      <c r="L743" s="28"/>
      <c r="M743" s="28"/>
      <c r="N743" s="28"/>
      <c r="O743" s="28"/>
      <c r="P743" s="28"/>
      <c r="Q743" s="28"/>
      <c r="R743" s="28"/>
      <c r="S743" s="28"/>
      <c r="T743" s="28"/>
      <c r="U743" s="28"/>
      <c r="V743" s="28"/>
      <c r="W743" s="28"/>
      <c r="X743" s="28"/>
      <c r="Y743" s="28"/>
      <c r="Z743" s="28"/>
    </row>
    <row r="744" ht="15.75" customHeight="1">
      <c r="A744" s="125"/>
      <c r="B744" s="125"/>
      <c r="C744" s="125"/>
      <c r="D744" s="37"/>
      <c r="E744" s="37"/>
      <c r="F744" s="38"/>
      <c r="G744" s="129"/>
      <c r="H744" s="28"/>
      <c r="I744" s="28"/>
      <c r="J744" s="28"/>
      <c r="K744" s="28"/>
      <c r="L744" s="28"/>
      <c r="M744" s="28"/>
      <c r="N744" s="28"/>
      <c r="O744" s="28"/>
      <c r="P744" s="28"/>
      <c r="Q744" s="28"/>
      <c r="R744" s="28"/>
      <c r="S744" s="28"/>
      <c r="T744" s="28"/>
      <c r="U744" s="28"/>
      <c r="V744" s="28"/>
      <c r="W744" s="28"/>
      <c r="X744" s="28"/>
      <c r="Y744" s="28"/>
      <c r="Z744" s="28"/>
    </row>
    <row r="745" ht="15.75" customHeight="1">
      <c r="A745" s="125"/>
      <c r="B745" s="125"/>
      <c r="C745" s="125"/>
      <c r="D745" s="37"/>
      <c r="E745" s="37"/>
      <c r="F745" s="38"/>
      <c r="G745" s="129"/>
      <c r="H745" s="28"/>
      <c r="I745" s="28"/>
      <c r="J745" s="28"/>
      <c r="K745" s="28"/>
      <c r="L745" s="28"/>
      <c r="M745" s="28"/>
      <c r="N745" s="28"/>
      <c r="O745" s="28"/>
      <c r="P745" s="28"/>
      <c r="Q745" s="28"/>
      <c r="R745" s="28"/>
      <c r="S745" s="28"/>
      <c r="T745" s="28"/>
      <c r="U745" s="28"/>
      <c r="V745" s="28"/>
      <c r="W745" s="28"/>
      <c r="X745" s="28"/>
      <c r="Y745" s="28"/>
      <c r="Z745" s="28"/>
    </row>
    <row r="746" ht="15.75" customHeight="1">
      <c r="A746" s="125"/>
      <c r="B746" s="125"/>
      <c r="C746" s="125"/>
      <c r="D746" s="37"/>
      <c r="E746" s="37"/>
      <c r="F746" s="38"/>
      <c r="G746" s="129"/>
      <c r="H746" s="28"/>
      <c r="I746" s="28"/>
      <c r="J746" s="28"/>
      <c r="K746" s="28"/>
      <c r="L746" s="28"/>
      <c r="M746" s="28"/>
      <c r="N746" s="28"/>
      <c r="O746" s="28"/>
      <c r="P746" s="28"/>
      <c r="Q746" s="28"/>
      <c r="R746" s="28"/>
      <c r="S746" s="28"/>
      <c r="T746" s="28"/>
      <c r="U746" s="28"/>
      <c r="V746" s="28"/>
      <c r="W746" s="28"/>
      <c r="X746" s="28"/>
      <c r="Y746" s="28"/>
      <c r="Z746" s="28"/>
    </row>
    <row r="747" ht="15.75" customHeight="1">
      <c r="A747" s="125"/>
      <c r="B747" s="125"/>
      <c r="C747" s="125"/>
      <c r="D747" s="37"/>
      <c r="E747" s="37"/>
      <c r="F747" s="38"/>
      <c r="G747" s="129"/>
      <c r="H747" s="28"/>
      <c r="I747" s="28"/>
      <c r="J747" s="28"/>
      <c r="K747" s="28"/>
      <c r="L747" s="28"/>
      <c r="M747" s="28"/>
      <c r="N747" s="28"/>
      <c r="O747" s="28"/>
      <c r="P747" s="28"/>
      <c r="Q747" s="28"/>
      <c r="R747" s="28"/>
      <c r="S747" s="28"/>
      <c r="T747" s="28"/>
      <c r="U747" s="28"/>
      <c r="V747" s="28"/>
      <c r="W747" s="28"/>
      <c r="X747" s="28"/>
      <c r="Y747" s="28"/>
      <c r="Z747" s="28"/>
    </row>
    <row r="748" ht="15.75" customHeight="1">
      <c r="A748" s="125"/>
      <c r="B748" s="125"/>
      <c r="C748" s="125"/>
      <c r="D748" s="37"/>
      <c r="E748" s="37"/>
      <c r="F748" s="38"/>
      <c r="G748" s="129"/>
      <c r="H748" s="28"/>
      <c r="I748" s="28"/>
      <c r="J748" s="28"/>
      <c r="K748" s="28"/>
      <c r="L748" s="28"/>
      <c r="M748" s="28"/>
      <c r="N748" s="28"/>
      <c r="O748" s="28"/>
      <c r="P748" s="28"/>
      <c r="Q748" s="28"/>
      <c r="R748" s="28"/>
      <c r="S748" s="28"/>
      <c r="T748" s="28"/>
      <c r="U748" s="28"/>
      <c r="V748" s="28"/>
      <c r="W748" s="28"/>
      <c r="X748" s="28"/>
      <c r="Y748" s="28"/>
      <c r="Z748" s="28"/>
    </row>
    <row r="749" ht="15.75" customHeight="1">
      <c r="A749" s="125"/>
      <c r="B749" s="125"/>
      <c r="C749" s="125"/>
      <c r="D749" s="37"/>
      <c r="E749" s="37"/>
      <c r="F749" s="38"/>
      <c r="G749" s="129"/>
      <c r="H749" s="28"/>
      <c r="I749" s="28"/>
      <c r="J749" s="28"/>
      <c r="K749" s="28"/>
      <c r="L749" s="28"/>
      <c r="M749" s="28"/>
      <c r="N749" s="28"/>
      <c r="O749" s="28"/>
      <c r="P749" s="28"/>
      <c r="Q749" s="28"/>
      <c r="R749" s="28"/>
      <c r="S749" s="28"/>
      <c r="T749" s="28"/>
      <c r="U749" s="28"/>
      <c r="V749" s="28"/>
      <c r="W749" s="28"/>
      <c r="X749" s="28"/>
      <c r="Y749" s="28"/>
      <c r="Z749" s="28"/>
    </row>
    <row r="750" ht="15.75" customHeight="1">
      <c r="A750" s="125"/>
      <c r="B750" s="125"/>
      <c r="C750" s="125"/>
      <c r="D750" s="37"/>
      <c r="E750" s="37"/>
      <c r="F750" s="38"/>
      <c r="G750" s="129"/>
      <c r="H750" s="28"/>
      <c r="I750" s="28"/>
      <c r="J750" s="28"/>
      <c r="K750" s="28"/>
      <c r="L750" s="28"/>
      <c r="M750" s="28"/>
      <c r="N750" s="28"/>
      <c r="O750" s="28"/>
      <c r="P750" s="28"/>
      <c r="Q750" s="28"/>
      <c r="R750" s="28"/>
      <c r="S750" s="28"/>
      <c r="T750" s="28"/>
      <c r="U750" s="28"/>
      <c r="V750" s="28"/>
      <c r="W750" s="28"/>
      <c r="X750" s="28"/>
      <c r="Y750" s="28"/>
      <c r="Z750" s="28"/>
    </row>
    <row r="751" ht="15.75" customHeight="1">
      <c r="A751" s="125"/>
      <c r="B751" s="125"/>
      <c r="C751" s="125"/>
      <c r="D751" s="37"/>
      <c r="E751" s="37"/>
      <c r="F751" s="38"/>
      <c r="G751" s="129"/>
      <c r="H751" s="28"/>
      <c r="I751" s="28"/>
      <c r="J751" s="28"/>
      <c r="K751" s="28"/>
      <c r="L751" s="28"/>
      <c r="M751" s="28"/>
      <c r="N751" s="28"/>
      <c r="O751" s="28"/>
      <c r="P751" s="28"/>
      <c r="Q751" s="28"/>
      <c r="R751" s="28"/>
      <c r="S751" s="28"/>
      <c r="T751" s="28"/>
      <c r="U751" s="28"/>
      <c r="V751" s="28"/>
      <c r="W751" s="28"/>
      <c r="X751" s="28"/>
      <c r="Y751" s="28"/>
      <c r="Z751" s="28"/>
    </row>
    <row r="752" ht="15.75" customHeight="1">
      <c r="A752" s="125"/>
      <c r="B752" s="125"/>
      <c r="C752" s="125"/>
      <c r="D752" s="37"/>
      <c r="E752" s="37"/>
      <c r="F752" s="38"/>
      <c r="G752" s="129"/>
      <c r="H752" s="28"/>
      <c r="I752" s="28"/>
      <c r="J752" s="28"/>
      <c r="K752" s="28"/>
      <c r="L752" s="28"/>
      <c r="M752" s="28"/>
      <c r="N752" s="28"/>
      <c r="O752" s="28"/>
      <c r="P752" s="28"/>
      <c r="Q752" s="28"/>
      <c r="R752" s="28"/>
      <c r="S752" s="28"/>
      <c r="T752" s="28"/>
      <c r="U752" s="28"/>
      <c r="V752" s="28"/>
      <c r="W752" s="28"/>
      <c r="X752" s="28"/>
      <c r="Y752" s="28"/>
      <c r="Z752" s="28"/>
    </row>
    <row r="753" ht="15.75" customHeight="1">
      <c r="A753" s="125"/>
      <c r="B753" s="125"/>
      <c r="C753" s="125"/>
      <c r="D753" s="37"/>
      <c r="E753" s="37"/>
      <c r="F753" s="38"/>
      <c r="G753" s="129"/>
      <c r="H753" s="28"/>
      <c r="I753" s="28"/>
      <c r="J753" s="28"/>
      <c r="K753" s="28"/>
      <c r="L753" s="28"/>
      <c r="M753" s="28"/>
      <c r="N753" s="28"/>
      <c r="O753" s="28"/>
      <c r="P753" s="28"/>
      <c r="Q753" s="28"/>
      <c r="R753" s="28"/>
      <c r="S753" s="28"/>
      <c r="T753" s="28"/>
      <c r="U753" s="28"/>
      <c r="V753" s="28"/>
      <c r="W753" s="28"/>
      <c r="X753" s="28"/>
      <c r="Y753" s="28"/>
      <c r="Z753" s="28"/>
    </row>
    <row r="754" ht="15.75" customHeight="1">
      <c r="A754" s="125"/>
      <c r="B754" s="125"/>
      <c r="C754" s="125"/>
      <c r="D754" s="37"/>
      <c r="E754" s="37"/>
      <c r="F754" s="38"/>
      <c r="G754" s="130"/>
      <c r="H754" s="28"/>
      <c r="I754" s="28"/>
      <c r="J754" s="28"/>
      <c r="K754" s="28"/>
      <c r="L754" s="28"/>
      <c r="M754" s="28"/>
      <c r="N754" s="28"/>
      <c r="O754" s="28"/>
      <c r="P754" s="28"/>
      <c r="Q754" s="28"/>
      <c r="R754" s="28"/>
      <c r="S754" s="28"/>
      <c r="T754" s="28"/>
      <c r="U754" s="28"/>
      <c r="V754" s="28"/>
      <c r="W754" s="28"/>
      <c r="X754" s="28"/>
      <c r="Y754" s="28"/>
      <c r="Z754" s="28"/>
    </row>
    <row r="755" ht="15.75" customHeight="1">
      <c r="A755" s="125"/>
      <c r="B755" s="125"/>
      <c r="C755" s="125"/>
      <c r="D755" s="37"/>
      <c r="E755" s="37"/>
      <c r="F755" s="38"/>
      <c r="G755" s="130"/>
      <c r="H755" s="28"/>
      <c r="I755" s="28"/>
      <c r="J755" s="28"/>
      <c r="K755" s="28"/>
      <c r="L755" s="28"/>
      <c r="M755" s="28"/>
      <c r="N755" s="28"/>
      <c r="O755" s="28"/>
      <c r="P755" s="28"/>
      <c r="Q755" s="28"/>
      <c r="R755" s="28"/>
      <c r="S755" s="28"/>
      <c r="T755" s="28"/>
      <c r="U755" s="28"/>
      <c r="V755" s="28"/>
      <c r="W755" s="28"/>
      <c r="X755" s="28"/>
      <c r="Y755" s="28"/>
      <c r="Z755" s="28"/>
    </row>
    <row r="756" ht="15.75" customHeight="1">
      <c r="A756" s="125"/>
      <c r="B756" s="125"/>
      <c r="C756" s="125"/>
      <c r="D756" s="37"/>
      <c r="E756" s="37"/>
      <c r="F756" s="38"/>
      <c r="G756" s="130"/>
      <c r="H756" s="28"/>
      <c r="I756" s="28"/>
      <c r="J756" s="28"/>
      <c r="K756" s="28"/>
      <c r="L756" s="28"/>
      <c r="M756" s="28"/>
      <c r="N756" s="28"/>
      <c r="O756" s="28"/>
      <c r="P756" s="28"/>
      <c r="Q756" s="28"/>
      <c r="R756" s="28"/>
      <c r="S756" s="28"/>
      <c r="T756" s="28"/>
      <c r="U756" s="28"/>
      <c r="V756" s="28"/>
      <c r="W756" s="28"/>
      <c r="X756" s="28"/>
      <c r="Y756" s="28"/>
      <c r="Z756" s="28"/>
    </row>
    <row r="757" ht="15.75" customHeight="1">
      <c r="A757" s="125"/>
      <c r="B757" s="125"/>
      <c r="C757" s="125"/>
      <c r="D757" s="37"/>
      <c r="E757" s="37"/>
      <c r="F757" s="38"/>
      <c r="G757" s="130"/>
      <c r="H757" s="28"/>
      <c r="I757" s="28"/>
      <c r="J757" s="28"/>
      <c r="K757" s="28"/>
      <c r="L757" s="28"/>
      <c r="M757" s="28"/>
      <c r="N757" s="28"/>
      <c r="O757" s="28"/>
      <c r="P757" s="28"/>
      <c r="Q757" s="28"/>
      <c r="R757" s="28"/>
      <c r="S757" s="28"/>
      <c r="T757" s="28"/>
      <c r="U757" s="28"/>
      <c r="V757" s="28"/>
      <c r="W757" s="28"/>
      <c r="X757" s="28"/>
      <c r="Y757" s="28"/>
      <c r="Z757" s="28"/>
    </row>
    <row r="758" ht="15.75" customHeight="1">
      <c r="A758" s="125"/>
      <c r="B758" s="125"/>
      <c r="C758" s="125"/>
      <c r="D758" s="37"/>
      <c r="E758" s="37"/>
      <c r="F758" s="38"/>
      <c r="G758" s="130"/>
      <c r="H758" s="28"/>
      <c r="I758" s="28"/>
      <c r="J758" s="28"/>
      <c r="K758" s="28"/>
      <c r="L758" s="28"/>
      <c r="M758" s="28"/>
      <c r="N758" s="28"/>
      <c r="O758" s="28"/>
      <c r="P758" s="28"/>
      <c r="Q758" s="28"/>
      <c r="R758" s="28"/>
      <c r="S758" s="28"/>
      <c r="T758" s="28"/>
      <c r="U758" s="28"/>
      <c r="V758" s="28"/>
      <c r="W758" s="28"/>
      <c r="X758" s="28"/>
      <c r="Y758" s="28"/>
      <c r="Z758" s="28"/>
    </row>
    <row r="759" ht="15.75" customHeight="1">
      <c r="A759" s="125"/>
      <c r="B759" s="125"/>
      <c r="C759" s="125"/>
      <c r="D759" s="37"/>
      <c r="E759" s="37"/>
      <c r="F759" s="38"/>
      <c r="G759" s="130"/>
      <c r="H759" s="28"/>
      <c r="I759" s="28"/>
      <c r="J759" s="28"/>
      <c r="K759" s="28"/>
      <c r="L759" s="28"/>
      <c r="M759" s="28"/>
      <c r="N759" s="28"/>
      <c r="O759" s="28"/>
      <c r="P759" s="28"/>
      <c r="Q759" s="28"/>
      <c r="R759" s="28"/>
      <c r="S759" s="28"/>
      <c r="T759" s="28"/>
      <c r="U759" s="28"/>
      <c r="V759" s="28"/>
      <c r="W759" s="28"/>
      <c r="X759" s="28"/>
      <c r="Y759" s="28"/>
      <c r="Z759" s="28"/>
    </row>
    <row r="760" ht="15.75" customHeight="1">
      <c r="A760" s="125"/>
      <c r="B760" s="125"/>
      <c r="C760" s="125"/>
      <c r="D760" s="37"/>
      <c r="E760" s="37"/>
      <c r="F760" s="38"/>
      <c r="G760" s="130"/>
      <c r="H760" s="28"/>
      <c r="I760" s="28"/>
      <c r="J760" s="28"/>
      <c r="K760" s="28"/>
      <c r="L760" s="28"/>
      <c r="M760" s="28"/>
      <c r="N760" s="28"/>
      <c r="O760" s="28"/>
      <c r="P760" s="28"/>
      <c r="Q760" s="28"/>
      <c r="R760" s="28"/>
      <c r="S760" s="28"/>
      <c r="T760" s="28"/>
      <c r="U760" s="28"/>
      <c r="V760" s="28"/>
      <c r="W760" s="28"/>
      <c r="X760" s="28"/>
      <c r="Y760" s="28"/>
      <c r="Z760" s="28"/>
    </row>
    <row r="761" ht="15.75" customHeight="1">
      <c r="A761" s="125"/>
      <c r="B761" s="125"/>
      <c r="C761" s="125"/>
      <c r="D761" s="37"/>
      <c r="E761" s="37"/>
      <c r="F761" s="38"/>
      <c r="G761" s="130"/>
      <c r="H761" s="28"/>
      <c r="I761" s="28"/>
      <c r="J761" s="28"/>
      <c r="K761" s="28"/>
      <c r="L761" s="28"/>
      <c r="M761" s="28"/>
      <c r="N761" s="28"/>
      <c r="O761" s="28"/>
      <c r="P761" s="28"/>
      <c r="Q761" s="28"/>
      <c r="R761" s="28"/>
      <c r="S761" s="28"/>
      <c r="T761" s="28"/>
      <c r="U761" s="28"/>
      <c r="V761" s="28"/>
      <c r="W761" s="28"/>
      <c r="X761" s="28"/>
      <c r="Y761" s="28"/>
      <c r="Z761" s="28"/>
    </row>
    <row r="762" ht="15.75" customHeight="1">
      <c r="A762" s="125"/>
      <c r="B762" s="125"/>
      <c r="C762" s="125"/>
      <c r="D762" s="37"/>
      <c r="E762" s="37"/>
      <c r="F762" s="38"/>
      <c r="G762" s="130"/>
      <c r="H762" s="28"/>
      <c r="I762" s="28"/>
      <c r="J762" s="28"/>
      <c r="K762" s="28"/>
      <c r="L762" s="28"/>
      <c r="M762" s="28"/>
      <c r="N762" s="28"/>
      <c r="O762" s="28"/>
      <c r="P762" s="28"/>
      <c r="Q762" s="28"/>
      <c r="R762" s="28"/>
      <c r="S762" s="28"/>
      <c r="T762" s="28"/>
      <c r="U762" s="28"/>
      <c r="V762" s="28"/>
      <c r="W762" s="28"/>
      <c r="X762" s="28"/>
      <c r="Y762" s="28"/>
      <c r="Z762" s="28"/>
    </row>
    <row r="763" ht="15.75" customHeight="1">
      <c r="A763" s="125"/>
      <c r="B763" s="125"/>
      <c r="C763" s="125"/>
      <c r="D763" s="37"/>
      <c r="E763" s="37"/>
      <c r="F763" s="38"/>
      <c r="G763" s="130"/>
      <c r="H763" s="28"/>
      <c r="I763" s="28"/>
      <c r="J763" s="28"/>
      <c r="K763" s="28"/>
      <c r="L763" s="28"/>
      <c r="M763" s="28"/>
      <c r="N763" s="28"/>
      <c r="O763" s="28"/>
      <c r="P763" s="28"/>
      <c r="Q763" s="28"/>
      <c r="R763" s="28"/>
      <c r="S763" s="28"/>
      <c r="T763" s="28"/>
      <c r="U763" s="28"/>
      <c r="V763" s="28"/>
      <c r="W763" s="28"/>
      <c r="X763" s="28"/>
      <c r="Y763" s="28"/>
      <c r="Z763" s="28"/>
    </row>
    <row r="764" ht="15.75" customHeight="1">
      <c r="A764" s="125"/>
      <c r="B764" s="125"/>
      <c r="C764" s="125"/>
      <c r="D764" s="37"/>
      <c r="E764" s="37"/>
      <c r="F764" s="38"/>
      <c r="G764" s="130"/>
      <c r="H764" s="28"/>
      <c r="I764" s="28"/>
      <c r="J764" s="28"/>
      <c r="K764" s="28"/>
      <c r="L764" s="28"/>
      <c r="M764" s="28"/>
      <c r="N764" s="28"/>
      <c r="O764" s="28"/>
      <c r="P764" s="28"/>
      <c r="Q764" s="28"/>
      <c r="R764" s="28"/>
      <c r="S764" s="28"/>
      <c r="T764" s="28"/>
      <c r="U764" s="28"/>
      <c r="V764" s="28"/>
      <c r="W764" s="28"/>
      <c r="X764" s="28"/>
      <c r="Y764" s="28"/>
      <c r="Z764" s="28"/>
    </row>
    <row r="765" ht="15.75" customHeight="1">
      <c r="A765" s="125"/>
      <c r="B765" s="125"/>
      <c r="C765" s="125"/>
      <c r="D765" s="37"/>
      <c r="E765" s="37"/>
      <c r="F765" s="38"/>
      <c r="G765" s="130"/>
      <c r="H765" s="28"/>
      <c r="I765" s="28"/>
      <c r="J765" s="28"/>
      <c r="K765" s="28"/>
      <c r="L765" s="28"/>
      <c r="M765" s="28"/>
      <c r="N765" s="28"/>
      <c r="O765" s="28"/>
      <c r="P765" s="28"/>
      <c r="Q765" s="28"/>
      <c r="R765" s="28"/>
      <c r="S765" s="28"/>
      <c r="T765" s="28"/>
      <c r="U765" s="28"/>
      <c r="V765" s="28"/>
      <c r="W765" s="28"/>
      <c r="X765" s="28"/>
      <c r="Y765" s="28"/>
      <c r="Z765" s="28"/>
    </row>
    <row r="766" ht="15.75" customHeight="1">
      <c r="A766" s="125"/>
      <c r="B766" s="125"/>
      <c r="C766" s="125"/>
      <c r="D766" s="37"/>
      <c r="E766" s="37"/>
      <c r="F766" s="38"/>
      <c r="G766" s="130"/>
      <c r="H766" s="28"/>
      <c r="I766" s="28"/>
      <c r="J766" s="28"/>
      <c r="K766" s="28"/>
      <c r="L766" s="28"/>
      <c r="M766" s="28"/>
      <c r="N766" s="28"/>
      <c r="O766" s="28"/>
      <c r="P766" s="28"/>
      <c r="Q766" s="28"/>
      <c r="R766" s="28"/>
      <c r="S766" s="28"/>
      <c r="T766" s="28"/>
      <c r="U766" s="28"/>
      <c r="V766" s="28"/>
      <c r="W766" s="28"/>
      <c r="X766" s="28"/>
      <c r="Y766" s="28"/>
      <c r="Z766" s="28"/>
    </row>
    <row r="767" ht="15.75" customHeight="1">
      <c r="A767" s="125"/>
      <c r="B767" s="125"/>
      <c r="C767" s="125"/>
      <c r="D767" s="37"/>
      <c r="E767" s="37"/>
      <c r="F767" s="38"/>
      <c r="G767" s="130"/>
      <c r="H767" s="28"/>
      <c r="I767" s="28"/>
      <c r="J767" s="28"/>
      <c r="K767" s="28"/>
      <c r="L767" s="28"/>
      <c r="M767" s="28"/>
      <c r="N767" s="28"/>
      <c r="O767" s="28"/>
      <c r="P767" s="28"/>
      <c r="Q767" s="28"/>
      <c r="R767" s="28"/>
      <c r="S767" s="28"/>
      <c r="T767" s="28"/>
      <c r="U767" s="28"/>
      <c r="V767" s="28"/>
      <c r="W767" s="28"/>
      <c r="X767" s="28"/>
      <c r="Y767" s="28"/>
      <c r="Z767" s="28"/>
    </row>
    <row r="768" ht="15.75" customHeight="1">
      <c r="A768" s="125"/>
      <c r="B768" s="125"/>
      <c r="C768" s="125"/>
      <c r="D768" s="37"/>
      <c r="E768" s="37"/>
      <c r="F768" s="38"/>
      <c r="G768" s="130"/>
      <c r="H768" s="28"/>
      <c r="I768" s="28"/>
      <c r="J768" s="28"/>
      <c r="K768" s="28"/>
      <c r="L768" s="28"/>
      <c r="M768" s="28"/>
      <c r="N768" s="28"/>
      <c r="O768" s="28"/>
      <c r="P768" s="28"/>
      <c r="Q768" s="28"/>
      <c r="R768" s="28"/>
      <c r="S768" s="28"/>
      <c r="T768" s="28"/>
      <c r="U768" s="28"/>
      <c r="V768" s="28"/>
      <c r="W768" s="28"/>
      <c r="X768" s="28"/>
      <c r="Y768" s="28"/>
      <c r="Z768" s="28"/>
    </row>
    <row r="769" ht="15.75" customHeight="1">
      <c r="A769" s="125"/>
      <c r="B769" s="125"/>
      <c r="C769" s="125"/>
      <c r="D769" s="37"/>
      <c r="E769" s="37"/>
      <c r="F769" s="38"/>
      <c r="G769" s="130"/>
      <c r="H769" s="28"/>
      <c r="I769" s="28"/>
      <c r="J769" s="28"/>
      <c r="K769" s="28"/>
      <c r="L769" s="28"/>
      <c r="M769" s="28"/>
      <c r="N769" s="28"/>
      <c r="O769" s="28"/>
      <c r="P769" s="28"/>
      <c r="Q769" s="28"/>
      <c r="R769" s="28"/>
      <c r="S769" s="28"/>
      <c r="T769" s="28"/>
      <c r="U769" s="28"/>
      <c r="V769" s="28"/>
      <c r="W769" s="28"/>
      <c r="X769" s="28"/>
      <c r="Y769" s="28"/>
      <c r="Z769" s="28"/>
    </row>
    <row r="770" ht="15.75" customHeight="1">
      <c r="A770" s="125"/>
      <c r="B770" s="125"/>
      <c r="C770" s="125"/>
      <c r="D770" s="37"/>
      <c r="E770" s="37"/>
      <c r="F770" s="38"/>
      <c r="G770" s="130"/>
      <c r="H770" s="28"/>
      <c r="I770" s="28"/>
      <c r="J770" s="28"/>
      <c r="K770" s="28"/>
      <c r="L770" s="28"/>
      <c r="M770" s="28"/>
      <c r="N770" s="28"/>
      <c r="O770" s="28"/>
      <c r="P770" s="28"/>
      <c r="Q770" s="28"/>
      <c r="R770" s="28"/>
      <c r="S770" s="28"/>
      <c r="T770" s="28"/>
      <c r="U770" s="28"/>
      <c r="V770" s="28"/>
      <c r="W770" s="28"/>
      <c r="X770" s="28"/>
      <c r="Y770" s="28"/>
      <c r="Z770" s="28"/>
    </row>
    <row r="771" ht="15.75" customHeight="1">
      <c r="A771" s="125"/>
      <c r="B771" s="125"/>
      <c r="C771" s="125"/>
      <c r="D771" s="37"/>
      <c r="E771" s="37"/>
      <c r="F771" s="38"/>
      <c r="G771" s="130"/>
      <c r="H771" s="28"/>
      <c r="I771" s="28"/>
      <c r="J771" s="28"/>
      <c r="K771" s="28"/>
      <c r="L771" s="28"/>
      <c r="M771" s="28"/>
      <c r="N771" s="28"/>
      <c r="O771" s="28"/>
      <c r="P771" s="28"/>
      <c r="Q771" s="28"/>
      <c r="R771" s="28"/>
      <c r="S771" s="28"/>
      <c r="T771" s="28"/>
      <c r="U771" s="28"/>
      <c r="V771" s="28"/>
      <c r="W771" s="28"/>
      <c r="X771" s="28"/>
      <c r="Y771" s="28"/>
      <c r="Z771" s="28"/>
    </row>
    <row r="772" ht="15.75" customHeight="1">
      <c r="A772" s="125"/>
      <c r="B772" s="125"/>
      <c r="C772" s="125"/>
      <c r="D772" s="37"/>
      <c r="E772" s="37"/>
      <c r="F772" s="38"/>
      <c r="G772" s="130"/>
      <c r="H772" s="28"/>
      <c r="I772" s="28"/>
      <c r="J772" s="28"/>
      <c r="K772" s="28"/>
      <c r="L772" s="28"/>
      <c r="M772" s="28"/>
      <c r="N772" s="28"/>
      <c r="O772" s="28"/>
      <c r="P772" s="28"/>
      <c r="Q772" s="28"/>
      <c r="R772" s="28"/>
      <c r="S772" s="28"/>
      <c r="T772" s="28"/>
      <c r="U772" s="28"/>
      <c r="V772" s="28"/>
      <c r="W772" s="28"/>
      <c r="X772" s="28"/>
      <c r="Y772" s="28"/>
      <c r="Z772" s="28"/>
    </row>
    <row r="773" ht="15.75" customHeight="1">
      <c r="A773" s="125"/>
      <c r="B773" s="125"/>
      <c r="C773" s="125"/>
      <c r="D773" s="37"/>
      <c r="E773" s="37"/>
      <c r="F773" s="38"/>
      <c r="G773" s="130"/>
      <c r="H773" s="28"/>
      <c r="I773" s="28"/>
      <c r="J773" s="28"/>
      <c r="K773" s="28"/>
      <c r="L773" s="28"/>
      <c r="M773" s="28"/>
      <c r="N773" s="28"/>
      <c r="O773" s="28"/>
      <c r="P773" s="28"/>
      <c r="Q773" s="28"/>
      <c r="R773" s="28"/>
      <c r="S773" s="28"/>
      <c r="T773" s="28"/>
      <c r="U773" s="28"/>
      <c r="V773" s="28"/>
      <c r="W773" s="28"/>
      <c r="X773" s="28"/>
      <c r="Y773" s="28"/>
      <c r="Z773" s="28"/>
    </row>
    <row r="774" ht="15.75" customHeight="1">
      <c r="A774" s="125"/>
      <c r="B774" s="125"/>
      <c r="C774" s="125"/>
      <c r="D774" s="37"/>
      <c r="E774" s="37"/>
      <c r="F774" s="38"/>
      <c r="G774" s="130"/>
      <c r="H774" s="28"/>
      <c r="I774" s="28"/>
      <c r="J774" s="28"/>
      <c r="K774" s="28"/>
      <c r="L774" s="28"/>
      <c r="M774" s="28"/>
      <c r="N774" s="28"/>
      <c r="O774" s="28"/>
      <c r="P774" s="28"/>
      <c r="Q774" s="28"/>
      <c r="R774" s="28"/>
      <c r="S774" s="28"/>
      <c r="T774" s="28"/>
      <c r="U774" s="28"/>
      <c r="V774" s="28"/>
      <c r="W774" s="28"/>
      <c r="X774" s="28"/>
      <c r="Y774" s="28"/>
      <c r="Z774" s="28"/>
    </row>
    <row r="775" ht="15.75" customHeight="1">
      <c r="A775" s="125"/>
      <c r="B775" s="125"/>
      <c r="C775" s="125"/>
      <c r="D775" s="37"/>
      <c r="E775" s="37"/>
      <c r="F775" s="38"/>
      <c r="G775" s="130"/>
      <c r="H775" s="28"/>
      <c r="I775" s="28"/>
      <c r="J775" s="28"/>
      <c r="K775" s="28"/>
      <c r="L775" s="28"/>
      <c r="M775" s="28"/>
      <c r="N775" s="28"/>
      <c r="O775" s="28"/>
      <c r="P775" s="28"/>
      <c r="Q775" s="28"/>
      <c r="R775" s="28"/>
      <c r="S775" s="28"/>
      <c r="T775" s="28"/>
      <c r="U775" s="28"/>
      <c r="V775" s="28"/>
      <c r="W775" s="28"/>
      <c r="X775" s="28"/>
      <c r="Y775" s="28"/>
      <c r="Z775" s="28"/>
    </row>
    <row r="776" ht="15.75" customHeight="1">
      <c r="A776" s="125"/>
      <c r="B776" s="125"/>
      <c r="C776" s="125"/>
      <c r="D776" s="37"/>
      <c r="E776" s="37"/>
      <c r="F776" s="38"/>
      <c r="G776" s="130"/>
      <c r="H776" s="28"/>
      <c r="I776" s="28"/>
      <c r="J776" s="28"/>
      <c r="K776" s="28"/>
      <c r="L776" s="28"/>
      <c r="M776" s="28"/>
      <c r="N776" s="28"/>
      <c r="O776" s="28"/>
      <c r="P776" s="28"/>
      <c r="Q776" s="28"/>
      <c r="R776" s="28"/>
      <c r="S776" s="28"/>
      <c r="T776" s="28"/>
      <c r="U776" s="28"/>
      <c r="V776" s="28"/>
      <c r="W776" s="28"/>
      <c r="X776" s="28"/>
      <c r="Y776" s="28"/>
      <c r="Z776" s="28"/>
    </row>
    <row r="777" ht="15.75" customHeight="1">
      <c r="A777" s="125"/>
      <c r="B777" s="125"/>
      <c r="C777" s="125"/>
      <c r="D777" s="37"/>
      <c r="E777" s="37"/>
      <c r="F777" s="38"/>
      <c r="G777" s="130"/>
      <c r="H777" s="28"/>
      <c r="I777" s="28"/>
      <c r="J777" s="28"/>
      <c r="K777" s="28"/>
      <c r="L777" s="28"/>
      <c r="M777" s="28"/>
      <c r="N777" s="28"/>
      <c r="O777" s="28"/>
      <c r="P777" s="28"/>
      <c r="Q777" s="28"/>
      <c r="R777" s="28"/>
      <c r="S777" s="28"/>
      <c r="T777" s="28"/>
      <c r="U777" s="28"/>
      <c r="V777" s="28"/>
      <c r="W777" s="28"/>
      <c r="X777" s="28"/>
      <c r="Y777" s="28"/>
      <c r="Z777" s="28"/>
    </row>
    <row r="778" ht="15.75" customHeight="1">
      <c r="A778" s="125"/>
      <c r="B778" s="125"/>
      <c r="C778" s="125"/>
      <c r="D778" s="37"/>
      <c r="E778" s="37"/>
      <c r="F778" s="38"/>
      <c r="G778" s="130"/>
      <c r="H778" s="28"/>
      <c r="I778" s="28"/>
      <c r="J778" s="28"/>
      <c r="K778" s="28"/>
      <c r="L778" s="28"/>
      <c r="M778" s="28"/>
      <c r="N778" s="28"/>
      <c r="O778" s="28"/>
      <c r="P778" s="28"/>
      <c r="Q778" s="28"/>
      <c r="R778" s="28"/>
      <c r="S778" s="28"/>
      <c r="T778" s="28"/>
      <c r="U778" s="28"/>
      <c r="V778" s="28"/>
      <c r="W778" s="28"/>
      <c r="X778" s="28"/>
      <c r="Y778" s="28"/>
      <c r="Z778" s="28"/>
    </row>
    <row r="779" ht="15.75" customHeight="1">
      <c r="A779" s="125"/>
      <c r="B779" s="125"/>
      <c r="C779" s="125"/>
      <c r="D779" s="37"/>
      <c r="E779" s="37"/>
      <c r="F779" s="38"/>
      <c r="G779" s="130"/>
      <c r="H779" s="28"/>
      <c r="I779" s="28"/>
      <c r="J779" s="28"/>
      <c r="K779" s="28"/>
      <c r="L779" s="28"/>
      <c r="M779" s="28"/>
      <c r="N779" s="28"/>
      <c r="O779" s="28"/>
      <c r="P779" s="28"/>
      <c r="Q779" s="28"/>
      <c r="R779" s="28"/>
      <c r="S779" s="28"/>
      <c r="T779" s="28"/>
      <c r="U779" s="28"/>
      <c r="V779" s="28"/>
      <c r="W779" s="28"/>
      <c r="X779" s="28"/>
      <c r="Y779" s="28"/>
      <c r="Z779" s="28"/>
    </row>
    <row r="780" ht="15.75" customHeight="1">
      <c r="A780" s="125"/>
      <c r="B780" s="125"/>
      <c r="C780" s="125"/>
      <c r="D780" s="37"/>
      <c r="E780" s="37"/>
      <c r="F780" s="38"/>
      <c r="G780" s="130"/>
      <c r="H780" s="28"/>
      <c r="I780" s="28"/>
      <c r="J780" s="28"/>
      <c r="K780" s="28"/>
      <c r="L780" s="28"/>
      <c r="M780" s="28"/>
      <c r="N780" s="28"/>
      <c r="O780" s="28"/>
      <c r="P780" s="28"/>
      <c r="Q780" s="28"/>
      <c r="R780" s="28"/>
      <c r="S780" s="28"/>
      <c r="T780" s="28"/>
      <c r="U780" s="28"/>
      <c r="V780" s="28"/>
      <c r="W780" s="28"/>
      <c r="X780" s="28"/>
      <c r="Y780" s="28"/>
      <c r="Z780" s="28"/>
    </row>
    <row r="781" ht="15.75" customHeight="1">
      <c r="A781" s="125"/>
      <c r="B781" s="125"/>
      <c r="C781" s="125"/>
      <c r="D781" s="37"/>
      <c r="E781" s="37"/>
      <c r="F781" s="38"/>
      <c r="G781" s="130"/>
      <c r="H781" s="28"/>
      <c r="I781" s="28"/>
      <c r="J781" s="28"/>
      <c r="K781" s="28"/>
      <c r="L781" s="28"/>
      <c r="M781" s="28"/>
      <c r="N781" s="28"/>
      <c r="O781" s="28"/>
      <c r="P781" s="28"/>
      <c r="Q781" s="28"/>
      <c r="R781" s="28"/>
      <c r="S781" s="28"/>
      <c r="T781" s="28"/>
      <c r="U781" s="28"/>
      <c r="V781" s="28"/>
      <c r="W781" s="28"/>
      <c r="X781" s="28"/>
      <c r="Y781" s="28"/>
      <c r="Z781" s="28"/>
    </row>
    <row r="782" ht="15.75" customHeight="1">
      <c r="A782" s="125"/>
      <c r="B782" s="125"/>
      <c r="C782" s="125"/>
      <c r="D782" s="37"/>
      <c r="E782" s="37"/>
      <c r="F782" s="38"/>
      <c r="G782" s="130"/>
      <c r="H782" s="28"/>
      <c r="I782" s="28"/>
      <c r="J782" s="28"/>
      <c r="K782" s="28"/>
      <c r="L782" s="28"/>
      <c r="M782" s="28"/>
      <c r="N782" s="28"/>
      <c r="O782" s="28"/>
      <c r="P782" s="28"/>
      <c r="Q782" s="28"/>
      <c r="R782" s="28"/>
      <c r="S782" s="28"/>
      <c r="T782" s="28"/>
      <c r="U782" s="28"/>
      <c r="V782" s="28"/>
      <c r="W782" s="28"/>
      <c r="X782" s="28"/>
      <c r="Y782" s="28"/>
      <c r="Z782" s="28"/>
    </row>
    <row r="783" ht="15.75" customHeight="1">
      <c r="A783" s="125"/>
      <c r="B783" s="125"/>
      <c r="C783" s="125"/>
      <c r="D783" s="37"/>
      <c r="E783" s="37"/>
      <c r="F783" s="38"/>
      <c r="G783" s="130"/>
      <c r="H783" s="28"/>
      <c r="I783" s="28"/>
      <c r="J783" s="28"/>
      <c r="K783" s="28"/>
      <c r="L783" s="28"/>
      <c r="M783" s="28"/>
      <c r="N783" s="28"/>
      <c r="O783" s="28"/>
      <c r="P783" s="28"/>
      <c r="Q783" s="28"/>
      <c r="R783" s="28"/>
      <c r="S783" s="28"/>
      <c r="T783" s="28"/>
      <c r="U783" s="28"/>
      <c r="V783" s="28"/>
      <c r="W783" s="28"/>
      <c r="X783" s="28"/>
      <c r="Y783" s="28"/>
      <c r="Z783" s="28"/>
    </row>
    <row r="784" ht="15.75" customHeight="1">
      <c r="A784" s="125"/>
      <c r="B784" s="125"/>
      <c r="C784" s="125"/>
      <c r="D784" s="37"/>
      <c r="E784" s="37"/>
      <c r="F784" s="38"/>
      <c r="G784" s="130"/>
      <c r="H784" s="28"/>
      <c r="I784" s="28"/>
      <c r="J784" s="28"/>
      <c r="K784" s="28"/>
      <c r="L784" s="28"/>
      <c r="M784" s="28"/>
      <c r="N784" s="28"/>
      <c r="O784" s="28"/>
      <c r="P784" s="28"/>
      <c r="Q784" s="28"/>
      <c r="R784" s="28"/>
      <c r="S784" s="28"/>
      <c r="T784" s="28"/>
      <c r="U784" s="28"/>
      <c r="V784" s="28"/>
      <c r="W784" s="28"/>
      <c r="X784" s="28"/>
      <c r="Y784" s="28"/>
      <c r="Z784" s="28"/>
    </row>
    <row r="785" ht="15.75" customHeight="1">
      <c r="A785" s="125"/>
      <c r="B785" s="125"/>
      <c r="C785" s="125"/>
      <c r="D785" s="37"/>
      <c r="E785" s="37"/>
      <c r="F785" s="38"/>
      <c r="G785" s="130"/>
      <c r="H785" s="28"/>
      <c r="I785" s="28"/>
      <c r="J785" s="28"/>
      <c r="K785" s="28"/>
      <c r="L785" s="28"/>
      <c r="M785" s="28"/>
      <c r="N785" s="28"/>
      <c r="O785" s="28"/>
      <c r="P785" s="28"/>
      <c r="Q785" s="28"/>
      <c r="R785" s="28"/>
      <c r="S785" s="28"/>
      <c r="T785" s="28"/>
      <c r="U785" s="28"/>
      <c r="V785" s="28"/>
      <c r="W785" s="28"/>
      <c r="X785" s="28"/>
      <c r="Y785" s="28"/>
      <c r="Z785" s="28"/>
    </row>
    <row r="786" ht="15.75" customHeight="1">
      <c r="A786" s="125"/>
      <c r="B786" s="125"/>
      <c r="C786" s="125"/>
      <c r="D786" s="37"/>
      <c r="E786" s="37"/>
      <c r="F786" s="38"/>
      <c r="G786" s="130"/>
      <c r="H786" s="28"/>
      <c r="I786" s="28"/>
      <c r="J786" s="28"/>
      <c r="K786" s="28"/>
      <c r="L786" s="28"/>
      <c r="M786" s="28"/>
      <c r="N786" s="28"/>
      <c r="O786" s="28"/>
      <c r="P786" s="28"/>
      <c r="Q786" s="28"/>
      <c r="R786" s="28"/>
      <c r="S786" s="28"/>
      <c r="T786" s="28"/>
      <c r="U786" s="28"/>
      <c r="V786" s="28"/>
      <c r="W786" s="28"/>
      <c r="X786" s="28"/>
      <c r="Y786" s="28"/>
      <c r="Z786" s="28"/>
    </row>
    <row r="787" ht="15.75" customHeight="1">
      <c r="A787" s="125"/>
      <c r="B787" s="125"/>
      <c r="C787" s="125"/>
      <c r="D787" s="37"/>
      <c r="E787" s="37"/>
      <c r="F787" s="38"/>
      <c r="G787" s="130"/>
      <c r="H787" s="28"/>
      <c r="I787" s="28"/>
      <c r="J787" s="28"/>
      <c r="K787" s="28"/>
      <c r="L787" s="28"/>
      <c r="M787" s="28"/>
      <c r="N787" s="28"/>
      <c r="O787" s="28"/>
      <c r="P787" s="28"/>
      <c r="Q787" s="28"/>
      <c r="R787" s="28"/>
      <c r="S787" s="28"/>
      <c r="T787" s="28"/>
      <c r="U787" s="28"/>
      <c r="V787" s="28"/>
      <c r="W787" s="28"/>
      <c r="X787" s="28"/>
      <c r="Y787" s="28"/>
      <c r="Z787" s="28"/>
    </row>
    <row r="788" ht="15.75" customHeight="1">
      <c r="A788" s="125"/>
      <c r="B788" s="125"/>
      <c r="C788" s="125"/>
      <c r="D788" s="37"/>
      <c r="E788" s="37"/>
      <c r="F788" s="38"/>
      <c r="G788" s="130"/>
      <c r="H788" s="28"/>
      <c r="I788" s="28"/>
      <c r="J788" s="28"/>
      <c r="K788" s="28"/>
      <c r="L788" s="28"/>
      <c r="M788" s="28"/>
      <c r="N788" s="28"/>
      <c r="O788" s="28"/>
      <c r="P788" s="28"/>
      <c r="Q788" s="28"/>
      <c r="R788" s="28"/>
      <c r="S788" s="28"/>
      <c r="T788" s="28"/>
      <c r="U788" s="28"/>
      <c r="V788" s="28"/>
      <c r="W788" s="28"/>
      <c r="X788" s="28"/>
      <c r="Y788" s="28"/>
      <c r="Z788" s="28"/>
    </row>
    <row r="789" ht="15.75" customHeight="1">
      <c r="A789" s="125"/>
      <c r="B789" s="125"/>
      <c r="C789" s="125"/>
      <c r="D789" s="37"/>
      <c r="E789" s="37"/>
      <c r="F789" s="38"/>
      <c r="G789" s="130"/>
      <c r="H789" s="28"/>
      <c r="I789" s="28"/>
      <c r="J789" s="28"/>
      <c r="K789" s="28"/>
      <c r="L789" s="28"/>
      <c r="M789" s="28"/>
      <c r="N789" s="28"/>
      <c r="O789" s="28"/>
      <c r="P789" s="28"/>
      <c r="Q789" s="28"/>
      <c r="R789" s="28"/>
      <c r="S789" s="28"/>
      <c r="T789" s="28"/>
      <c r="U789" s="28"/>
      <c r="V789" s="28"/>
      <c r="W789" s="28"/>
      <c r="X789" s="28"/>
      <c r="Y789" s="28"/>
      <c r="Z789" s="28"/>
    </row>
    <row r="790" ht="15.75" customHeight="1">
      <c r="A790" s="125"/>
      <c r="B790" s="125"/>
      <c r="C790" s="125"/>
      <c r="D790" s="37"/>
      <c r="E790" s="37"/>
      <c r="F790" s="38"/>
      <c r="G790" s="130"/>
      <c r="H790" s="28"/>
      <c r="I790" s="28"/>
      <c r="J790" s="28"/>
      <c r="K790" s="28"/>
      <c r="L790" s="28"/>
      <c r="M790" s="28"/>
      <c r="N790" s="28"/>
      <c r="O790" s="28"/>
      <c r="P790" s="28"/>
      <c r="Q790" s="28"/>
      <c r="R790" s="28"/>
      <c r="S790" s="28"/>
      <c r="T790" s="28"/>
      <c r="U790" s="28"/>
      <c r="V790" s="28"/>
      <c r="W790" s="28"/>
      <c r="X790" s="28"/>
      <c r="Y790" s="28"/>
      <c r="Z790" s="28"/>
    </row>
    <row r="791" ht="15.75" customHeight="1">
      <c r="A791" s="125"/>
      <c r="B791" s="125"/>
      <c r="C791" s="125"/>
      <c r="D791" s="37"/>
      <c r="E791" s="37"/>
      <c r="F791" s="38"/>
      <c r="G791" s="130"/>
      <c r="H791" s="28"/>
      <c r="I791" s="28"/>
      <c r="J791" s="28"/>
      <c r="K791" s="28"/>
      <c r="L791" s="28"/>
      <c r="M791" s="28"/>
      <c r="N791" s="28"/>
      <c r="O791" s="28"/>
      <c r="P791" s="28"/>
      <c r="Q791" s="28"/>
      <c r="R791" s="28"/>
      <c r="S791" s="28"/>
      <c r="T791" s="28"/>
      <c r="U791" s="28"/>
      <c r="V791" s="28"/>
      <c r="W791" s="28"/>
      <c r="X791" s="28"/>
      <c r="Y791" s="28"/>
      <c r="Z791" s="28"/>
    </row>
    <row r="792" ht="15.75" customHeight="1">
      <c r="A792" s="125"/>
      <c r="B792" s="125"/>
      <c r="C792" s="125"/>
      <c r="D792" s="37"/>
      <c r="E792" s="37"/>
      <c r="F792" s="38"/>
      <c r="G792" s="130"/>
      <c r="H792" s="28"/>
      <c r="I792" s="28"/>
      <c r="J792" s="28"/>
      <c r="K792" s="28"/>
      <c r="L792" s="28"/>
      <c r="M792" s="28"/>
      <c r="N792" s="28"/>
      <c r="O792" s="28"/>
      <c r="P792" s="28"/>
      <c r="Q792" s="28"/>
      <c r="R792" s="28"/>
      <c r="S792" s="28"/>
      <c r="T792" s="28"/>
      <c r="U792" s="28"/>
      <c r="V792" s="28"/>
      <c r="W792" s="28"/>
      <c r="X792" s="28"/>
      <c r="Y792" s="28"/>
      <c r="Z792" s="28"/>
    </row>
    <row r="793" ht="15.75" customHeight="1">
      <c r="A793" s="125"/>
      <c r="B793" s="125"/>
      <c r="C793" s="125"/>
      <c r="D793" s="37"/>
      <c r="E793" s="37"/>
      <c r="F793" s="38"/>
      <c r="G793" s="130"/>
      <c r="H793" s="28"/>
      <c r="I793" s="28"/>
      <c r="J793" s="28"/>
      <c r="K793" s="28"/>
      <c r="L793" s="28"/>
      <c r="M793" s="28"/>
      <c r="N793" s="28"/>
      <c r="O793" s="28"/>
      <c r="P793" s="28"/>
      <c r="Q793" s="28"/>
      <c r="R793" s="28"/>
      <c r="S793" s="28"/>
      <c r="T793" s="28"/>
      <c r="U793" s="28"/>
      <c r="V793" s="28"/>
      <c r="W793" s="28"/>
      <c r="X793" s="28"/>
      <c r="Y793" s="28"/>
      <c r="Z793" s="28"/>
    </row>
    <row r="794" ht="15.75" customHeight="1">
      <c r="A794" s="125"/>
      <c r="B794" s="125"/>
      <c r="C794" s="125"/>
      <c r="D794" s="37"/>
      <c r="E794" s="37"/>
      <c r="F794" s="38"/>
      <c r="G794" s="130"/>
      <c r="H794" s="28"/>
      <c r="I794" s="28"/>
      <c r="J794" s="28"/>
      <c r="K794" s="28"/>
      <c r="L794" s="28"/>
      <c r="M794" s="28"/>
      <c r="N794" s="28"/>
      <c r="O794" s="28"/>
      <c r="P794" s="28"/>
      <c r="Q794" s="28"/>
      <c r="R794" s="28"/>
      <c r="S794" s="28"/>
      <c r="T794" s="28"/>
      <c r="U794" s="28"/>
      <c r="V794" s="28"/>
      <c r="W794" s="28"/>
      <c r="X794" s="28"/>
      <c r="Y794" s="28"/>
      <c r="Z794" s="28"/>
    </row>
    <row r="795" ht="15.75" customHeight="1">
      <c r="A795" s="125"/>
      <c r="B795" s="125"/>
      <c r="C795" s="125"/>
      <c r="D795" s="37"/>
      <c r="E795" s="37"/>
      <c r="F795" s="38"/>
      <c r="G795" s="130"/>
      <c r="H795" s="28"/>
      <c r="I795" s="28"/>
      <c r="J795" s="28"/>
      <c r="K795" s="28"/>
      <c r="L795" s="28"/>
      <c r="M795" s="28"/>
      <c r="N795" s="28"/>
      <c r="O795" s="28"/>
      <c r="P795" s="28"/>
      <c r="Q795" s="28"/>
      <c r="R795" s="28"/>
      <c r="S795" s="28"/>
      <c r="T795" s="28"/>
      <c r="U795" s="28"/>
      <c r="V795" s="28"/>
      <c r="W795" s="28"/>
      <c r="X795" s="28"/>
      <c r="Y795" s="28"/>
      <c r="Z795" s="28"/>
    </row>
    <row r="796" ht="15.75" customHeight="1">
      <c r="A796" s="125"/>
      <c r="B796" s="125"/>
      <c r="C796" s="125"/>
      <c r="D796" s="37"/>
      <c r="E796" s="37"/>
      <c r="F796" s="38"/>
      <c r="G796" s="130"/>
      <c r="H796" s="28"/>
      <c r="I796" s="28"/>
      <c r="J796" s="28"/>
      <c r="K796" s="28"/>
      <c r="L796" s="28"/>
      <c r="M796" s="28"/>
      <c r="N796" s="28"/>
      <c r="O796" s="28"/>
      <c r="P796" s="28"/>
      <c r="Q796" s="28"/>
      <c r="R796" s="28"/>
      <c r="S796" s="28"/>
      <c r="T796" s="28"/>
      <c r="U796" s="28"/>
      <c r="V796" s="28"/>
      <c r="W796" s="28"/>
      <c r="X796" s="28"/>
      <c r="Y796" s="28"/>
      <c r="Z796" s="28"/>
    </row>
    <row r="797" ht="15.75" customHeight="1">
      <c r="A797" s="125"/>
      <c r="B797" s="125"/>
      <c r="C797" s="125"/>
      <c r="D797" s="37"/>
      <c r="E797" s="37"/>
      <c r="F797" s="38"/>
      <c r="G797" s="130"/>
      <c r="H797" s="28"/>
      <c r="I797" s="28"/>
      <c r="J797" s="28"/>
      <c r="K797" s="28"/>
      <c r="L797" s="28"/>
      <c r="M797" s="28"/>
      <c r="N797" s="28"/>
      <c r="O797" s="28"/>
      <c r="P797" s="28"/>
      <c r="Q797" s="28"/>
      <c r="R797" s="28"/>
      <c r="S797" s="28"/>
      <c r="T797" s="28"/>
      <c r="U797" s="28"/>
      <c r="V797" s="28"/>
      <c r="W797" s="28"/>
      <c r="X797" s="28"/>
      <c r="Y797" s="28"/>
      <c r="Z797" s="28"/>
    </row>
    <row r="798" ht="15.75" customHeight="1">
      <c r="A798" s="125"/>
      <c r="B798" s="125"/>
      <c r="C798" s="125"/>
      <c r="D798" s="37"/>
      <c r="E798" s="37"/>
      <c r="F798" s="38"/>
      <c r="G798" s="130"/>
      <c r="H798" s="28"/>
      <c r="I798" s="28"/>
      <c r="J798" s="28"/>
      <c r="K798" s="28"/>
      <c r="L798" s="28"/>
      <c r="M798" s="28"/>
      <c r="N798" s="28"/>
      <c r="O798" s="28"/>
      <c r="P798" s="28"/>
      <c r="Q798" s="28"/>
      <c r="R798" s="28"/>
      <c r="S798" s="28"/>
      <c r="T798" s="28"/>
      <c r="U798" s="28"/>
      <c r="V798" s="28"/>
      <c r="W798" s="28"/>
      <c r="X798" s="28"/>
      <c r="Y798" s="28"/>
      <c r="Z798" s="28"/>
    </row>
    <row r="799" ht="15.75" customHeight="1">
      <c r="A799" s="125"/>
      <c r="B799" s="125"/>
      <c r="C799" s="125"/>
      <c r="D799" s="37"/>
      <c r="E799" s="37"/>
      <c r="F799" s="38"/>
      <c r="G799" s="130"/>
      <c r="H799" s="28"/>
      <c r="I799" s="28"/>
      <c r="J799" s="28"/>
      <c r="K799" s="28"/>
      <c r="L799" s="28"/>
      <c r="M799" s="28"/>
      <c r="N799" s="28"/>
      <c r="O799" s="28"/>
      <c r="P799" s="28"/>
      <c r="Q799" s="28"/>
      <c r="R799" s="28"/>
      <c r="S799" s="28"/>
      <c r="T799" s="28"/>
      <c r="U799" s="28"/>
      <c r="V799" s="28"/>
      <c r="W799" s="28"/>
      <c r="X799" s="28"/>
      <c r="Y799" s="28"/>
      <c r="Z799" s="28"/>
    </row>
    <row r="800" ht="15.75" customHeight="1">
      <c r="A800" s="125"/>
      <c r="B800" s="125"/>
      <c r="C800" s="125"/>
      <c r="D800" s="37"/>
      <c r="E800" s="37"/>
      <c r="F800" s="38"/>
      <c r="G800" s="130"/>
      <c r="H800" s="28"/>
      <c r="I800" s="28"/>
      <c r="J800" s="28"/>
      <c r="K800" s="28"/>
      <c r="L800" s="28"/>
      <c r="M800" s="28"/>
      <c r="N800" s="28"/>
      <c r="O800" s="28"/>
      <c r="P800" s="28"/>
      <c r="Q800" s="28"/>
      <c r="R800" s="28"/>
      <c r="S800" s="28"/>
      <c r="T800" s="28"/>
      <c r="U800" s="28"/>
      <c r="V800" s="28"/>
      <c r="W800" s="28"/>
      <c r="X800" s="28"/>
      <c r="Y800" s="28"/>
      <c r="Z800" s="28"/>
    </row>
    <row r="801" ht="15.75" customHeight="1">
      <c r="A801" s="125"/>
      <c r="B801" s="125"/>
      <c r="C801" s="125"/>
      <c r="D801" s="37"/>
      <c r="E801" s="37"/>
      <c r="F801" s="38"/>
      <c r="G801" s="130"/>
      <c r="H801" s="28"/>
      <c r="I801" s="28"/>
      <c r="J801" s="28"/>
      <c r="K801" s="28"/>
      <c r="L801" s="28"/>
      <c r="M801" s="28"/>
      <c r="N801" s="28"/>
      <c r="O801" s="28"/>
      <c r="P801" s="28"/>
      <c r="Q801" s="28"/>
      <c r="R801" s="28"/>
      <c r="S801" s="28"/>
      <c r="T801" s="28"/>
      <c r="U801" s="28"/>
      <c r="V801" s="28"/>
      <c r="W801" s="28"/>
      <c r="X801" s="28"/>
      <c r="Y801" s="28"/>
      <c r="Z801" s="28"/>
    </row>
    <row r="802" ht="15.75" customHeight="1">
      <c r="A802" s="125"/>
      <c r="B802" s="125"/>
      <c r="C802" s="125"/>
      <c r="D802" s="37"/>
      <c r="E802" s="37"/>
      <c r="F802" s="38"/>
      <c r="G802" s="130"/>
      <c r="H802" s="28"/>
      <c r="I802" s="28"/>
      <c r="J802" s="28"/>
      <c r="K802" s="28"/>
      <c r="L802" s="28"/>
      <c r="M802" s="28"/>
      <c r="N802" s="28"/>
      <c r="O802" s="28"/>
      <c r="P802" s="28"/>
      <c r="Q802" s="28"/>
      <c r="R802" s="28"/>
      <c r="S802" s="28"/>
      <c r="T802" s="28"/>
      <c r="U802" s="28"/>
      <c r="V802" s="28"/>
      <c r="W802" s="28"/>
      <c r="X802" s="28"/>
      <c r="Y802" s="28"/>
      <c r="Z802" s="28"/>
    </row>
    <row r="803" ht="15.75" customHeight="1">
      <c r="A803" s="125"/>
      <c r="B803" s="125"/>
      <c r="C803" s="125"/>
      <c r="D803" s="37"/>
      <c r="E803" s="37"/>
      <c r="F803" s="38"/>
      <c r="G803" s="130"/>
      <c r="H803" s="28"/>
      <c r="I803" s="28"/>
      <c r="J803" s="28"/>
      <c r="K803" s="28"/>
      <c r="L803" s="28"/>
      <c r="M803" s="28"/>
      <c r="N803" s="28"/>
      <c r="O803" s="28"/>
      <c r="P803" s="28"/>
      <c r="Q803" s="28"/>
      <c r="R803" s="28"/>
      <c r="S803" s="28"/>
      <c r="T803" s="28"/>
      <c r="U803" s="28"/>
      <c r="V803" s="28"/>
      <c r="W803" s="28"/>
      <c r="X803" s="28"/>
      <c r="Y803" s="28"/>
      <c r="Z803" s="28"/>
    </row>
    <row r="804" ht="15.75" customHeight="1">
      <c r="A804" s="125"/>
      <c r="B804" s="125"/>
      <c r="C804" s="125"/>
      <c r="D804" s="37"/>
      <c r="E804" s="37"/>
      <c r="F804" s="38"/>
      <c r="G804" s="130"/>
      <c r="H804" s="28"/>
      <c r="I804" s="28"/>
      <c r="J804" s="28"/>
      <c r="K804" s="28"/>
      <c r="L804" s="28"/>
      <c r="M804" s="28"/>
      <c r="N804" s="28"/>
      <c r="O804" s="28"/>
      <c r="P804" s="28"/>
      <c r="Q804" s="28"/>
      <c r="R804" s="28"/>
      <c r="S804" s="28"/>
      <c r="T804" s="28"/>
      <c r="U804" s="28"/>
      <c r="V804" s="28"/>
      <c r="W804" s="28"/>
      <c r="X804" s="28"/>
      <c r="Y804" s="28"/>
      <c r="Z804" s="28"/>
    </row>
    <row r="805" ht="15.75" customHeight="1">
      <c r="A805" s="125"/>
      <c r="B805" s="125"/>
      <c r="C805" s="125"/>
      <c r="D805" s="37"/>
      <c r="E805" s="37"/>
      <c r="F805" s="38"/>
      <c r="G805" s="130"/>
      <c r="H805" s="28"/>
      <c r="I805" s="28"/>
      <c r="J805" s="28"/>
      <c r="K805" s="28"/>
      <c r="L805" s="28"/>
      <c r="M805" s="28"/>
      <c r="N805" s="28"/>
      <c r="O805" s="28"/>
      <c r="P805" s="28"/>
      <c r="Q805" s="28"/>
      <c r="R805" s="28"/>
      <c r="S805" s="28"/>
      <c r="T805" s="28"/>
      <c r="U805" s="28"/>
      <c r="V805" s="28"/>
      <c r="W805" s="28"/>
      <c r="X805" s="28"/>
      <c r="Y805" s="28"/>
      <c r="Z805" s="28"/>
    </row>
    <row r="806" ht="15.75" customHeight="1">
      <c r="A806" s="125"/>
      <c r="B806" s="125"/>
      <c r="C806" s="125"/>
      <c r="D806" s="37"/>
      <c r="E806" s="37"/>
      <c r="F806" s="38"/>
      <c r="G806" s="130"/>
      <c r="H806" s="28"/>
      <c r="I806" s="28"/>
      <c r="J806" s="28"/>
      <c r="K806" s="28"/>
      <c r="L806" s="28"/>
      <c r="M806" s="28"/>
      <c r="N806" s="28"/>
      <c r="O806" s="28"/>
      <c r="P806" s="28"/>
      <c r="Q806" s="28"/>
      <c r="R806" s="28"/>
      <c r="S806" s="28"/>
      <c r="T806" s="28"/>
      <c r="U806" s="28"/>
      <c r="V806" s="28"/>
      <c r="W806" s="28"/>
      <c r="X806" s="28"/>
      <c r="Y806" s="28"/>
      <c r="Z806" s="28"/>
    </row>
    <row r="807" ht="15.75" customHeight="1">
      <c r="A807" s="125"/>
      <c r="B807" s="125"/>
      <c r="C807" s="125"/>
      <c r="D807" s="37"/>
      <c r="E807" s="37"/>
      <c r="F807" s="38"/>
      <c r="G807" s="130"/>
      <c r="H807" s="28"/>
      <c r="I807" s="28"/>
      <c r="J807" s="28"/>
      <c r="K807" s="28"/>
      <c r="L807" s="28"/>
      <c r="M807" s="28"/>
      <c r="N807" s="28"/>
      <c r="O807" s="28"/>
      <c r="P807" s="28"/>
      <c r="Q807" s="28"/>
      <c r="R807" s="28"/>
      <c r="S807" s="28"/>
      <c r="T807" s="28"/>
      <c r="U807" s="28"/>
      <c r="V807" s="28"/>
      <c r="W807" s="28"/>
      <c r="X807" s="28"/>
      <c r="Y807" s="28"/>
      <c r="Z807" s="28"/>
    </row>
    <row r="808" ht="15.75" customHeight="1">
      <c r="A808" s="125"/>
      <c r="B808" s="125"/>
      <c r="C808" s="125"/>
      <c r="D808" s="37"/>
      <c r="E808" s="37"/>
      <c r="F808" s="38"/>
      <c r="G808" s="130"/>
      <c r="H808" s="28"/>
      <c r="I808" s="28"/>
      <c r="J808" s="28"/>
      <c r="K808" s="28"/>
      <c r="L808" s="28"/>
      <c r="M808" s="28"/>
      <c r="N808" s="28"/>
      <c r="O808" s="28"/>
      <c r="P808" s="28"/>
      <c r="Q808" s="28"/>
      <c r="R808" s="28"/>
      <c r="S808" s="28"/>
      <c r="T808" s="28"/>
      <c r="U808" s="28"/>
      <c r="V808" s="28"/>
      <c r="W808" s="28"/>
      <c r="X808" s="28"/>
      <c r="Y808" s="28"/>
      <c r="Z808" s="28"/>
    </row>
    <row r="809" ht="15.75" customHeight="1">
      <c r="A809" s="125"/>
      <c r="B809" s="125"/>
      <c r="C809" s="125"/>
      <c r="D809" s="37"/>
      <c r="E809" s="37"/>
      <c r="F809" s="38"/>
      <c r="G809" s="130"/>
      <c r="H809" s="28"/>
      <c r="I809" s="28"/>
      <c r="J809" s="28"/>
      <c r="K809" s="28"/>
      <c r="L809" s="28"/>
      <c r="M809" s="28"/>
      <c r="N809" s="28"/>
      <c r="O809" s="28"/>
      <c r="P809" s="28"/>
      <c r="Q809" s="28"/>
      <c r="R809" s="28"/>
      <c r="S809" s="28"/>
      <c r="T809" s="28"/>
      <c r="U809" s="28"/>
      <c r="V809" s="28"/>
      <c r="W809" s="28"/>
      <c r="X809" s="28"/>
      <c r="Y809" s="28"/>
      <c r="Z809" s="28"/>
    </row>
    <row r="810" ht="15.75" customHeight="1">
      <c r="A810" s="125"/>
      <c r="B810" s="125"/>
      <c r="C810" s="125"/>
      <c r="D810" s="37"/>
      <c r="E810" s="37"/>
      <c r="F810" s="38"/>
      <c r="G810" s="130"/>
      <c r="H810" s="28"/>
      <c r="I810" s="28"/>
      <c r="J810" s="28"/>
      <c r="K810" s="28"/>
      <c r="L810" s="28"/>
      <c r="M810" s="28"/>
      <c r="N810" s="28"/>
      <c r="O810" s="28"/>
      <c r="P810" s="28"/>
      <c r="Q810" s="28"/>
      <c r="R810" s="28"/>
      <c r="S810" s="28"/>
      <c r="T810" s="28"/>
      <c r="U810" s="28"/>
      <c r="V810" s="28"/>
      <c r="W810" s="28"/>
      <c r="X810" s="28"/>
      <c r="Y810" s="28"/>
      <c r="Z810" s="28"/>
    </row>
    <row r="811" ht="15.75" customHeight="1">
      <c r="A811" s="125"/>
      <c r="B811" s="125"/>
      <c r="C811" s="125"/>
      <c r="D811" s="37"/>
      <c r="E811" s="37"/>
      <c r="F811" s="38"/>
      <c r="G811" s="130"/>
      <c r="H811" s="28"/>
      <c r="I811" s="28"/>
      <c r="J811" s="28"/>
      <c r="K811" s="28"/>
      <c r="L811" s="28"/>
      <c r="M811" s="28"/>
      <c r="N811" s="28"/>
      <c r="O811" s="28"/>
      <c r="P811" s="28"/>
      <c r="Q811" s="28"/>
      <c r="R811" s="28"/>
      <c r="S811" s="28"/>
      <c r="T811" s="28"/>
      <c r="U811" s="28"/>
      <c r="V811" s="28"/>
      <c r="W811" s="28"/>
      <c r="X811" s="28"/>
      <c r="Y811" s="28"/>
      <c r="Z811" s="28"/>
    </row>
    <row r="812" ht="15.75" customHeight="1">
      <c r="A812" s="125"/>
      <c r="B812" s="125"/>
      <c r="C812" s="125"/>
      <c r="D812" s="37"/>
      <c r="E812" s="37"/>
      <c r="F812" s="38"/>
      <c r="G812" s="130"/>
      <c r="H812" s="28"/>
      <c r="I812" s="28"/>
      <c r="J812" s="28"/>
      <c r="K812" s="28"/>
      <c r="L812" s="28"/>
      <c r="M812" s="28"/>
      <c r="N812" s="28"/>
      <c r="O812" s="28"/>
      <c r="P812" s="28"/>
      <c r="Q812" s="28"/>
      <c r="R812" s="28"/>
      <c r="S812" s="28"/>
      <c r="T812" s="28"/>
      <c r="U812" s="28"/>
      <c r="V812" s="28"/>
      <c r="W812" s="28"/>
      <c r="X812" s="28"/>
      <c r="Y812" s="28"/>
      <c r="Z812" s="28"/>
    </row>
    <row r="813" ht="15.75" customHeight="1">
      <c r="A813" s="125"/>
      <c r="B813" s="125"/>
      <c r="C813" s="125"/>
      <c r="D813" s="37"/>
      <c r="E813" s="37"/>
      <c r="F813" s="38"/>
      <c r="G813" s="130"/>
      <c r="H813" s="28"/>
      <c r="I813" s="28"/>
      <c r="J813" s="28"/>
      <c r="K813" s="28"/>
      <c r="L813" s="28"/>
      <c r="M813" s="28"/>
      <c r="N813" s="28"/>
      <c r="O813" s="28"/>
      <c r="P813" s="28"/>
      <c r="Q813" s="28"/>
      <c r="R813" s="28"/>
      <c r="S813" s="28"/>
      <c r="T813" s="28"/>
      <c r="U813" s="28"/>
      <c r="V813" s="28"/>
      <c r="W813" s="28"/>
      <c r="X813" s="28"/>
      <c r="Y813" s="28"/>
      <c r="Z813" s="28"/>
    </row>
    <row r="814" ht="15.75" customHeight="1">
      <c r="A814" s="125"/>
      <c r="B814" s="125"/>
      <c r="C814" s="125"/>
      <c r="D814" s="37"/>
      <c r="E814" s="37"/>
      <c r="F814" s="38"/>
      <c r="G814" s="130"/>
      <c r="H814" s="28"/>
      <c r="I814" s="28"/>
      <c r="J814" s="28"/>
      <c r="K814" s="28"/>
      <c r="L814" s="28"/>
      <c r="M814" s="28"/>
      <c r="N814" s="28"/>
      <c r="O814" s="28"/>
      <c r="P814" s="28"/>
      <c r="Q814" s="28"/>
      <c r="R814" s="28"/>
      <c r="S814" s="28"/>
      <c r="T814" s="28"/>
      <c r="U814" s="28"/>
      <c r="V814" s="28"/>
      <c r="W814" s="28"/>
      <c r="X814" s="28"/>
      <c r="Y814" s="28"/>
      <c r="Z814" s="28"/>
    </row>
    <row r="815" ht="15.75" customHeight="1">
      <c r="A815" s="125"/>
      <c r="B815" s="125"/>
      <c r="C815" s="125"/>
      <c r="D815" s="37"/>
      <c r="E815" s="37"/>
      <c r="F815" s="38"/>
      <c r="G815" s="130"/>
      <c r="H815" s="28"/>
      <c r="I815" s="28"/>
      <c r="J815" s="28"/>
      <c r="K815" s="28"/>
      <c r="L815" s="28"/>
      <c r="M815" s="28"/>
      <c r="N815" s="28"/>
      <c r="O815" s="28"/>
      <c r="P815" s="28"/>
      <c r="Q815" s="28"/>
      <c r="R815" s="28"/>
      <c r="S815" s="28"/>
      <c r="T815" s="28"/>
      <c r="U815" s="28"/>
      <c r="V815" s="28"/>
      <c r="W815" s="28"/>
      <c r="X815" s="28"/>
      <c r="Y815" s="28"/>
      <c r="Z815" s="28"/>
    </row>
    <row r="816" ht="15.75" customHeight="1">
      <c r="A816" s="125"/>
      <c r="B816" s="125"/>
      <c r="C816" s="125"/>
      <c r="D816" s="37"/>
      <c r="E816" s="37"/>
      <c r="F816" s="38"/>
      <c r="G816" s="130"/>
      <c r="H816" s="28"/>
      <c r="I816" s="28"/>
      <c r="J816" s="28"/>
      <c r="K816" s="28"/>
      <c r="L816" s="28"/>
      <c r="M816" s="28"/>
      <c r="N816" s="28"/>
      <c r="O816" s="28"/>
      <c r="P816" s="28"/>
      <c r="Q816" s="28"/>
      <c r="R816" s="28"/>
      <c r="S816" s="28"/>
      <c r="T816" s="28"/>
      <c r="U816" s="28"/>
      <c r="V816" s="28"/>
      <c r="W816" s="28"/>
      <c r="X816" s="28"/>
      <c r="Y816" s="28"/>
      <c r="Z816" s="28"/>
    </row>
    <row r="817" ht="15.75" customHeight="1">
      <c r="A817" s="125"/>
      <c r="B817" s="125"/>
      <c r="C817" s="125"/>
      <c r="D817" s="37"/>
      <c r="E817" s="37"/>
      <c r="F817" s="38"/>
      <c r="G817" s="130"/>
      <c r="H817" s="28"/>
      <c r="I817" s="28"/>
      <c r="J817" s="28"/>
      <c r="K817" s="28"/>
      <c r="L817" s="28"/>
      <c r="M817" s="28"/>
      <c r="N817" s="28"/>
      <c r="O817" s="28"/>
      <c r="P817" s="28"/>
      <c r="Q817" s="28"/>
      <c r="R817" s="28"/>
      <c r="S817" s="28"/>
      <c r="T817" s="28"/>
      <c r="U817" s="28"/>
      <c r="V817" s="28"/>
      <c r="W817" s="28"/>
      <c r="X817" s="28"/>
      <c r="Y817" s="28"/>
      <c r="Z817" s="28"/>
    </row>
    <row r="818" ht="15.75" customHeight="1">
      <c r="A818" s="125"/>
      <c r="B818" s="125"/>
      <c r="C818" s="125"/>
      <c r="D818" s="37"/>
      <c r="E818" s="37"/>
      <c r="F818" s="38"/>
      <c r="G818" s="130"/>
      <c r="H818" s="28"/>
      <c r="I818" s="28"/>
      <c r="J818" s="28"/>
      <c r="K818" s="28"/>
      <c r="L818" s="28"/>
      <c r="M818" s="28"/>
      <c r="N818" s="28"/>
      <c r="O818" s="28"/>
      <c r="P818" s="28"/>
      <c r="Q818" s="28"/>
      <c r="R818" s="28"/>
      <c r="S818" s="28"/>
      <c r="T818" s="28"/>
      <c r="U818" s="28"/>
      <c r="V818" s="28"/>
      <c r="W818" s="28"/>
      <c r="X818" s="28"/>
      <c r="Y818" s="28"/>
      <c r="Z818" s="28"/>
    </row>
    <row r="819" ht="15.75" customHeight="1">
      <c r="A819" s="125"/>
      <c r="B819" s="125"/>
      <c r="C819" s="125"/>
      <c r="D819" s="37"/>
      <c r="E819" s="37"/>
      <c r="F819" s="38"/>
      <c r="G819" s="130"/>
      <c r="H819" s="28"/>
      <c r="I819" s="28"/>
      <c r="J819" s="28"/>
      <c r="K819" s="28"/>
      <c r="L819" s="28"/>
      <c r="M819" s="28"/>
      <c r="N819" s="28"/>
      <c r="O819" s="28"/>
      <c r="P819" s="28"/>
      <c r="Q819" s="28"/>
      <c r="R819" s="28"/>
      <c r="S819" s="28"/>
      <c r="T819" s="28"/>
      <c r="U819" s="28"/>
      <c r="V819" s="28"/>
      <c r="W819" s="28"/>
      <c r="X819" s="28"/>
      <c r="Y819" s="28"/>
      <c r="Z819" s="28"/>
    </row>
    <row r="820" ht="15.75" customHeight="1">
      <c r="A820" s="125"/>
      <c r="B820" s="125"/>
      <c r="C820" s="125"/>
      <c r="D820" s="37"/>
      <c r="E820" s="37"/>
      <c r="F820" s="38"/>
      <c r="G820" s="130"/>
      <c r="H820" s="28"/>
      <c r="I820" s="28"/>
      <c r="J820" s="28"/>
      <c r="K820" s="28"/>
      <c r="L820" s="28"/>
      <c r="M820" s="28"/>
      <c r="N820" s="28"/>
      <c r="O820" s="28"/>
      <c r="P820" s="28"/>
      <c r="Q820" s="28"/>
      <c r="R820" s="28"/>
      <c r="S820" s="28"/>
      <c r="T820" s="28"/>
      <c r="U820" s="28"/>
      <c r="V820" s="28"/>
      <c r="W820" s="28"/>
      <c r="X820" s="28"/>
      <c r="Y820" s="28"/>
      <c r="Z820" s="28"/>
    </row>
    <row r="821" ht="15.75" customHeight="1">
      <c r="A821" s="125"/>
      <c r="B821" s="125"/>
      <c r="C821" s="125"/>
      <c r="D821" s="37"/>
      <c r="E821" s="37"/>
      <c r="F821" s="38"/>
      <c r="G821" s="130"/>
      <c r="H821" s="28"/>
      <c r="I821" s="28"/>
      <c r="J821" s="28"/>
      <c r="K821" s="28"/>
      <c r="L821" s="28"/>
      <c r="M821" s="28"/>
      <c r="N821" s="28"/>
      <c r="O821" s="28"/>
      <c r="P821" s="28"/>
      <c r="Q821" s="28"/>
      <c r="R821" s="28"/>
      <c r="S821" s="28"/>
      <c r="T821" s="28"/>
      <c r="U821" s="28"/>
      <c r="V821" s="28"/>
      <c r="W821" s="28"/>
      <c r="X821" s="28"/>
      <c r="Y821" s="28"/>
      <c r="Z821" s="28"/>
    </row>
    <row r="822" ht="15.75" customHeight="1">
      <c r="A822" s="125"/>
      <c r="B822" s="125"/>
      <c r="C822" s="125"/>
      <c r="D822" s="37"/>
      <c r="E822" s="37"/>
      <c r="F822" s="38"/>
      <c r="G822" s="130"/>
      <c r="H822" s="28"/>
      <c r="I822" s="28"/>
      <c r="J822" s="28"/>
      <c r="K822" s="28"/>
      <c r="L822" s="28"/>
      <c r="M822" s="28"/>
      <c r="N822" s="28"/>
      <c r="O822" s="28"/>
      <c r="P822" s="28"/>
      <c r="Q822" s="28"/>
      <c r="R822" s="28"/>
      <c r="S822" s="28"/>
      <c r="T822" s="28"/>
      <c r="U822" s="28"/>
      <c r="V822" s="28"/>
      <c r="W822" s="28"/>
      <c r="X822" s="28"/>
      <c r="Y822" s="28"/>
      <c r="Z822" s="28"/>
    </row>
    <row r="823" ht="15.75" customHeight="1">
      <c r="A823" s="125"/>
      <c r="B823" s="125"/>
      <c r="C823" s="125"/>
      <c r="D823" s="37"/>
      <c r="E823" s="37"/>
      <c r="F823" s="38"/>
      <c r="G823" s="130"/>
      <c r="H823" s="28"/>
      <c r="I823" s="28"/>
      <c r="J823" s="28"/>
      <c r="K823" s="28"/>
      <c r="L823" s="28"/>
      <c r="M823" s="28"/>
      <c r="N823" s="28"/>
      <c r="O823" s="28"/>
      <c r="P823" s="28"/>
      <c r="Q823" s="28"/>
      <c r="R823" s="28"/>
      <c r="S823" s="28"/>
      <c r="T823" s="28"/>
      <c r="U823" s="28"/>
      <c r="V823" s="28"/>
      <c r="W823" s="28"/>
      <c r="X823" s="28"/>
      <c r="Y823" s="28"/>
      <c r="Z823" s="28"/>
    </row>
    <row r="824" ht="15.75" customHeight="1">
      <c r="A824" s="125"/>
      <c r="B824" s="125"/>
      <c r="C824" s="125"/>
      <c r="D824" s="37"/>
      <c r="E824" s="37"/>
      <c r="F824" s="38"/>
      <c r="G824" s="130"/>
      <c r="H824" s="28"/>
      <c r="I824" s="28"/>
      <c r="J824" s="28"/>
      <c r="K824" s="28"/>
      <c r="L824" s="28"/>
      <c r="M824" s="28"/>
      <c r="N824" s="28"/>
      <c r="O824" s="28"/>
      <c r="P824" s="28"/>
      <c r="Q824" s="28"/>
      <c r="R824" s="28"/>
      <c r="S824" s="28"/>
      <c r="T824" s="28"/>
      <c r="U824" s="28"/>
      <c r="V824" s="28"/>
      <c r="W824" s="28"/>
      <c r="X824" s="28"/>
      <c r="Y824" s="28"/>
      <c r="Z824" s="28"/>
    </row>
    <row r="825" ht="15.75" customHeight="1">
      <c r="A825" s="125"/>
      <c r="B825" s="125"/>
      <c r="C825" s="125"/>
      <c r="D825" s="37"/>
      <c r="E825" s="37"/>
      <c r="F825" s="38"/>
      <c r="G825" s="130"/>
      <c r="H825" s="28"/>
      <c r="I825" s="28"/>
      <c r="J825" s="28"/>
      <c r="K825" s="28"/>
      <c r="L825" s="28"/>
      <c r="M825" s="28"/>
      <c r="N825" s="28"/>
      <c r="O825" s="28"/>
      <c r="P825" s="28"/>
      <c r="Q825" s="28"/>
      <c r="R825" s="28"/>
      <c r="S825" s="28"/>
      <c r="T825" s="28"/>
      <c r="U825" s="28"/>
      <c r="V825" s="28"/>
      <c r="W825" s="28"/>
      <c r="X825" s="28"/>
      <c r="Y825" s="28"/>
      <c r="Z825" s="28"/>
    </row>
    <row r="826" ht="15.75" customHeight="1">
      <c r="A826" s="125"/>
      <c r="B826" s="125"/>
      <c r="C826" s="125"/>
      <c r="D826" s="37"/>
      <c r="E826" s="37"/>
      <c r="F826" s="38"/>
      <c r="G826" s="130"/>
      <c r="H826" s="28"/>
      <c r="I826" s="28"/>
      <c r="J826" s="28"/>
      <c r="K826" s="28"/>
      <c r="L826" s="28"/>
      <c r="M826" s="28"/>
      <c r="N826" s="28"/>
      <c r="O826" s="28"/>
      <c r="P826" s="28"/>
      <c r="Q826" s="28"/>
      <c r="R826" s="28"/>
      <c r="S826" s="28"/>
      <c r="T826" s="28"/>
      <c r="U826" s="28"/>
      <c r="V826" s="28"/>
      <c r="W826" s="28"/>
      <c r="X826" s="28"/>
      <c r="Y826" s="28"/>
      <c r="Z826" s="28"/>
    </row>
    <row r="827" ht="15.75" customHeight="1">
      <c r="A827" s="125"/>
      <c r="B827" s="125"/>
      <c r="C827" s="125"/>
      <c r="D827" s="37"/>
      <c r="E827" s="37"/>
      <c r="F827" s="38"/>
      <c r="G827" s="130"/>
      <c r="H827" s="28"/>
      <c r="I827" s="28"/>
      <c r="J827" s="28"/>
      <c r="K827" s="28"/>
      <c r="L827" s="28"/>
      <c r="M827" s="28"/>
      <c r="N827" s="28"/>
      <c r="O827" s="28"/>
      <c r="P827" s="28"/>
      <c r="Q827" s="28"/>
      <c r="R827" s="28"/>
      <c r="S827" s="28"/>
      <c r="T827" s="28"/>
      <c r="U827" s="28"/>
      <c r="V827" s="28"/>
      <c r="W827" s="28"/>
      <c r="X827" s="28"/>
      <c r="Y827" s="28"/>
      <c r="Z827" s="28"/>
    </row>
    <row r="828" ht="15.75" customHeight="1">
      <c r="A828" s="125"/>
      <c r="B828" s="125"/>
      <c r="C828" s="125"/>
      <c r="D828" s="37"/>
      <c r="E828" s="37"/>
      <c r="F828" s="38"/>
      <c r="G828" s="130"/>
      <c r="H828" s="28"/>
      <c r="I828" s="28"/>
      <c r="J828" s="28"/>
      <c r="K828" s="28"/>
      <c r="L828" s="28"/>
      <c r="M828" s="28"/>
      <c r="N828" s="28"/>
      <c r="O828" s="28"/>
      <c r="P828" s="28"/>
      <c r="Q828" s="28"/>
      <c r="R828" s="28"/>
      <c r="S828" s="28"/>
      <c r="T828" s="28"/>
      <c r="U828" s="28"/>
      <c r="V828" s="28"/>
      <c r="W828" s="28"/>
      <c r="X828" s="28"/>
      <c r="Y828" s="28"/>
      <c r="Z828" s="28"/>
    </row>
    <row r="829" ht="15.75" customHeight="1">
      <c r="A829" s="125"/>
      <c r="B829" s="125"/>
      <c r="C829" s="125"/>
      <c r="D829" s="37"/>
      <c r="E829" s="37"/>
      <c r="F829" s="38"/>
      <c r="G829" s="130"/>
      <c r="H829" s="28"/>
      <c r="I829" s="28"/>
      <c r="J829" s="28"/>
      <c r="K829" s="28"/>
      <c r="L829" s="28"/>
      <c r="M829" s="28"/>
      <c r="N829" s="28"/>
      <c r="O829" s="28"/>
      <c r="P829" s="28"/>
      <c r="Q829" s="28"/>
      <c r="R829" s="28"/>
      <c r="S829" s="28"/>
      <c r="T829" s="28"/>
      <c r="U829" s="28"/>
      <c r="V829" s="28"/>
      <c r="W829" s="28"/>
      <c r="X829" s="28"/>
      <c r="Y829" s="28"/>
      <c r="Z829" s="28"/>
    </row>
    <row r="830" ht="15.75" customHeight="1">
      <c r="A830" s="125"/>
      <c r="B830" s="125"/>
      <c r="C830" s="125"/>
      <c r="D830" s="37"/>
      <c r="E830" s="37"/>
      <c r="F830" s="38"/>
      <c r="G830" s="130"/>
      <c r="H830" s="28"/>
      <c r="I830" s="28"/>
      <c r="J830" s="28"/>
      <c r="K830" s="28"/>
      <c r="L830" s="28"/>
      <c r="M830" s="28"/>
      <c r="N830" s="28"/>
      <c r="O830" s="28"/>
      <c r="P830" s="28"/>
      <c r="Q830" s="28"/>
      <c r="R830" s="28"/>
      <c r="S830" s="28"/>
      <c r="T830" s="28"/>
      <c r="U830" s="28"/>
      <c r="V830" s="28"/>
      <c r="W830" s="28"/>
      <c r="X830" s="28"/>
      <c r="Y830" s="28"/>
      <c r="Z830" s="28"/>
    </row>
    <row r="831" ht="15.75" customHeight="1">
      <c r="A831" s="125"/>
      <c r="B831" s="125"/>
      <c r="C831" s="125"/>
      <c r="D831" s="37"/>
      <c r="E831" s="37"/>
      <c r="F831" s="38"/>
      <c r="G831" s="130"/>
      <c r="H831" s="28"/>
      <c r="I831" s="28"/>
      <c r="J831" s="28"/>
      <c r="K831" s="28"/>
      <c r="L831" s="28"/>
      <c r="M831" s="28"/>
      <c r="N831" s="28"/>
      <c r="O831" s="28"/>
      <c r="P831" s="28"/>
      <c r="Q831" s="28"/>
      <c r="R831" s="28"/>
      <c r="S831" s="28"/>
      <c r="T831" s="28"/>
      <c r="U831" s="28"/>
      <c r="V831" s="28"/>
      <c r="W831" s="28"/>
      <c r="X831" s="28"/>
      <c r="Y831" s="28"/>
      <c r="Z831" s="28"/>
    </row>
    <row r="832" ht="15.75" customHeight="1">
      <c r="A832" s="125"/>
      <c r="B832" s="125"/>
      <c r="C832" s="125"/>
      <c r="D832" s="37"/>
      <c r="E832" s="37"/>
      <c r="F832" s="38"/>
      <c r="G832" s="130"/>
      <c r="H832" s="28"/>
      <c r="I832" s="28"/>
      <c r="J832" s="28"/>
      <c r="K832" s="28"/>
      <c r="L832" s="28"/>
      <c r="M832" s="28"/>
      <c r="N832" s="28"/>
      <c r="O832" s="28"/>
      <c r="P832" s="28"/>
      <c r="Q832" s="28"/>
      <c r="R832" s="28"/>
      <c r="S832" s="28"/>
      <c r="T832" s="28"/>
      <c r="U832" s="28"/>
      <c r="V832" s="28"/>
      <c r="W832" s="28"/>
      <c r="X832" s="28"/>
      <c r="Y832" s="28"/>
      <c r="Z832" s="28"/>
    </row>
    <row r="833" ht="15.75" customHeight="1">
      <c r="A833" s="125"/>
      <c r="B833" s="125"/>
      <c r="C833" s="125"/>
      <c r="D833" s="37"/>
      <c r="E833" s="37"/>
      <c r="F833" s="38"/>
      <c r="G833" s="130"/>
      <c r="H833" s="28"/>
      <c r="I833" s="28"/>
      <c r="J833" s="28"/>
      <c r="K833" s="28"/>
      <c r="L833" s="28"/>
      <c r="M833" s="28"/>
      <c r="N833" s="28"/>
      <c r="O833" s="28"/>
      <c r="P833" s="28"/>
      <c r="Q833" s="28"/>
      <c r="R833" s="28"/>
      <c r="S833" s="28"/>
      <c r="T833" s="28"/>
      <c r="U833" s="28"/>
      <c r="V833" s="28"/>
      <c r="W833" s="28"/>
      <c r="X833" s="28"/>
      <c r="Y833" s="28"/>
      <c r="Z833" s="28"/>
    </row>
    <row r="834" ht="15.75" customHeight="1">
      <c r="A834" s="125"/>
      <c r="B834" s="125"/>
      <c r="C834" s="125"/>
      <c r="D834" s="37"/>
      <c r="E834" s="37"/>
      <c r="F834" s="38"/>
      <c r="G834" s="130"/>
      <c r="H834" s="28"/>
      <c r="I834" s="28"/>
      <c r="J834" s="28"/>
      <c r="K834" s="28"/>
      <c r="L834" s="28"/>
      <c r="M834" s="28"/>
      <c r="N834" s="28"/>
      <c r="O834" s="28"/>
      <c r="P834" s="28"/>
      <c r="Q834" s="28"/>
      <c r="R834" s="28"/>
      <c r="S834" s="28"/>
      <c r="T834" s="28"/>
      <c r="U834" s="28"/>
      <c r="V834" s="28"/>
      <c r="W834" s="28"/>
      <c r="X834" s="28"/>
      <c r="Y834" s="28"/>
      <c r="Z834" s="28"/>
    </row>
    <row r="835" ht="15.75" customHeight="1">
      <c r="A835" s="125"/>
      <c r="B835" s="125"/>
      <c r="C835" s="125"/>
      <c r="D835" s="37"/>
      <c r="E835" s="37"/>
      <c r="F835" s="38"/>
      <c r="G835" s="130"/>
      <c r="H835" s="28"/>
      <c r="I835" s="28"/>
      <c r="J835" s="28"/>
      <c r="K835" s="28"/>
      <c r="L835" s="28"/>
      <c r="M835" s="28"/>
      <c r="N835" s="28"/>
      <c r="O835" s="28"/>
      <c r="P835" s="28"/>
      <c r="Q835" s="28"/>
      <c r="R835" s="28"/>
      <c r="S835" s="28"/>
      <c r="T835" s="28"/>
      <c r="U835" s="28"/>
      <c r="V835" s="28"/>
      <c r="W835" s="28"/>
      <c r="X835" s="28"/>
      <c r="Y835" s="28"/>
      <c r="Z835" s="28"/>
    </row>
    <row r="836" ht="15.75" customHeight="1">
      <c r="A836" s="125"/>
      <c r="B836" s="125"/>
      <c r="C836" s="125"/>
      <c r="D836" s="37"/>
      <c r="E836" s="37"/>
      <c r="F836" s="38"/>
      <c r="G836" s="130"/>
      <c r="H836" s="28"/>
      <c r="I836" s="28"/>
      <c r="J836" s="28"/>
      <c r="K836" s="28"/>
      <c r="L836" s="28"/>
      <c r="M836" s="28"/>
      <c r="N836" s="28"/>
      <c r="O836" s="28"/>
      <c r="P836" s="28"/>
      <c r="Q836" s="28"/>
      <c r="R836" s="28"/>
      <c r="S836" s="28"/>
      <c r="T836" s="28"/>
      <c r="U836" s="28"/>
      <c r="V836" s="28"/>
      <c r="W836" s="28"/>
      <c r="X836" s="28"/>
      <c r="Y836" s="28"/>
      <c r="Z836" s="28"/>
    </row>
    <row r="837" ht="15.75" customHeight="1">
      <c r="A837" s="125"/>
      <c r="B837" s="125"/>
      <c r="C837" s="125"/>
      <c r="D837" s="37"/>
      <c r="E837" s="37"/>
      <c r="F837" s="38"/>
      <c r="G837" s="130"/>
      <c r="H837" s="28"/>
      <c r="I837" s="28"/>
      <c r="J837" s="28"/>
      <c r="K837" s="28"/>
      <c r="L837" s="28"/>
      <c r="M837" s="28"/>
      <c r="N837" s="28"/>
      <c r="O837" s="28"/>
      <c r="P837" s="28"/>
      <c r="Q837" s="28"/>
      <c r="R837" s="28"/>
      <c r="S837" s="28"/>
      <c r="T837" s="28"/>
      <c r="U837" s="28"/>
      <c r="V837" s="28"/>
      <c r="W837" s="28"/>
      <c r="X837" s="28"/>
      <c r="Y837" s="28"/>
      <c r="Z837" s="28"/>
    </row>
    <row r="838" ht="15.75" customHeight="1">
      <c r="A838" s="125"/>
      <c r="B838" s="125"/>
      <c r="C838" s="125"/>
      <c r="D838" s="37"/>
      <c r="E838" s="37"/>
      <c r="F838" s="38"/>
      <c r="G838" s="130"/>
      <c r="H838" s="28"/>
      <c r="I838" s="28"/>
      <c r="J838" s="28"/>
      <c r="K838" s="28"/>
      <c r="L838" s="28"/>
      <c r="M838" s="28"/>
      <c r="N838" s="28"/>
      <c r="O838" s="28"/>
      <c r="P838" s="28"/>
      <c r="Q838" s="28"/>
      <c r="R838" s="28"/>
      <c r="S838" s="28"/>
      <c r="T838" s="28"/>
      <c r="U838" s="28"/>
      <c r="V838" s="28"/>
      <c r="W838" s="28"/>
      <c r="X838" s="28"/>
      <c r="Y838" s="28"/>
      <c r="Z838" s="28"/>
    </row>
    <row r="839" ht="15.75" customHeight="1">
      <c r="A839" s="125"/>
      <c r="B839" s="125"/>
      <c r="C839" s="125"/>
      <c r="D839" s="37"/>
      <c r="E839" s="37"/>
      <c r="F839" s="38"/>
      <c r="G839" s="130"/>
      <c r="H839" s="28"/>
      <c r="I839" s="28"/>
      <c r="J839" s="28"/>
      <c r="K839" s="28"/>
      <c r="L839" s="28"/>
      <c r="M839" s="28"/>
      <c r="N839" s="28"/>
      <c r="O839" s="28"/>
      <c r="P839" s="28"/>
      <c r="Q839" s="28"/>
      <c r="R839" s="28"/>
      <c r="S839" s="28"/>
      <c r="T839" s="28"/>
      <c r="U839" s="28"/>
      <c r="V839" s="28"/>
      <c r="W839" s="28"/>
      <c r="X839" s="28"/>
      <c r="Y839" s="28"/>
      <c r="Z839" s="28"/>
    </row>
    <row r="840" ht="15.75" customHeight="1">
      <c r="A840" s="125"/>
      <c r="B840" s="125"/>
      <c r="C840" s="125"/>
      <c r="D840" s="37"/>
      <c r="E840" s="37"/>
      <c r="F840" s="38"/>
      <c r="G840" s="130"/>
      <c r="H840" s="28"/>
      <c r="I840" s="28"/>
      <c r="J840" s="28"/>
      <c r="K840" s="28"/>
      <c r="L840" s="28"/>
      <c r="M840" s="28"/>
      <c r="N840" s="28"/>
      <c r="O840" s="28"/>
      <c r="P840" s="28"/>
      <c r="Q840" s="28"/>
      <c r="R840" s="28"/>
      <c r="S840" s="28"/>
      <c r="T840" s="28"/>
      <c r="U840" s="28"/>
      <c r="V840" s="28"/>
      <c r="W840" s="28"/>
      <c r="X840" s="28"/>
      <c r="Y840" s="28"/>
      <c r="Z840" s="28"/>
    </row>
    <row r="841" ht="15.75" customHeight="1">
      <c r="A841" s="125"/>
      <c r="B841" s="125"/>
      <c r="C841" s="125"/>
      <c r="D841" s="37"/>
      <c r="E841" s="37"/>
      <c r="F841" s="38"/>
      <c r="G841" s="130"/>
      <c r="H841" s="28"/>
      <c r="I841" s="28"/>
      <c r="J841" s="28"/>
      <c r="K841" s="28"/>
      <c r="L841" s="28"/>
      <c r="M841" s="28"/>
      <c r="N841" s="28"/>
      <c r="O841" s="28"/>
      <c r="P841" s="28"/>
      <c r="Q841" s="28"/>
      <c r="R841" s="28"/>
      <c r="S841" s="28"/>
      <c r="T841" s="28"/>
      <c r="U841" s="28"/>
      <c r="V841" s="28"/>
      <c r="W841" s="28"/>
      <c r="X841" s="28"/>
      <c r="Y841" s="28"/>
      <c r="Z841" s="28"/>
    </row>
    <row r="842" ht="15.75" customHeight="1">
      <c r="A842" s="125"/>
      <c r="B842" s="125"/>
      <c r="C842" s="125"/>
      <c r="D842" s="37"/>
      <c r="E842" s="37"/>
      <c r="F842" s="38"/>
      <c r="G842" s="130"/>
      <c r="H842" s="28"/>
      <c r="I842" s="28"/>
      <c r="J842" s="28"/>
      <c r="K842" s="28"/>
      <c r="L842" s="28"/>
      <c r="M842" s="28"/>
      <c r="N842" s="28"/>
      <c r="O842" s="28"/>
      <c r="P842" s="28"/>
      <c r="Q842" s="28"/>
      <c r="R842" s="28"/>
      <c r="S842" s="28"/>
      <c r="T842" s="28"/>
      <c r="U842" s="28"/>
      <c r="V842" s="28"/>
      <c r="W842" s="28"/>
      <c r="X842" s="28"/>
      <c r="Y842" s="28"/>
      <c r="Z842" s="28"/>
    </row>
    <row r="843" ht="15.75" customHeight="1">
      <c r="A843" s="125"/>
      <c r="B843" s="125"/>
      <c r="C843" s="125"/>
      <c r="D843" s="37"/>
      <c r="E843" s="37"/>
      <c r="F843" s="38"/>
      <c r="G843" s="130"/>
      <c r="H843" s="28"/>
      <c r="I843" s="28"/>
      <c r="J843" s="28"/>
      <c r="K843" s="28"/>
      <c r="L843" s="28"/>
      <c r="M843" s="28"/>
      <c r="N843" s="28"/>
      <c r="O843" s="28"/>
      <c r="P843" s="28"/>
      <c r="Q843" s="28"/>
      <c r="R843" s="28"/>
      <c r="S843" s="28"/>
      <c r="T843" s="28"/>
      <c r="U843" s="28"/>
      <c r="V843" s="28"/>
      <c r="W843" s="28"/>
      <c r="X843" s="28"/>
      <c r="Y843" s="28"/>
      <c r="Z843" s="28"/>
    </row>
    <row r="844" ht="15.75" customHeight="1">
      <c r="A844" s="125"/>
      <c r="B844" s="125"/>
      <c r="C844" s="125"/>
      <c r="D844" s="37"/>
      <c r="E844" s="37"/>
      <c r="F844" s="38"/>
      <c r="G844" s="130"/>
      <c r="H844" s="28"/>
      <c r="I844" s="28"/>
      <c r="J844" s="28"/>
      <c r="K844" s="28"/>
      <c r="L844" s="28"/>
      <c r="M844" s="28"/>
      <c r="N844" s="28"/>
      <c r="O844" s="28"/>
      <c r="P844" s="28"/>
      <c r="Q844" s="28"/>
      <c r="R844" s="28"/>
      <c r="S844" s="28"/>
      <c r="T844" s="28"/>
      <c r="U844" s="28"/>
      <c r="V844" s="28"/>
      <c r="W844" s="28"/>
      <c r="X844" s="28"/>
      <c r="Y844" s="28"/>
      <c r="Z844" s="28"/>
    </row>
    <row r="845" ht="15.75" customHeight="1">
      <c r="A845" s="125"/>
      <c r="B845" s="125"/>
      <c r="C845" s="125"/>
      <c r="D845" s="37"/>
      <c r="E845" s="37"/>
      <c r="F845" s="38"/>
      <c r="G845" s="130"/>
      <c r="H845" s="28"/>
      <c r="I845" s="28"/>
      <c r="J845" s="28"/>
      <c r="K845" s="28"/>
      <c r="L845" s="28"/>
      <c r="M845" s="28"/>
      <c r="N845" s="28"/>
      <c r="O845" s="28"/>
      <c r="P845" s="28"/>
      <c r="Q845" s="28"/>
      <c r="R845" s="28"/>
      <c r="S845" s="28"/>
      <c r="T845" s="28"/>
      <c r="U845" s="28"/>
      <c r="V845" s="28"/>
      <c r="W845" s="28"/>
      <c r="X845" s="28"/>
      <c r="Y845" s="28"/>
      <c r="Z845" s="28"/>
    </row>
    <row r="846" ht="15.75" customHeight="1">
      <c r="A846" s="125"/>
      <c r="B846" s="125"/>
      <c r="C846" s="125"/>
      <c r="D846" s="37"/>
      <c r="E846" s="37"/>
      <c r="F846" s="38"/>
      <c r="G846" s="130"/>
      <c r="H846" s="28"/>
      <c r="I846" s="28"/>
      <c r="J846" s="28"/>
      <c r="K846" s="28"/>
      <c r="L846" s="28"/>
      <c r="M846" s="28"/>
      <c r="N846" s="28"/>
      <c r="O846" s="28"/>
      <c r="P846" s="28"/>
      <c r="Q846" s="28"/>
      <c r="R846" s="28"/>
      <c r="S846" s="28"/>
      <c r="T846" s="28"/>
      <c r="U846" s="28"/>
      <c r="V846" s="28"/>
      <c r="W846" s="28"/>
      <c r="X846" s="28"/>
      <c r="Y846" s="28"/>
      <c r="Z846" s="28"/>
    </row>
    <row r="847" ht="15.75" customHeight="1">
      <c r="A847" s="125"/>
      <c r="B847" s="125"/>
      <c r="C847" s="125"/>
      <c r="D847" s="37"/>
      <c r="E847" s="37"/>
      <c r="F847" s="38"/>
      <c r="G847" s="130"/>
      <c r="H847" s="28"/>
      <c r="I847" s="28"/>
      <c r="J847" s="28"/>
      <c r="K847" s="28"/>
      <c r="L847" s="28"/>
      <c r="M847" s="28"/>
      <c r="N847" s="28"/>
      <c r="O847" s="28"/>
      <c r="P847" s="28"/>
      <c r="Q847" s="28"/>
      <c r="R847" s="28"/>
      <c r="S847" s="28"/>
      <c r="T847" s="28"/>
      <c r="U847" s="28"/>
      <c r="V847" s="28"/>
      <c r="W847" s="28"/>
      <c r="X847" s="28"/>
      <c r="Y847" s="28"/>
      <c r="Z847" s="28"/>
    </row>
    <row r="848" ht="15.75" customHeight="1">
      <c r="A848" s="125"/>
      <c r="B848" s="125"/>
      <c r="C848" s="125"/>
      <c r="D848" s="37"/>
      <c r="E848" s="37"/>
      <c r="F848" s="38"/>
      <c r="G848" s="130"/>
      <c r="H848" s="28"/>
      <c r="I848" s="28"/>
      <c r="J848" s="28"/>
      <c r="K848" s="28"/>
      <c r="L848" s="28"/>
      <c r="M848" s="28"/>
      <c r="N848" s="28"/>
      <c r="O848" s="28"/>
      <c r="P848" s="28"/>
      <c r="Q848" s="28"/>
      <c r="R848" s="28"/>
      <c r="S848" s="28"/>
      <c r="T848" s="28"/>
      <c r="U848" s="28"/>
      <c r="V848" s="28"/>
      <c r="W848" s="28"/>
      <c r="X848" s="28"/>
      <c r="Y848" s="28"/>
      <c r="Z848" s="28"/>
    </row>
    <row r="849" ht="15.75" customHeight="1">
      <c r="A849" s="125"/>
      <c r="B849" s="125"/>
      <c r="C849" s="125"/>
      <c r="D849" s="37"/>
      <c r="E849" s="37"/>
      <c r="F849" s="38"/>
      <c r="G849" s="130"/>
      <c r="H849" s="28"/>
      <c r="I849" s="28"/>
      <c r="J849" s="28"/>
      <c r="K849" s="28"/>
      <c r="L849" s="28"/>
      <c r="M849" s="28"/>
      <c r="N849" s="28"/>
      <c r="O849" s="28"/>
      <c r="P849" s="28"/>
      <c r="Q849" s="28"/>
      <c r="R849" s="28"/>
      <c r="S849" s="28"/>
      <c r="T849" s="28"/>
      <c r="U849" s="28"/>
      <c r="V849" s="28"/>
      <c r="W849" s="28"/>
      <c r="X849" s="28"/>
      <c r="Y849" s="28"/>
      <c r="Z849" s="28"/>
    </row>
    <row r="850" ht="15.75" customHeight="1">
      <c r="A850" s="125"/>
      <c r="B850" s="125"/>
      <c r="C850" s="125"/>
      <c r="D850" s="37"/>
      <c r="E850" s="37"/>
      <c r="F850" s="38"/>
      <c r="G850" s="130"/>
      <c r="H850" s="28"/>
      <c r="I850" s="28"/>
      <c r="J850" s="28"/>
      <c r="K850" s="28"/>
      <c r="L850" s="28"/>
      <c r="M850" s="28"/>
      <c r="N850" s="28"/>
      <c r="O850" s="28"/>
      <c r="P850" s="28"/>
      <c r="Q850" s="28"/>
      <c r="R850" s="28"/>
      <c r="S850" s="28"/>
      <c r="T850" s="28"/>
      <c r="U850" s="28"/>
      <c r="V850" s="28"/>
      <c r="W850" s="28"/>
      <c r="X850" s="28"/>
      <c r="Y850" s="28"/>
      <c r="Z850" s="28"/>
    </row>
    <row r="851" ht="15.75" customHeight="1">
      <c r="A851" s="125"/>
      <c r="B851" s="125"/>
      <c r="C851" s="125"/>
      <c r="D851" s="37"/>
      <c r="E851" s="37"/>
      <c r="F851" s="38"/>
      <c r="G851" s="130"/>
      <c r="H851" s="28"/>
      <c r="I851" s="28"/>
      <c r="J851" s="28"/>
      <c r="K851" s="28"/>
      <c r="L851" s="28"/>
      <c r="M851" s="28"/>
      <c r="N851" s="28"/>
      <c r="O851" s="28"/>
      <c r="P851" s="28"/>
      <c r="Q851" s="28"/>
      <c r="R851" s="28"/>
      <c r="S851" s="28"/>
      <c r="T851" s="28"/>
      <c r="U851" s="28"/>
      <c r="V851" s="28"/>
      <c r="W851" s="28"/>
      <c r="X851" s="28"/>
      <c r="Y851" s="28"/>
      <c r="Z851" s="28"/>
    </row>
    <row r="852" ht="15.75" customHeight="1">
      <c r="A852" s="125"/>
      <c r="B852" s="125"/>
      <c r="C852" s="125"/>
      <c r="D852" s="37"/>
      <c r="E852" s="37"/>
      <c r="F852" s="38"/>
      <c r="G852" s="130"/>
      <c r="H852" s="28"/>
      <c r="I852" s="28"/>
      <c r="J852" s="28"/>
      <c r="K852" s="28"/>
      <c r="L852" s="28"/>
      <c r="M852" s="28"/>
      <c r="N852" s="28"/>
      <c r="O852" s="28"/>
      <c r="P852" s="28"/>
      <c r="Q852" s="28"/>
      <c r="R852" s="28"/>
      <c r="S852" s="28"/>
      <c r="T852" s="28"/>
      <c r="U852" s="28"/>
      <c r="V852" s="28"/>
      <c r="W852" s="28"/>
      <c r="X852" s="28"/>
      <c r="Y852" s="28"/>
      <c r="Z852" s="28"/>
    </row>
    <row r="853" ht="15.75" customHeight="1">
      <c r="A853" s="125"/>
      <c r="B853" s="125"/>
      <c r="C853" s="125"/>
      <c r="D853" s="37"/>
      <c r="E853" s="37"/>
      <c r="F853" s="38"/>
      <c r="G853" s="130"/>
      <c r="H853" s="28"/>
      <c r="I853" s="28"/>
      <c r="J853" s="28"/>
      <c r="K853" s="28"/>
      <c r="L853" s="28"/>
      <c r="M853" s="28"/>
      <c r="N853" s="28"/>
      <c r="O853" s="28"/>
      <c r="P853" s="28"/>
      <c r="Q853" s="28"/>
      <c r="R853" s="28"/>
      <c r="S853" s="28"/>
      <c r="T853" s="28"/>
      <c r="U853" s="28"/>
      <c r="V853" s="28"/>
      <c r="W853" s="28"/>
      <c r="X853" s="28"/>
      <c r="Y853" s="28"/>
      <c r="Z853" s="28"/>
    </row>
    <row r="854" ht="15.75" customHeight="1">
      <c r="A854" s="125"/>
      <c r="B854" s="125"/>
      <c r="C854" s="125"/>
      <c r="D854" s="37"/>
      <c r="E854" s="37"/>
      <c r="F854" s="38"/>
      <c r="G854" s="130"/>
      <c r="H854" s="28"/>
      <c r="I854" s="28"/>
      <c r="J854" s="28"/>
      <c r="K854" s="28"/>
      <c r="L854" s="28"/>
      <c r="M854" s="28"/>
      <c r="N854" s="28"/>
      <c r="O854" s="28"/>
      <c r="P854" s="28"/>
      <c r="Q854" s="28"/>
      <c r="R854" s="28"/>
      <c r="S854" s="28"/>
      <c r="T854" s="28"/>
      <c r="U854" s="28"/>
      <c r="V854" s="28"/>
      <c r="W854" s="28"/>
      <c r="X854" s="28"/>
      <c r="Y854" s="28"/>
      <c r="Z854" s="28"/>
    </row>
    <row r="855" ht="15.75" customHeight="1">
      <c r="A855" s="125"/>
      <c r="B855" s="125"/>
      <c r="C855" s="125"/>
      <c r="D855" s="37"/>
      <c r="E855" s="37"/>
      <c r="F855" s="38"/>
      <c r="G855" s="130"/>
      <c r="H855" s="28"/>
      <c r="I855" s="28"/>
      <c r="J855" s="28"/>
      <c r="K855" s="28"/>
      <c r="L855" s="28"/>
      <c r="M855" s="28"/>
      <c r="N855" s="28"/>
      <c r="O855" s="28"/>
      <c r="P855" s="28"/>
      <c r="Q855" s="28"/>
      <c r="R855" s="28"/>
      <c r="S855" s="28"/>
      <c r="T855" s="28"/>
      <c r="U855" s="28"/>
      <c r="V855" s="28"/>
      <c r="W855" s="28"/>
      <c r="X855" s="28"/>
      <c r="Y855" s="28"/>
      <c r="Z855" s="28"/>
    </row>
    <row r="856" ht="15.75" customHeight="1">
      <c r="A856" s="125"/>
      <c r="B856" s="125"/>
      <c r="C856" s="125"/>
      <c r="D856" s="37"/>
      <c r="E856" s="37"/>
      <c r="F856" s="38"/>
      <c r="G856" s="130"/>
      <c r="H856" s="28"/>
      <c r="I856" s="28"/>
      <c r="J856" s="28"/>
      <c r="K856" s="28"/>
      <c r="L856" s="28"/>
      <c r="M856" s="28"/>
      <c r="N856" s="28"/>
      <c r="O856" s="28"/>
      <c r="P856" s="28"/>
      <c r="Q856" s="28"/>
      <c r="R856" s="28"/>
      <c r="S856" s="28"/>
      <c r="T856" s="28"/>
      <c r="U856" s="28"/>
      <c r="V856" s="28"/>
      <c r="W856" s="28"/>
      <c r="X856" s="28"/>
      <c r="Y856" s="28"/>
      <c r="Z856" s="28"/>
    </row>
    <row r="857" ht="15.75" customHeight="1">
      <c r="A857" s="125"/>
      <c r="B857" s="125"/>
      <c r="C857" s="125"/>
      <c r="D857" s="37"/>
      <c r="E857" s="37"/>
      <c r="F857" s="38"/>
      <c r="G857" s="130"/>
      <c r="H857" s="28"/>
      <c r="I857" s="28"/>
      <c r="J857" s="28"/>
      <c r="K857" s="28"/>
      <c r="L857" s="28"/>
      <c r="M857" s="28"/>
      <c r="N857" s="28"/>
      <c r="O857" s="28"/>
      <c r="P857" s="28"/>
      <c r="Q857" s="28"/>
      <c r="R857" s="28"/>
      <c r="S857" s="28"/>
      <c r="T857" s="28"/>
      <c r="U857" s="28"/>
      <c r="V857" s="28"/>
      <c r="W857" s="28"/>
      <c r="X857" s="28"/>
      <c r="Y857" s="28"/>
      <c r="Z857" s="28"/>
    </row>
    <row r="858" ht="15.75" customHeight="1">
      <c r="A858" s="125"/>
      <c r="B858" s="125"/>
      <c r="C858" s="125"/>
      <c r="D858" s="37"/>
      <c r="E858" s="37"/>
      <c r="F858" s="38"/>
      <c r="G858" s="130"/>
      <c r="H858" s="28"/>
      <c r="I858" s="28"/>
      <c r="J858" s="28"/>
      <c r="K858" s="28"/>
      <c r="L858" s="28"/>
      <c r="M858" s="28"/>
      <c r="N858" s="28"/>
      <c r="O858" s="28"/>
      <c r="P858" s="28"/>
      <c r="Q858" s="28"/>
      <c r="R858" s="28"/>
      <c r="S858" s="28"/>
      <c r="T858" s="28"/>
      <c r="U858" s="28"/>
      <c r="V858" s="28"/>
      <c r="W858" s="28"/>
      <c r="X858" s="28"/>
      <c r="Y858" s="28"/>
      <c r="Z858" s="28"/>
    </row>
    <row r="859" ht="15.75" customHeight="1">
      <c r="A859" s="125"/>
      <c r="B859" s="125"/>
      <c r="C859" s="125"/>
      <c r="D859" s="37"/>
      <c r="E859" s="37"/>
      <c r="F859" s="38"/>
      <c r="G859" s="130"/>
      <c r="H859" s="28"/>
      <c r="I859" s="28"/>
      <c r="J859" s="28"/>
      <c r="K859" s="28"/>
      <c r="L859" s="28"/>
      <c r="M859" s="28"/>
      <c r="N859" s="28"/>
      <c r="O859" s="28"/>
      <c r="P859" s="28"/>
      <c r="Q859" s="28"/>
      <c r="R859" s="28"/>
      <c r="S859" s="28"/>
      <c r="T859" s="28"/>
      <c r="U859" s="28"/>
      <c r="V859" s="28"/>
      <c r="W859" s="28"/>
      <c r="X859" s="28"/>
      <c r="Y859" s="28"/>
      <c r="Z859" s="28"/>
    </row>
    <row r="860" ht="15.75" customHeight="1">
      <c r="A860" s="125"/>
      <c r="B860" s="125"/>
      <c r="C860" s="125"/>
      <c r="D860" s="37"/>
      <c r="E860" s="37"/>
      <c r="F860" s="38"/>
      <c r="G860" s="130"/>
      <c r="H860" s="28"/>
      <c r="I860" s="28"/>
      <c r="J860" s="28"/>
      <c r="K860" s="28"/>
      <c r="L860" s="28"/>
      <c r="M860" s="28"/>
      <c r="N860" s="28"/>
      <c r="O860" s="28"/>
      <c r="P860" s="28"/>
      <c r="Q860" s="28"/>
      <c r="R860" s="28"/>
      <c r="S860" s="28"/>
      <c r="T860" s="28"/>
      <c r="U860" s="28"/>
      <c r="V860" s="28"/>
      <c r="W860" s="28"/>
      <c r="X860" s="28"/>
      <c r="Y860" s="28"/>
      <c r="Z860" s="28"/>
    </row>
    <row r="861" ht="15.75" customHeight="1">
      <c r="A861" s="125"/>
      <c r="B861" s="125"/>
      <c r="C861" s="125"/>
      <c r="D861" s="37"/>
      <c r="E861" s="37"/>
      <c r="F861" s="38"/>
      <c r="G861" s="130"/>
      <c r="H861" s="28"/>
      <c r="I861" s="28"/>
      <c r="J861" s="28"/>
      <c r="K861" s="28"/>
      <c r="L861" s="28"/>
      <c r="M861" s="28"/>
      <c r="N861" s="28"/>
      <c r="O861" s="28"/>
      <c r="P861" s="28"/>
      <c r="Q861" s="28"/>
      <c r="R861" s="28"/>
      <c r="S861" s="28"/>
      <c r="T861" s="28"/>
      <c r="U861" s="28"/>
      <c r="V861" s="28"/>
      <c r="W861" s="28"/>
      <c r="X861" s="28"/>
      <c r="Y861" s="28"/>
      <c r="Z861" s="28"/>
    </row>
    <row r="862" ht="15.75" customHeight="1">
      <c r="A862" s="125"/>
      <c r="B862" s="125"/>
      <c r="C862" s="125"/>
      <c r="D862" s="37"/>
      <c r="E862" s="37"/>
      <c r="F862" s="38"/>
      <c r="G862" s="130"/>
      <c r="H862" s="28"/>
      <c r="I862" s="28"/>
      <c r="J862" s="28"/>
      <c r="K862" s="28"/>
      <c r="L862" s="28"/>
      <c r="M862" s="28"/>
      <c r="N862" s="28"/>
      <c r="O862" s="28"/>
      <c r="P862" s="28"/>
      <c r="Q862" s="28"/>
      <c r="R862" s="28"/>
      <c r="S862" s="28"/>
      <c r="T862" s="28"/>
      <c r="U862" s="28"/>
      <c r="V862" s="28"/>
      <c r="W862" s="28"/>
      <c r="X862" s="28"/>
      <c r="Y862" s="28"/>
      <c r="Z862" s="28"/>
    </row>
    <row r="863" ht="15.75" customHeight="1">
      <c r="A863" s="125"/>
      <c r="B863" s="125"/>
      <c r="C863" s="125"/>
      <c r="D863" s="37"/>
      <c r="E863" s="37"/>
      <c r="F863" s="38"/>
      <c r="G863" s="130"/>
      <c r="H863" s="28"/>
      <c r="I863" s="28"/>
      <c r="J863" s="28"/>
      <c r="K863" s="28"/>
      <c r="L863" s="28"/>
      <c r="M863" s="28"/>
      <c r="N863" s="28"/>
      <c r="O863" s="28"/>
      <c r="P863" s="28"/>
      <c r="Q863" s="28"/>
      <c r="R863" s="28"/>
      <c r="S863" s="28"/>
      <c r="T863" s="28"/>
      <c r="U863" s="28"/>
      <c r="V863" s="28"/>
      <c r="W863" s="28"/>
      <c r="X863" s="28"/>
      <c r="Y863" s="28"/>
      <c r="Z863" s="28"/>
    </row>
    <row r="864" ht="15.75" customHeight="1">
      <c r="A864" s="125"/>
      <c r="B864" s="125"/>
      <c r="C864" s="125"/>
      <c r="D864" s="37"/>
      <c r="E864" s="37"/>
      <c r="F864" s="38"/>
      <c r="G864" s="130"/>
      <c r="H864" s="28"/>
      <c r="I864" s="28"/>
      <c r="J864" s="28"/>
      <c r="K864" s="28"/>
      <c r="L864" s="28"/>
      <c r="M864" s="28"/>
      <c r="N864" s="28"/>
      <c r="O864" s="28"/>
      <c r="P864" s="28"/>
      <c r="Q864" s="28"/>
      <c r="R864" s="28"/>
      <c r="S864" s="28"/>
      <c r="T864" s="28"/>
      <c r="U864" s="28"/>
      <c r="V864" s="28"/>
      <c r="W864" s="28"/>
      <c r="X864" s="28"/>
      <c r="Y864" s="28"/>
      <c r="Z864" s="28"/>
    </row>
    <row r="865" ht="15.75" customHeight="1">
      <c r="A865" s="125"/>
      <c r="B865" s="125"/>
      <c r="C865" s="125"/>
      <c r="D865" s="37"/>
      <c r="E865" s="37"/>
      <c r="F865" s="38"/>
      <c r="G865" s="130"/>
      <c r="H865" s="28"/>
      <c r="I865" s="28"/>
      <c r="J865" s="28"/>
      <c r="K865" s="28"/>
      <c r="L865" s="28"/>
      <c r="M865" s="28"/>
      <c r="N865" s="28"/>
      <c r="O865" s="28"/>
      <c r="P865" s="28"/>
      <c r="Q865" s="28"/>
      <c r="R865" s="28"/>
      <c r="S865" s="28"/>
      <c r="T865" s="28"/>
      <c r="U865" s="28"/>
      <c r="V865" s="28"/>
      <c r="W865" s="28"/>
      <c r="X865" s="28"/>
      <c r="Y865" s="28"/>
      <c r="Z865" s="28"/>
    </row>
    <row r="866" ht="15.75" customHeight="1">
      <c r="A866" s="125"/>
      <c r="B866" s="125"/>
      <c r="C866" s="125"/>
      <c r="D866" s="37"/>
      <c r="E866" s="37"/>
      <c r="F866" s="38"/>
      <c r="G866" s="130"/>
      <c r="H866" s="28"/>
      <c r="I866" s="28"/>
      <c r="J866" s="28"/>
      <c r="K866" s="28"/>
      <c r="L866" s="28"/>
      <c r="M866" s="28"/>
      <c r="N866" s="28"/>
      <c r="O866" s="28"/>
      <c r="P866" s="28"/>
      <c r="Q866" s="28"/>
      <c r="R866" s="28"/>
      <c r="S866" s="28"/>
      <c r="T866" s="28"/>
      <c r="U866" s="28"/>
      <c r="V866" s="28"/>
      <c r="W866" s="28"/>
      <c r="X866" s="28"/>
      <c r="Y866" s="28"/>
      <c r="Z866" s="28"/>
    </row>
    <row r="867" ht="15.75" customHeight="1">
      <c r="A867" s="125"/>
      <c r="B867" s="125"/>
      <c r="C867" s="125"/>
      <c r="D867" s="37"/>
      <c r="E867" s="37"/>
      <c r="F867" s="38"/>
      <c r="G867" s="130"/>
      <c r="H867" s="28"/>
      <c r="I867" s="28"/>
      <c r="J867" s="28"/>
      <c r="K867" s="28"/>
      <c r="L867" s="28"/>
      <c r="M867" s="28"/>
      <c r="N867" s="28"/>
      <c r="O867" s="28"/>
      <c r="P867" s="28"/>
      <c r="Q867" s="28"/>
      <c r="R867" s="28"/>
      <c r="S867" s="28"/>
      <c r="T867" s="28"/>
      <c r="U867" s="28"/>
      <c r="V867" s="28"/>
      <c r="W867" s="28"/>
      <c r="X867" s="28"/>
      <c r="Y867" s="28"/>
      <c r="Z867" s="28"/>
    </row>
    <row r="868" ht="15.75" customHeight="1">
      <c r="A868" s="125"/>
      <c r="B868" s="125"/>
      <c r="C868" s="125"/>
      <c r="D868" s="37"/>
      <c r="E868" s="37"/>
      <c r="F868" s="38"/>
      <c r="G868" s="130"/>
      <c r="H868" s="28"/>
      <c r="I868" s="28"/>
      <c r="J868" s="28"/>
      <c r="K868" s="28"/>
      <c r="L868" s="28"/>
      <c r="M868" s="28"/>
      <c r="N868" s="28"/>
      <c r="O868" s="28"/>
      <c r="P868" s="28"/>
      <c r="Q868" s="28"/>
      <c r="R868" s="28"/>
      <c r="S868" s="28"/>
      <c r="T868" s="28"/>
      <c r="U868" s="28"/>
      <c r="V868" s="28"/>
      <c r="W868" s="28"/>
      <c r="X868" s="28"/>
      <c r="Y868" s="28"/>
      <c r="Z868" s="28"/>
    </row>
    <row r="869" ht="15.75" customHeight="1">
      <c r="A869" s="125"/>
      <c r="B869" s="125"/>
      <c r="C869" s="125"/>
      <c r="D869" s="37"/>
      <c r="E869" s="37"/>
      <c r="F869" s="38"/>
      <c r="G869" s="130"/>
      <c r="H869" s="28"/>
      <c r="I869" s="28"/>
      <c r="J869" s="28"/>
      <c r="K869" s="28"/>
      <c r="L869" s="28"/>
      <c r="M869" s="28"/>
      <c r="N869" s="28"/>
      <c r="O869" s="28"/>
      <c r="P869" s="28"/>
      <c r="Q869" s="28"/>
      <c r="R869" s="28"/>
      <c r="S869" s="28"/>
      <c r="T869" s="28"/>
      <c r="U869" s="28"/>
      <c r="V869" s="28"/>
      <c r="W869" s="28"/>
      <c r="X869" s="28"/>
      <c r="Y869" s="28"/>
      <c r="Z869" s="28"/>
    </row>
    <row r="870" ht="15.75" customHeight="1">
      <c r="A870" s="125"/>
      <c r="B870" s="125"/>
      <c r="C870" s="125"/>
      <c r="D870" s="37"/>
      <c r="E870" s="37"/>
      <c r="F870" s="38"/>
      <c r="G870" s="130"/>
      <c r="H870" s="28"/>
      <c r="I870" s="28"/>
      <c r="J870" s="28"/>
      <c r="K870" s="28"/>
      <c r="L870" s="28"/>
      <c r="M870" s="28"/>
      <c r="N870" s="28"/>
      <c r="O870" s="28"/>
      <c r="P870" s="28"/>
      <c r="Q870" s="28"/>
      <c r="R870" s="28"/>
      <c r="S870" s="28"/>
      <c r="T870" s="28"/>
      <c r="U870" s="28"/>
      <c r="V870" s="28"/>
      <c r="W870" s="28"/>
      <c r="X870" s="28"/>
      <c r="Y870" s="28"/>
      <c r="Z870" s="28"/>
    </row>
    <row r="871" ht="15.75" customHeight="1">
      <c r="A871" s="125"/>
      <c r="B871" s="125"/>
      <c r="C871" s="125"/>
      <c r="D871" s="37"/>
      <c r="E871" s="37"/>
      <c r="F871" s="38"/>
      <c r="G871" s="130"/>
      <c r="H871" s="28"/>
      <c r="I871" s="28"/>
      <c r="J871" s="28"/>
      <c r="K871" s="28"/>
      <c r="L871" s="28"/>
      <c r="M871" s="28"/>
      <c r="N871" s="28"/>
      <c r="O871" s="28"/>
      <c r="P871" s="28"/>
      <c r="Q871" s="28"/>
      <c r="R871" s="28"/>
      <c r="S871" s="28"/>
      <c r="T871" s="28"/>
      <c r="U871" s="28"/>
      <c r="V871" s="28"/>
      <c r="W871" s="28"/>
      <c r="X871" s="28"/>
      <c r="Y871" s="28"/>
      <c r="Z871" s="28"/>
    </row>
    <row r="872" ht="15.75" customHeight="1">
      <c r="A872" s="125"/>
      <c r="B872" s="125"/>
      <c r="C872" s="125"/>
      <c r="D872" s="37"/>
      <c r="E872" s="37"/>
      <c r="F872" s="38"/>
      <c r="G872" s="130"/>
      <c r="H872" s="28"/>
      <c r="I872" s="28"/>
      <c r="J872" s="28"/>
      <c r="K872" s="28"/>
      <c r="L872" s="28"/>
      <c r="M872" s="28"/>
      <c r="N872" s="28"/>
      <c r="O872" s="28"/>
      <c r="P872" s="28"/>
      <c r="Q872" s="28"/>
      <c r="R872" s="28"/>
      <c r="S872" s="28"/>
      <c r="T872" s="28"/>
      <c r="U872" s="28"/>
      <c r="V872" s="28"/>
      <c r="W872" s="28"/>
      <c r="X872" s="28"/>
      <c r="Y872" s="28"/>
      <c r="Z872" s="28"/>
    </row>
    <row r="873" ht="15.75" customHeight="1">
      <c r="A873" s="125"/>
      <c r="B873" s="125"/>
      <c r="C873" s="125"/>
      <c r="D873" s="37"/>
      <c r="E873" s="37"/>
      <c r="F873" s="38"/>
      <c r="G873" s="130"/>
      <c r="H873" s="28"/>
      <c r="I873" s="28"/>
      <c r="J873" s="28"/>
      <c r="K873" s="28"/>
      <c r="L873" s="28"/>
      <c r="M873" s="28"/>
      <c r="N873" s="28"/>
      <c r="O873" s="28"/>
      <c r="P873" s="28"/>
      <c r="Q873" s="28"/>
      <c r="R873" s="28"/>
      <c r="S873" s="28"/>
      <c r="T873" s="28"/>
      <c r="U873" s="28"/>
      <c r="V873" s="28"/>
      <c r="W873" s="28"/>
      <c r="X873" s="28"/>
      <c r="Y873" s="28"/>
      <c r="Z873" s="28"/>
    </row>
    <row r="874" ht="15.75" customHeight="1">
      <c r="A874" s="125"/>
      <c r="B874" s="125"/>
      <c r="C874" s="125"/>
      <c r="D874" s="37"/>
      <c r="E874" s="37"/>
      <c r="F874" s="38"/>
      <c r="G874" s="130"/>
      <c r="H874" s="28"/>
      <c r="I874" s="28"/>
      <c r="J874" s="28"/>
      <c r="K874" s="28"/>
      <c r="L874" s="28"/>
      <c r="M874" s="28"/>
      <c r="N874" s="28"/>
      <c r="O874" s="28"/>
      <c r="P874" s="28"/>
      <c r="Q874" s="28"/>
      <c r="R874" s="28"/>
      <c r="S874" s="28"/>
      <c r="T874" s="28"/>
      <c r="U874" s="28"/>
      <c r="V874" s="28"/>
      <c r="W874" s="28"/>
      <c r="X874" s="28"/>
      <c r="Y874" s="28"/>
      <c r="Z874" s="28"/>
    </row>
    <row r="875" ht="15.75" customHeight="1">
      <c r="A875" s="125"/>
      <c r="B875" s="125"/>
      <c r="C875" s="125"/>
      <c r="D875" s="37"/>
      <c r="E875" s="37"/>
      <c r="F875" s="38"/>
      <c r="G875" s="130"/>
      <c r="H875" s="28"/>
      <c r="I875" s="28"/>
      <c r="J875" s="28"/>
      <c r="K875" s="28"/>
      <c r="L875" s="28"/>
      <c r="M875" s="28"/>
      <c r="N875" s="28"/>
      <c r="O875" s="28"/>
      <c r="P875" s="28"/>
      <c r="Q875" s="28"/>
      <c r="R875" s="28"/>
      <c r="S875" s="28"/>
      <c r="T875" s="28"/>
      <c r="U875" s="28"/>
      <c r="V875" s="28"/>
      <c r="W875" s="28"/>
      <c r="X875" s="28"/>
      <c r="Y875" s="28"/>
      <c r="Z875" s="28"/>
    </row>
    <row r="876" ht="15.75" customHeight="1">
      <c r="A876" s="125"/>
      <c r="B876" s="125"/>
      <c r="C876" s="125"/>
      <c r="D876" s="37"/>
      <c r="E876" s="37"/>
      <c r="F876" s="38"/>
      <c r="G876" s="130"/>
      <c r="H876" s="28"/>
      <c r="I876" s="28"/>
      <c r="J876" s="28"/>
      <c r="K876" s="28"/>
      <c r="L876" s="28"/>
      <c r="M876" s="28"/>
      <c r="N876" s="28"/>
      <c r="O876" s="28"/>
      <c r="P876" s="28"/>
      <c r="Q876" s="28"/>
      <c r="R876" s="28"/>
      <c r="S876" s="28"/>
      <c r="T876" s="28"/>
      <c r="U876" s="28"/>
      <c r="V876" s="28"/>
      <c r="W876" s="28"/>
      <c r="X876" s="28"/>
      <c r="Y876" s="28"/>
      <c r="Z876" s="28"/>
    </row>
    <row r="877" ht="15.75" customHeight="1">
      <c r="A877" s="125"/>
      <c r="B877" s="125"/>
      <c r="C877" s="125"/>
      <c r="D877" s="37"/>
      <c r="E877" s="37"/>
      <c r="F877" s="38"/>
      <c r="G877" s="130"/>
      <c r="H877" s="28"/>
      <c r="I877" s="28"/>
      <c r="J877" s="28"/>
      <c r="K877" s="28"/>
      <c r="L877" s="28"/>
      <c r="M877" s="28"/>
      <c r="N877" s="28"/>
      <c r="O877" s="28"/>
      <c r="P877" s="28"/>
      <c r="Q877" s="28"/>
      <c r="R877" s="28"/>
      <c r="S877" s="28"/>
      <c r="T877" s="28"/>
      <c r="U877" s="28"/>
      <c r="V877" s="28"/>
      <c r="W877" s="28"/>
      <c r="X877" s="28"/>
      <c r="Y877" s="28"/>
      <c r="Z877" s="28"/>
    </row>
    <row r="878" ht="15.75" customHeight="1">
      <c r="A878" s="125"/>
      <c r="B878" s="125"/>
      <c r="C878" s="125"/>
      <c r="D878" s="37"/>
      <c r="E878" s="37"/>
      <c r="F878" s="38"/>
      <c r="G878" s="130"/>
      <c r="H878" s="28"/>
      <c r="I878" s="28"/>
      <c r="J878" s="28"/>
      <c r="K878" s="28"/>
      <c r="L878" s="28"/>
      <c r="M878" s="28"/>
      <c r="N878" s="28"/>
      <c r="O878" s="28"/>
      <c r="P878" s="28"/>
      <c r="Q878" s="28"/>
      <c r="R878" s="28"/>
      <c r="S878" s="28"/>
      <c r="T878" s="28"/>
      <c r="U878" s="28"/>
      <c r="V878" s="28"/>
      <c r="W878" s="28"/>
      <c r="X878" s="28"/>
      <c r="Y878" s="28"/>
      <c r="Z878" s="28"/>
    </row>
    <row r="879" ht="15.75" customHeight="1">
      <c r="A879" s="125"/>
      <c r="B879" s="125"/>
      <c r="C879" s="125"/>
      <c r="D879" s="37"/>
      <c r="E879" s="37"/>
      <c r="F879" s="38"/>
      <c r="G879" s="130"/>
      <c r="H879" s="28"/>
      <c r="I879" s="28"/>
      <c r="J879" s="28"/>
      <c r="K879" s="28"/>
      <c r="L879" s="28"/>
      <c r="M879" s="28"/>
      <c r="N879" s="28"/>
      <c r="O879" s="28"/>
      <c r="P879" s="28"/>
      <c r="Q879" s="28"/>
      <c r="R879" s="28"/>
      <c r="S879" s="28"/>
      <c r="T879" s="28"/>
      <c r="U879" s="28"/>
      <c r="V879" s="28"/>
      <c r="W879" s="28"/>
      <c r="X879" s="28"/>
      <c r="Y879" s="28"/>
      <c r="Z879" s="28"/>
    </row>
    <row r="880" ht="15.75" customHeight="1">
      <c r="A880" s="125"/>
      <c r="B880" s="125"/>
      <c r="C880" s="125"/>
      <c r="D880" s="37"/>
      <c r="E880" s="37"/>
      <c r="F880" s="38"/>
      <c r="G880" s="130"/>
      <c r="H880" s="28"/>
      <c r="I880" s="28"/>
      <c r="J880" s="28"/>
      <c r="K880" s="28"/>
      <c r="L880" s="28"/>
      <c r="M880" s="28"/>
      <c r="N880" s="28"/>
      <c r="O880" s="28"/>
      <c r="P880" s="28"/>
      <c r="Q880" s="28"/>
      <c r="R880" s="28"/>
      <c r="S880" s="28"/>
      <c r="T880" s="28"/>
      <c r="U880" s="28"/>
      <c r="V880" s="28"/>
      <c r="W880" s="28"/>
      <c r="X880" s="28"/>
      <c r="Y880" s="28"/>
      <c r="Z880" s="28"/>
    </row>
    <row r="881" ht="15.75" customHeight="1">
      <c r="A881" s="125"/>
      <c r="B881" s="125"/>
      <c r="C881" s="125"/>
      <c r="D881" s="37"/>
      <c r="E881" s="37"/>
      <c r="F881" s="38"/>
      <c r="G881" s="130"/>
      <c r="H881" s="28"/>
      <c r="I881" s="28"/>
      <c r="J881" s="28"/>
      <c r="K881" s="28"/>
      <c r="L881" s="28"/>
      <c r="M881" s="28"/>
      <c r="N881" s="28"/>
      <c r="O881" s="28"/>
      <c r="P881" s="28"/>
      <c r="Q881" s="28"/>
      <c r="R881" s="28"/>
      <c r="S881" s="28"/>
      <c r="T881" s="28"/>
      <c r="U881" s="28"/>
      <c r="V881" s="28"/>
      <c r="W881" s="28"/>
      <c r="X881" s="28"/>
      <c r="Y881" s="28"/>
      <c r="Z881" s="28"/>
    </row>
    <row r="882" ht="15.75" customHeight="1">
      <c r="A882" s="125"/>
      <c r="B882" s="125"/>
      <c r="C882" s="125"/>
      <c r="D882" s="37"/>
      <c r="E882" s="37"/>
      <c r="F882" s="38"/>
      <c r="G882" s="130"/>
      <c r="H882" s="28"/>
      <c r="I882" s="28"/>
      <c r="J882" s="28"/>
      <c r="K882" s="28"/>
      <c r="L882" s="28"/>
      <c r="M882" s="28"/>
      <c r="N882" s="28"/>
      <c r="O882" s="28"/>
      <c r="P882" s="28"/>
      <c r="Q882" s="28"/>
      <c r="R882" s="28"/>
      <c r="S882" s="28"/>
      <c r="T882" s="28"/>
      <c r="U882" s="28"/>
      <c r="V882" s="28"/>
      <c r="W882" s="28"/>
      <c r="X882" s="28"/>
      <c r="Y882" s="28"/>
      <c r="Z882" s="28"/>
    </row>
    <row r="883" ht="15.75" customHeight="1">
      <c r="A883" s="125"/>
      <c r="B883" s="125"/>
      <c r="C883" s="125"/>
      <c r="D883" s="37"/>
      <c r="E883" s="37"/>
      <c r="F883" s="38"/>
      <c r="G883" s="130"/>
      <c r="H883" s="28"/>
      <c r="I883" s="28"/>
      <c r="J883" s="28"/>
      <c r="K883" s="28"/>
      <c r="L883" s="28"/>
      <c r="M883" s="28"/>
      <c r="N883" s="28"/>
      <c r="O883" s="28"/>
      <c r="P883" s="28"/>
      <c r="Q883" s="28"/>
      <c r="R883" s="28"/>
      <c r="S883" s="28"/>
      <c r="T883" s="28"/>
      <c r="U883" s="28"/>
      <c r="V883" s="28"/>
      <c r="W883" s="28"/>
      <c r="X883" s="28"/>
      <c r="Y883" s="28"/>
      <c r="Z883" s="28"/>
    </row>
    <row r="884" ht="15.75" customHeight="1">
      <c r="A884" s="125"/>
      <c r="B884" s="125"/>
      <c r="C884" s="125"/>
      <c r="D884" s="37"/>
      <c r="E884" s="37"/>
      <c r="F884" s="38"/>
      <c r="G884" s="130"/>
      <c r="H884" s="28"/>
      <c r="I884" s="28"/>
      <c r="J884" s="28"/>
      <c r="K884" s="28"/>
      <c r="L884" s="28"/>
      <c r="M884" s="28"/>
      <c r="N884" s="28"/>
      <c r="O884" s="28"/>
      <c r="P884" s="28"/>
      <c r="Q884" s="28"/>
      <c r="R884" s="28"/>
      <c r="S884" s="28"/>
      <c r="T884" s="28"/>
      <c r="U884" s="28"/>
      <c r="V884" s="28"/>
      <c r="W884" s="28"/>
      <c r="X884" s="28"/>
      <c r="Y884" s="28"/>
      <c r="Z884" s="28"/>
    </row>
    <row r="885" ht="15.75" customHeight="1">
      <c r="A885" s="125"/>
      <c r="B885" s="125"/>
      <c r="C885" s="125"/>
      <c r="D885" s="37"/>
      <c r="E885" s="37"/>
      <c r="F885" s="38"/>
      <c r="G885" s="130"/>
      <c r="H885" s="28"/>
      <c r="I885" s="28"/>
      <c r="J885" s="28"/>
      <c r="K885" s="28"/>
      <c r="L885" s="28"/>
      <c r="M885" s="28"/>
      <c r="N885" s="28"/>
      <c r="O885" s="28"/>
      <c r="P885" s="28"/>
      <c r="Q885" s="28"/>
      <c r="R885" s="28"/>
      <c r="S885" s="28"/>
      <c r="T885" s="28"/>
      <c r="U885" s="28"/>
      <c r="V885" s="28"/>
      <c r="W885" s="28"/>
      <c r="X885" s="28"/>
      <c r="Y885" s="28"/>
      <c r="Z885" s="28"/>
    </row>
    <row r="886" ht="15.75" customHeight="1">
      <c r="A886" s="125"/>
      <c r="B886" s="125"/>
      <c r="C886" s="125"/>
      <c r="D886" s="37"/>
      <c r="E886" s="37"/>
      <c r="F886" s="38"/>
      <c r="G886" s="130"/>
      <c r="H886" s="28"/>
      <c r="I886" s="28"/>
      <c r="J886" s="28"/>
      <c r="K886" s="28"/>
      <c r="L886" s="28"/>
      <c r="M886" s="28"/>
      <c r="N886" s="28"/>
      <c r="O886" s="28"/>
      <c r="P886" s="28"/>
      <c r="Q886" s="28"/>
      <c r="R886" s="28"/>
      <c r="S886" s="28"/>
      <c r="T886" s="28"/>
      <c r="U886" s="28"/>
      <c r="V886" s="28"/>
      <c r="W886" s="28"/>
      <c r="X886" s="28"/>
      <c r="Y886" s="28"/>
      <c r="Z886" s="28"/>
    </row>
    <row r="887" ht="15.75" customHeight="1">
      <c r="A887" s="125"/>
      <c r="B887" s="125"/>
      <c r="C887" s="125"/>
      <c r="D887" s="37"/>
      <c r="E887" s="37"/>
      <c r="F887" s="38"/>
      <c r="G887" s="130"/>
      <c r="H887" s="28"/>
      <c r="I887" s="28"/>
      <c r="J887" s="28"/>
      <c r="K887" s="28"/>
      <c r="L887" s="28"/>
      <c r="M887" s="28"/>
      <c r="N887" s="28"/>
      <c r="O887" s="28"/>
      <c r="P887" s="28"/>
      <c r="Q887" s="28"/>
      <c r="R887" s="28"/>
      <c r="S887" s="28"/>
      <c r="T887" s="28"/>
      <c r="U887" s="28"/>
      <c r="V887" s="28"/>
      <c r="W887" s="28"/>
      <c r="X887" s="28"/>
      <c r="Y887" s="28"/>
      <c r="Z887" s="28"/>
    </row>
    <row r="888" ht="15.75" customHeight="1">
      <c r="A888" s="125"/>
      <c r="B888" s="125"/>
      <c r="C888" s="125"/>
      <c r="D888" s="37"/>
      <c r="E888" s="37"/>
      <c r="F888" s="38"/>
      <c r="G888" s="130"/>
      <c r="H888" s="28"/>
      <c r="I888" s="28"/>
      <c r="J888" s="28"/>
      <c r="K888" s="28"/>
      <c r="L888" s="28"/>
      <c r="M888" s="28"/>
      <c r="N888" s="28"/>
      <c r="O888" s="28"/>
      <c r="P888" s="28"/>
      <c r="Q888" s="28"/>
      <c r="R888" s="28"/>
      <c r="S888" s="28"/>
      <c r="T888" s="28"/>
      <c r="U888" s="28"/>
      <c r="V888" s="28"/>
      <c r="W888" s="28"/>
      <c r="X888" s="28"/>
      <c r="Y888" s="28"/>
      <c r="Z888" s="28"/>
    </row>
    <row r="889" ht="15.75" customHeight="1">
      <c r="A889" s="125"/>
      <c r="B889" s="125"/>
      <c r="C889" s="125"/>
      <c r="D889" s="37"/>
      <c r="E889" s="37"/>
      <c r="F889" s="38"/>
      <c r="G889" s="130"/>
      <c r="H889" s="28"/>
      <c r="I889" s="28"/>
      <c r="J889" s="28"/>
      <c r="K889" s="28"/>
      <c r="L889" s="28"/>
      <c r="M889" s="28"/>
      <c r="N889" s="28"/>
      <c r="O889" s="28"/>
      <c r="P889" s="28"/>
      <c r="Q889" s="28"/>
      <c r="R889" s="28"/>
      <c r="S889" s="28"/>
      <c r="T889" s="28"/>
      <c r="U889" s="28"/>
      <c r="V889" s="28"/>
      <c r="W889" s="28"/>
      <c r="X889" s="28"/>
      <c r="Y889" s="28"/>
      <c r="Z889" s="28"/>
    </row>
    <row r="890" ht="15.75" customHeight="1">
      <c r="A890" s="125"/>
      <c r="B890" s="125"/>
      <c r="C890" s="125"/>
      <c r="D890" s="37"/>
      <c r="E890" s="37"/>
      <c r="F890" s="38"/>
      <c r="G890" s="130"/>
      <c r="H890" s="28"/>
      <c r="I890" s="28"/>
      <c r="J890" s="28"/>
      <c r="K890" s="28"/>
      <c r="L890" s="28"/>
      <c r="M890" s="28"/>
      <c r="N890" s="28"/>
      <c r="O890" s="28"/>
      <c r="P890" s="28"/>
      <c r="Q890" s="28"/>
      <c r="R890" s="28"/>
      <c r="S890" s="28"/>
      <c r="T890" s="28"/>
      <c r="U890" s="28"/>
      <c r="V890" s="28"/>
      <c r="W890" s="28"/>
      <c r="X890" s="28"/>
      <c r="Y890" s="28"/>
      <c r="Z890" s="28"/>
    </row>
    <row r="891" ht="15.75" customHeight="1">
      <c r="A891" s="125"/>
      <c r="B891" s="125"/>
      <c r="C891" s="125"/>
      <c r="D891" s="37"/>
      <c r="E891" s="37"/>
      <c r="F891" s="38"/>
      <c r="G891" s="130"/>
      <c r="H891" s="28"/>
      <c r="I891" s="28"/>
      <c r="J891" s="28"/>
      <c r="K891" s="28"/>
      <c r="L891" s="28"/>
      <c r="M891" s="28"/>
      <c r="N891" s="28"/>
      <c r="O891" s="28"/>
      <c r="P891" s="28"/>
      <c r="Q891" s="28"/>
      <c r="R891" s="28"/>
      <c r="S891" s="28"/>
      <c r="T891" s="28"/>
      <c r="U891" s="28"/>
      <c r="V891" s="28"/>
      <c r="W891" s="28"/>
      <c r="X891" s="28"/>
      <c r="Y891" s="28"/>
      <c r="Z891" s="28"/>
    </row>
    <row r="892" ht="15.75" customHeight="1">
      <c r="A892" s="125"/>
      <c r="B892" s="125"/>
      <c r="C892" s="125"/>
      <c r="D892" s="37"/>
      <c r="E892" s="37"/>
      <c r="F892" s="38"/>
      <c r="G892" s="130"/>
      <c r="H892" s="28"/>
      <c r="I892" s="28"/>
      <c r="J892" s="28"/>
      <c r="K892" s="28"/>
      <c r="L892" s="28"/>
      <c r="M892" s="28"/>
      <c r="N892" s="28"/>
      <c r="O892" s="28"/>
      <c r="P892" s="28"/>
      <c r="Q892" s="28"/>
      <c r="R892" s="28"/>
      <c r="S892" s="28"/>
      <c r="T892" s="28"/>
      <c r="U892" s="28"/>
      <c r="V892" s="28"/>
      <c r="W892" s="28"/>
      <c r="X892" s="28"/>
      <c r="Y892" s="28"/>
      <c r="Z892" s="28"/>
    </row>
    <row r="893" ht="15.75" customHeight="1">
      <c r="A893" s="125"/>
      <c r="B893" s="125"/>
      <c r="C893" s="125"/>
      <c r="D893" s="37"/>
      <c r="E893" s="37"/>
      <c r="F893" s="38"/>
      <c r="G893" s="130"/>
      <c r="H893" s="28"/>
      <c r="I893" s="28"/>
      <c r="J893" s="28"/>
      <c r="K893" s="28"/>
      <c r="L893" s="28"/>
      <c r="M893" s="28"/>
      <c r="N893" s="28"/>
      <c r="O893" s="28"/>
      <c r="P893" s="28"/>
      <c r="Q893" s="28"/>
      <c r="R893" s="28"/>
      <c r="S893" s="28"/>
      <c r="T893" s="28"/>
      <c r="U893" s="28"/>
      <c r="V893" s="28"/>
      <c r="W893" s="28"/>
      <c r="X893" s="28"/>
      <c r="Y893" s="28"/>
      <c r="Z893" s="28"/>
    </row>
    <row r="894" ht="15.75" customHeight="1">
      <c r="A894" s="125"/>
      <c r="B894" s="125"/>
      <c r="C894" s="125"/>
      <c r="D894" s="37"/>
      <c r="E894" s="37"/>
      <c r="F894" s="38"/>
      <c r="G894" s="130"/>
      <c r="H894" s="28"/>
      <c r="I894" s="28"/>
      <c r="J894" s="28"/>
      <c r="K894" s="28"/>
      <c r="L894" s="28"/>
      <c r="M894" s="28"/>
      <c r="N894" s="28"/>
      <c r="O894" s="28"/>
      <c r="P894" s="28"/>
      <c r="Q894" s="28"/>
      <c r="R894" s="28"/>
      <c r="S894" s="28"/>
      <c r="T894" s="28"/>
      <c r="U894" s="28"/>
      <c r="V894" s="28"/>
      <c r="W894" s="28"/>
      <c r="X894" s="28"/>
      <c r="Y894" s="28"/>
      <c r="Z894" s="28"/>
    </row>
    <row r="895" ht="15.75" customHeight="1">
      <c r="A895" s="125"/>
      <c r="B895" s="125"/>
      <c r="C895" s="125"/>
      <c r="D895" s="37"/>
      <c r="E895" s="37"/>
      <c r="F895" s="38"/>
      <c r="G895" s="130"/>
      <c r="H895" s="28"/>
      <c r="I895" s="28"/>
      <c r="J895" s="28"/>
      <c r="K895" s="28"/>
      <c r="L895" s="28"/>
      <c r="M895" s="28"/>
      <c r="N895" s="28"/>
      <c r="O895" s="28"/>
      <c r="P895" s="28"/>
      <c r="Q895" s="28"/>
      <c r="R895" s="28"/>
      <c r="S895" s="28"/>
      <c r="T895" s="28"/>
      <c r="U895" s="28"/>
      <c r="V895" s="28"/>
      <c r="W895" s="28"/>
      <c r="X895" s="28"/>
      <c r="Y895" s="28"/>
      <c r="Z895" s="28"/>
    </row>
    <row r="896" ht="15.75" customHeight="1">
      <c r="A896" s="125"/>
      <c r="B896" s="125"/>
      <c r="C896" s="125"/>
      <c r="D896" s="37"/>
      <c r="E896" s="37"/>
      <c r="F896" s="38"/>
      <c r="G896" s="130"/>
      <c r="H896" s="28"/>
      <c r="I896" s="28"/>
      <c r="J896" s="28"/>
      <c r="K896" s="28"/>
      <c r="L896" s="28"/>
      <c r="M896" s="28"/>
      <c r="N896" s="28"/>
      <c r="O896" s="28"/>
      <c r="P896" s="28"/>
      <c r="Q896" s="28"/>
      <c r="R896" s="28"/>
      <c r="S896" s="28"/>
      <c r="T896" s="28"/>
      <c r="U896" s="28"/>
      <c r="V896" s="28"/>
      <c r="W896" s="28"/>
      <c r="X896" s="28"/>
      <c r="Y896" s="28"/>
      <c r="Z896" s="28"/>
    </row>
    <row r="897" ht="15.75" customHeight="1">
      <c r="A897" s="125"/>
      <c r="B897" s="125"/>
      <c r="C897" s="125"/>
      <c r="D897" s="37"/>
      <c r="E897" s="37"/>
      <c r="F897" s="38"/>
      <c r="G897" s="130"/>
      <c r="H897" s="28"/>
      <c r="I897" s="28"/>
      <c r="J897" s="28"/>
      <c r="K897" s="28"/>
      <c r="L897" s="28"/>
      <c r="M897" s="28"/>
      <c r="N897" s="28"/>
      <c r="O897" s="28"/>
      <c r="P897" s="28"/>
      <c r="Q897" s="28"/>
      <c r="R897" s="28"/>
      <c r="S897" s="28"/>
      <c r="T897" s="28"/>
      <c r="U897" s="28"/>
      <c r="V897" s="28"/>
      <c r="W897" s="28"/>
      <c r="X897" s="28"/>
      <c r="Y897" s="28"/>
      <c r="Z897" s="28"/>
    </row>
    <row r="898" ht="15.75" customHeight="1">
      <c r="A898" s="125"/>
      <c r="B898" s="125"/>
      <c r="C898" s="125"/>
      <c r="D898" s="37"/>
      <c r="E898" s="37"/>
      <c r="F898" s="38"/>
      <c r="G898" s="130"/>
      <c r="H898" s="28"/>
      <c r="I898" s="28"/>
      <c r="J898" s="28"/>
      <c r="K898" s="28"/>
      <c r="L898" s="28"/>
      <c r="M898" s="28"/>
      <c r="N898" s="28"/>
      <c r="O898" s="28"/>
      <c r="P898" s="28"/>
      <c r="Q898" s="28"/>
      <c r="R898" s="28"/>
      <c r="S898" s="28"/>
      <c r="T898" s="28"/>
      <c r="U898" s="28"/>
      <c r="V898" s="28"/>
      <c r="W898" s="28"/>
      <c r="X898" s="28"/>
      <c r="Y898" s="28"/>
      <c r="Z898" s="28"/>
    </row>
    <row r="899" ht="15.75" customHeight="1">
      <c r="A899" s="125"/>
      <c r="B899" s="125"/>
      <c r="C899" s="125"/>
      <c r="D899" s="37"/>
      <c r="E899" s="37"/>
      <c r="F899" s="38"/>
      <c r="G899" s="130"/>
      <c r="H899" s="28"/>
      <c r="I899" s="28"/>
      <c r="J899" s="28"/>
      <c r="K899" s="28"/>
      <c r="L899" s="28"/>
      <c r="M899" s="28"/>
      <c r="N899" s="28"/>
      <c r="O899" s="28"/>
      <c r="P899" s="28"/>
      <c r="Q899" s="28"/>
      <c r="R899" s="28"/>
      <c r="S899" s="28"/>
      <c r="T899" s="28"/>
      <c r="U899" s="28"/>
      <c r="V899" s="28"/>
      <c r="W899" s="28"/>
      <c r="X899" s="28"/>
      <c r="Y899" s="28"/>
      <c r="Z899" s="28"/>
    </row>
    <row r="900" ht="15.75" customHeight="1">
      <c r="A900" s="125"/>
      <c r="B900" s="125"/>
      <c r="C900" s="125"/>
      <c r="D900" s="37"/>
      <c r="E900" s="37"/>
      <c r="F900" s="38"/>
      <c r="G900" s="130"/>
      <c r="H900" s="28"/>
      <c r="I900" s="28"/>
      <c r="J900" s="28"/>
      <c r="K900" s="28"/>
      <c r="L900" s="28"/>
      <c r="M900" s="28"/>
      <c r="N900" s="28"/>
      <c r="O900" s="28"/>
      <c r="P900" s="28"/>
      <c r="Q900" s="28"/>
      <c r="R900" s="28"/>
      <c r="S900" s="28"/>
      <c r="T900" s="28"/>
      <c r="U900" s="28"/>
      <c r="V900" s="28"/>
      <c r="W900" s="28"/>
      <c r="X900" s="28"/>
      <c r="Y900" s="28"/>
      <c r="Z900" s="28"/>
    </row>
    <row r="901" ht="15.75" customHeight="1">
      <c r="A901" s="125"/>
      <c r="B901" s="125"/>
      <c r="C901" s="125"/>
      <c r="D901" s="37"/>
      <c r="E901" s="37"/>
      <c r="F901" s="38"/>
      <c r="G901" s="130"/>
      <c r="H901" s="28"/>
      <c r="I901" s="28"/>
      <c r="J901" s="28"/>
      <c r="K901" s="28"/>
      <c r="L901" s="28"/>
      <c r="M901" s="28"/>
      <c r="N901" s="28"/>
      <c r="O901" s="28"/>
      <c r="P901" s="28"/>
      <c r="Q901" s="28"/>
      <c r="R901" s="28"/>
      <c r="S901" s="28"/>
      <c r="T901" s="28"/>
      <c r="U901" s="28"/>
      <c r="V901" s="28"/>
      <c r="W901" s="28"/>
      <c r="X901" s="28"/>
      <c r="Y901" s="28"/>
      <c r="Z901" s="28"/>
    </row>
    <row r="902" ht="15.75" customHeight="1">
      <c r="A902" s="125"/>
      <c r="B902" s="125"/>
      <c r="C902" s="125"/>
      <c r="D902" s="37"/>
      <c r="E902" s="37"/>
      <c r="F902" s="38"/>
      <c r="G902" s="130"/>
      <c r="H902" s="28"/>
      <c r="I902" s="28"/>
      <c r="J902" s="28"/>
      <c r="K902" s="28"/>
      <c r="L902" s="28"/>
      <c r="M902" s="28"/>
      <c r="N902" s="28"/>
      <c r="O902" s="28"/>
      <c r="P902" s="28"/>
      <c r="Q902" s="28"/>
      <c r="R902" s="28"/>
      <c r="S902" s="28"/>
      <c r="T902" s="28"/>
      <c r="U902" s="28"/>
      <c r="V902" s="28"/>
      <c r="W902" s="28"/>
      <c r="X902" s="28"/>
      <c r="Y902" s="28"/>
      <c r="Z902" s="28"/>
    </row>
    <row r="903" ht="15.75" customHeight="1">
      <c r="A903" s="125"/>
      <c r="B903" s="125"/>
      <c r="C903" s="125"/>
      <c r="D903" s="37"/>
      <c r="E903" s="37"/>
      <c r="F903" s="38"/>
      <c r="G903" s="130"/>
      <c r="H903" s="28"/>
      <c r="I903" s="28"/>
      <c r="J903" s="28"/>
      <c r="K903" s="28"/>
      <c r="L903" s="28"/>
      <c r="M903" s="28"/>
      <c r="N903" s="28"/>
      <c r="O903" s="28"/>
      <c r="P903" s="28"/>
      <c r="Q903" s="28"/>
      <c r="R903" s="28"/>
      <c r="S903" s="28"/>
      <c r="T903" s="28"/>
      <c r="U903" s="28"/>
      <c r="V903" s="28"/>
      <c r="W903" s="28"/>
      <c r="X903" s="28"/>
      <c r="Y903" s="28"/>
      <c r="Z903" s="28"/>
    </row>
    <row r="904" ht="15.75" customHeight="1">
      <c r="A904" s="125"/>
      <c r="B904" s="125"/>
      <c r="C904" s="125"/>
      <c r="D904" s="37"/>
      <c r="E904" s="37"/>
      <c r="F904" s="38"/>
      <c r="G904" s="130"/>
      <c r="H904" s="28"/>
      <c r="I904" s="28"/>
      <c r="J904" s="28"/>
      <c r="K904" s="28"/>
      <c r="L904" s="28"/>
      <c r="M904" s="28"/>
      <c r="N904" s="28"/>
      <c r="O904" s="28"/>
      <c r="P904" s="28"/>
      <c r="Q904" s="28"/>
      <c r="R904" s="28"/>
      <c r="S904" s="28"/>
      <c r="T904" s="28"/>
      <c r="U904" s="28"/>
      <c r="V904" s="28"/>
      <c r="W904" s="28"/>
      <c r="X904" s="28"/>
      <c r="Y904" s="28"/>
      <c r="Z904" s="28"/>
    </row>
    <row r="905" ht="15.75" customHeight="1">
      <c r="A905" s="125"/>
      <c r="B905" s="125"/>
      <c r="C905" s="125"/>
      <c r="D905" s="37"/>
      <c r="E905" s="37"/>
      <c r="F905" s="38"/>
      <c r="G905" s="130"/>
      <c r="H905" s="28"/>
      <c r="I905" s="28"/>
      <c r="J905" s="28"/>
      <c r="K905" s="28"/>
      <c r="L905" s="28"/>
      <c r="M905" s="28"/>
      <c r="N905" s="28"/>
      <c r="O905" s="28"/>
      <c r="P905" s="28"/>
      <c r="Q905" s="28"/>
      <c r="R905" s="28"/>
      <c r="S905" s="28"/>
      <c r="T905" s="28"/>
      <c r="U905" s="28"/>
      <c r="V905" s="28"/>
      <c r="W905" s="28"/>
      <c r="X905" s="28"/>
      <c r="Y905" s="28"/>
      <c r="Z905" s="28"/>
    </row>
    <row r="906" ht="15.75" customHeight="1">
      <c r="A906" s="125"/>
      <c r="B906" s="125"/>
      <c r="C906" s="125"/>
      <c r="D906" s="37"/>
      <c r="E906" s="37"/>
      <c r="F906" s="38"/>
      <c r="G906" s="130"/>
      <c r="H906" s="28"/>
      <c r="I906" s="28"/>
      <c r="J906" s="28"/>
      <c r="K906" s="28"/>
      <c r="L906" s="28"/>
      <c r="M906" s="28"/>
      <c r="N906" s="28"/>
      <c r="O906" s="28"/>
      <c r="P906" s="28"/>
      <c r="Q906" s="28"/>
      <c r="R906" s="28"/>
      <c r="S906" s="28"/>
      <c r="T906" s="28"/>
      <c r="U906" s="28"/>
      <c r="V906" s="28"/>
      <c r="W906" s="28"/>
      <c r="X906" s="28"/>
      <c r="Y906" s="28"/>
      <c r="Z906" s="28"/>
    </row>
    <row r="907" ht="15.75" customHeight="1">
      <c r="A907" s="125"/>
      <c r="B907" s="125"/>
      <c r="C907" s="125"/>
      <c r="D907" s="37"/>
      <c r="E907" s="37"/>
      <c r="F907" s="38"/>
      <c r="G907" s="130"/>
      <c r="H907" s="28"/>
      <c r="I907" s="28"/>
      <c r="J907" s="28"/>
      <c r="K907" s="28"/>
      <c r="L907" s="28"/>
      <c r="M907" s="28"/>
      <c r="N907" s="28"/>
      <c r="O907" s="28"/>
      <c r="P907" s="28"/>
      <c r="Q907" s="28"/>
      <c r="R907" s="28"/>
      <c r="S907" s="28"/>
      <c r="T907" s="28"/>
      <c r="U907" s="28"/>
      <c r="V907" s="28"/>
      <c r="W907" s="28"/>
      <c r="X907" s="28"/>
      <c r="Y907" s="28"/>
      <c r="Z907" s="28"/>
    </row>
    <row r="908" ht="15.75" customHeight="1">
      <c r="A908" s="125"/>
      <c r="B908" s="125"/>
      <c r="C908" s="125"/>
      <c r="D908" s="37"/>
      <c r="E908" s="37"/>
      <c r="F908" s="38"/>
      <c r="G908" s="130"/>
      <c r="H908" s="28"/>
      <c r="I908" s="28"/>
      <c r="J908" s="28"/>
      <c r="K908" s="28"/>
      <c r="L908" s="28"/>
      <c r="M908" s="28"/>
      <c r="N908" s="28"/>
      <c r="O908" s="28"/>
      <c r="P908" s="28"/>
      <c r="Q908" s="28"/>
      <c r="R908" s="28"/>
      <c r="S908" s="28"/>
      <c r="T908" s="28"/>
      <c r="U908" s="28"/>
      <c r="V908" s="28"/>
      <c r="W908" s="28"/>
      <c r="X908" s="28"/>
      <c r="Y908" s="28"/>
      <c r="Z908" s="28"/>
    </row>
    <row r="909" ht="15.75" customHeight="1">
      <c r="A909" s="125"/>
      <c r="B909" s="125"/>
      <c r="C909" s="125"/>
      <c r="D909" s="37"/>
      <c r="E909" s="37"/>
      <c r="F909" s="38"/>
      <c r="G909" s="130"/>
      <c r="H909" s="28"/>
      <c r="I909" s="28"/>
      <c r="J909" s="28"/>
      <c r="K909" s="28"/>
      <c r="L909" s="28"/>
      <c r="M909" s="28"/>
      <c r="N909" s="28"/>
      <c r="O909" s="28"/>
      <c r="P909" s="28"/>
      <c r="Q909" s="28"/>
      <c r="R909" s="28"/>
      <c r="S909" s="28"/>
      <c r="T909" s="28"/>
      <c r="U909" s="28"/>
      <c r="V909" s="28"/>
      <c r="W909" s="28"/>
      <c r="X909" s="28"/>
      <c r="Y909" s="28"/>
      <c r="Z909" s="28"/>
    </row>
    <row r="910" ht="15.75" customHeight="1">
      <c r="A910" s="125"/>
      <c r="B910" s="125"/>
      <c r="C910" s="125"/>
      <c r="D910" s="37"/>
      <c r="E910" s="37"/>
      <c r="F910" s="38"/>
      <c r="G910" s="130"/>
      <c r="H910" s="28"/>
      <c r="I910" s="28"/>
      <c r="J910" s="28"/>
      <c r="K910" s="28"/>
      <c r="L910" s="28"/>
      <c r="M910" s="28"/>
      <c r="N910" s="28"/>
      <c r="O910" s="28"/>
      <c r="P910" s="28"/>
      <c r="Q910" s="28"/>
      <c r="R910" s="28"/>
      <c r="S910" s="28"/>
      <c r="T910" s="28"/>
      <c r="U910" s="28"/>
      <c r="V910" s="28"/>
      <c r="W910" s="28"/>
      <c r="X910" s="28"/>
      <c r="Y910" s="28"/>
      <c r="Z910" s="28"/>
    </row>
    <row r="911" ht="15.75" customHeight="1">
      <c r="A911" s="125"/>
      <c r="B911" s="125"/>
      <c r="C911" s="125"/>
      <c r="D911" s="37"/>
      <c r="E911" s="37"/>
      <c r="F911" s="38"/>
      <c r="G911" s="130"/>
      <c r="H911" s="28"/>
      <c r="I911" s="28"/>
      <c r="J911" s="28"/>
      <c r="K911" s="28"/>
      <c r="L911" s="28"/>
      <c r="M911" s="28"/>
      <c r="N911" s="28"/>
      <c r="O911" s="28"/>
      <c r="P911" s="28"/>
      <c r="Q911" s="28"/>
      <c r="R911" s="28"/>
      <c r="S911" s="28"/>
      <c r="T911" s="28"/>
      <c r="U911" s="28"/>
      <c r="V911" s="28"/>
      <c r="W911" s="28"/>
      <c r="X911" s="28"/>
      <c r="Y911" s="28"/>
      <c r="Z911" s="28"/>
    </row>
    <row r="912" ht="15.75" customHeight="1">
      <c r="A912" s="125"/>
      <c r="B912" s="125"/>
      <c r="C912" s="125"/>
      <c r="D912" s="37"/>
      <c r="E912" s="37"/>
      <c r="F912" s="38"/>
      <c r="G912" s="130"/>
      <c r="H912" s="28"/>
      <c r="I912" s="28"/>
      <c r="J912" s="28"/>
      <c r="K912" s="28"/>
      <c r="L912" s="28"/>
      <c r="M912" s="28"/>
      <c r="N912" s="28"/>
      <c r="O912" s="28"/>
      <c r="P912" s="28"/>
      <c r="Q912" s="28"/>
      <c r="R912" s="28"/>
      <c r="S912" s="28"/>
      <c r="T912" s="28"/>
      <c r="U912" s="28"/>
      <c r="V912" s="28"/>
      <c r="W912" s="28"/>
      <c r="X912" s="28"/>
      <c r="Y912" s="28"/>
      <c r="Z912" s="28"/>
    </row>
    <row r="913" ht="15.75" customHeight="1">
      <c r="A913" s="125"/>
      <c r="B913" s="125"/>
      <c r="C913" s="125"/>
      <c r="D913" s="37"/>
      <c r="E913" s="37"/>
      <c r="F913" s="38"/>
      <c r="G913" s="130"/>
      <c r="H913" s="28"/>
      <c r="I913" s="28"/>
      <c r="J913" s="28"/>
      <c r="K913" s="28"/>
      <c r="L913" s="28"/>
      <c r="M913" s="28"/>
      <c r="N913" s="28"/>
      <c r="O913" s="28"/>
      <c r="P913" s="28"/>
      <c r="Q913" s="28"/>
      <c r="R913" s="28"/>
      <c r="S913" s="28"/>
      <c r="T913" s="28"/>
      <c r="U913" s="28"/>
      <c r="V913" s="28"/>
      <c r="W913" s="28"/>
      <c r="X913" s="28"/>
      <c r="Y913" s="28"/>
      <c r="Z913" s="28"/>
    </row>
    <row r="914" ht="15.75" customHeight="1">
      <c r="A914" s="125"/>
      <c r="B914" s="125"/>
      <c r="C914" s="125"/>
      <c r="D914" s="37"/>
      <c r="E914" s="37"/>
      <c r="F914" s="38"/>
      <c r="G914" s="130"/>
      <c r="H914" s="28"/>
      <c r="I914" s="28"/>
      <c r="J914" s="28"/>
      <c r="K914" s="28"/>
      <c r="L914" s="28"/>
      <c r="M914" s="28"/>
      <c r="N914" s="28"/>
      <c r="O914" s="28"/>
      <c r="P914" s="28"/>
      <c r="Q914" s="28"/>
      <c r="R914" s="28"/>
      <c r="S914" s="28"/>
      <c r="T914" s="28"/>
      <c r="U914" s="28"/>
      <c r="V914" s="28"/>
      <c r="W914" s="28"/>
      <c r="X914" s="28"/>
      <c r="Y914" s="28"/>
      <c r="Z914" s="28"/>
    </row>
    <row r="915" ht="15.75" customHeight="1">
      <c r="A915" s="125"/>
      <c r="B915" s="125"/>
      <c r="C915" s="125"/>
      <c r="D915" s="37"/>
      <c r="E915" s="37"/>
      <c r="F915" s="38"/>
      <c r="G915" s="130"/>
      <c r="H915" s="28"/>
      <c r="I915" s="28"/>
      <c r="J915" s="28"/>
      <c r="K915" s="28"/>
      <c r="L915" s="28"/>
      <c r="M915" s="28"/>
      <c r="N915" s="28"/>
      <c r="O915" s="28"/>
      <c r="P915" s="28"/>
      <c r="Q915" s="28"/>
      <c r="R915" s="28"/>
      <c r="S915" s="28"/>
      <c r="T915" s="28"/>
      <c r="U915" s="28"/>
      <c r="V915" s="28"/>
      <c r="W915" s="28"/>
      <c r="X915" s="28"/>
      <c r="Y915" s="28"/>
      <c r="Z915" s="28"/>
    </row>
    <row r="916" ht="15.75" customHeight="1">
      <c r="A916" s="125"/>
      <c r="B916" s="125"/>
      <c r="C916" s="125"/>
      <c r="D916" s="37"/>
      <c r="E916" s="37"/>
      <c r="F916" s="38"/>
      <c r="G916" s="130"/>
      <c r="H916" s="28"/>
      <c r="I916" s="28"/>
      <c r="J916" s="28"/>
      <c r="K916" s="28"/>
      <c r="L916" s="28"/>
      <c r="M916" s="28"/>
      <c r="N916" s="28"/>
      <c r="O916" s="28"/>
      <c r="P916" s="28"/>
      <c r="Q916" s="28"/>
      <c r="R916" s="28"/>
      <c r="S916" s="28"/>
      <c r="T916" s="28"/>
      <c r="U916" s="28"/>
      <c r="V916" s="28"/>
      <c r="W916" s="28"/>
      <c r="X916" s="28"/>
      <c r="Y916" s="28"/>
      <c r="Z916" s="28"/>
    </row>
    <row r="917" ht="15.75" customHeight="1">
      <c r="A917" s="125"/>
      <c r="B917" s="125"/>
      <c r="C917" s="125"/>
      <c r="D917" s="37"/>
      <c r="E917" s="37"/>
      <c r="F917" s="38"/>
      <c r="G917" s="130"/>
      <c r="H917" s="28"/>
      <c r="I917" s="28"/>
      <c r="J917" s="28"/>
      <c r="K917" s="28"/>
      <c r="L917" s="28"/>
      <c r="M917" s="28"/>
      <c r="N917" s="28"/>
      <c r="O917" s="28"/>
      <c r="P917" s="28"/>
      <c r="Q917" s="28"/>
      <c r="R917" s="28"/>
      <c r="S917" s="28"/>
      <c r="T917" s="28"/>
      <c r="U917" s="28"/>
      <c r="V917" s="28"/>
      <c r="W917" s="28"/>
      <c r="X917" s="28"/>
      <c r="Y917" s="28"/>
      <c r="Z917" s="28"/>
    </row>
    <row r="918" ht="15.75" customHeight="1">
      <c r="A918" s="125"/>
      <c r="B918" s="125"/>
      <c r="C918" s="125"/>
      <c r="D918" s="37"/>
      <c r="E918" s="37"/>
      <c r="F918" s="38"/>
      <c r="G918" s="130"/>
      <c r="H918" s="28"/>
      <c r="I918" s="28"/>
      <c r="J918" s="28"/>
      <c r="K918" s="28"/>
      <c r="L918" s="28"/>
      <c r="M918" s="28"/>
      <c r="N918" s="28"/>
      <c r="O918" s="28"/>
      <c r="P918" s="28"/>
      <c r="Q918" s="28"/>
      <c r="R918" s="28"/>
      <c r="S918" s="28"/>
      <c r="T918" s="28"/>
      <c r="U918" s="28"/>
      <c r="V918" s="28"/>
      <c r="W918" s="28"/>
      <c r="X918" s="28"/>
      <c r="Y918" s="28"/>
      <c r="Z918" s="28"/>
    </row>
    <row r="919" ht="15.75" customHeight="1">
      <c r="A919" s="125"/>
      <c r="B919" s="125"/>
      <c r="C919" s="125"/>
      <c r="D919" s="37"/>
      <c r="E919" s="37"/>
      <c r="F919" s="38"/>
      <c r="G919" s="130"/>
      <c r="H919" s="28"/>
      <c r="I919" s="28"/>
      <c r="J919" s="28"/>
      <c r="K919" s="28"/>
      <c r="L919" s="28"/>
      <c r="M919" s="28"/>
      <c r="N919" s="28"/>
      <c r="O919" s="28"/>
      <c r="P919" s="28"/>
      <c r="Q919" s="28"/>
      <c r="R919" s="28"/>
      <c r="S919" s="28"/>
      <c r="T919" s="28"/>
      <c r="U919" s="28"/>
      <c r="V919" s="28"/>
      <c r="W919" s="28"/>
      <c r="X919" s="28"/>
      <c r="Y919" s="28"/>
      <c r="Z919" s="28"/>
    </row>
    <row r="920" ht="15.75" customHeight="1">
      <c r="A920" s="125"/>
      <c r="B920" s="125"/>
      <c r="C920" s="125"/>
      <c r="D920" s="37"/>
      <c r="E920" s="37"/>
      <c r="F920" s="38"/>
      <c r="G920" s="130"/>
      <c r="H920" s="28"/>
      <c r="I920" s="28"/>
      <c r="J920" s="28"/>
      <c r="K920" s="28"/>
      <c r="L920" s="28"/>
      <c r="M920" s="28"/>
      <c r="N920" s="28"/>
      <c r="O920" s="28"/>
      <c r="P920" s="28"/>
      <c r="Q920" s="28"/>
      <c r="R920" s="28"/>
      <c r="S920" s="28"/>
      <c r="T920" s="28"/>
      <c r="U920" s="28"/>
      <c r="V920" s="28"/>
      <c r="W920" s="28"/>
      <c r="X920" s="28"/>
      <c r="Y920" s="28"/>
      <c r="Z920" s="28"/>
    </row>
    <row r="921" ht="15.75" customHeight="1">
      <c r="A921" s="125"/>
      <c r="B921" s="125"/>
      <c r="C921" s="125"/>
      <c r="D921" s="37"/>
      <c r="E921" s="37"/>
      <c r="F921" s="38"/>
      <c r="G921" s="130"/>
      <c r="H921" s="28"/>
      <c r="I921" s="28"/>
      <c r="J921" s="28"/>
      <c r="K921" s="28"/>
      <c r="L921" s="28"/>
      <c r="M921" s="28"/>
      <c r="N921" s="28"/>
      <c r="O921" s="28"/>
      <c r="P921" s="28"/>
      <c r="Q921" s="28"/>
      <c r="R921" s="28"/>
      <c r="S921" s="28"/>
      <c r="T921" s="28"/>
      <c r="U921" s="28"/>
      <c r="V921" s="28"/>
      <c r="W921" s="28"/>
      <c r="X921" s="28"/>
      <c r="Y921" s="28"/>
      <c r="Z921" s="28"/>
    </row>
    <row r="922" ht="15.75" customHeight="1">
      <c r="A922" s="125"/>
      <c r="B922" s="125"/>
      <c r="C922" s="125"/>
      <c r="D922" s="37"/>
      <c r="E922" s="37"/>
      <c r="F922" s="38"/>
      <c r="G922" s="130"/>
      <c r="H922" s="28"/>
      <c r="I922" s="28"/>
      <c r="J922" s="28"/>
      <c r="K922" s="28"/>
      <c r="L922" s="28"/>
      <c r="M922" s="28"/>
      <c r="N922" s="28"/>
      <c r="O922" s="28"/>
      <c r="P922" s="28"/>
      <c r="Q922" s="28"/>
      <c r="R922" s="28"/>
      <c r="S922" s="28"/>
      <c r="T922" s="28"/>
      <c r="U922" s="28"/>
      <c r="V922" s="28"/>
      <c r="W922" s="28"/>
      <c r="X922" s="28"/>
      <c r="Y922" s="28"/>
      <c r="Z922" s="28"/>
    </row>
    <row r="923" ht="15.75" customHeight="1">
      <c r="A923" s="125"/>
      <c r="B923" s="125"/>
      <c r="C923" s="125"/>
      <c r="D923" s="37"/>
      <c r="E923" s="37"/>
      <c r="F923" s="38"/>
      <c r="G923" s="130"/>
      <c r="H923" s="28"/>
      <c r="I923" s="28"/>
      <c r="J923" s="28"/>
      <c r="K923" s="28"/>
      <c r="L923" s="28"/>
      <c r="M923" s="28"/>
      <c r="N923" s="28"/>
      <c r="O923" s="28"/>
      <c r="P923" s="28"/>
      <c r="Q923" s="28"/>
      <c r="R923" s="28"/>
      <c r="S923" s="28"/>
      <c r="T923" s="28"/>
      <c r="U923" s="28"/>
      <c r="V923" s="28"/>
      <c r="W923" s="28"/>
      <c r="X923" s="28"/>
      <c r="Y923" s="28"/>
      <c r="Z923" s="28"/>
    </row>
    <row r="924" ht="15.75" customHeight="1">
      <c r="A924" s="125"/>
      <c r="B924" s="125"/>
      <c r="C924" s="125"/>
      <c r="D924" s="37"/>
      <c r="E924" s="37"/>
      <c r="F924" s="38"/>
      <c r="G924" s="130"/>
      <c r="H924" s="28"/>
      <c r="I924" s="28"/>
      <c r="J924" s="28"/>
      <c r="K924" s="28"/>
      <c r="L924" s="28"/>
      <c r="M924" s="28"/>
      <c r="N924" s="28"/>
      <c r="O924" s="28"/>
      <c r="P924" s="28"/>
      <c r="Q924" s="28"/>
      <c r="R924" s="28"/>
      <c r="S924" s="28"/>
      <c r="T924" s="28"/>
      <c r="U924" s="28"/>
      <c r="V924" s="28"/>
      <c r="W924" s="28"/>
      <c r="X924" s="28"/>
      <c r="Y924" s="28"/>
      <c r="Z924" s="28"/>
    </row>
    <row r="925" ht="15.75" customHeight="1">
      <c r="A925" s="125"/>
      <c r="B925" s="125"/>
      <c r="C925" s="125"/>
      <c r="D925" s="37"/>
      <c r="E925" s="37"/>
      <c r="F925" s="38"/>
      <c r="G925" s="130"/>
      <c r="H925" s="28"/>
      <c r="I925" s="28"/>
      <c r="J925" s="28"/>
      <c r="K925" s="28"/>
      <c r="L925" s="28"/>
      <c r="M925" s="28"/>
      <c r="N925" s="28"/>
      <c r="O925" s="28"/>
      <c r="P925" s="28"/>
      <c r="Q925" s="28"/>
      <c r="R925" s="28"/>
      <c r="S925" s="28"/>
      <c r="T925" s="28"/>
      <c r="U925" s="28"/>
      <c r="V925" s="28"/>
      <c r="W925" s="28"/>
      <c r="X925" s="28"/>
      <c r="Y925" s="28"/>
      <c r="Z925" s="28"/>
    </row>
    <row r="926" ht="15.75" customHeight="1">
      <c r="A926" s="125"/>
      <c r="B926" s="125"/>
      <c r="C926" s="125"/>
      <c r="D926" s="37"/>
      <c r="E926" s="37"/>
      <c r="F926" s="38"/>
      <c r="G926" s="130"/>
      <c r="H926" s="28"/>
      <c r="I926" s="28"/>
      <c r="J926" s="28"/>
      <c r="K926" s="28"/>
      <c r="L926" s="28"/>
      <c r="M926" s="28"/>
      <c r="N926" s="28"/>
      <c r="O926" s="28"/>
      <c r="P926" s="28"/>
      <c r="Q926" s="28"/>
      <c r="R926" s="28"/>
      <c r="S926" s="28"/>
      <c r="T926" s="28"/>
      <c r="U926" s="28"/>
      <c r="V926" s="28"/>
      <c r="W926" s="28"/>
      <c r="X926" s="28"/>
      <c r="Y926" s="28"/>
      <c r="Z926" s="28"/>
    </row>
    <row r="927" ht="15.75" customHeight="1">
      <c r="A927" s="125"/>
      <c r="B927" s="125"/>
      <c r="C927" s="125"/>
      <c r="D927" s="37"/>
      <c r="E927" s="37"/>
      <c r="F927" s="38"/>
      <c r="G927" s="130"/>
      <c r="H927" s="28"/>
      <c r="I927" s="28"/>
      <c r="J927" s="28"/>
      <c r="K927" s="28"/>
      <c r="L927" s="28"/>
      <c r="M927" s="28"/>
      <c r="N927" s="28"/>
      <c r="O927" s="28"/>
      <c r="P927" s="28"/>
      <c r="Q927" s="28"/>
      <c r="R927" s="28"/>
      <c r="S927" s="28"/>
      <c r="T927" s="28"/>
      <c r="U927" s="28"/>
      <c r="V927" s="28"/>
      <c r="W927" s="28"/>
      <c r="X927" s="28"/>
      <c r="Y927" s="28"/>
      <c r="Z927" s="28"/>
    </row>
    <row r="928" ht="15.75" customHeight="1">
      <c r="A928" s="125"/>
      <c r="B928" s="125"/>
      <c r="C928" s="125"/>
      <c r="D928" s="37"/>
      <c r="E928" s="37"/>
      <c r="F928" s="38"/>
      <c r="G928" s="130"/>
      <c r="H928" s="28"/>
      <c r="I928" s="28"/>
      <c r="J928" s="28"/>
      <c r="K928" s="28"/>
      <c r="L928" s="28"/>
      <c r="M928" s="28"/>
      <c r="N928" s="28"/>
      <c r="O928" s="28"/>
      <c r="P928" s="28"/>
      <c r="Q928" s="28"/>
      <c r="R928" s="28"/>
      <c r="S928" s="28"/>
      <c r="T928" s="28"/>
      <c r="U928" s="28"/>
      <c r="V928" s="28"/>
      <c r="W928" s="28"/>
      <c r="X928" s="28"/>
      <c r="Y928" s="28"/>
      <c r="Z928" s="28"/>
    </row>
    <row r="929" ht="15.75" customHeight="1">
      <c r="A929" s="125"/>
      <c r="B929" s="125"/>
      <c r="C929" s="125"/>
      <c r="D929" s="37"/>
      <c r="E929" s="37"/>
      <c r="F929" s="38"/>
      <c r="G929" s="130"/>
      <c r="H929" s="28"/>
      <c r="I929" s="28"/>
      <c r="J929" s="28"/>
      <c r="K929" s="28"/>
      <c r="L929" s="28"/>
      <c r="M929" s="28"/>
      <c r="N929" s="28"/>
      <c r="O929" s="28"/>
      <c r="P929" s="28"/>
      <c r="Q929" s="28"/>
      <c r="R929" s="28"/>
      <c r="S929" s="28"/>
      <c r="T929" s="28"/>
      <c r="U929" s="28"/>
      <c r="V929" s="28"/>
      <c r="W929" s="28"/>
      <c r="X929" s="28"/>
      <c r="Y929" s="28"/>
      <c r="Z929" s="28"/>
    </row>
    <row r="930" ht="15.75" customHeight="1">
      <c r="A930" s="125"/>
      <c r="B930" s="125"/>
      <c r="C930" s="125"/>
      <c r="D930" s="37"/>
      <c r="E930" s="37"/>
      <c r="F930" s="38"/>
      <c r="G930" s="130"/>
      <c r="H930" s="28"/>
      <c r="I930" s="28"/>
      <c r="J930" s="28"/>
      <c r="K930" s="28"/>
      <c r="L930" s="28"/>
      <c r="M930" s="28"/>
      <c r="N930" s="28"/>
      <c r="O930" s="28"/>
      <c r="P930" s="28"/>
      <c r="Q930" s="28"/>
      <c r="R930" s="28"/>
      <c r="S930" s="28"/>
      <c r="T930" s="28"/>
      <c r="U930" s="28"/>
      <c r="V930" s="28"/>
      <c r="W930" s="28"/>
      <c r="X930" s="28"/>
      <c r="Y930" s="28"/>
      <c r="Z930" s="28"/>
    </row>
    <row r="931" ht="15.75" customHeight="1">
      <c r="A931" s="125"/>
      <c r="B931" s="125"/>
      <c r="C931" s="125"/>
      <c r="D931" s="37"/>
      <c r="E931" s="37"/>
      <c r="F931" s="38"/>
      <c r="G931" s="130"/>
      <c r="H931" s="28"/>
      <c r="I931" s="28"/>
      <c r="J931" s="28"/>
      <c r="K931" s="28"/>
      <c r="L931" s="28"/>
      <c r="M931" s="28"/>
      <c r="N931" s="28"/>
      <c r="O931" s="28"/>
      <c r="P931" s="28"/>
      <c r="Q931" s="28"/>
      <c r="R931" s="28"/>
      <c r="S931" s="28"/>
      <c r="T931" s="28"/>
      <c r="U931" s="28"/>
      <c r="V931" s="28"/>
      <c r="W931" s="28"/>
      <c r="X931" s="28"/>
      <c r="Y931" s="28"/>
      <c r="Z931" s="28"/>
    </row>
    <row r="932" ht="15.75" customHeight="1">
      <c r="A932" s="125"/>
      <c r="B932" s="125"/>
      <c r="C932" s="125"/>
      <c r="D932" s="37"/>
      <c r="E932" s="37"/>
      <c r="F932" s="38"/>
      <c r="G932" s="130"/>
      <c r="H932" s="28"/>
      <c r="I932" s="28"/>
      <c r="J932" s="28"/>
      <c r="K932" s="28"/>
      <c r="L932" s="28"/>
      <c r="M932" s="28"/>
      <c r="N932" s="28"/>
      <c r="O932" s="28"/>
      <c r="P932" s="28"/>
      <c r="Q932" s="28"/>
      <c r="R932" s="28"/>
      <c r="S932" s="28"/>
      <c r="T932" s="28"/>
      <c r="U932" s="28"/>
      <c r="V932" s="28"/>
      <c r="W932" s="28"/>
      <c r="X932" s="28"/>
      <c r="Y932" s="28"/>
      <c r="Z932" s="28"/>
    </row>
    <row r="933" ht="15.75" customHeight="1">
      <c r="A933" s="125"/>
      <c r="B933" s="125"/>
      <c r="C933" s="125"/>
      <c r="D933" s="37"/>
      <c r="E933" s="37"/>
      <c r="F933" s="38"/>
      <c r="G933" s="130"/>
      <c r="H933" s="28"/>
      <c r="I933" s="28"/>
      <c r="J933" s="28"/>
      <c r="K933" s="28"/>
      <c r="L933" s="28"/>
      <c r="M933" s="28"/>
      <c r="N933" s="28"/>
      <c r="O933" s="28"/>
      <c r="P933" s="28"/>
      <c r="Q933" s="28"/>
      <c r="R933" s="28"/>
      <c r="S933" s="28"/>
      <c r="T933" s="28"/>
      <c r="U933" s="28"/>
      <c r="V933" s="28"/>
      <c r="W933" s="28"/>
      <c r="X933" s="28"/>
      <c r="Y933" s="28"/>
      <c r="Z933" s="28"/>
    </row>
    <row r="934" ht="15.75" customHeight="1">
      <c r="A934" s="125"/>
      <c r="B934" s="125"/>
      <c r="C934" s="125"/>
      <c r="D934" s="37"/>
      <c r="E934" s="37"/>
      <c r="F934" s="38"/>
      <c r="G934" s="130"/>
      <c r="H934" s="28"/>
      <c r="I934" s="28"/>
      <c r="J934" s="28"/>
      <c r="K934" s="28"/>
      <c r="L934" s="28"/>
      <c r="M934" s="28"/>
      <c r="N934" s="28"/>
      <c r="O934" s="28"/>
      <c r="P934" s="28"/>
      <c r="Q934" s="28"/>
      <c r="R934" s="28"/>
      <c r="S934" s="28"/>
      <c r="T934" s="28"/>
      <c r="U934" s="28"/>
      <c r="V934" s="28"/>
      <c r="W934" s="28"/>
      <c r="X934" s="28"/>
      <c r="Y934" s="28"/>
      <c r="Z934" s="28"/>
    </row>
    <row r="935" ht="15.75" customHeight="1">
      <c r="A935" s="125"/>
      <c r="B935" s="125"/>
      <c r="C935" s="125"/>
      <c r="D935" s="37"/>
      <c r="E935" s="37"/>
      <c r="F935" s="38"/>
      <c r="G935" s="130"/>
      <c r="H935" s="28"/>
      <c r="I935" s="28"/>
      <c r="J935" s="28"/>
      <c r="K935" s="28"/>
      <c r="L935" s="28"/>
      <c r="M935" s="28"/>
      <c r="N935" s="28"/>
      <c r="O935" s="28"/>
      <c r="P935" s="28"/>
      <c r="Q935" s="28"/>
      <c r="R935" s="28"/>
      <c r="S935" s="28"/>
      <c r="T935" s="28"/>
      <c r="U935" s="28"/>
      <c r="V935" s="28"/>
      <c r="W935" s="28"/>
      <c r="X935" s="28"/>
      <c r="Y935" s="28"/>
      <c r="Z935" s="28"/>
    </row>
    <row r="936" ht="15.75" customHeight="1">
      <c r="A936" s="125"/>
      <c r="B936" s="125"/>
      <c r="C936" s="125"/>
      <c r="D936" s="37"/>
      <c r="E936" s="37"/>
      <c r="F936" s="38"/>
      <c r="G936" s="130"/>
      <c r="H936" s="28"/>
      <c r="I936" s="28"/>
      <c r="J936" s="28"/>
      <c r="K936" s="28"/>
      <c r="L936" s="28"/>
      <c r="M936" s="28"/>
      <c r="N936" s="28"/>
      <c r="O936" s="28"/>
      <c r="P936" s="28"/>
      <c r="Q936" s="28"/>
      <c r="R936" s="28"/>
      <c r="S936" s="28"/>
      <c r="T936" s="28"/>
      <c r="U936" s="28"/>
      <c r="V936" s="28"/>
      <c r="W936" s="28"/>
      <c r="X936" s="28"/>
      <c r="Y936" s="28"/>
      <c r="Z936" s="28"/>
    </row>
    <row r="937" ht="15.75" customHeight="1">
      <c r="A937" s="125"/>
      <c r="B937" s="125"/>
      <c r="C937" s="125"/>
      <c r="D937" s="37"/>
      <c r="E937" s="37"/>
      <c r="F937" s="38"/>
      <c r="G937" s="130"/>
      <c r="H937" s="28"/>
      <c r="I937" s="28"/>
      <c r="J937" s="28"/>
      <c r="K937" s="28"/>
      <c r="L937" s="28"/>
      <c r="M937" s="28"/>
      <c r="N937" s="28"/>
      <c r="O937" s="28"/>
      <c r="P937" s="28"/>
      <c r="Q937" s="28"/>
      <c r="R937" s="28"/>
      <c r="S937" s="28"/>
      <c r="T937" s="28"/>
      <c r="U937" s="28"/>
      <c r="V937" s="28"/>
      <c r="W937" s="28"/>
      <c r="X937" s="28"/>
      <c r="Y937" s="28"/>
      <c r="Z937" s="28"/>
    </row>
    <row r="938" ht="15.75" customHeight="1">
      <c r="A938" s="125"/>
      <c r="B938" s="125"/>
      <c r="C938" s="125"/>
      <c r="D938" s="37"/>
      <c r="E938" s="37"/>
      <c r="F938" s="38"/>
      <c r="G938" s="130"/>
      <c r="H938" s="28"/>
      <c r="I938" s="28"/>
      <c r="J938" s="28"/>
      <c r="K938" s="28"/>
      <c r="L938" s="28"/>
      <c r="M938" s="28"/>
      <c r="N938" s="28"/>
      <c r="O938" s="28"/>
      <c r="P938" s="28"/>
      <c r="Q938" s="28"/>
      <c r="R938" s="28"/>
      <c r="S938" s="28"/>
      <c r="T938" s="28"/>
      <c r="U938" s="28"/>
      <c r="V938" s="28"/>
      <c r="W938" s="28"/>
      <c r="X938" s="28"/>
      <c r="Y938" s="28"/>
      <c r="Z938" s="28"/>
    </row>
    <row r="939" ht="15.75" customHeight="1">
      <c r="A939" s="125"/>
      <c r="B939" s="125"/>
      <c r="C939" s="125"/>
      <c r="D939" s="37"/>
      <c r="E939" s="37"/>
      <c r="F939" s="38"/>
      <c r="G939" s="130"/>
      <c r="H939" s="28"/>
      <c r="I939" s="28"/>
      <c r="J939" s="28"/>
      <c r="K939" s="28"/>
      <c r="L939" s="28"/>
      <c r="M939" s="28"/>
      <c r="N939" s="28"/>
      <c r="O939" s="28"/>
      <c r="P939" s="28"/>
      <c r="Q939" s="28"/>
      <c r="R939" s="28"/>
      <c r="S939" s="28"/>
      <c r="T939" s="28"/>
      <c r="U939" s="28"/>
      <c r="V939" s="28"/>
      <c r="W939" s="28"/>
      <c r="X939" s="28"/>
      <c r="Y939" s="28"/>
      <c r="Z939" s="28"/>
    </row>
    <row r="940" ht="15.75" customHeight="1">
      <c r="A940" s="125"/>
      <c r="B940" s="125"/>
      <c r="C940" s="125"/>
      <c r="D940" s="37"/>
      <c r="E940" s="37"/>
      <c r="F940" s="38"/>
      <c r="G940" s="130"/>
      <c r="H940" s="28"/>
      <c r="I940" s="28"/>
      <c r="J940" s="28"/>
      <c r="K940" s="28"/>
      <c r="L940" s="28"/>
      <c r="M940" s="28"/>
      <c r="N940" s="28"/>
      <c r="O940" s="28"/>
      <c r="P940" s="28"/>
      <c r="Q940" s="28"/>
      <c r="R940" s="28"/>
      <c r="S940" s="28"/>
      <c r="T940" s="28"/>
      <c r="U940" s="28"/>
      <c r="V940" s="28"/>
      <c r="W940" s="28"/>
      <c r="X940" s="28"/>
      <c r="Y940" s="28"/>
      <c r="Z940" s="28"/>
    </row>
    <row r="941" ht="15.75" customHeight="1">
      <c r="A941" s="125"/>
      <c r="B941" s="125"/>
      <c r="C941" s="125"/>
      <c r="D941" s="37"/>
      <c r="E941" s="37"/>
      <c r="F941" s="38"/>
      <c r="G941" s="130"/>
      <c r="H941" s="28"/>
      <c r="I941" s="28"/>
      <c r="J941" s="28"/>
      <c r="K941" s="28"/>
      <c r="L941" s="28"/>
      <c r="M941" s="28"/>
      <c r="N941" s="28"/>
      <c r="O941" s="28"/>
      <c r="P941" s="28"/>
      <c r="Q941" s="28"/>
      <c r="R941" s="28"/>
      <c r="S941" s="28"/>
      <c r="T941" s="28"/>
      <c r="U941" s="28"/>
      <c r="V941" s="28"/>
      <c r="W941" s="28"/>
      <c r="X941" s="28"/>
      <c r="Y941" s="28"/>
      <c r="Z941" s="28"/>
    </row>
    <row r="942" ht="15.75" customHeight="1">
      <c r="A942" s="125"/>
      <c r="B942" s="125"/>
      <c r="C942" s="125"/>
      <c r="D942" s="37"/>
      <c r="E942" s="37"/>
      <c r="F942" s="38"/>
      <c r="G942" s="130"/>
      <c r="H942" s="28"/>
      <c r="I942" s="28"/>
      <c r="J942" s="28"/>
      <c r="K942" s="28"/>
      <c r="L942" s="28"/>
      <c r="M942" s="28"/>
      <c r="N942" s="28"/>
      <c r="O942" s="28"/>
      <c r="P942" s="28"/>
      <c r="Q942" s="28"/>
      <c r="R942" s="28"/>
      <c r="S942" s="28"/>
      <c r="T942" s="28"/>
      <c r="U942" s="28"/>
      <c r="V942" s="28"/>
      <c r="W942" s="28"/>
      <c r="X942" s="28"/>
      <c r="Y942" s="28"/>
      <c r="Z942" s="28"/>
    </row>
    <row r="943" ht="15.75" customHeight="1">
      <c r="A943" s="125"/>
      <c r="B943" s="125"/>
      <c r="C943" s="125"/>
      <c r="D943" s="37"/>
      <c r="E943" s="37"/>
      <c r="F943" s="38"/>
      <c r="G943" s="130"/>
      <c r="H943" s="28"/>
      <c r="I943" s="28"/>
      <c r="J943" s="28"/>
      <c r="K943" s="28"/>
      <c r="L943" s="28"/>
      <c r="M943" s="28"/>
      <c r="N943" s="28"/>
      <c r="O943" s="28"/>
      <c r="P943" s="28"/>
      <c r="Q943" s="28"/>
      <c r="R943" s="28"/>
      <c r="S943" s="28"/>
      <c r="T943" s="28"/>
      <c r="U943" s="28"/>
      <c r="V943" s="28"/>
      <c r="W943" s="28"/>
      <c r="X943" s="28"/>
      <c r="Y943" s="28"/>
      <c r="Z943" s="28"/>
    </row>
    <row r="944" ht="15.75" customHeight="1">
      <c r="A944" s="125"/>
      <c r="B944" s="125"/>
      <c r="C944" s="125"/>
      <c r="D944" s="37"/>
      <c r="E944" s="37"/>
      <c r="F944" s="38"/>
      <c r="G944" s="130"/>
      <c r="H944" s="28"/>
      <c r="I944" s="28"/>
      <c r="J944" s="28"/>
      <c r="K944" s="28"/>
      <c r="L944" s="28"/>
      <c r="M944" s="28"/>
      <c r="N944" s="28"/>
      <c r="O944" s="28"/>
      <c r="P944" s="28"/>
      <c r="Q944" s="28"/>
      <c r="R944" s="28"/>
      <c r="S944" s="28"/>
      <c r="T944" s="28"/>
      <c r="U944" s="28"/>
      <c r="V944" s="28"/>
      <c r="W944" s="28"/>
      <c r="X944" s="28"/>
      <c r="Y944" s="28"/>
      <c r="Z944" s="28"/>
    </row>
    <row r="945" ht="15.75" customHeight="1">
      <c r="A945" s="125"/>
      <c r="B945" s="125"/>
      <c r="C945" s="125"/>
      <c r="D945" s="37"/>
      <c r="E945" s="37"/>
      <c r="F945" s="38"/>
      <c r="G945" s="130"/>
      <c r="H945" s="28"/>
      <c r="I945" s="28"/>
      <c r="J945" s="28"/>
      <c r="K945" s="28"/>
      <c r="L945" s="28"/>
      <c r="M945" s="28"/>
      <c r="N945" s="28"/>
      <c r="O945" s="28"/>
      <c r="P945" s="28"/>
      <c r="Q945" s="28"/>
      <c r="R945" s="28"/>
      <c r="S945" s="28"/>
      <c r="T945" s="28"/>
      <c r="U945" s="28"/>
      <c r="V945" s="28"/>
      <c r="W945" s="28"/>
      <c r="X945" s="28"/>
      <c r="Y945" s="28"/>
      <c r="Z945" s="28"/>
    </row>
    <row r="946" ht="15.75" customHeight="1">
      <c r="A946" s="125"/>
      <c r="B946" s="125"/>
      <c r="C946" s="125"/>
      <c r="D946" s="37"/>
      <c r="E946" s="37"/>
      <c r="F946" s="38"/>
      <c r="G946" s="130"/>
      <c r="H946" s="28"/>
      <c r="I946" s="28"/>
      <c r="J946" s="28"/>
      <c r="K946" s="28"/>
      <c r="L946" s="28"/>
      <c r="M946" s="28"/>
      <c r="N946" s="28"/>
      <c r="O946" s="28"/>
      <c r="P946" s="28"/>
      <c r="Q946" s="28"/>
      <c r="R946" s="28"/>
      <c r="S946" s="28"/>
      <c r="T946" s="28"/>
      <c r="U946" s="28"/>
      <c r="V946" s="28"/>
      <c r="W946" s="28"/>
      <c r="X946" s="28"/>
      <c r="Y946" s="28"/>
      <c r="Z946" s="28"/>
    </row>
    <row r="947" ht="15.75" customHeight="1">
      <c r="A947" s="125"/>
      <c r="B947" s="125"/>
      <c r="C947" s="125"/>
      <c r="D947" s="37"/>
      <c r="E947" s="37"/>
      <c r="F947" s="38"/>
      <c r="G947" s="130"/>
      <c r="H947" s="28"/>
      <c r="I947" s="28"/>
      <c r="J947" s="28"/>
      <c r="K947" s="28"/>
      <c r="L947" s="28"/>
      <c r="M947" s="28"/>
      <c r="N947" s="28"/>
      <c r="O947" s="28"/>
      <c r="P947" s="28"/>
      <c r="Q947" s="28"/>
      <c r="R947" s="28"/>
      <c r="S947" s="28"/>
      <c r="T947" s="28"/>
      <c r="U947" s="28"/>
      <c r="V947" s="28"/>
      <c r="W947" s="28"/>
      <c r="X947" s="28"/>
      <c r="Y947" s="28"/>
      <c r="Z947" s="28"/>
    </row>
    <row r="948" ht="15.75" customHeight="1">
      <c r="A948" s="125"/>
      <c r="B948" s="125"/>
      <c r="C948" s="125"/>
      <c r="D948" s="37"/>
      <c r="E948" s="37"/>
      <c r="F948" s="38"/>
      <c r="G948" s="130"/>
      <c r="H948" s="28"/>
      <c r="I948" s="28"/>
      <c r="J948" s="28"/>
      <c r="K948" s="28"/>
      <c r="L948" s="28"/>
      <c r="M948" s="28"/>
      <c r="N948" s="28"/>
      <c r="O948" s="28"/>
      <c r="P948" s="28"/>
      <c r="Q948" s="28"/>
      <c r="R948" s="28"/>
      <c r="S948" s="28"/>
      <c r="T948" s="28"/>
      <c r="U948" s="28"/>
      <c r="V948" s="28"/>
      <c r="W948" s="28"/>
      <c r="X948" s="28"/>
      <c r="Y948" s="28"/>
      <c r="Z948" s="28"/>
    </row>
    <row r="949" ht="15.75" customHeight="1">
      <c r="A949" s="125"/>
      <c r="B949" s="125"/>
      <c r="C949" s="125"/>
      <c r="D949" s="37"/>
      <c r="E949" s="37"/>
      <c r="F949" s="38"/>
      <c r="G949" s="130"/>
      <c r="H949" s="28"/>
      <c r="I949" s="28"/>
      <c r="J949" s="28"/>
      <c r="K949" s="28"/>
      <c r="L949" s="28"/>
      <c r="M949" s="28"/>
      <c r="N949" s="28"/>
      <c r="O949" s="28"/>
      <c r="P949" s="28"/>
      <c r="Q949" s="28"/>
      <c r="R949" s="28"/>
      <c r="S949" s="28"/>
      <c r="T949" s="28"/>
      <c r="U949" s="28"/>
      <c r="V949" s="28"/>
      <c r="W949" s="28"/>
      <c r="X949" s="28"/>
      <c r="Y949" s="28"/>
      <c r="Z949" s="28"/>
    </row>
    <row r="950" ht="15.75" customHeight="1">
      <c r="A950" s="125"/>
      <c r="B950" s="125"/>
      <c r="C950" s="125"/>
      <c r="D950" s="37"/>
      <c r="E950" s="37"/>
      <c r="F950" s="38"/>
      <c r="G950" s="130"/>
      <c r="H950" s="28"/>
      <c r="I950" s="28"/>
      <c r="J950" s="28"/>
      <c r="K950" s="28"/>
      <c r="L950" s="28"/>
      <c r="M950" s="28"/>
      <c r="N950" s="28"/>
      <c r="O950" s="28"/>
      <c r="P950" s="28"/>
      <c r="Q950" s="28"/>
      <c r="R950" s="28"/>
      <c r="S950" s="28"/>
      <c r="T950" s="28"/>
      <c r="U950" s="28"/>
      <c r="V950" s="28"/>
      <c r="W950" s="28"/>
      <c r="X950" s="28"/>
      <c r="Y950" s="28"/>
      <c r="Z950" s="28"/>
    </row>
    <row r="951" ht="15.75" customHeight="1">
      <c r="A951" s="125"/>
      <c r="B951" s="125"/>
      <c r="C951" s="125"/>
      <c r="D951" s="37"/>
      <c r="E951" s="37"/>
      <c r="F951" s="38"/>
      <c r="G951" s="130"/>
      <c r="H951" s="28"/>
      <c r="I951" s="28"/>
      <c r="J951" s="28"/>
      <c r="K951" s="28"/>
      <c r="L951" s="28"/>
      <c r="M951" s="28"/>
      <c r="N951" s="28"/>
      <c r="O951" s="28"/>
      <c r="P951" s="28"/>
      <c r="Q951" s="28"/>
      <c r="R951" s="28"/>
      <c r="S951" s="28"/>
      <c r="T951" s="28"/>
      <c r="U951" s="28"/>
      <c r="V951" s="28"/>
      <c r="W951" s="28"/>
      <c r="X951" s="28"/>
      <c r="Y951" s="28"/>
      <c r="Z951" s="28"/>
    </row>
    <row r="952" ht="15.75" customHeight="1">
      <c r="A952" s="125"/>
      <c r="B952" s="125"/>
      <c r="C952" s="125"/>
      <c r="D952" s="37"/>
      <c r="E952" s="37"/>
      <c r="F952" s="38"/>
      <c r="G952" s="130"/>
      <c r="H952" s="28"/>
      <c r="I952" s="28"/>
      <c r="J952" s="28"/>
      <c r="K952" s="28"/>
      <c r="L952" s="28"/>
      <c r="M952" s="28"/>
      <c r="N952" s="28"/>
      <c r="O952" s="28"/>
      <c r="P952" s="28"/>
      <c r="Q952" s="28"/>
      <c r="R952" s="28"/>
      <c r="S952" s="28"/>
      <c r="T952" s="28"/>
      <c r="U952" s="28"/>
      <c r="V952" s="28"/>
      <c r="W952" s="28"/>
      <c r="X952" s="28"/>
      <c r="Y952" s="28"/>
      <c r="Z952" s="28"/>
    </row>
    <row r="953" ht="15.75" customHeight="1">
      <c r="A953" s="125"/>
      <c r="B953" s="125"/>
      <c r="C953" s="125"/>
      <c r="D953" s="37"/>
      <c r="E953" s="37"/>
      <c r="F953" s="38"/>
      <c r="G953" s="130"/>
      <c r="H953" s="28"/>
      <c r="I953" s="28"/>
      <c r="J953" s="28"/>
      <c r="K953" s="28"/>
      <c r="L953" s="28"/>
      <c r="M953" s="28"/>
      <c r="N953" s="28"/>
      <c r="O953" s="28"/>
      <c r="P953" s="28"/>
      <c r="Q953" s="28"/>
      <c r="R953" s="28"/>
      <c r="S953" s="28"/>
      <c r="T953" s="28"/>
      <c r="U953" s="28"/>
      <c r="V953" s="28"/>
      <c r="W953" s="28"/>
      <c r="X953" s="28"/>
      <c r="Y953" s="28"/>
      <c r="Z953" s="28"/>
    </row>
    <row r="954" ht="15.75" customHeight="1">
      <c r="A954" s="125"/>
      <c r="B954" s="125"/>
      <c r="C954" s="125"/>
      <c r="D954" s="37"/>
      <c r="E954" s="37"/>
      <c r="F954" s="38"/>
      <c r="G954" s="130"/>
      <c r="H954" s="28"/>
      <c r="I954" s="28"/>
      <c r="J954" s="28"/>
      <c r="K954" s="28"/>
      <c r="L954" s="28"/>
      <c r="M954" s="28"/>
      <c r="N954" s="28"/>
      <c r="O954" s="28"/>
      <c r="P954" s="28"/>
      <c r="Q954" s="28"/>
      <c r="R954" s="28"/>
      <c r="S954" s="28"/>
      <c r="T954" s="28"/>
      <c r="U954" s="28"/>
      <c r="V954" s="28"/>
      <c r="W954" s="28"/>
      <c r="X954" s="28"/>
      <c r="Y954" s="28"/>
      <c r="Z954" s="28"/>
    </row>
    <row r="955" ht="15.75" customHeight="1">
      <c r="A955" s="125"/>
      <c r="B955" s="125"/>
      <c r="C955" s="125"/>
      <c r="D955" s="37"/>
      <c r="E955" s="37"/>
      <c r="F955" s="38"/>
      <c r="G955" s="130"/>
      <c r="H955" s="28"/>
      <c r="I955" s="28"/>
      <c r="J955" s="28"/>
      <c r="K955" s="28"/>
      <c r="L955" s="28"/>
      <c r="M955" s="28"/>
      <c r="N955" s="28"/>
      <c r="O955" s="28"/>
      <c r="P955" s="28"/>
      <c r="Q955" s="28"/>
      <c r="R955" s="28"/>
      <c r="S955" s="28"/>
      <c r="T955" s="28"/>
      <c r="U955" s="28"/>
      <c r="V955" s="28"/>
      <c r="W955" s="28"/>
      <c r="X955" s="28"/>
      <c r="Y955" s="28"/>
      <c r="Z955" s="28"/>
    </row>
    <row r="956" ht="15.75" customHeight="1">
      <c r="A956" s="125"/>
      <c r="B956" s="125"/>
      <c r="C956" s="125"/>
      <c r="D956" s="37"/>
      <c r="E956" s="37"/>
      <c r="F956" s="38"/>
      <c r="G956" s="130"/>
      <c r="H956" s="28"/>
      <c r="I956" s="28"/>
      <c r="J956" s="28"/>
      <c r="K956" s="28"/>
      <c r="L956" s="28"/>
      <c r="M956" s="28"/>
      <c r="N956" s="28"/>
      <c r="O956" s="28"/>
      <c r="P956" s="28"/>
      <c r="Q956" s="28"/>
      <c r="R956" s="28"/>
      <c r="S956" s="28"/>
      <c r="T956" s="28"/>
      <c r="U956" s="28"/>
      <c r="V956" s="28"/>
      <c r="W956" s="28"/>
      <c r="X956" s="28"/>
      <c r="Y956" s="28"/>
      <c r="Z956" s="28"/>
    </row>
    <row r="957" ht="15.75" customHeight="1">
      <c r="A957" s="125"/>
      <c r="B957" s="125"/>
      <c r="C957" s="125"/>
      <c r="D957" s="37"/>
      <c r="E957" s="37"/>
      <c r="F957" s="38"/>
      <c r="G957" s="130"/>
      <c r="H957" s="28"/>
      <c r="I957" s="28"/>
      <c r="J957" s="28"/>
      <c r="K957" s="28"/>
      <c r="L957" s="28"/>
      <c r="M957" s="28"/>
      <c r="N957" s="28"/>
      <c r="O957" s="28"/>
      <c r="P957" s="28"/>
      <c r="Q957" s="28"/>
      <c r="R957" s="28"/>
      <c r="S957" s="28"/>
      <c r="T957" s="28"/>
      <c r="U957" s="28"/>
      <c r="V957" s="28"/>
      <c r="W957" s="28"/>
      <c r="X957" s="28"/>
      <c r="Y957" s="28"/>
      <c r="Z957" s="28"/>
    </row>
    <row r="958" ht="15.75" customHeight="1">
      <c r="A958" s="125"/>
      <c r="B958" s="125"/>
      <c r="C958" s="125"/>
      <c r="D958" s="37"/>
      <c r="E958" s="37"/>
      <c r="F958" s="38"/>
      <c r="G958" s="130"/>
      <c r="H958" s="28"/>
      <c r="I958" s="28"/>
      <c r="J958" s="28"/>
      <c r="K958" s="28"/>
      <c r="L958" s="28"/>
      <c r="M958" s="28"/>
      <c r="N958" s="28"/>
      <c r="O958" s="28"/>
      <c r="P958" s="28"/>
      <c r="Q958" s="28"/>
      <c r="R958" s="28"/>
      <c r="S958" s="28"/>
      <c r="T958" s="28"/>
      <c r="U958" s="28"/>
      <c r="V958" s="28"/>
      <c r="W958" s="28"/>
      <c r="X958" s="28"/>
      <c r="Y958" s="28"/>
      <c r="Z958" s="28"/>
    </row>
    <row r="959" ht="15.75" customHeight="1">
      <c r="A959" s="125"/>
      <c r="B959" s="125"/>
      <c r="C959" s="125"/>
      <c r="D959" s="37"/>
      <c r="E959" s="37"/>
      <c r="F959" s="38"/>
      <c r="G959" s="130"/>
      <c r="H959" s="28"/>
      <c r="I959" s="28"/>
      <c r="J959" s="28"/>
      <c r="K959" s="28"/>
      <c r="L959" s="28"/>
      <c r="M959" s="28"/>
      <c r="N959" s="28"/>
      <c r="O959" s="28"/>
      <c r="P959" s="28"/>
      <c r="Q959" s="28"/>
      <c r="R959" s="28"/>
      <c r="S959" s="28"/>
      <c r="T959" s="28"/>
      <c r="U959" s="28"/>
      <c r="V959" s="28"/>
      <c r="W959" s="28"/>
      <c r="X959" s="28"/>
      <c r="Y959" s="28"/>
      <c r="Z959" s="28"/>
    </row>
    <row r="960" ht="15.75" customHeight="1">
      <c r="A960" s="125"/>
      <c r="B960" s="125"/>
      <c r="C960" s="125"/>
      <c r="D960" s="37"/>
      <c r="E960" s="37"/>
      <c r="F960" s="38"/>
      <c r="G960" s="130"/>
      <c r="H960" s="28"/>
      <c r="I960" s="28"/>
      <c r="J960" s="28"/>
      <c r="K960" s="28"/>
      <c r="L960" s="28"/>
      <c r="M960" s="28"/>
      <c r="N960" s="28"/>
      <c r="O960" s="28"/>
      <c r="P960" s="28"/>
      <c r="Q960" s="28"/>
      <c r="R960" s="28"/>
      <c r="S960" s="28"/>
      <c r="T960" s="28"/>
      <c r="U960" s="28"/>
      <c r="V960" s="28"/>
      <c r="W960" s="28"/>
      <c r="X960" s="28"/>
      <c r="Y960" s="28"/>
      <c r="Z960" s="28"/>
    </row>
    <row r="961" ht="15.75" customHeight="1">
      <c r="A961" s="125"/>
      <c r="B961" s="125"/>
      <c r="C961" s="125"/>
      <c r="D961" s="37"/>
      <c r="E961" s="37"/>
      <c r="F961" s="38"/>
      <c r="G961" s="130"/>
      <c r="H961" s="28"/>
      <c r="I961" s="28"/>
      <c r="J961" s="28"/>
      <c r="K961" s="28"/>
      <c r="L961" s="28"/>
      <c r="M961" s="28"/>
      <c r="N961" s="28"/>
      <c r="O961" s="28"/>
      <c r="P961" s="28"/>
      <c r="Q961" s="28"/>
      <c r="R961" s="28"/>
      <c r="S961" s="28"/>
      <c r="T961" s="28"/>
      <c r="U961" s="28"/>
      <c r="V961" s="28"/>
      <c r="W961" s="28"/>
      <c r="X961" s="28"/>
      <c r="Y961" s="28"/>
      <c r="Z961" s="28"/>
    </row>
    <row r="962" ht="15.75" customHeight="1">
      <c r="A962" s="125"/>
      <c r="B962" s="125"/>
      <c r="C962" s="125"/>
      <c r="D962" s="37"/>
      <c r="E962" s="37"/>
      <c r="F962" s="38"/>
      <c r="G962" s="130"/>
      <c r="H962" s="28"/>
      <c r="I962" s="28"/>
      <c r="J962" s="28"/>
      <c r="K962" s="28"/>
      <c r="L962" s="28"/>
      <c r="M962" s="28"/>
      <c r="N962" s="28"/>
      <c r="O962" s="28"/>
      <c r="P962" s="28"/>
      <c r="Q962" s="28"/>
      <c r="R962" s="28"/>
      <c r="S962" s="28"/>
      <c r="T962" s="28"/>
      <c r="U962" s="28"/>
      <c r="V962" s="28"/>
      <c r="W962" s="28"/>
      <c r="X962" s="28"/>
      <c r="Y962" s="28"/>
      <c r="Z962" s="28"/>
    </row>
    <row r="963" ht="15.75" customHeight="1">
      <c r="A963" s="125"/>
      <c r="B963" s="125"/>
      <c r="C963" s="125"/>
      <c r="D963" s="37"/>
      <c r="E963" s="37"/>
      <c r="F963" s="38"/>
      <c r="G963" s="130"/>
      <c r="H963" s="28"/>
      <c r="I963" s="28"/>
      <c r="J963" s="28"/>
      <c r="K963" s="28"/>
      <c r="L963" s="28"/>
      <c r="M963" s="28"/>
      <c r="N963" s="28"/>
      <c r="O963" s="28"/>
      <c r="P963" s="28"/>
      <c r="Q963" s="28"/>
      <c r="R963" s="28"/>
      <c r="S963" s="28"/>
      <c r="T963" s="28"/>
      <c r="U963" s="28"/>
      <c r="V963" s="28"/>
      <c r="W963" s="28"/>
      <c r="X963" s="28"/>
      <c r="Y963" s="28"/>
      <c r="Z963" s="28"/>
    </row>
    <row r="964" ht="15.75" customHeight="1">
      <c r="A964" s="125"/>
      <c r="B964" s="125"/>
      <c r="C964" s="125"/>
      <c r="D964" s="37"/>
      <c r="E964" s="37"/>
      <c r="F964" s="38"/>
      <c r="G964" s="130"/>
      <c r="H964" s="28"/>
      <c r="I964" s="28"/>
      <c r="J964" s="28"/>
      <c r="K964" s="28"/>
      <c r="L964" s="28"/>
      <c r="M964" s="28"/>
      <c r="N964" s="28"/>
      <c r="O964" s="28"/>
      <c r="P964" s="28"/>
      <c r="Q964" s="28"/>
      <c r="R964" s="28"/>
      <c r="S964" s="28"/>
      <c r="T964" s="28"/>
      <c r="U964" s="28"/>
      <c r="V964" s="28"/>
      <c r="W964" s="28"/>
      <c r="X964" s="28"/>
      <c r="Y964" s="28"/>
      <c r="Z964" s="28"/>
    </row>
    <row r="965" ht="15.75" customHeight="1">
      <c r="A965" s="125"/>
      <c r="B965" s="125"/>
      <c r="C965" s="125"/>
      <c r="D965" s="37"/>
      <c r="E965" s="37"/>
      <c r="F965" s="38"/>
      <c r="G965" s="130"/>
      <c r="H965" s="28"/>
      <c r="I965" s="28"/>
      <c r="J965" s="28"/>
      <c r="K965" s="28"/>
      <c r="L965" s="28"/>
      <c r="M965" s="28"/>
      <c r="N965" s="28"/>
      <c r="O965" s="28"/>
      <c r="P965" s="28"/>
      <c r="Q965" s="28"/>
      <c r="R965" s="28"/>
      <c r="S965" s="28"/>
      <c r="T965" s="28"/>
      <c r="U965" s="28"/>
      <c r="V965" s="28"/>
      <c r="W965" s="28"/>
      <c r="X965" s="28"/>
      <c r="Y965" s="28"/>
      <c r="Z965" s="28"/>
    </row>
    <row r="966" ht="15.75" customHeight="1">
      <c r="A966" s="125"/>
      <c r="B966" s="125"/>
      <c r="C966" s="125"/>
      <c r="D966" s="37"/>
      <c r="E966" s="37"/>
      <c r="F966" s="38"/>
      <c r="G966" s="130"/>
      <c r="H966" s="28"/>
      <c r="I966" s="28"/>
      <c r="J966" s="28"/>
      <c r="K966" s="28"/>
      <c r="L966" s="28"/>
      <c r="M966" s="28"/>
      <c r="N966" s="28"/>
      <c r="O966" s="28"/>
      <c r="P966" s="28"/>
      <c r="Q966" s="28"/>
      <c r="R966" s="28"/>
      <c r="S966" s="28"/>
      <c r="T966" s="28"/>
      <c r="U966" s="28"/>
      <c r="V966" s="28"/>
      <c r="W966" s="28"/>
      <c r="X966" s="28"/>
      <c r="Y966" s="28"/>
      <c r="Z966" s="28"/>
    </row>
    <row r="967" ht="15.75" customHeight="1">
      <c r="A967" s="125"/>
      <c r="B967" s="125"/>
      <c r="C967" s="125"/>
      <c r="D967" s="37"/>
      <c r="E967" s="37"/>
      <c r="F967" s="38"/>
      <c r="G967" s="130"/>
      <c r="H967" s="28"/>
      <c r="I967" s="28"/>
      <c r="J967" s="28"/>
      <c r="K967" s="28"/>
      <c r="L967" s="28"/>
      <c r="M967" s="28"/>
      <c r="N967" s="28"/>
      <c r="O967" s="28"/>
      <c r="P967" s="28"/>
      <c r="Q967" s="28"/>
      <c r="R967" s="28"/>
      <c r="S967" s="28"/>
      <c r="T967" s="28"/>
      <c r="U967" s="28"/>
      <c r="V967" s="28"/>
      <c r="W967" s="28"/>
      <c r="X967" s="28"/>
      <c r="Y967" s="28"/>
      <c r="Z967" s="28"/>
    </row>
    <row r="968" ht="15.75" customHeight="1">
      <c r="A968" s="125"/>
      <c r="B968" s="125"/>
      <c r="C968" s="125"/>
      <c r="D968" s="37"/>
      <c r="E968" s="37"/>
      <c r="F968" s="38"/>
      <c r="G968" s="130"/>
      <c r="H968" s="28"/>
      <c r="I968" s="28"/>
      <c r="J968" s="28"/>
      <c r="K968" s="28"/>
      <c r="L968" s="28"/>
      <c r="M968" s="28"/>
      <c r="N968" s="28"/>
      <c r="O968" s="28"/>
      <c r="P968" s="28"/>
      <c r="Q968" s="28"/>
      <c r="R968" s="28"/>
      <c r="S968" s="28"/>
      <c r="T968" s="28"/>
      <c r="U968" s="28"/>
      <c r="V968" s="28"/>
      <c r="W968" s="28"/>
      <c r="X968" s="28"/>
      <c r="Y968" s="28"/>
      <c r="Z968" s="28"/>
    </row>
    <row r="969" ht="15.75" customHeight="1">
      <c r="A969" s="125"/>
      <c r="B969" s="125"/>
      <c r="C969" s="125"/>
      <c r="D969" s="37"/>
      <c r="E969" s="37"/>
      <c r="F969" s="38"/>
      <c r="G969" s="130"/>
      <c r="H969" s="28"/>
      <c r="I969" s="28"/>
      <c r="J969" s="28"/>
      <c r="K969" s="28"/>
      <c r="L969" s="28"/>
      <c r="M969" s="28"/>
      <c r="N969" s="28"/>
      <c r="O969" s="28"/>
      <c r="P969" s="28"/>
      <c r="Q969" s="28"/>
      <c r="R969" s="28"/>
      <c r="S969" s="28"/>
      <c r="T969" s="28"/>
      <c r="U969" s="28"/>
      <c r="V969" s="28"/>
      <c r="W969" s="28"/>
      <c r="X969" s="28"/>
      <c r="Y969" s="28"/>
      <c r="Z969" s="28"/>
    </row>
    <row r="970" ht="15.75" customHeight="1">
      <c r="A970" s="125"/>
      <c r="B970" s="125"/>
      <c r="C970" s="125"/>
      <c r="D970" s="37"/>
      <c r="E970" s="37"/>
      <c r="F970" s="38"/>
      <c r="G970" s="130"/>
      <c r="H970" s="28"/>
      <c r="I970" s="28"/>
      <c r="J970" s="28"/>
      <c r="K970" s="28"/>
      <c r="L970" s="28"/>
      <c r="M970" s="28"/>
      <c r="N970" s="28"/>
      <c r="O970" s="28"/>
      <c r="P970" s="28"/>
      <c r="Q970" s="28"/>
      <c r="R970" s="28"/>
      <c r="S970" s="28"/>
      <c r="T970" s="28"/>
      <c r="U970" s="28"/>
      <c r="V970" s="28"/>
      <c r="W970" s="28"/>
      <c r="X970" s="28"/>
      <c r="Y970" s="28"/>
      <c r="Z970" s="28"/>
    </row>
    <row r="971" ht="15.75" customHeight="1">
      <c r="A971" s="125"/>
      <c r="B971" s="125"/>
      <c r="C971" s="125"/>
      <c r="D971" s="37"/>
      <c r="E971" s="37"/>
      <c r="F971" s="38"/>
      <c r="G971" s="130"/>
      <c r="H971" s="28"/>
      <c r="I971" s="28"/>
      <c r="J971" s="28"/>
      <c r="K971" s="28"/>
      <c r="L971" s="28"/>
      <c r="M971" s="28"/>
      <c r="N971" s="28"/>
      <c r="O971" s="28"/>
      <c r="P971" s="28"/>
      <c r="Q971" s="28"/>
      <c r="R971" s="28"/>
      <c r="S971" s="28"/>
      <c r="T971" s="28"/>
      <c r="U971" s="28"/>
      <c r="V971" s="28"/>
      <c r="W971" s="28"/>
      <c r="X971" s="28"/>
      <c r="Y971" s="28"/>
      <c r="Z971" s="28"/>
    </row>
    <row r="972" ht="15.75" customHeight="1">
      <c r="A972" s="125"/>
      <c r="B972" s="125"/>
      <c r="C972" s="125"/>
      <c r="D972" s="37"/>
      <c r="E972" s="37"/>
      <c r="F972" s="38"/>
      <c r="G972" s="130"/>
      <c r="H972" s="28"/>
      <c r="I972" s="28"/>
      <c r="J972" s="28"/>
      <c r="K972" s="28"/>
      <c r="L972" s="28"/>
      <c r="M972" s="28"/>
      <c r="N972" s="28"/>
      <c r="O972" s="28"/>
      <c r="P972" s="28"/>
      <c r="Q972" s="28"/>
      <c r="R972" s="28"/>
      <c r="S972" s="28"/>
      <c r="T972" s="28"/>
      <c r="U972" s="28"/>
      <c r="V972" s="28"/>
      <c r="W972" s="28"/>
      <c r="X972" s="28"/>
      <c r="Y972" s="28"/>
      <c r="Z972" s="28"/>
    </row>
    <row r="973" ht="15.75" customHeight="1">
      <c r="A973" s="125"/>
      <c r="B973" s="125"/>
      <c r="C973" s="125"/>
      <c r="D973" s="37"/>
      <c r="E973" s="37"/>
      <c r="F973" s="38"/>
      <c r="G973" s="130"/>
      <c r="H973" s="28"/>
      <c r="I973" s="28"/>
      <c r="J973" s="28"/>
      <c r="K973" s="28"/>
      <c r="L973" s="28"/>
      <c r="M973" s="28"/>
      <c r="N973" s="28"/>
      <c r="O973" s="28"/>
      <c r="P973" s="28"/>
      <c r="Q973" s="28"/>
      <c r="R973" s="28"/>
      <c r="S973" s="28"/>
      <c r="T973" s="28"/>
      <c r="U973" s="28"/>
      <c r="V973" s="28"/>
      <c r="W973" s="28"/>
      <c r="X973" s="28"/>
      <c r="Y973" s="28"/>
      <c r="Z973" s="28"/>
    </row>
    <row r="974" ht="15.75" customHeight="1">
      <c r="A974" s="125"/>
      <c r="B974" s="125"/>
      <c r="C974" s="125"/>
      <c r="D974" s="37"/>
      <c r="E974" s="37"/>
      <c r="F974" s="38"/>
      <c r="G974" s="130"/>
      <c r="H974" s="28"/>
      <c r="I974" s="28"/>
      <c r="J974" s="28"/>
      <c r="K974" s="28"/>
      <c r="L974" s="28"/>
      <c r="M974" s="28"/>
      <c r="N974" s="28"/>
      <c r="O974" s="28"/>
      <c r="P974" s="28"/>
      <c r="Q974" s="28"/>
      <c r="R974" s="28"/>
      <c r="S974" s="28"/>
      <c r="T974" s="28"/>
      <c r="U974" s="28"/>
      <c r="V974" s="28"/>
      <c r="W974" s="28"/>
      <c r="X974" s="28"/>
      <c r="Y974" s="28"/>
      <c r="Z974" s="28"/>
    </row>
    <row r="975" ht="15.75" customHeight="1">
      <c r="A975" s="125"/>
      <c r="B975" s="125"/>
      <c r="C975" s="125"/>
      <c r="D975" s="37"/>
      <c r="E975" s="37"/>
      <c r="F975" s="38"/>
      <c r="G975" s="130"/>
      <c r="H975" s="28"/>
      <c r="I975" s="28"/>
      <c r="J975" s="28"/>
      <c r="K975" s="28"/>
      <c r="L975" s="28"/>
      <c r="M975" s="28"/>
      <c r="N975" s="28"/>
      <c r="O975" s="28"/>
      <c r="P975" s="28"/>
      <c r="Q975" s="28"/>
      <c r="R975" s="28"/>
      <c r="S975" s="28"/>
      <c r="T975" s="28"/>
      <c r="U975" s="28"/>
      <c r="V975" s="28"/>
      <c r="W975" s="28"/>
      <c r="X975" s="28"/>
      <c r="Y975" s="28"/>
      <c r="Z975" s="28"/>
    </row>
    <row r="976" ht="15.75" customHeight="1">
      <c r="A976" s="125"/>
      <c r="B976" s="125"/>
      <c r="C976" s="125"/>
      <c r="D976" s="37"/>
      <c r="E976" s="37"/>
      <c r="F976" s="38"/>
      <c r="G976" s="130"/>
      <c r="H976" s="28"/>
      <c r="I976" s="28"/>
      <c r="J976" s="28"/>
      <c r="K976" s="28"/>
      <c r="L976" s="28"/>
      <c r="M976" s="28"/>
      <c r="N976" s="28"/>
      <c r="O976" s="28"/>
      <c r="P976" s="28"/>
      <c r="Q976" s="28"/>
      <c r="R976" s="28"/>
      <c r="S976" s="28"/>
      <c r="T976" s="28"/>
      <c r="U976" s="28"/>
      <c r="V976" s="28"/>
      <c r="W976" s="28"/>
      <c r="X976" s="28"/>
      <c r="Y976" s="28"/>
      <c r="Z976" s="28"/>
    </row>
    <row r="977" ht="15.75" customHeight="1">
      <c r="A977" s="125"/>
      <c r="B977" s="125"/>
      <c r="C977" s="125"/>
      <c r="D977" s="37"/>
      <c r="E977" s="37"/>
      <c r="F977" s="38"/>
      <c r="G977" s="130"/>
      <c r="H977" s="28"/>
      <c r="I977" s="28"/>
      <c r="J977" s="28"/>
      <c r="K977" s="28"/>
      <c r="L977" s="28"/>
      <c r="M977" s="28"/>
      <c r="N977" s="28"/>
      <c r="O977" s="28"/>
      <c r="P977" s="28"/>
      <c r="Q977" s="28"/>
      <c r="R977" s="28"/>
      <c r="S977" s="28"/>
      <c r="T977" s="28"/>
      <c r="U977" s="28"/>
      <c r="V977" s="28"/>
      <c r="W977" s="28"/>
      <c r="X977" s="28"/>
      <c r="Y977" s="28"/>
      <c r="Z977" s="28"/>
    </row>
    <row r="978" ht="15.75" customHeight="1">
      <c r="A978" s="125"/>
      <c r="B978" s="125"/>
      <c r="C978" s="125"/>
      <c r="D978" s="37"/>
      <c r="E978" s="37"/>
      <c r="F978" s="38"/>
      <c r="G978" s="130"/>
      <c r="H978" s="28"/>
      <c r="I978" s="28"/>
      <c r="J978" s="28"/>
      <c r="K978" s="28"/>
      <c r="L978" s="28"/>
      <c r="M978" s="28"/>
      <c r="N978" s="28"/>
      <c r="O978" s="28"/>
      <c r="P978" s="28"/>
      <c r="Q978" s="28"/>
      <c r="R978" s="28"/>
      <c r="S978" s="28"/>
      <c r="T978" s="28"/>
      <c r="U978" s="28"/>
      <c r="V978" s="28"/>
      <c r="W978" s="28"/>
      <c r="X978" s="28"/>
      <c r="Y978" s="28"/>
      <c r="Z978" s="28"/>
    </row>
    <row r="979" ht="15.75" customHeight="1">
      <c r="A979" s="125"/>
      <c r="B979" s="125"/>
      <c r="C979" s="125"/>
      <c r="D979" s="37"/>
      <c r="E979" s="37"/>
      <c r="F979" s="38"/>
      <c r="G979" s="130"/>
      <c r="H979" s="28"/>
      <c r="I979" s="28"/>
      <c r="J979" s="28"/>
      <c r="K979" s="28"/>
      <c r="L979" s="28"/>
      <c r="M979" s="28"/>
      <c r="N979" s="28"/>
      <c r="O979" s="28"/>
      <c r="P979" s="28"/>
      <c r="Q979" s="28"/>
      <c r="R979" s="28"/>
      <c r="S979" s="28"/>
      <c r="T979" s="28"/>
      <c r="U979" s="28"/>
      <c r="V979" s="28"/>
      <c r="W979" s="28"/>
      <c r="X979" s="28"/>
      <c r="Y979" s="28"/>
      <c r="Z979" s="28"/>
    </row>
    <row r="980" ht="15.75" customHeight="1">
      <c r="A980" s="125"/>
      <c r="B980" s="125"/>
      <c r="C980" s="125"/>
      <c r="D980" s="37"/>
      <c r="E980" s="37"/>
      <c r="F980" s="38"/>
      <c r="G980" s="130"/>
      <c r="H980" s="28"/>
      <c r="I980" s="28"/>
      <c r="J980" s="28"/>
      <c r="K980" s="28"/>
      <c r="L980" s="28"/>
      <c r="M980" s="28"/>
      <c r="N980" s="28"/>
      <c r="O980" s="28"/>
      <c r="P980" s="28"/>
      <c r="Q980" s="28"/>
      <c r="R980" s="28"/>
      <c r="S980" s="28"/>
      <c r="T980" s="28"/>
      <c r="U980" s="28"/>
      <c r="V980" s="28"/>
      <c r="W980" s="28"/>
      <c r="X980" s="28"/>
      <c r="Y980" s="28"/>
      <c r="Z980" s="28"/>
    </row>
    <row r="981" ht="15.75" customHeight="1">
      <c r="A981" s="125"/>
      <c r="B981" s="125"/>
      <c r="C981" s="125"/>
      <c r="D981" s="37"/>
      <c r="E981" s="37"/>
      <c r="F981" s="38"/>
      <c r="G981" s="130"/>
      <c r="H981" s="28"/>
      <c r="I981" s="28"/>
      <c r="J981" s="28"/>
      <c r="K981" s="28"/>
      <c r="L981" s="28"/>
      <c r="M981" s="28"/>
      <c r="N981" s="28"/>
      <c r="O981" s="28"/>
      <c r="P981" s="28"/>
      <c r="Q981" s="28"/>
      <c r="R981" s="28"/>
      <c r="S981" s="28"/>
      <c r="T981" s="28"/>
      <c r="U981" s="28"/>
      <c r="V981" s="28"/>
      <c r="W981" s="28"/>
      <c r="X981" s="28"/>
      <c r="Y981" s="28"/>
      <c r="Z981" s="28"/>
    </row>
    <row r="982" ht="15.75" customHeight="1">
      <c r="A982" s="125"/>
      <c r="B982" s="125"/>
      <c r="C982" s="125"/>
      <c r="D982" s="37"/>
      <c r="E982" s="37"/>
      <c r="F982" s="38"/>
      <c r="G982" s="130"/>
      <c r="H982" s="28"/>
      <c r="I982" s="28"/>
      <c r="J982" s="28"/>
      <c r="K982" s="28"/>
      <c r="L982" s="28"/>
      <c r="M982" s="28"/>
      <c r="N982" s="28"/>
      <c r="O982" s="28"/>
      <c r="P982" s="28"/>
      <c r="Q982" s="28"/>
      <c r="R982" s="28"/>
      <c r="S982" s="28"/>
      <c r="T982" s="28"/>
      <c r="U982" s="28"/>
      <c r="V982" s="28"/>
      <c r="W982" s="28"/>
      <c r="X982" s="28"/>
      <c r="Y982" s="28"/>
      <c r="Z982" s="28"/>
    </row>
    <row r="983" ht="15.75" customHeight="1">
      <c r="A983" s="125"/>
      <c r="B983" s="125"/>
      <c r="C983" s="125"/>
      <c r="D983" s="37"/>
      <c r="E983" s="37"/>
      <c r="F983" s="38"/>
      <c r="G983" s="130"/>
      <c r="H983" s="28"/>
      <c r="I983" s="28"/>
      <c r="J983" s="28"/>
      <c r="K983" s="28"/>
      <c r="L983" s="28"/>
      <c r="M983" s="28"/>
      <c r="N983" s="28"/>
      <c r="O983" s="28"/>
      <c r="P983" s="28"/>
      <c r="Q983" s="28"/>
      <c r="R983" s="28"/>
      <c r="S983" s="28"/>
      <c r="T983" s="28"/>
      <c r="U983" s="28"/>
      <c r="V983" s="28"/>
      <c r="W983" s="28"/>
      <c r="X983" s="28"/>
      <c r="Y983" s="28"/>
      <c r="Z983" s="28"/>
    </row>
    <row r="984" ht="15.75" customHeight="1">
      <c r="A984" s="125"/>
      <c r="B984" s="125"/>
      <c r="C984" s="125"/>
      <c r="D984" s="37"/>
      <c r="E984" s="37"/>
      <c r="F984" s="38"/>
      <c r="G984" s="130"/>
      <c r="H984" s="28"/>
      <c r="I984" s="28"/>
      <c r="J984" s="28"/>
      <c r="K984" s="28"/>
      <c r="L984" s="28"/>
      <c r="M984" s="28"/>
      <c r="N984" s="28"/>
      <c r="O984" s="28"/>
      <c r="P984" s="28"/>
      <c r="Q984" s="28"/>
      <c r="R984" s="28"/>
      <c r="S984" s="28"/>
      <c r="T984" s="28"/>
      <c r="U984" s="28"/>
      <c r="V984" s="28"/>
      <c r="W984" s="28"/>
      <c r="X984" s="28"/>
      <c r="Y984" s="28"/>
      <c r="Z984" s="28"/>
    </row>
    <row r="985" ht="15.75" customHeight="1">
      <c r="A985" s="125"/>
      <c r="B985" s="125"/>
      <c r="C985" s="125"/>
      <c r="D985" s="37"/>
      <c r="E985" s="37"/>
      <c r="F985" s="38"/>
      <c r="G985" s="130"/>
      <c r="H985" s="28"/>
      <c r="I985" s="28"/>
      <c r="J985" s="28"/>
      <c r="K985" s="28"/>
      <c r="L985" s="28"/>
      <c r="M985" s="28"/>
      <c r="N985" s="28"/>
      <c r="O985" s="28"/>
      <c r="P985" s="28"/>
      <c r="Q985" s="28"/>
      <c r="R985" s="28"/>
      <c r="S985" s="28"/>
      <c r="T985" s="28"/>
      <c r="U985" s="28"/>
      <c r="V985" s="28"/>
      <c r="W985" s="28"/>
      <c r="X985" s="28"/>
      <c r="Y985" s="28"/>
      <c r="Z985" s="28"/>
    </row>
    <row r="986" ht="15.75" customHeight="1">
      <c r="A986" s="125"/>
      <c r="B986" s="125"/>
      <c r="C986" s="125"/>
      <c r="D986" s="37"/>
      <c r="E986" s="37"/>
      <c r="F986" s="38"/>
      <c r="G986" s="130"/>
      <c r="H986" s="28"/>
      <c r="I986" s="28"/>
      <c r="J986" s="28"/>
      <c r="K986" s="28"/>
      <c r="L986" s="28"/>
      <c r="M986" s="28"/>
      <c r="N986" s="28"/>
      <c r="O986" s="28"/>
      <c r="P986" s="28"/>
      <c r="Q986" s="28"/>
      <c r="R986" s="28"/>
      <c r="S986" s="28"/>
      <c r="T986" s="28"/>
      <c r="U986" s="28"/>
      <c r="V986" s="28"/>
      <c r="W986" s="28"/>
      <c r="X986" s="28"/>
      <c r="Y986" s="28"/>
      <c r="Z986" s="28"/>
    </row>
    <row r="987" ht="15.75" customHeight="1">
      <c r="A987" s="125"/>
      <c r="B987" s="125"/>
      <c r="C987" s="125"/>
      <c r="D987" s="37"/>
      <c r="E987" s="37"/>
      <c r="F987" s="38"/>
      <c r="G987" s="130"/>
      <c r="H987" s="28"/>
      <c r="I987" s="28"/>
      <c r="J987" s="28"/>
      <c r="K987" s="28"/>
      <c r="L987" s="28"/>
      <c r="M987" s="28"/>
      <c r="N987" s="28"/>
      <c r="O987" s="28"/>
      <c r="P987" s="28"/>
      <c r="Q987" s="28"/>
      <c r="R987" s="28"/>
      <c r="S987" s="28"/>
      <c r="T987" s="28"/>
      <c r="U987" s="28"/>
      <c r="V987" s="28"/>
      <c r="W987" s="28"/>
      <c r="X987" s="28"/>
      <c r="Y987" s="28"/>
      <c r="Z987" s="28"/>
    </row>
    <row r="988" ht="15.75" customHeight="1">
      <c r="A988" s="125"/>
      <c r="B988" s="125"/>
      <c r="C988" s="125"/>
      <c r="D988" s="37"/>
      <c r="E988" s="37"/>
      <c r="F988" s="38"/>
      <c r="G988" s="130"/>
      <c r="H988" s="28"/>
      <c r="I988" s="28"/>
      <c r="J988" s="28"/>
      <c r="K988" s="28"/>
      <c r="L988" s="28"/>
      <c r="M988" s="28"/>
      <c r="N988" s="28"/>
      <c r="O988" s="28"/>
      <c r="P988" s="28"/>
      <c r="Q988" s="28"/>
      <c r="R988" s="28"/>
      <c r="S988" s="28"/>
      <c r="T988" s="28"/>
      <c r="U988" s="28"/>
      <c r="V988" s="28"/>
      <c r="W988" s="28"/>
      <c r="X988" s="28"/>
      <c r="Y988" s="28"/>
      <c r="Z988" s="28"/>
    </row>
    <row r="989" ht="15.75" customHeight="1">
      <c r="A989" s="125"/>
      <c r="B989" s="125"/>
      <c r="C989" s="125"/>
      <c r="D989" s="37"/>
      <c r="E989" s="37"/>
      <c r="F989" s="38"/>
      <c r="G989" s="130"/>
      <c r="H989" s="28"/>
      <c r="I989" s="28"/>
      <c r="J989" s="28"/>
      <c r="K989" s="28"/>
      <c r="L989" s="28"/>
      <c r="M989" s="28"/>
      <c r="N989" s="28"/>
      <c r="O989" s="28"/>
      <c r="P989" s="28"/>
      <c r="Q989" s="28"/>
      <c r="R989" s="28"/>
      <c r="S989" s="28"/>
      <c r="T989" s="28"/>
      <c r="U989" s="28"/>
      <c r="V989" s="28"/>
      <c r="W989" s="28"/>
      <c r="X989" s="28"/>
      <c r="Y989" s="28"/>
      <c r="Z989" s="28"/>
    </row>
    <row r="990" ht="15.75" customHeight="1">
      <c r="A990" s="125"/>
      <c r="B990" s="125"/>
      <c r="C990" s="125"/>
      <c r="D990" s="37"/>
      <c r="E990" s="37"/>
      <c r="F990" s="38"/>
      <c r="G990" s="130"/>
      <c r="H990" s="28"/>
      <c r="I990" s="28"/>
      <c r="J990" s="28"/>
      <c r="K990" s="28"/>
      <c r="L990" s="28"/>
      <c r="M990" s="28"/>
      <c r="N990" s="28"/>
      <c r="O990" s="28"/>
      <c r="P990" s="28"/>
      <c r="Q990" s="28"/>
      <c r="R990" s="28"/>
      <c r="S990" s="28"/>
      <c r="T990" s="28"/>
      <c r="U990" s="28"/>
      <c r="V990" s="28"/>
      <c r="W990" s="28"/>
      <c r="X990" s="28"/>
      <c r="Y990" s="28"/>
      <c r="Z990" s="28"/>
    </row>
    <row r="991" ht="15.75" customHeight="1">
      <c r="A991" s="125"/>
      <c r="B991" s="125"/>
      <c r="C991" s="125"/>
      <c r="D991" s="37"/>
      <c r="E991" s="37"/>
      <c r="F991" s="38"/>
      <c r="G991" s="130"/>
      <c r="H991" s="28"/>
      <c r="I991" s="28"/>
      <c r="J991" s="28"/>
      <c r="K991" s="28"/>
      <c r="L991" s="28"/>
      <c r="M991" s="28"/>
      <c r="N991" s="28"/>
      <c r="O991" s="28"/>
      <c r="P991" s="28"/>
      <c r="Q991" s="28"/>
      <c r="R991" s="28"/>
      <c r="S991" s="28"/>
      <c r="T991" s="28"/>
      <c r="U991" s="28"/>
      <c r="V991" s="28"/>
      <c r="W991" s="28"/>
      <c r="X991" s="28"/>
      <c r="Y991" s="28"/>
      <c r="Z991" s="28"/>
    </row>
    <row r="992" ht="15.75" customHeight="1">
      <c r="A992" s="125"/>
      <c r="B992" s="125"/>
      <c r="C992" s="125"/>
      <c r="D992" s="37"/>
      <c r="E992" s="37"/>
      <c r="F992" s="38"/>
      <c r="G992" s="130"/>
      <c r="H992" s="28"/>
      <c r="I992" s="28"/>
      <c r="J992" s="28"/>
      <c r="K992" s="28"/>
      <c r="L992" s="28"/>
      <c r="M992" s="28"/>
      <c r="N992" s="28"/>
      <c r="O992" s="28"/>
      <c r="P992" s="28"/>
      <c r="Q992" s="28"/>
      <c r="R992" s="28"/>
      <c r="S992" s="28"/>
      <c r="T992" s="28"/>
      <c r="U992" s="28"/>
      <c r="V992" s="28"/>
      <c r="W992" s="28"/>
      <c r="X992" s="28"/>
      <c r="Y992" s="28"/>
      <c r="Z992" s="28"/>
    </row>
    <row r="993" ht="15.75" customHeight="1">
      <c r="A993" s="125"/>
      <c r="B993" s="125"/>
      <c r="C993" s="125"/>
      <c r="D993" s="37"/>
      <c r="E993" s="37"/>
      <c r="F993" s="38"/>
      <c r="G993" s="130"/>
      <c r="H993" s="28"/>
      <c r="I993" s="28"/>
      <c r="J993" s="28"/>
      <c r="K993" s="28"/>
      <c r="L993" s="28"/>
      <c r="M993" s="28"/>
      <c r="N993" s="28"/>
      <c r="O993" s="28"/>
      <c r="P993" s="28"/>
      <c r="Q993" s="28"/>
      <c r="R993" s="28"/>
      <c r="S993" s="28"/>
      <c r="T993" s="28"/>
      <c r="U993" s="28"/>
      <c r="V993" s="28"/>
      <c r="W993" s="28"/>
      <c r="X993" s="28"/>
      <c r="Y993" s="28"/>
      <c r="Z993" s="28"/>
    </row>
    <row r="994" ht="15.75" customHeight="1">
      <c r="A994" s="125"/>
      <c r="B994" s="125"/>
      <c r="C994" s="125"/>
      <c r="D994" s="37"/>
      <c r="E994" s="37"/>
      <c r="F994" s="38"/>
      <c r="G994" s="130"/>
      <c r="H994" s="28"/>
      <c r="I994" s="28"/>
      <c r="J994" s="28"/>
      <c r="K994" s="28"/>
      <c r="L994" s="28"/>
      <c r="M994" s="28"/>
      <c r="N994" s="28"/>
      <c r="O994" s="28"/>
      <c r="P994" s="28"/>
      <c r="Q994" s="28"/>
      <c r="R994" s="28"/>
      <c r="S994" s="28"/>
      <c r="T994" s="28"/>
      <c r="U994" s="28"/>
      <c r="V994" s="28"/>
      <c r="W994" s="28"/>
      <c r="X994" s="28"/>
      <c r="Y994" s="28"/>
      <c r="Z994" s="28"/>
    </row>
    <row r="995" ht="15.75" customHeight="1">
      <c r="A995" s="125"/>
      <c r="B995" s="125"/>
      <c r="C995" s="125"/>
      <c r="D995" s="37"/>
      <c r="E995" s="37"/>
      <c r="F995" s="38"/>
      <c r="G995" s="130"/>
      <c r="H995" s="28"/>
      <c r="I995" s="28"/>
      <c r="J995" s="28"/>
      <c r="K995" s="28"/>
      <c r="L995" s="28"/>
      <c r="M995" s="28"/>
      <c r="N995" s="28"/>
      <c r="O995" s="28"/>
      <c r="P995" s="28"/>
      <c r="Q995" s="28"/>
      <c r="R995" s="28"/>
      <c r="S995" s="28"/>
      <c r="T995" s="28"/>
      <c r="U995" s="28"/>
      <c r="V995" s="28"/>
      <c r="W995" s="28"/>
      <c r="X995" s="28"/>
      <c r="Y995" s="28"/>
      <c r="Z995" s="28"/>
    </row>
    <row r="996" ht="15.75" customHeight="1">
      <c r="A996" s="125"/>
      <c r="B996" s="125"/>
      <c r="C996" s="125"/>
      <c r="D996" s="37"/>
      <c r="E996" s="37"/>
      <c r="F996" s="38"/>
      <c r="G996" s="130"/>
      <c r="H996" s="28"/>
      <c r="I996" s="28"/>
      <c r="J996" s="28"/>
      <c r="K996" s="28"/>
      <c r="L996" s="28"/>
      <c r="M996" s="28"/>
      <c r="N996" s="28"/>
      <c r="O996" s="28"/>
      <c r="P996" s="28"/>
      <c r="Q996" s="28"/>
      <c r="R996" s="28"/>
      <c r="S996" s="28"/>
      <c r="T996" s="28"/>
      <c r="U996" s="28"/>
      <c r="V996" s="28"/>
      <c r="W996" s="28"/>
      <c r="X996" s="28"/>
      <c r="Y996" s="28"/>
      <c r="Z996" s="28"/>
    </row>
    <row r="997" ht="15.75" customHeight="1">
      <c r="A997" s="125"/>
      <c r="B997" s="125"/>
      <c r="C997" s="125"/>
      <c r="D997" s="37"/>
      <c r="E997" s="37"/>
      <c r="F997" s="38"/>
      <c r="G997" s="130"/>
      <c r="H997" s="28"/>
      <c r="I997" s="28"/>
      <c r="J997" s="28"/>
      <c r="K997" s="28"/>
      <c r="L997" s="28"/>
      <c r="M997" s="28"/>
      <c r="N997" s="28"/>
      <c r="O997" s="28"/>
      <c r="P997" s="28"/>
      <c r="Q997" s="28"/>
      <c r="R997" s="28"/>
      <c r="S997" s="28"/>
      <c r="T997" s="28"/>
      <c r="U997" s="28"/>
      <c r="V997" s="28"/>
      <c r="W997" s="28"/>
      <c r="X997" s="28"/>
      <c r="Y997" s="28"/>
      <c r="Z997" s="28"/>
    </row>
    <row r="998" ht="15.75" customHeight="1">
      <c r="A998" s="125"/>
      <c r="B998" s="125"/>
      <c r="C998" s="125"/>
      <c r="D998" s="37"/>
      <c r="E998" s="37"/>
      <c r="F998" s="38"/>
      <c r="G998" s="130"/>
      <c r="H998" s="28"/>
      <c r="I998" s="28"/>
      <c r="J998" s="28"/>
      <c r="K998" s="28"/>
      <c r="L998" s="28"/>
      <c r="M998" s="28"/>
      <c r="N998" s="28"/>
      <c r="O998" s="28"/>
      <c r="P998" s="28"/>
      <c r="Q998" s="28"/>
      <c r="R998" s="28"/>
      <c r="S998" s="28"/>
      <c r="T998" s="28"/>
      <c r="U998" s="28"/>
      <c r="V998" s="28"/>
      <c r="W998" s="28"/>
      <c r="X998" s="28"/>
      <c r="Y998" s="28"/>
      <c r="Z998" s="28"/>
    </row>
    <row r="999" ht="15.75" customHeight="1">
      <c r="A999" s="125"/>
      <c r="B999" s="125"/>
      <c r="C999" s="125"/>
      <c r="D999" s="37"/>
      <c r="E999" s="37"/>
      <c r="F999" s="38"/>
      <c r="G999" s="130"/>
      <c r="H999" s="28"/>
      <c r="I999" s="28"/>
      <c r="J999" s="28"/>
      <c r="K999" s="28"/>
      <c r="L999" s="28"/>
      <c r="M999" s="28"/>
      <c r="N999" s="28"/>
      <c r="O999" s="28"/>
      <c r="P999" s="28"/>
      <c r="Q999" s="28"/>
      <c r="R999" s="28"/>
      <c r="S999" s="28"/>
      <c r="T999" s="28"/>
      <c r="U999" s="28"/>
      <c r="V999" s="28"/>
      <c r="W999" s="28"/>
      <c r="X999" s="28"/>
      <c r="Y999" s="28"/>
      <c r="Z999" s="28"/>
    </row>
    <row r="1000" ht="15.75" customHeight="1">
      <c r="A1000" s="125"/>
      <c r="B1000" s="125"/>
      <c r="C1000" s="125"/>
      <c r="D1000" s="37"/>
      <c r="E1000" s="37"/>
      <c r="F1000" s="38"/>
      <c r="G1000" s="130"/>
      <c r="H1000" s="28"/>
      <c r="I1000" s="28"/>
      <c r="J1000" s="28"/>
      <c r="K1000" s="28"/>
      <c r="L1000" s="28"/>
      <c r="M1000" s="28"/>
      <c r="N1000" s="28"/>
      <c r="O1000" s="28"/>
      <c r="P1000" s="28"/>
      <c r="Q1000" s="28"/>
      <c r="R1000" s="28"/>
      <c r="S1000" s="28"/>
      <c r="T1000" s="28"/>
      <c r="U1000" s="28"/>
      <c r="V1000" s="28"/>
      <c r="W1000" s="28"/>
      <c r="X1000" s="28"/>
      <c r="Y1000" s="28"/>
      <c r="Z1000" s="28"/>
    </row>
    <row r="1001" ht="15.75" customHeight="1">
      <c r="A1001" s="125"/>
      <c r="B1001" s="125"/>
      <c r="C1001" s="125"/>
      <c r="D1001" s="37"/>
      <c r="E1001" s="37"/>
      <c r="F1001" s="38"/>
      <c r="G1001" s="130"/>
      <c r="H1001" s="28"/>
      <c r="I1001" s="28"/>
      <c r="J1001" s="28"/>
      <c r="K1001" s="28"/>
      <c r="L1001" s="28"/>
      <c r="M1001" s="28"/>
      <c r="N1001" s="28"/>
      <c r="O1001" s="28"/>
      <c r="P1001" s="28"/>
      <c r="Q1001" s="28"/>
      <c r="R1001" s="28"/>
      <c r="S1001" s="28"/>
      <c r="T1001" s="28"/>
      <c r="U1001" s="28"/>
      <c r="V1001" s="28"/>
      <c r="W1001" s="28"/>
      <c r="X1001" s="28"/>
      <c r="Y1001" s="28"/>
      <c r="Z1001" s="28"/>
    </row>
    <row r="1002" ht="15.75" customHeight="1">
      <c r="A1002" s="125"/>
      <c r="B1002" s="125"/>
      <c r="C1002" s="125"/>
      <c r="D1002" s="37"/>
      <c r="E1002" s="37"/>
      <c r="F1002" s="38"/>
      <c r="G1002" s="130"/>
      <c r="H1002" s="28"/>
      <c r="I1002" s="28"/>
      <c r="J1002" s="28"/>
      <c r="K1002" s="28"/>
      <c r="L1002" s="28"/>
      <c r="M1002" s="28"/>
      <c r="N1002" s="28"/>
      <c r="O1002" s="28"/>
      <c r="P1002" s="28"/>
      <c r="Q1002" s="28"/>
      <c r="R1002" s="28"/>
      <c r="S1002" s="28"/>
      <c r="T1002" s="28"/>
      <c r="U1002" s="28"/>
      <c r="V1002" s="28"/>
      <c r="W1002" s="28"/>
      <c r="X1002" s="28"/>
      <c r="Y1002" s="28"/>
      <c r="Z1002" s="28"/>
    </row>
    <row r="1003" ht="15.75" customHeight="1">
      <c r="A1003" s="125"/>
      <c r="B1003" s="125"/>
      <c r="C1003" s="125"/>
      <c r="D1003" s="37"/>
      <c r="E1003" s="37"/>
      <c r="F1003" s="38"/>
      <c r="G1003" s="130"/>
      <c r="H1003" s="28"/>
      <c r="I1003" s="28"/>
      <c r="J1003" s="28"/>
      <c r="K1003" s="28"/>
      <c r="L1003" s="28"/>
      <c r="M1003" s="28"/>
      <c r="N1003" s="28"/>
      <c r="O1003" s="28"/>
      <c r="P1003" s="28"/>
      <c r="Q1003" s="28"/>
      <c r="R1003" s="28"/>
      <c r="S1003" s="28"/>
      <c r="T1003" s="28"/>
      <c r="U1003" s="28"/>
      <c r="V1003" s="28"/>
      <c r="W1003" s="28"/>
      <c r="X1003" s="28"/>
      <c r="Y1003" s="28"/>
      <c r="Z1003" s="28"/>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132" t="s">
        <v>29</v>
      </c>
    </row>
    <row r="2" ht="15.75" customHeight="1">
      <c r="A2" s="29" t="s">
        <v>2163</v>
      </c>
      <c r="C2" s="108"/>
      <c r="D2" s="55"/>
      <c r="E2" s="114"/>
      <c r="F2" s="133"/>
      <c r="G2" s="32"/>
    </row>
    <row r="3" ht="15.75" customHeight="1">
      <c r="A3" s="41" t="s">
        <v>1404</v>
      </c>
      <c r="B3" s="42" t="s">
        <v>2164</v>
      </c>
      <c r="C3" s="41" t="s">
        <v>2165</v>
      </c>
      <c r="D3" s="102" t="s">
        <v>448</v>
      </c>
      <c r="E3" s="102" t="s">
        <v>449</v>
      </c>
      <c r="F3" s="84">
        <v>0.21</v>
      </c>
      <c r="G3" s="134" t="s">
        <v>2166</v>
      </c>
    </row>
    <row r="4" ht="15.75" customHeight="1">
      <c r="A4" s="47" t="s">
        <v>1404</v>
      </c>
      <c r="B4" s="48" t="s">
        <v>2167</v>
      </c>
      <c r="C4" s="47" t="s">
        <v>2168</v>
      </c>
      <c r="D4" s="105" t="s">
        <v>448</v>
      </c>
      <c r="E4" s="105" t="s">
        <v>449</v>
      </c>
      <c r="F4" s="38">
        <v>0.21</v>
      </c>
      <c r="G4" s="135" t="s">
        <v>517</v>
      </c>
    </row>
    <row r="5" ht="15.75" customHeight="1">
      <c r="A5" s="41" t="s">
        <v>1404</v>
      </c>
      <c r="B5" s="42" t="s">
        <v>2169</v>
      </c>
      <c r="C5" s="41" t="s">
        <v>2170</v>
      </c>
      <c r="D5" s="102" t="s">
        <v>223</v>
      </c>
      <c r="E5" s="102" t="s">
        <v>224</v>
      </c>
      <c r="F5" s="84">
        <v>0.21</v>
      </c>
      <c r="G5" s="134" t="s">
        <v>2166</v>
      </c>
    </row>
    <row r="6" ht="15.75" customHeight="1">
      <c r="A6" s="47" t="s">
        <v>1404</v>
      </c>
      <c r="B6" s="48" t="s">
        <v>2171</v>
      </c>
      <c r="C6" s="47" t="s">
        <v>2172</v>
      </c>
      <c r="D6" s="105" t="s">
        <v>223</v>
      </c>
      <c r="E6" s="105" t="s">
        <v>224</v>
      </c>
      <c r="F6" s="38">
        <v>0.21</v>
      </c>
      <c r="G6" s="135" t="s">
        <v>517</v>
      </c>
    </row>
    <row r="7" ht="15.75" customHeight="1">
      <c r="A7" s="41" t="s">
        <v>1404</v>
      </c>
      <c r="B7" s="42" t="s">
        <v>2173</v>
      </c>
      <c r="C7" s="41" t="s">
        <v>2174</v>
      </c>
      <c r="D7" s="102" t="s">
        <v>223</v>
      </c>
      <c r="E7" s="102" t="s">
        <v>224</v>
      </c>
      <c r="F7" s="84">
        <v>0.21</v>
      </c>
      <c r="G7" s="134" t="s">
        <v>2166</v>
      </c>
    </row>
    <row r="8" ht="15.75" customHeight="1">
      <c r="A8" s="47" t="s">
        <v>1404</v>
      </c>
      <c r="B8" s="48" t="s">
        <v>2175</v>
      </c>
      <c r="C8" s="47" t="s">
        <v>2176</v>
      </c>
      <c r="D8" s="105" t="s">
        <v>223</v>
      </c>
      <c r="E8" s="105" t="s">
        <v>224</v>
      </c>
      <c r="F8" s="38">
        <v>0.21</v>
      </c>
      <c r="G8" s="135" t="s">
        <v>517</v>
      </c>
    </row>
    <row r="9" ht="15.75" customHeight="1">
      <c r="A9" s="41" t="s">
        <v>1404</v>
      </c>
      <c r="B9" s="42" t="s">
        <v>2177</v>
      </c>
      <c r="C9" s="41" t="s">
        <v>2178</v>
      </c>
      <c r="D9" s="102" t="s">
        <v>961</v>
      </c>
      <c r="E9" s="102" t="s">
        <v>962</v>
      </c>
      <c r="F9" s="84">
        <v>0.21</v>
      </c>
      <c r="G9" s="135" t="s">
        <v>517</v>
      </c>
    </row>
    <row r="10" ht="15.75" customHeight="1">
      <c r="A10" s="47" t="s">
        <v>1404</v>
      </c>
      <c r="B10" s="48" t="s">
        <v>2179</v>
      </c>
      <c r="C10" s="47" t="s">
        <v>2180</v>
      </c>
      <c r="D10" s="105" t="s">
        <v>961</v>
      </c>
      <c r="E10" s="105" t="s">
        <v>962</v>
      </c>
      <c r="F10" s="38">
        <v>0.21</v>
      </c>
      <c r="G10" s="135" t="s">
        <v>517</v>
      </c>
    </row>
    <row r="11" ht="15.75" customHeight="1">
      <c r="A11" s="41" t="s">
        <v>1404</v>
      </c>
      <c r="B11" s="42" t="s">
        <v>2181</v>
      </c>
      <c r="C11" s="41" t="s">
        <v>2182</v>
      </c>
      <c r="D11" s="102" t="s">
        <v>2183</v>
      </c>
      <c r="E11" s="102" t="s">
        <v>2184</v>
      </c>
      <c r="F11" s="84">
        <v>0.21</v>
      </c>
      <c r="G11" s="134" t="s">
        <v>2166</v>
      </c>
    </row>
    <row r="12" ht="15.75" customHeight="1">
      <c r="A12" s="47" t="s">
        <v>1404</v>
      </c>
      <c r="B12" s="48" t="s">
        <v>2185</v>
      </c>
      <c r="C12" s="47" t="s">
        <v>2186</v>
      </c>
      <c r="D12" s="105" t="s">
        <v>256</v>
      </c>
      <c r="E12" s="105" t="s">
        <v>257</v>
      </c>
      <c r="F12" s="38">
        <v>0.21</v>
      </c>
      <c r="G12" s="135" t="s">
        <v>517</v>
      </c>
    </row>
    <row r="13" ht="15.75" customHeight="1">
      <c r="A13" s="41" t="s">
        <v>1404</v>
      </c>
      <c r="B13" s="42" t="s">
        <v>2187</v>
      </c>
      <c r="C13" s="41" t="s">
        <v>2188</v>
      </c>
      <c r="D13" s="102" t="s">
        <v>2183</v>
      </c>
      <c r="E13" s="102" t="s">
        <v>2184</v>
      </c>
      <c r="F13" s="84">
        <v>0.21</v>
      </c>
      <c r="G13" s="135" t="s">
        <v>517</v>
      </c>
    </row>
    <row r="14" ht="15.75" customHeight="1">
      <c r="A14" s="47" t="s">
        <v>1404</v>
      </c>
      <c r="B14" s="48" t="s">
        <v>2189</v>
      </c>
      <c r="C14" s="47" t="s">
        <v>2190</v>
      </c>
      <c r="D14" s="105" t="s">
        <v>256</v>
      </c>
      <c r="E14" s="105" t="s">
        <v>257</v>
      </c>
      <c r="F14" s="38">
        <v>0.21</v>
      </c>
      <c r="G14" s="135" t="s">
        <v>517</v>
      </c>
    </row>
    <row r="15" ht="15.75" customHeight="1">
      <c r="A15" s="41" t="s">
        <v>1404</v>
      </c>
      <c r="B15" s="42" t="s">
        <v>2191</v>
      </c>
      <c r="C15" s="41" t="s">
        <v>2192</v>
      </c>
      <c r="D15" s="102" t="s">
        <v>2193</v>
      </c>
      <c r="E15" s="102" t="s">
        <v>2194</v>
      </c>
      <c r="F15" s="84">
        <v>0.21</v>
      </c>
      <c r="G15" s="136" t="s">
        <v>2195</v>
      </c>
    </row>
    <row r="16" ht="15.75" customHeight="1">
      <c r="A16" s="47" t="s">
        <v>1404</v>
      </c>
      <c r="B16" s="48" t="s">
        <v>2196</v>
      </c>
      <c r="C16" s="47" t="s">
        <v>2197</v>
      </c>
      <c r="D16" s="105" t="s">
        <v>2193</v>
      </c>
      <c r="E16" s="105" t="s">
        <v>2194</v>
      </c>
      <c r="F16" s="38">
        <v>0.21</v>
      </c>
      <c r="G16" s="136" t="s">
        <v>2195</v>
      </c>
    </row>
    <row r="17" ht="15.75" customHeight="1">
      <c r="A17" s="41" t="s">
        <v>1404</v>
      </c>
      <c r="B17" s="42" t="s">
        <v>2198</v>
      </c>
      <c r="C17" s="41" t="s">
        <v>2199</v>
      </c>
      <c r="D17" s="102" t="s">
        <v>2200</v>
      </c>
      <c r="E17" s="102" t="s">
        <v>2201</v>
      </c>
      <c r="F17" s="84">
        <v>0.21</v>
      </c>
      <c r="G17" s="135" t="s">
        <v>517</v>
      </c>
    </row>
    <row r="18" ht="15.75" customHeight="1">
      <c r="A18" s="47" t="s">
        <v>1404</v>
      </c>
      <c r="B18" s="48" t="s">
        <v>2202</v>
      </c>
      <c r="C18" s="47" t="s">
        <v>2203</v>
      </c>
      <c r="D18" s="105" t="s">
        <v>2204</v>
      </c>
      <c r="E18" s="105" t="s">
        <v>2205</v>
      </c>
      <c r="F18" s="38">
        <v>0.21</v>
      </c>
      <c r="G18" s="135" t="s">
        <v>517</v>
      </c>
    </row>
    <row r="19" ht="15.75" customHeight="1">
      <c r="A19" s="41" t="s">
        <v>1404</v>
      </c>
      <c r="B19" s="42" t="s">
        <v>2206</v>
      </c>
      <c r="C19" s="41" t="s">
        <v>2207</v>
      </c>
      <c r="D19" s="102" t="s">
        <v>2208</v>
      </c>
      <c r="E19" s="102" t="s">
        <v>2209</v>
      </c>
      <c r="F19" s="84">
        <v>0.21</v>
      </c>
      <c r="G19" s="134" t="s">
        <v>2166</v>
      </c>
    </row>
    <row r="20" ht="15.75" customHeight="1">
      <c r="A20" s="47" t="s">
        <v>1404</v>
      </c>
      <c r="B20" s="48" t="s">
        <v>2210</v>
      </c>
      <c r="C20" s="47" t="s">
        <v>2211</v>
      </c>
      <c r="D20" s="105" t="s">
        <v>2212</v>
      </c>
      <c r="E20" s="105" t="s">
        <v>2213</v>
      </c>
      <c r="F20" s="38">
        <v>0.21</v>
      </c>
      <c r="G20" s="136" t="s">
        <v>2195</v>
      </c>
    </row>
    <row r="21" ht="15.75" customHeight="1">
      <c r="A21" s="41" t="s">
        <v>1404</v>
      </c>
      <c r="B21" s="42" t="s">
        <v>2214</v>
      </c>
      <c r="C21" s="41" t="s">
        <v>2215</v>
      </c>
      <c r="D21" s="102" t="s">
        <v>2216</v>
      </c>
      <c r="E21" s="102" t="s">
        <v>2217</v>
      </c>
      <c r="F21" s="84">
        <v>0.21</v>
      </c>
      <c r="G21" s="136" t="s">
        <v>2195</v>
      </c>
    </row>
    <row r="22" ht="15.75" customHeight="1">
      <c r="A22" s="29" t="s">
        <v>2218</v>
      </c>
      <c r="C22" s="108"/>
      <c r="D22" s="55"/>
      <c r="E22" s="114"/>
      <c r="F22" s="133"/>
      <c r="G22" s="32"/>
    </row>
    <row r="23" ht="15.75" customHeight="1">
      <c r="A23" s="41" t="s">
        <v>1404</v>
      </c>
      <c r="B23" s="41" t="s">
        <v>2219</v>
      </c>
      <c r="C23" s="41" t="s">
        <v>2220</v>
      </c>
      <c r="D23" s="102" t="s">
        <v>2221</v>
      </c>
      <c r="E23" s="102" t="s">
        <v>2222</v>
      </c>
      <c r="F23" s="84">
        <v>0.21</v>
      </c>
      <c r="G23" s="135" t="s">
        <v>517</v>
      </c>
    </row>
    <row r="24" ht="15.75" customHeight="1">
      <c r="A24" s="47" t="s">
        <v>1404</v>
      </c>
      <c r="B24" s="47" t="s">
        <v>2223</v>
      </c>
      <c r="C24" s="47" t="s">
        <v>2224</v>
      </c>
      <c r="D24" s="105" t="s">
        <v>961</v>
      </c>
      <c r="E24" s="105" t="s">
        <v>962</v>
      </c>
      <c r="F24" s="38">
        <v>0.21</v>
      </c>
      <c r="G24" s="135" t="s">
        <v>517</v>
      </c>
    </row>
    <row r="25" ht="15.75" customHeight="1">
      <c r="A25" s="41" t="s">
        <v>1404</v>
      </c>
      <c r="B25" s="41" t="s">
        <v>2225</v>
      </c>
      <c r="C25" s="41" t="s">
        <v>2226</v>
      </c>
      <c r="D25" s="102" t="s">
        <v>2227</v>
      </c>
      <c r="E25" s="102" t="s">
        <v>2228</v>
      </c>
      <c r="F25" s="84">
        <v>0.21</v>
      </c>
      <c r="G25" s="135" t="s">
        <v>517</v>
      </c>
    </row>
    <row r="26" ht="15.75" customHeight="1">
      <c r="A26" s="29" t="s">
        <v>2229</v>
      </c>
      <c r="C26" s="108"/>
      <c r="D26" s="55"/>
      <c r="E26" s="114"/>
      <c r="F26" s="133"/>
      <c r="G26" s="32"/>
    </row>
    <row r="27" ht="15.75" customHeight="1">
      <c r="A27" s="41" t="s">
        <v>1404</v>
      </c>
      <c r="B27" s="42" t="s">
        <v>2230</v>
      </c>
      <c r="C27" s="41" t="s">
        <v>2231</v>
      </c>
      <c r="D27" s="102" t="s">
        <v>132</v>
      </c>
      <c r="E27" s="102" t="s">
        <v>133</v>
      </c>
      <c r="F27" s="84">
        <v>0.21</v>
      </c>
      <c r="G27" s="137" t="s">
        <v>2232</v>
      </c>
    </row>
    <row r="28" ht="15.75" customHeight="1">
      <c r="A28" s="47" t="s">
        <v>1404</v>
      </c>
      <c r="B28" s="48" t="s">
        <v>2233</v>
      </c>
      <c r="C28" s="47" t="s">
        <v>2234</v>
      </c>
      <c r="D28" s="105" t="s">
        <v>2235</v>
      </c>
      <c r="E28" s="105" t="s">
        <v>2236</v>
      </c>
      <c r="F28" s="38">
        <v>0.21</v>
      </c>
      <c r="G28" s="135" t="s">
        <v>517</v>
      </c>
    </row>
    <row r="29" ht="15.75" customHeight="1">
      <c r="A29" s="41" t="s">
        <v>1404</v>
      </c>
      <c r="B29" s="42" t="s">
        <v>2237</v>
      </c>
      <c r="C29" s="41" t="s">
        <v>2238</v>
      </c>
      <c r="D29" s="102" t="s">
        <v>58</v>
      </c>
      <c r="E29" s="102" t="s">
        <v>59</v>
      </c>
      <c r="F29" s="84">
        <v>0.21</v>
      </c>
      <c r="G29" s="135" t="s">
        <v>517</v>
      </c>
    </row>
    <row r="30" ht="15.75" customHeight="1">
      <c r="A30" s="47" t="s">
        <v>1404</v>
      </c>
      <c r="B30" s="48" t="s">
        <v>2239</v>
      </c>
      <c r="C30" s="47" t="s">
        <v>2240</v>
      </c>
      <c r="D30" s="105" t="s">
        <v>2241</v>
      </c>
      <c r="E30" s="105" t="s">
        <v>2242</v>
      </c>
      <c r="F30" s="38">
        <v>0.21</v>
      </c>
      <c r="G30" s="135" t="s">
        <v>517</v>
      </c>
    </row>
    <row r="31" ht="15.75" customHeight="1">
      <c r="A31" s="29" t="s">
        <v>2243</v>
      </c>
      <c r="C31" s="108"/>
      <c r="D31" s="55"/>
      <c r="E31" s="114"/>
      <c r="F31" s="133"/>
      <c r="G31" s="32"/>
    </row>
    <row r="32" ht="15.75" customHeight="1">
      <c r="A32" s="41" t="s">
        <v>1404</v>
      </c>
      <c r="B32" s="42" t="s">
        <v>2244</v>
      </c>
      <c r="C32" s="41" t="s">
        <v>2245</v>
      </c>
      <c r="D32" s="102" t="s">
        <v>2246</v>
      </c>
      <c r="E32" s="102" t="s">
        <v>2247</v>
      </c>
      <c r="F32" s="84">
        <v>0.21</v>
      </c>
      <c r="G32" s="137" t="s">
        <v>2232</v>
      </c>
    </row>
    <row r="33" ht="15.75" customHeight="1">
      <c r="A33" s="29" t="s">
        <v>30</v>
      </c>
      <c r="C33" s="108"/>
      <c r="D33" s="55"/>
      <c r="E33" s="114"/>
      <c r="F33" s="133"/>
      <c r="G33" s="32"/>
    </row>
    <row r="34" ht="15.75" customHeight="1">
      <c r="A34" s="41" t="s">
        <v>1404</v>
      </c>
      <c r="B34" s="42" t="s">
        <v>2248</v>
      </c>
      <c r="C34" s="41" t="s">
        <v>2249</v>
      </c>
      <c r="D34" s="102" t="s">
        <v>448</v>
      </c>
      <c r="E34" s="102" t="s">
        <v>449</v>
      </c>
      <c r="F34" s="84">
        <v>0.21</v>
      </c>
      <c r="G34" s="134" t="s">
        <v>2166</v>
      </c>
    </row>
    <row r="35" ht="15.75" customHeight="1">
      <c r="A35" s="47" t="s">
        <v>1404</v>
      </c>
      <c r="B35" s="47" t="s">
        <v>2250</v>
      </c>
      <c r="C35" s="47" t="s">
        <v>2251</v>
      </c>
      <c r="D35" s="105" t="s">
        <v>227</v>
      </c>
      <c r="E35" s="105" t="s">
        <v>228</v>
      </c>
      <c r="F35" s="38">
        <v>0.21</v>
      </c>
      <c r="G35" s="135" t="s">
        <v>517</v>
      </c>
    </row>
    <row r="36" ht="15.75" customHeight="1">
      <c r="A36" s="41" t="s">
        <v>1404</v>
      </c>
      <c r="B36" s="42" t="s">
        <v>2252</v>
      </c>
      <c r="C36" s="41" t="s">
        <v>2253</v>
      </c>
      <c r="D36" s="102" t="s">
        <v>509</v>
      </c>
      <c r="E36" s="102" t="s">
        <v>510</v>
      </c>
      <c r="F36" s="84">
        <v>0.21</v>
      </c>
      <c r="G36" s="134" t="s">
        <v>2166</v>
      </c>
    </row>
    <row r="37" ht="15.75" customHeight="1">
      <c r="A37" s="47" t="s">
        <v>1404</v>
      </c>
      <c r="B37" s="47" t="s">
        <v>2254</v>
      </c>
      <c r="C37" s="47" t="s">
        <v>2255</v>
      </c>
      <c r="D37" s="138" t="s">
        <v>2256</v>
      </c>
      <c r="E37" s="105" t="s">
        <v>510</v>
      </c>
      <c r="F37" s="38">
        <v>0.21</v>
      </c>
      <c r="G37" s="135" t="s">
        <v>517</v>
      </c>
    </row>
    <row r="38" ht="15.75" customHeight="1">
      <c r="A38" s="29" t="s">
        <v>2257</v>
      </c>
      <c r="C38" s="108"/>
      <c r="D38" s="55"/>
      <c r="E38" s="55"/>
      <c r="F38" s="139"/>
      <c r="G38" s="32"/>
    </row>
    <row r="39" ht="15.75" customHeight="1">
      <c r="A39" s="41" t="s">
        <v>1404</v>
      </c>
      <c r="B39" s="42" t="s">
        <v>2258</v>
      </c>
      <c r="C39" s="41" t="s">
        <v>2259</v>
      </c>
      <c r="D39" s="102" t="s">
        <v>778</v>
      </c>
      <c r="E39" s="102" t="s">
        <v>779</v>
      </c>
      <c r="F39" s="84">
        <v>0.21</v>
      </c>
      <c r="G39" s="135" t="s">
        <v>517</v>
      </c>
    </row>
    <row r="40" ht="15.75" customHeight="1">
      <c r="A40" s="47" t="s">
        <v>1404</v>
      </c>
      <c r="B40" s="48" t="s">
        <v>2260</v>
      </c>
      <c r="C40" s="47" t="s">
        <v>2261</v>
      </c>
      <c r="D40" s="105" t="s">
        <v>732</v>
      </c>
      <c r="E40" s="105" t="s">
        <v>733</v>
      </c>
      <c r="F40" s="38">
        <v>0.21</v>
      </c>
      <c r="G40" s="135" t="s">
        <v>517</v>
      </c>
    </row>
    <row r="41" ht="15.75" customHeight="1">
      <c r="A41" s="41" t="s">
        <v>1404</v>
      </c>
      <c r="B41" s="42" t="s">
        <v>2262</v>
      </c>
      <c r="C41" s="41" t="s">
        <v>2263</v>
      </c>
      <c r="D41" s="102" t="s">
        <v>778</v>
      </c>
      <c r="E41" s="102" t="s">
        <v>779</v>
      </c>
      <c r="F41" s="84">
        <v>0.21</v>
      </c>
      <c r="G41" s="135" t="s">
        <v>517</v>
      </c>
    </row>
    <row r="42" ht="15.75" customHeight="1">
      <c r="A42" s="47" t="s">
        <v>1404</v>
      </c>
      <c r="B42" s="48" t="s">
        <v>2264</v>
      </c>
      <c r="C42" s="47" t="s">
        <v>2265</v>
      </c>
      <c r="D42" s="105" t="s">
        <v>732</v>
      </c>
      <c r="E42" s="105" t="s">
        <v>733</v>
      </c>
      <c r="F42" s="38">
        <v>0.21</v>
      </c>
      <c r="G42" s="135" t="s">
        <v>517</v>
      </c>
    </row>
    <row r="43" ht="15.75" customHeight="1">
      <c r="A43" s="41" t="s">
        <v>1404</v>
      </c>
      <c r="B43" s="42" t="s">
        <v>2266</v>
      </c>
      <c r="C43" s="41" t="s">
        <v>2267</v>
      </c>
      <c r="D43" s="102" t="s">
        <v>659</v>
      </c>
      <c r="E43" s="102" t="s">
        <v>660</v>
      </c>
      <c r="F43" s="84">
        <v>0.21</v>
      </c>
      <c r="G43" s="135" t="s">
        <v>517</v>
      </c>
    </row>
    <row r="44" ht="15.75" customHeight="1">
      <c r="A44" s="47" t="s">
        <v>1404</v>
      </c>
      <c r="B44" s="48" t="s">
        <v>2268</v>
      </c>
      <c r="C44" s="47" t="s">
        <v>2269</v>
      </c>
      <c r="D44" s="105" t="s">
        <v>732</v>
      </c>
      <c r="E44" s="105" t="s">
        <v>733</v>
      </c>
      <c r="F44" s="38">
        <v>0.21</v>
      </c>
      <c r="G44" s="135" t="s">
        <v>517</v>
      </c>
    </row>
    <row r="45" ht="15.75" customHeight="1">
      <c r="A45" s="41" t="s">
        <v>1404</v>
      </c>
      <c r="B45" s="42" t="s">
        <v>2270</v>
      </c>
      <c r="C45" s="41" t="s">
        <v>2271</v>
      </c>
      <c r="D45" s="102" t="s">
        <v>101</v>
      </c>
      <c r="E45" s="102" t="s">
        <v>102</v>
      </c>
      <c r="F45" s="84">
        <v>0.21</v>
      </c>
      <c r="G45" s="135" t="s">
        <v>517</v>
      </c>
    </row>
    <row r="46" ht="15.75" customHeight="1">
      <c r="A46" s="47" t="s">
        <v>1404</v>
      </c>
      <c r="B46" s="48" t="s">
        <v>2272</v>
      </c>
      <c r="C46" s="47" t="s">
        <v>2273</v>
      </c>
      <c r="D46" s="105" t="s">
        <v>209</v>
      </c>
      <c r="E46" s="105" t="s">
        <v>210</v>
      </c>
      <c r="F46" s="38">
        <v>0.21</v>
      </c>
      <c r="G46" s="135" t="s">
        <v>517</v>
      </c>
    </row>
    <row r="47" ht="15.75" customHeight="1">
      <c r="A47" s="41" t="s">
        <v>1404</v>
      </c>
      <c r="B47" s="42" t="s">
        <v>2274</v>
      </c>
      <c r="C47" s="41" t="s">
        <v>2275</v>
      </c>
      <c r="D47" s="102" t="s">
        <v>101</v>
      </c>
      <c r="E47" s="102" t="s">
        <v>102</v>
      </c>
      <c r="F47" s="84">
        <v>0.21</v>
      </c>
      <c r="G47" s="135" t="s">
        <v>517</v>
      </c>
    </row>
    <row r="48" ht="15.75" customHeight="1">
      <c r="A48" s="47" t="s">
        <v>1404</v>
      </c>
      <c r="B48" s="48" t="s">
        <v>2276</v>
      </c>
      <c r="C48" s="47" t="s">
        <v>2277</v>
      </c>
      <c r="D48" s="105" t="s">
        <v>659</v>
      </c>
      <c r="E48" s="105" t="s">
        <v>660</v>
      </c>
      <c r="F48" s="38">
        <v>0.21</v>
      </c>
      <c r="G48" s="135" t="s">
        <v>517</v>
      </c>
    </row>
    <row r="49" ht="15.75" customHeight="1">
      <c r="A49" s="41" t="s">
        <v>1404</v>
      </c>
      <c r="B49" s="42" t="s">
        <v>2278</v>
      </c>
      <c r="C49" s="41" t="s">
        <v>2279</v>
      </c>
      <c r="D49" s="102" t="s">
        <v>263</v>
      </c>
      <c r="E49" s="102" t="s">
        <v>264</v>
      </c>
      <c r="F49" s="84">
        <v>0.21</v>
      </c>
      <c r="G49" s="135" t="s">
        <v>517</v>
      </c>
    </row>
    <row r="50" ht="15.75" customHeight="1">
      <c r="A50" s="47" t="s">
        <v>1404</v>
      </c>
      <c r="B50" s="48" t="s">
        <v>2280</v>
      </c>
      <c r="C50" s="47" t="s">
        <v>2281</v>
      </c>
      <c r="D50" s="105" t="s">
        <v>2282</v>
      </c>
      <c r="E50" s="105" t="s">
        <v>809</v>
      </c>
      <c r="F50" s="38">
        <v>0.21</v>
      </c>
      <c r="G50" s="135" t="s">
        <v>517</v>
      </c>
    </row>
    <row r="51" ht="15.75" customHeight="1">
      <c r="A51" s="41" t="s">
        <v>1404</v>
      </c>
      <c r="B51" s="42" t="s">
        <v>2283</v>
      </c>
      <c r="C51" s="41" t="s">
        <v>2284</v>
      </c>
      <c r="D51" s="102" t="s">
        <v>941</v>
      </c>
      <c r="E51" s="102" t="s">
        <v>942</v>
      </c>
      <c r="F51" s="84">
        <v>0.21</v>
      </c>
      <c r="G51" s="135" t="s">
        <v>517</v>
      </c>
    </row>
    <row r="52" ht="15.75" customHeight="1">
      <c r="A52" s="47" t="s">
        <v>1404</v>
      </c>
      <c r="B52" s="48" t="s">
        <v>2285</v>
      </c>
      <c r="C52" s="47" t="s">
        <v>2286</v>
      </c>
      <c r="D52" s="105" t="s">
        <v>1485</v>
      </c>
      <c r="E52" s="105" t="s">
        <v>1486</v>
      </c>
      <c r="F52" s="38">
        <v>0.21</v>
      </c>
      <c r="G52" s="135" t="s">
        <v>517</v>
      </c>
    </row>
    <row r="53" ht="15.75" customHeight="1">
      <c r="A53" s="41" t="s">
        <v>1404</v>
      </c>
      <c r="B53" s="42" t="s">
        <v>2287</v>
      </c>
      <c r="C53" s="41" t="s">
        <v>2288</v>
      </c>
      <c r="D53" s="102" t="s">
        <v>941</v>
      </c>
      <c r="E53" s="102" t="s">
        <v>942</v>
      </c>
      <c r="F53" s="84">
        <v>0.21</v>
      </c>
      <c r="G53" s="135" t="s">
        <v>517</v>
      </c>
    </row>
    <row r="54" ht="15.75" customHeight="1">
      <c r="A54" s="47" t="s">
        <v>1404</v>
      </c>
      <c r="B54" s="48" t="s">
        <v>2289</v>
      </c>
      <c r="C54" s="47" t="s">
        <v>2290</v>
      </c>
      <c r="D54" s="105" t="s">
        <v>101</v>
      </c>
      <c r="E54" s="105" t="s">
        <v>102</v>
      </c>
      <c r="F54" s="38">
        <v>0.21</v>
      </c>
      <c r="G54" s="135" t="s">
        <v>517</v>
      </c>
    </row>
    <row r="55" ht="15.75" customHeight="1">
      <c r="A55" s="41" t="s">
        <v>1404</v>
      </c>
      <c r="B55" s="42" t="s">
        <v>2291</v>
      </c>
      <c r="C55" s="41" t="s">
        <v>328</v>
      </c>
      <c r="D55" s="102" t="s">
        <v>101</v>
      </c>
      <c r="E55" s="102" t="s">
        <v>102</v>
      </c>
      <c r="F55" s="84">
        <v>0.21</v>
      </c>
      <c r="G55" s="135" t="s">
        <v>517</v>
      </c>
    </row>
    <row r="56" ht="15.75" customHeight="1">
      <c r="A56" s="47" t="s">
        <v>1404</v>
      </c>
      <c r="B56" s="48" t="s">
        <v>2292</v>
      </c>
      <c r="C56" s="47" t="s">
        <v>2293</v>
      </c>
      <c r="D56" s="105" t="s">
        <v>1205</v>
      </c>
      <c r="E56" s="105" t="s">
        <v>1206</v>
      </c>
      <c r="F56" s="38">
        <v>0.21</v>
      </c>
      <c r="G56" s="135" t="s">
        <v>517</v>
      </c>
    </row>
    <row r="57" ht="15.75" customHeight="1">
      <c r="A57" s="41" t="s">
        <v>1404</v>
      </c>
      <c r="B57" s="42" t="s">
        <v>2294</v>
      </c>
      <c r="C57" s="41" t="s">
        <v>2295</v>
      </c>
      <c r="D57" s="102" t="s">
        <v>155</v>
      </c>
      <c r="E57" s="102" t="s">
        <v>156</v>
      </c>
      <c r="F57" s="84">
        <v>0.21</v>
      </c>
      <c r="G57" s="135" t="s">
        <v>517</v>
      </c>
    </row>
    <row r="58" ht="15.75" customHeight="1">
      <c r="A58" s="47" t="s">
        <v>1404</v>
      </c>
      <c r="B58" s="48" t="s">
        <v>2296</v>
      </c>
      <c r="C58" s="47" t="s">
        <v>2297</v>
      </c>
      <c r="D58" s="105" t="s">
        <v>347</v>
      </c>
      <c r="E58" s="105" t="s">
        <v>348</v>
      </c>
      <c r="F58" s="38">
        <v>0.21</v>
      </c>
      <c r="G58" s="135" t="s">
        <v>517</v>
      </c>
    </row>
    <row r="59" ht="15.75" customHeight="1">
      <c r="A59" s="41" t="s">
        <v>1404</v>
      </c>
      <c r="B59" s="42" t="s">
        <v>2298</v>
      </c>
      <c r="C59" s="41" t="s">
        <v>2299</v>
      </c>
      <c r="D59" s="102" t="s">
        <v>653</v>
      </c>
      <c r="E59" s="102" t="s">
        <v>654</v>
      </c>
      <c r="F59" s="84">
        <v>0.21</v>
      </c>
      <c r="G59" s="135" t="s">
        <v>517</v>
      </c>
    </row>
    <row r="60" ht="15.75" customHeight="1">
      <c r="A60" s="29" t="s">
        <v>1723</v>
      </c>
      <c r="C60" s="108"/>
      <c r="D60" s="55"/>
      <c r="E60" s="114"/>
      <c r="F60" s="133"/>
      <c r="G60" s="32"/>
    </row>
    <row r="61" ht="15.75" customHeight="1">
      <c r="A61" s="41" t="s">
        <v>1404</v>
      </c>
      <c r="B61" s="42" t="s">
        <v>2300</v>
      </c>
      <c r="C61" s="41" t="s">
        <v>2301</v>
      </c>
      <c r="D61" s="102" t="s">
        <v>2302</v>
      </c>
      <c r="E61" s="102" t="s">
        <v>2303</v>
      </c>
      <c r="F61" s="84">
        <v>0.21</v>
      </c>
      <c r="G61" s="135" t="s">
        <v>517</v>
      </c>
    </row>
    <row r="62" ht="15.75" customHeight="1">
      <c r="A62" s="47" t="s">
        <v>1404</v>
      </c>
      <c r="B62" s="48" t="s">
        <v>2304</v>
      </c>
      <c r="C62" s="47" t="s">
        <v>2305</v>
      </c>
      <c r="D62" s="105" t="s">
        <v>2235</v>
      </c>
      <c r="E62" s="105" t="s">
        <v>2236</v>
      </c>
      <c r="F62" s="38">
        <v>0.21</v>
      </c>
      <c r="G62" s="135" t="s">
        <v>517</v>
      </c>
    </row>
    <row r="63" ht="15.75" customHeight="1">
      <c r="A63" s="29" t="s">
        <v>2306</v>
      </c>
      <c r="C63" s="139"/>
      <c r="D63" s="55"/>
      <c r="E63" s="55"/>
      <c r="F63" s="139"/>
      <c r="G63" s="32"/>
    </row>
    <row r="64" ht="15.75" customHeight="1">
      <c r="A64" s="41" t="s">
        <v>1404</v>
      </c>
      <c r="B64" s="41" t="s">
        <v>2307</v>
      </c>
      <c r="C64" s="41" t="s">
        <v>2308</v>
      </c>
      <c r="D64" s="102" t="s">
        <v>2309</v>
      </c>
      <c r="E64" s="102" t="s">
        <v>2310</v>
      </c>
      <c r="F64" s="84">
        <v>0.21</v>
      </c>
      <c r="G64" s="135" t="s">
        <v>517</v>
      </c>
    </row>
    <row r="65" ht="15.75" customHeight="1">
      <c r="A65" s="47" t="s">
        <v>1404</v>
      </c>
      <c r="B65" s="47" t="s">
        <v>2311</v>
      </c>
      <c r="C65" s="47" t="s">
        <v>2312</v>
      </c>
      <c r="D65" s="105" t="s">
        <v>2309</v>
      </c>
      <c r="E65" s="105" t="s">
        <v>2310</v>
      </c>
      <c r="F65" s="38">
        <v>0.21</v>
      </c>
      <c r="G65" s="136" t="s">
        <v>2195</v>
      </c>
    </row>
    <row r="66" ht="15.75" customHeight="1">
      <c r="A66" s="41" t="s">
        <v>1404</v>
      </c>
      <c r="B66" s="41" t="s">
        <v>2313</v>
      </c>
      <c r="C66" s="41" t="s">
        <v>2314</v>
      </c>
      <c r="D66" s="102" t="s">
        <v>166</v>
      </c>
      <c r="E66" s="102" t="s">
        <v>167</v>
      </c>
      <c r="F66" s="84">
        <v>0.21</v>
      </c>
      <c r="G66" s="135" t="s">
        <v>517</v>
      </c>
    </row>
    <row r="67" ht="15.75" customHeight="1">
      <c r="A67" s="47" t="s">
        <v>1404</v>
      </c>
      <c r="B67" s="47" t="s">
        <v>2315</v>
      </c>
      <c r="C67" s="47" t="s">
        <v>2316</v>
      </c>
      <c r="D67" s="105" t="s">
        <v>166</v>
      </c>
      <c r="E67" s="105" t="s">
        <v>167</v>
      </c>
      <c r="F67" s="38">
        <v>0.21</v>
      </c>
      <c r="G67" s="135" t="s">
        <v>517</v>
      </c>
    </row>
    <row r="68" ht="15.75" customHeight="1">
      <c r="A68" s="41" t="s">
        <v>1404</v>
      </c>
      <c r="B68" s="41" t="s">
        <v>2317</v>
      </c>
      <c r="C68" s="41" t="s">
        <v>2318</v>
      </c>
      <c r="D68" s="102" t="s">
        <v>2319</v>
      </c>
      <c r="E68" s="102" t="s">
        <v>2320</v>
      </c>
      <c r="F68" s="84">
        <v>0.21</v>
      </c>
      <c r="G68" s="135" t="s">
        <v>517</v>
      </c>
    </row>
    <row r="69" ht="15.75" customHeight="1">
      <c r="A69" s="47" t="s">
        <v>1404</v>
      </c>
      <c r="B69" s="47" t="s">
        <v>2321</v>
      </c>
      <c r="C69" s="47" t="s">
        <v>2322</v>
      </c>
      <c r="D69" s="105" t="s">
        <v>2319</v>
      </c>
      <c r="E69" s="105" t="s">
        <v>2320</v>
      </c>
      <c r="F69" s="38">
        <v>0.21</v>
      </c>
      <c r="G69" s="135" t="s">
        <v>517</v>
      </c>
    </row>
    <row r="70" ht="15.75" customHeight="1">
      <c r="A70" s="41" t="s">
        <v>1404</v>
      </c>
      <c r="B70" s="41" t="s">
        <v>2323</v>
      </c>
      <c r="C70" s="41" t="s">
        <v>2324</v>
      </c>
      <c r="D70" s="102" t="s">
        <v>132</v>
      </c>
      <c r="E70" s="102" t="s">
        <v>133</v>
      </c>
      <c r="F70" s="84">
        <v>0.21</v>
      </c>
      <c r="G70" s="135" t="s">
        <v>517</v>
      </c>
    </row>
    <row r="71" ht="15.75" customHeight="1">
      <c r="A71" s="47" t="s">
        <v>1404</v>
      </c>
      <c r="B71" s="47" t="s">
        <v>2325</v>
      </c>
      <c r="C71" s="47" t="s">
        <v>2326</v>
      </c>
      <c r="D71" s="105" t="s">
        <v>166</v>
      </c>
      <c r="E71" s="105" t="s">
        <v>167</v>
      </c>
      <c r="F71" s="38">
        <v>0.21</v>
      </c>
      <c r="G71" s="135" t="s">
        <v>517</v>
      </c>
    </row>
    <row r="72" ht="15.75" customHeight="1">
      <c r="A72" s="41" t="s">
        <v>1404</v>
      </c>
      <c r="B72" s="41" t="s">
        <v>2327</v>
      </c>
      <c r="C72" s="41" t="s">
        <v>2328</v>
      </c>
      <c r="D72" s="102" t="s">
        <v>166</v>
      </c>
      <c r="E72" s="102" t="s">
        <v>167</v>
      </c>
      <c r="F72" s="84">
        <v>0.21</v>
      </c>
      <c r="G72" s="135" t="s">
        <v>517</v>
      </c>
    </row>
    <row r="73" ht="15.75" customHeight="1">
      <c r="A73" s="47" t="s">
        <v>1404</v>
      </c>
      <c r="B73" s="47" t="s">
        <v>2329</v>
      </c>
      <c r="C73" s="47" t="s">
        <v>2330</v>
      </c>
      <c r="D73" s="105" t="s">
        <v>166</v>
      </c>
      <c r="E73" s="105" t="s">
        <v>167</v>
      </c>
      <c r="F73" s="38">
        <v>0.21</v>
      </c>
      <c r="G73" s="135" t="s">
        <v>517</v>
      </c>
    </row>
    <row r="74" ht="15.75" customHeight="1">
      <c r="A74" s="41" t="s">
        <v>1404</v>
      </c>
      <c r="B74" s="41" t="s">
        <v>2331</v>
      </c>
      <c r="C74" s="41" t="s">
        <v>2332</v>
      </c>
      <c r="D74" s="102" t="s">
        <v>166</v>
      </c>
      <c r="E74" s="102" t="s">
        <v>167</v>
      </c>
      <c r="F74" s="84">
        <v>0.21</v>
      </c>
      <c r="G74" s="135" t="s">
        <v>517</v>
      </c>
    </row>
    <row r="75" ht="15.75" customHeight="1">
      <c r="A75" s="47" t="s">
        <v>1404</v>
      </c>
      <c r="B75" s="47" t="s">
        <v>2333</v>
      </c>
      <c r="C75" s="47" t="s">
        <v>2334</v>
      </c>
      <c r="D75" s="105" t="s">
        <v>166</v>
      </c>
      <c r="E75" s="105" t="s">
        <v>167</v>
      </c>
      <c r="F75" s="38">
        <v>0.21</v>
      </c>
      <c r="G75" s="135" t="s">
        <v>517</v>
      </c>
    </row>
    <row r="76" ht="15.75" customHeight="1">
      <c r="A76" s="41" t="s">
        <v>1404</v>
      </c>
      <c r="B76" s="41" t="s">
        <v>2335</v>
      </c>
      <c r="C76" s="41" t="s">
        <v>2336</v>
      </c>
      <c r="D76" s="102" t="s">
        <v>166</v>
      </c>
      <c r="E76" s="102" t="s">
        <v>167</v>
      </c>
      <c r="F76" s="84">
        <v>0.21</v>
      </c>
      <c r="G76" s="135" t="s">
        <v>517</v>
      </c>
    </row>
    <row r="77" ht="15.75" customHeight="1">
      <c r="A77" s="47" t="s">
        <v>1404</v>
      </c>
      <c r="B77" s="47" t="s">
        <v>2337</v>
      </c>
      <c r="C77" s="47" t="s">
        <v>2338</v>
      </c>
      <c r="D77" s="105" t="s">
        <v>509</v>
      </c>
      <c r="E77" s="105" t="s">
        <v>510</v>
      </c>
      <c r="F77" s="38">
        <v>0.21</v>
      </c>
      <c r="G77" s="135" t="s">
        <v>517</v>
      </c>
    </row>
    <row r="78" ht="15.75" customHeight="1">
      <c r="A78" s="41" t="s">
        <v>1404</v>
      </c>
      <c r="B78" s="41" t="s">
        <v>2339</v>
      </c>
      <c r="C78" s="41" t="s">
        <v>2340</v>
      </c>
      <c r="D78" s="102" t="s">
        <v>509</v>
      </c>
      <c r="E78" s="102" t="s">
        <v>510</v>
      </c>
      <c r="F78" s="84">
        <v>0.21</v>
      </c>
      <c r="G78" s="135" t="s">
        <v>517</v>
      </c>
    </row>
    <row r="79" ht="15.75" customHeight="1">
      <c r="A79" s="47" t="s">
        <v>1404</v>
      </c>
      <c r="B79" s="47" t="s">
        <v>2341</v>
      </c>
      <c r="C79" s="47" t="s">
        <v>2342</v>
      </c>
      <c r="D79" s="105" t="s">
        <v>166</v>
      </c>
      <c r="E79" s="105" t="s">
        <v>167</v>
      </c>
      <c r="F79" s="38">
        <v>0.21</v>
      </c>
      <c r="G79" s="135" t="s">
        <v>517</v>
      </c>
    </row>
    <row r="80" ht="15.75" customHeight="1">
      <c r="A80" s="41" t="s">
        <v>1404</v>
      </c>
      <c r="B80" s="41" t="s">
        <v>2343</v>
      </c>
      <c r="C80" s="41" t="s">
        <v>2344</v>
      </c>
      <c r="D80" s="102" t="s">
        <v>166</v>
      </c>
      <c r="E80" s="102" t="s">
        <v>167</v>
      </c>
      <c r="F80" s="84">
        <v>0.21</v>
      </c>
      <c r="G80" s="135" t="s">
        <v>517</v>
      </c>
    </row>
    <row r="81" ht="15.75" customHeight="1">
      <c r="A81" s="47" t="s">
        <v>1404</v>
      </c>
      <c r="B81" s="48" t="s">
        <v>2345</v>
      </c>
      <c r="C81" s="47" t="s">
        <v>2346</v>
      </c>
      <c r="D81" s="105" t="s">
        <v>312</v>
      </c>
      <c r="E81" s="105" t="s">
        <v>313</v>
      </c>
      <c r="F81" s="38">
        <v>0.21</v>
      </c>
      <c r="G81" s="135" t="s">
        <v>517</v>
      </c>
    </row>
    <row r="82" ht="15.75" customHeight="1">
      <c r="A82" s="41" t="s">
        <v>1404</v>
      </c>
      <c r="B82" s="41" t="s">
        <v>2347</v>
      </c>
      <c r="C82" s="41" t="s">
        <v>2348</v>
      </c>
      <c r="D82" s="102" t="s">
        <v>2309</v>
      </c>
      <c r="E82" s="102" t="s">
        <v>2310</v>
      </c>
      <c r="F82" s="84">
        <v>0.21</v>
      </c>
      <c r="G82" s="135" t="s">
        <v>517</v>
      </c>
    </row>
    <row r="83" ht="15.75" customHeight="1">
      <c r="A83" s="47" t="s">
        <v>1404</v>
      </c>
      <c r="B83" s="48" t="s">
        <v>2349</v>
      </c>
      <c r="C83" s="47" t="s">
        <v>2346</v>
      </c>
      <c r="D83" s="105" t="s">
        <v>312</v>
      </c>
      <c r="E83" s="105" t="s">
        <v>313</v>
      </c>
      <c r="F83" s="38">
        <v>0.21</v>
      </c>
      <c r="G83" s="135" t="s">
        <v>517</v>
      </c>
    </row>
    <row r="84" ht="15.75" customHeight="1">
      <c r="A84" s="41" t="s">
        <v>1404</v>
      </c>
      <c r="B84" s="42" t="s">
        <v>2350</v>
      </c>
      <c r="C84" s="41" t="s">
        <v>2351</v>
      </c>
      <c r="D84" s="102" t="s">
        <v>967</v>
      </c>
      <c r="E84" s="102" t="s">
        <v>968</v>
      </c>
      <c r="F84" s="84">
        <v>0.21</v>
      </c>
      <c r="G84" s="135" t="s">
        <v>517</v>
      </c>
    </row>
    <row r="85" ht="15.75" customHeight="1">
      <c r="A85" s="47" t="s">
        <v>1404</v>
      </c>
      <c r="B85" s="48" t="s">
        <v>2352</v>
      </c>
      <c r="C85" s="47" t="s">
        <v>2351</v>
      </c>
      <c r="D85" s="105" t="s">
        <v>967</v>
      </c>
      <c r="E85" s="105" t="s">
        <v>968</v>
      </c>
      <c r="F85" s="38">
        <v>0.21</v>
      </c>
      <c r="G85" s="135" t="s">
        <v>517</v>
      </c>
    </row>
    <row r="86" ht="15.75" customHeight="1">
      <c r="A86" s="41" t="s">
        <v>1404</v>
      </c>
      <c r="B86" s="42" t="s">
        <v>2353</v>
      </c>
      <c r="C86" s="41" t="s">
        <v>2354</v>
      </c>
      <c r="D86" s="102" t="s">
        <v>339</v>
      </c>
      <c r="E86" s="102" t="s">
        <v>340</v>
      </c>
      <c r="F86" s="84">
        <v>0.21</v>
      </c>
      <c r="G86" s="135" t="s">
        <v>517</v>
      </c>
    </row>
    <row r="87" ht="15.75" customHeight="1">
      <c r="A87" s="47" t="s">
        <v>1404</v>
      </c>
      <c r="B87" s="47" t="s">
        <v>2355</v>
      </c>
      <c r="C87" s="47" t="s">
        <v>2356</v>
      </c>
      <c r="D87" s="105" t="s">
        <v>2357</v>
      </c>
      <c r="E87" s="105" t="s">
        <v>2358</v>
      </c>
      <c r="F87" s="38">
        <v>0.21</v>
      </c>
      <c r="G87" s="135" t="s">
        <v>517</v>
      </c>
    </row>
    <row r="88" ht="15.75" customHeight="1">
      <c r="A88" s="41" t="s">
        <v>1404</v>
      </c>
      <c r="B88" s="42" t="s">
        <v>2359</v>
      </c>
      <c r="C88" s="41" t="s">
        <v>2354</v>
      </c>
      <c r="D88" s="102" t="s">
        <v>339</v>
      </c>
      <c r="E88" s="102" t="s">
        <v>340</v>
      </c>
      <c r="F88" s="84">
        <v>0.21</v>
      </c>
      <c r="G88" s="135" t="s">
        <v>517</v>
      </c>
    </row>
    <row r="89" ht="15.75" customHeight="1">
      <c r="A89" s="47" t="s">
        <v>1404</v>
      </c>
      <c r="B89" s="48" t="s">
        <v>2360</v>
      </c>
      <c r="C89" s="47" t="s">
        <v>2361</v>
      </c>
      <c r="D89" s="105" t="s">
        <v>2362</v>
      </c>
      <c r="E89" s="105" t="s">
        <v>2363</v>
      </c>
      <c r="F89" s="38">
        <v>0.21</v>
      </c>
      <c r="G89" s="135" t="s">
        <v>517</v>
      </c>
    </row>
    <row r="90" ht="15.75" customHeight="1">
      <c r="A90" s="41" t="s">
        <v>1404</v>
      </c>
      <c r="B90" s="42" t="s">
        <v>2364</v>
      </c>
      <c r="C90" s="41" t="s">
        <v>2365</v>
      </c>
      <c r="D90" s="102" t="s">
        <v>2366</v>
      </c>
      <c r="E90" s="102" t="s">
        <v>2367</v>
      </c>
      <c r="F90" s="84">
        <v>0.21</v>
      </c>
      <c r="G90" s="135" t="s">
        <v>517</v>
      </c>
    </row>
    <row r="91" ht="15.75" customHeight="1">
      <c r="A91" s="47" t="s">
        <v>1404</v>
      </c>
      <c r="B91" s="48" t="s">
        <v>2368</v>
      </c>
      <c r="C91" s="47" t="s">
        <v>2365</v>
      </c>
      <c r="D91" s="105" t="s">
        <v>2366</v>
      </c>
      <c r="E91" s="105" t="s">
        <v>2367</v>
      </c>
      <c r="F91" s="38">
        <v>0.21</v>
      </c>
      <c r="G91" s="135" t="s">
        <v>517</v>
      </c>
    </row>
    <row r="92" ht="15.75" customHeight="1">
      <c r="A92" s="41" t="s">
        <v>1404</v>
      </c>
      <c r="B92" s="42" t="s">
        <v>2369</v>
      </c>
      <c r="C92" s="41" t="s">
        <v>2370</v>
      </c>
      <c r="D92" s="102" t="s">
        <v>312</v>
      </c>
      <c r="E92" s="102" t="s">
        <v>313</v>
      </c>
      <c r="F92" s="84">
        <v>0.21</v>
      </c>
      <c r="G92" s="135" t="s">
        <v>517</v>
      </c>
    </row>
    <row r="93" ht="15.75" customHeight="1">
      <c r="A93" s="47" t="s">
        <v>1404</v>
      </c>
      <c r="B93" s="48" t="s">
        <v>2371</v>
      </c>
      <c r="C93" s="47" t="s">
        <v>2370</v>
      </c>
      <c r="D93" s="105" t="s">
        <v>312</v>
      </c>
      <c r="E93" s="105" t="s">
        <v>313</v>
      </c>
      <c r="F93" s="38">
        <v>0.21</v>
      </c>
      <c r="G93" s="135" t="s">
        <v>517</v>
      </c>
    </row>
    <row r="94" ht="15.75" customHeight="1">
      <c r="A94" s="41" t="s">
        <v>1404</v>
      </c>
      <c r="B94" s="42" t="s">
        <v>2372</v>
      </c>
      <c r="C94" s="41" t="s">
        <v>2373</v>
      </c>
      <c r="D94" s="102" t="s">
        <v>967</v>
      </c>
      <c r="E94" s="102" t="s">
        <v>968</v>
      </c>
      <c r="F94" s="84">
        <v>0.21</v>
      </c>
      <c r="G94" s="135" t="s">
        <v>517</v>
      </c>
    </row>
    <row r="95" ht="15.75" customHeight="1">
      <c r="A95" s="47" t="s">
        <v>1404</v>
      </c>
      <c r="B95" s="48" t="s">
        <v>2374</v>
      </c>
      <c r="C95" s="47" t="s">
        <v>2373</v>
      </c>
      <c r="D95" s="105" t="s">
        <v>967</v>
      </c>
      <c r="E95" s="105" t="s">
        <v>968</v>
      </c>
      <c r="F95" s="38">
        <v>0.21</v>
      </c>
      <c r="G95" s="135" t="s">
        <v>517</v>
      </c>
    </row>
    <row r="96" ht="15.75" customHeight="1">
      <c r="A96" s="41" t="s">
        <v>1404</v>
      </c>
      <c r="B96" s="42" t="s">
        <v>2375</v>
      </c>
      <c r="C96" s="41" t="s">
        <v>2376</v>
      </c>
      <c r="D96" s="102" t="s">
        <v>166</v>
      </c>
      <c r="E96" s="102" t="s">
        <v>167</v>
      </c>
      <c r="F96" s="84">
        <v>0.21</v>
      </c>
      <c r="G96" s="135" t="s">
        <v>517</v>
      </c>
    </row>
    <row r="97" ht="15.75" customHeight="1">
      <c r="A97" s="47" t="s">
        <v>1404</v>
      </c>
      <c r="B97" s="48" t="s">
        <v>2377</v>
      </c>
      <c r="C97" s="47" t="s">
        <v>2376</v>
      </c>
      <c r="D97" s="105" t="s">
        <v>166</v>
      </c>
      <c r="E97" s="105" t="s">
        <v>167</v>
      </c>
      <c r="F97" s="38">
        <v>0.21</v>
      </c>
      <c r="G97" s="135" t="s">
        <v>517</v>
      </c>
    </row>
    <row r="98" ht="15.75" customHeight="1">
      <c r="A98" s="41" t="s">
        <v>1404</v>
      </c>
      <c r="B98" s="42" t="s">
        <v>2378</v>
      </c>
      <c r="C98" s="41" t="s">
        <v>2379</v>
      </c>
      <c r="D98" s="102" t="s">
        <v>2380</v>
      </c>
      <c r="E98" s="102" t="s">
        <v>2381</v>
      </c>
      <c r="F98" s="84">
        <v>0.21</v>
      </c>
      <c r="G98" s="135" t="s">
        <v>517</v>
      </c>
    </row>
    <row r="99" ht="15.75" customHeight="1">
      <c r="A99" s="47" t="s">
        <v>1404</v>
      </c>
      <c r="B99" s="48" t="s">
        <v>2382</v>
      </c>
      <c r="C99" s="47" t="s">
        <v>2379</v>
      </c>
      <c r="D99" s="105" t="s">
        <v>2380</v>
      </c>
      <c r="E99" s="105" t="s">
        <v>2381</v>
      </c>
      <c r="F99" s="38">
        <v>0.21</v>
      </c>
      <c r="G99" s="135" t="s">
        <v>517</v>
      </c>
    </row>
    <row r="100" ht="15.75" customHeight="1">
      <c r="A100" s="41" t="s">
        <v>1404</v>
      </c>
      <c r="B100" s="42" t="s">
        <v>2383</v>
      </c>
      <c r="C100" s="41" t="s">
        <v>2384</v>
      </c>
      <c r="D100" s="102" t="s">
        <v>2204</v>
      </c>
      <c r="E100" s="102" t="s">
        <v>2205</v>
      </c>
      <c r="F100" s="84">
        <v>0.21</v>
      </c>
      <c r="G100" s="135" t="s">
        <v>517</v>
      </c>
    </row>
    <row r="101" ht="15.75" customHeight="1">
      <c r="A101" s="47" t="s">
        <v>1404</v>
      </c>
      <c r="B101" s="48" t="s">
        <v>2385</v>
      </c>
      <c r="C101" s="47" t="s">
        <v>2384</v>
      </c>
      <c r="D101" s="105" t="s">
        <v>2204</v>
      </c>
      <c r="E101" s="105" t="s">
        <v>2205</v>
      </c>
      <c r="F101" s="38">
        <v>0.21</v>
      </c>
      <c r="G101" s="135" t="s">
        <v>517</v>
      </c>
    </row>
    <row r="102" ht="15.75" customHeight="1">
      <c r="A102" s="41" t="s">
        <v>1404</v>
      </c>
      <c r="B102" s="42" t="s">
        <v>2386</v>
      </c>
      <c r="C102" s="41" t="s">
        <v>2387</v>
      </c>
      <c r="D102" s="102" t="s">
        <v>2235</v>
      </c>
      <c r="E102" s="102" t="s">
        <v>2236</v>
      </c>
      <c r="F102" s="84">
        <v>0.21</v>
      </c>
      <c r="G102" s="135" t="s">
        <v>517</v>
      </c>
    </row>
    <row r="103" ht="15.75" customHeight="1">
      <c r="A103" s="47" t="s">
        <v>1404</v>
      </c>
      <c r="B103" s="48" t="s">
        <v>2388</v>
      </c>
      <c r="C103" s="47" t="s">
        <v>2387</v>
      </c>
      <c r="D103" s="105" t="s">
        <v>2235</v>
      </c>
      <c r="E103" s="105" t="s">
        <v>2236</v>
      </c>
      <c r="F103" s="38">
        <v>0.21</v>
      </c>
      <c r="G103" s="135" t="s">
        <v>517</v>
      </c>
    </row>
    <row r="104" ht="15.75" customHeight="1">
      <c r="A104" s="41" t="s">
        <v>1404</v>
      </c>
      <c r="B104" s="42" t="s">
        <v>2389</v>
      </c>
      <c r="C104" s="41" t="s">
        <v>2390</v>
      </c>
      <c r="D104" s="102" t="s">
        <v>2235</v>
      </c>
      <c r="E104" s="102" t="s">
        <v>2236</v>
      </c>
      <c r="F104" s="84">
        <v>0.21</v>
      </c>
      <c r="G104" s="135" t="s">
        <v>517</v>
      </c>
    </row>
    <row r="105" ht="15.75" customHeight="1">
      <c r="A105" s="47" t="s">
        <v>1404</v>
      </c>
      <c r="B105" s="48" t="s">
        <v>2391</v>
      </c>
      <c r="C105" s="47" t="s">
        <v>2390</v>
      </c>
      <c r="D105" s="105" t="s">
        <v>2235</v>
      </c>
      <c r="E105" s="105" t="s">
        <v>2236</v>
      </c>
      <c r="F105" s="38">
        <v>0.21</v>
      </c>
      <c r="G105" s="135" t="s">
        <v>517</v>
      </c>
    </row>
    <row r="106" ht="15.75" customHeight="1">
      <c r="A106" s="41" t="s">
        <v>1404</v>
      </c>
      <c r="B106" s="42" t="s">
        <v>2392</v>
      </c>
      <c r="C106" s="41" t="s">
        <v>2393</v>
      </c>
      <c r="D106" s="102" t="s">
        <v>2235</v>
      </c>
      <c r="E106" s="102" t="s">
        <v>2236</v>
      </c>
      <c r="F106" s="84">
        <v>0.21</v>
      </c>
      <c r="G106" s="135" t="s">
        <v>517</v>
      </c>
    </row>
    <row r="107" ht="15.75" customHeight="1">
      <c r="A107" s="47" t="s">
        <v>1404</v>
      </c>
      <c r="B107" s="48" t="s">
        <v>2394</v>
      </c>
      <c r="C107" s="47" t="s">
        <v>2393</v>
      </c>
      <c r="D107" s="105" t="s">
        <v>2235</v>
      </c>
      <c r="E107" s="105" t="s">
        <v>2236</v>
      </c>
      <c r="F107" s="38">
        <v>0.21</v>
      </c>
      <c r="G107" s="135" t="s">
        <v>517</v>
      </c>
    </row>
    <row r="108" ht="15.75" customHeight="1">
      <c r="A108" s="41" t="s">
        <v>1404</v>
      </c>
      <c r="B108" s="42" t="s">
        <v>2395</v>
      </c>
      <c r="C108" s="41" t="s">
        <v>2396</v>
      </c>
      <c r="D108" s="102" t="s">
        <v>2397</v>
      </c>
      <c r="E108" s="102" t="s">
        <v>2398</v>
      </c>
      <c r="F108" s="84">
        <v>0.21</v>
      </c>
      <c r="G108" s="135" t="s">
        <v>517</v>
      </c>
    </row>
    <row r="109" ht="15.75" customHeight="1">
      <c r="A109" s="47" t="s">
        <v>1404</v>
      </c>
      <c r="B109" s="48" t="s">
        <v>2399</v>
      </c>
      <c r="C109" s="47" t="s">
        <v>2400</v>
      </c>
      <c r="D109" s="105" t="s">
        <v>2401</v>
      </c>
      <c r="E109" s="105" t="s">
        <v>2402</v>
      </c>
      <c r="F109" s="38">
        <v>0.21</v>
      </c>
      <c r="G109" s="135" t="s">
        <v>517</v>
      </c>
    </row>
    <row r="110" ht="15.75" customHeight="1">
      <c r="A110" s="41" t="s">
        <v>1404</v>
      </c>
      <c r="B110" s="42" t="s">
        <v>2403</v>
      </c>
      <c r="C110" s="41" t="s">
        <v>328</v>
      </c>
      <c r="D110" s="102" t="s">
        <v>2404</v>
      </c>
      <c r="E110" s="102" t="s">
        <v>2405</v>
      </c>
      <c r="F110" s="84">
        <v>0.21</v>
      </c>
      <c r="G110" s="135" t="s">
        <v>517</v>
      </c>
    </row>
    <row r="111" ht="15.75" customHeight="1">
      <c r="A111" s="47" t="s">
        <v>1404</v>
      </c>
      <c r="B111" s="48" t="s">
        <v>2406</v>
      </c>
      <c r="C111" s="47" t="s">
        <v>328</v>
      </c>
      <c r="D111" s="105" t="s">
        <v>2407</v>
      </c>
      <c r="E111" s="105" t="s">
        <v>2408</v>
      </c>
      <c r="F111" s="38">
        <v>0.21</v>
      </c>
      <c r="G111" s="135" t="s">
        <v>517</v>
      </c>
    </row>
    <row r="112" ht="15.75" customHeight="1">
      <c r="A112" s="47" t="s">
        <v>1404</v>
      </c>
      <c r="B112" s="48" t="s">
        <v>2409</v>
      </c>
      <c r="C112" s="47" t="s">
        <v>328</v>
      </c>
      <c r="D112" s="105" t="s">
        <v>2410</v>
      </c>
      <c r="E112" s="105" t="s">
        <v>2411</v>
      </c>
      <c r="F112" s="38">
        <v>0.21</v>
      </c>
      <c r="G112" s="135" t="s">
        <v>517</v>
      </c>
    </row>
    <row r="113" ht="15.75" customHeight="1">
      <c r="A113" s="41" t="s">
        <v>1404</v>
      </c>
      <c r="B113" s="42" t="s">
        <v>2412</v>
      </c>
      <c r="C113" s="41" t="s">
        <v>2413</v>
      </c>
      <c r="D113" s="102" t="s">
        <v>1561</v>
      </c>
      <c r="E113" s="102" t="s">
        <v>1562</v>
      </c>
      <c r="F113" s="84">
        <v>0.21</v>
      </c>
      <c r="G113" s="135" t="s">
        <v>517</v>
      </c>
    </row>
    <row r="114" ht="15.75" customHeight="1">
      <c r="A114" s="47" t="s">
        <v>1404</v>
      </c>
      <c r="B114" s="48" t="s">
        <v>2414</v>
      </c>
      <c r="C114" s="47" t="s">
        <v>2415</v>
      </c>
      <c r="D114" s="105" t="s">
        <v>209</v>
      </c>
      <c r="E114" s="105" t="s">
        <v>210</v>
      </c>
      <c r="F114" s="38">
        <v>0.21</v>
      </c>
      <c r="G114" s="135" t="s">
        <v>517</v>
      </c>
    </row>
    <row r="115" ht="15.75" customHeight="1">
      <c r="A115" s="41" t="s">
        <v>1404</v>
      </c>
      <c r="B115" s="41" t="s">
        <v>2416</v>
      </c>
      <c r="C115" s="41" t="s">
        <v>2417</v>
      </c>
      <c r="D115" s="102" t="s">
        <v>209</v>
      </c>
      <c r="E115" s="102" t="s">
        <v>210</v>
      </c>
      <c r="F115" s="84">
        <v>0.21</v>
      </c>
      <c r="G115" s="135" t="s">
        <v>517</v>
      </c>
    </row>
    <row r="116" ht="15.75" customHeight="1">
      <c r="A116" s="47" t="s">
        <v>1404</v>
      </c>
      <c r="B116" s="48" t="s">
        <v>2418</v>
      </c>
      <c r="C116" s="47" t="s">
        <v>2419</v>
      </c>
      <c r="D116" s="105" t="s">
        <v>209</v>
      </c>
      <c r="E116" s="105" t="s">
        <v>210</v>
      </c>
      <c r="F116" s="38">
        <v>0.21</v>
      </c>
      <c r="G116" s="135" t="s">
        <v>517</v>
      </c>
    </row>
    <row r="117" ht="15.75" customHeight="1">
      <c r="A117" s="41" t="s">
        <v>1404</v>
      </c>
      <c r="B117" s="42" t="s">
        <v>2420</v>
      </c>
      <c r="C117" s="41" t="s">
        <v>2421</v>
      </c>
      <c r="D117" s="102" t="s">
        <v>209</v>
      </c>
      <c r="E117" s="102" t="s">
        <v>210</v>
      </c>
      <c r="F117" s="84">
        <v>0.21</v>
      </c>
      <c r="G117" s="135" t="s">
        <v>517</v>
      </c>
    </row>
    <row r="118" ht="15.75" customHeight="1">
      <c r="A118" s="47" t="s">
        <v>1404</v>
      </c>
      <c r="B118" s="48" t="s">
        <v>2422</v>
      </c>
      <c r="C118" s="47" t="s">
        <v>2423</v>
      </c>
      <c r="D118" s="105" t="s">
        <v>2424</v>
      </c>
      <c r="E118" s="105" t="s">
        <v>2425</v>
      </c>
      <c r="F118" s="38">
        <v>0.21</v>
      </c>
      <c r="G118" s="135" t="s">
        <v>517</v>
      </c>
    </row>
    <row r="119" ht="15.75" customHeight="1">
      <c r="A119" s="41" t="s">
        <v>1404</v>
      </c>
      <c r="B119" s="41" t="s">
        <v>2426</v>
      </c>
      <c r="C119" s="41" t="s">
        <v>2427</v>
      </c>
      <c r="D119" s="102" t="s">
        <v>2309</v>
      </c>
      <c r="E119" s="102" t="s">
        <v>2310</v>
      </c>
      <c r="F119" s="84">
        <v>0.21</v>
      </c>
      <c r="G119" s="135" t="s">
        <v>517</v>
      </c>
    </row>
    <row r="120" ht="15.75" customHeight="1">
      <c r="A120" s="47" t="s">
        <v>1404</v>
      </c>
      <c r="B120" s="48" t="s">
        <v>2428</v>
      </c>
      <c r="C120" s="47" t="s">
        <v>2429</v>
      </c>
      <c r="D120" s="105" t="s">
        <v>2235</v>
      </c>
      <c r="E120" s="105" t="s">
        <v>2236</v>
      </c>
      <c r="F120" s="38">
        <v>0.21</v>
      </c>
      <c r="G120" s="134" t="s">
        <v>2166</v>
      </c>
    </row>
    <row r="121" ht="15.75" customHeight="1">
      <c r="A121" s="41" t="s">
        <v>1404</v>
      </c>
      <c r="B121" s="42" t="s">
        <v>2430</v>
      </c>
      <c r="C121" s="41" t="s">
        <v>2431</v>
      </c>
      <c r="D121" s="102" t="s">
        <v>2235</v>
      </c>
      <c r="E121" s="102" t="s">
        <v>2236</v>
      </c>
      <c r="F121" s="84">
        <v>0.21</v>
      </c>
      <c r="G121" s="135" t="s">
        <v>517</v>
      </c>
    </row>
    <row r="122" ht="15.75" customHeight="1">
      <c r="A122" s="47" t="s">
        <v>1404</v>
      </c>
      <c r="B122" s="48" t="s">
        <v>2432</v>
      </c>
      <c r="C122" s="47" t="s">
        <v>2433</v>
      </c>
      <c r="D122" s="105" t="s">
        <v>339</v>
      </c>
      <c r="E122" s="105" t="s">
        <v>340</v>
      </c>
      <c r="F122" s="38">
        <v>0.21</v>
      </c>
      <c r="G122" s="135" t="s">
        <v>517</v>
      </c>
    </row>
    <row r="123" ht="15.75" customHeight="1">
      <c r="A123" s="41" t="s">
        <v>1404</v>
      </c>
      <c r="B123" s="42" t="s">
        <v>2434</v>
      </c>
      <c r="C123" s="41" t="s">
        <v>2435</v>
      </c>
      <c r="D123" s="102" t="s">
        <v>339</v>
      </c>
      <c r="E123" s="102" t="s">
        <v>340</v>
      </c>
      <c r="F123" s="84">
        <v>0.21</v>
      </c>
      <c r="G123" s="135" t="s">
        <v>517</v>
      </c>
    </row>
    <row r="124" ht="15.75" customHeight="1">
      <c r="A124" s="47" t="s">
        <v>1404</v>
      </c>
      <c r="B124" s="48" t="s">
        <v>2436</v>
      </c>
      <c r="C124" s="47" t="s">
        <v>328</v>
      </c>
      <c r="D124" s="105" t="s">
        <v>312</v>
      </c>
      <c r="E124" s="105" t="s">
        <v>313</v>
      </c>
      <c r="F124" s="38">
        <v>0.21</v>
      </c>
      <c r="G124" s="135" t="s">
        <v>517</v>
      </c>
    </row>
    <row r="125" ht="15.75" customHeight="1">
      <c r="A125" s="41" t="s">
        <v>1404</v>
      </c>
      <c r="B125" s="42" t="s">
        <v>2437</v>
      </c>
      <c r="C125" s="41" t="s">
        <v>2438</v>
      </c>
      <c r="D125" s="102" t="s">
        <v>2302</v>
      </c>
      <c r="E125" s="102" t="s">
        <v>2303</v>
      </c>
      <c r="F125" s="84">
        <v>0.21</v>
      </c>
      <c r="G125" s="134" t="s">
        <v>2166</v>
      </c>
    </row>
    <row r="126" ht="15.75" customHeight="1">
      <c r="A126" s="47" t="s">
        <v>1404</v>
      </c>
      <c r="B126" s="48" t="s">
        <v>2439</v>
      </c>
      <c r="C126" s="47" t="s">
        <v>2438</v>
      </c>
      <c r="D126" s="105" t="s">
        <v>2302</v>
      </c>
      <c r="E126" s="105" t="s">
        <v>2303</v>
      </c>
      <c r="F126" s="38">
        <v>0.21</v>
      </c>
      <c r="G126" s="135" t="s">
        <v>517</v>
      </c>
    </row>
    <row r="127" ht="15.75" customHeight="1">
      <c r="A127" s="41" t="s">
        <v>1404</v>
      </c>
      <c r="B127" s="42" t="s">
        <v>2440</v>
      </c>
      <c r="C127" s="41" t="s">
        <v>2441</v>
      </c>
      <c r="D127" s="102" t="s">
        <v>2442</v>
      </c>
      <c r="E127" s="102" t="s">
        <v>2443</v>
      </c>
      <c r="F127" s="84">
        <v>0.21</v>
      </c>
      <c r="G127" s="135" t="s">
        <v>517</v>
      </c>
    </row>
    <row r="128" ht="15.75" customHeight="1">
      <c r="A128" s="47" t="s">
        <v>1404</v>
      </c>
      <c r="B128" s="48" t="s">
        <v>2444</v>
      </c>
      <c r="C128" s="47" t="s">
        <v>328</v>
      </c>
      <c r="D128" s="105" t="s">
        <v>2424</v>
      </c>
      <c r="E128" s="105" t="s">
        <v>2425</v>
      </c>
      <c r="F128" s="38">
        <v>0.21</v>
      </c>
      <c r="G128" s="135" t="s">
        <v>517</v>
      </c>
    </row>
    <row r="129" ht="15.75" customHeight="1">
      <c r="A129" s="41" t="s">
        <v>1404</v>
      </c>
      <c r="B129" s="42" t="s">
        <v>2445</v>
      </c>
      <c r="C129" s="41" t="s">
        <v>2446</v>
      </c>
      <c r="D129" s="102" t="s">
        <v>2447</v>
      </c>
      <c r="E129" s="102" t="s">
        <v>2448</v>
      </c>
      <c r="F129" s="84">
        <v>0.21</v>
      </c>
      <c r="G129" s="135" t="s">
        <v>517</v>
      </c>
    </row>
    <row r="130" ht="15.75" customHeight="1">
      <c r="A130" s="47" t="s">
        <v>1404</v>
      </c>
      <c r="B130" s="48" t="s">
        <v>2449</v>
      </c>
      <c r="C130" s="47" t="s">
        <v>328</v>
      </c>
      <c r="D130" s="105" t="s">
        <v>2424</v>
      </c>
      <c r="E130" s="105" t="s">
        <v>2425</v>
      </c>
      <c r="F130" s="38">
        <v>0.21</v>
      </c>
      <c r="G130" s="135" t="s">
        <v>517</v>
      </c>
    </row>
    <row r="131" ht="15.75" customHeight="1">
      <c r="A131" s="41" t="s">
        <v>1404</v>
      </c>
      <c r="B131" s="41" t="s">
        <v>2450</v>
      </c>
      <c r="C131" s="41" t="s">
        <v>2451</v>
      </c>
      <c r="D131" s="102" t="s">
        <v>2447</v>
      </c>
      <c r="E131" s="102" t="s">
        <v>2448</v>
      </c>
      <c r="F131" s="84">
        <v>0.21</v>
      </c>
      <c r="G131" s="135" t="s">
        <v>517</v>
      </c>
    </row>
    <row r="132" ht="15.75" customHeight="1">
      <c r="A132" s="47" t="s">
        <v>1404</v>
      </c>
      <c r="B132" s="48" t="s">
        <v>2452</v>
      </c>
      <c r="C132" s="47" t="s">
        <v>2453</v>
      </c>
      <c r="D132" s="105" t="s">
        <v>2454</v>
      </c>
      <c r="E132" s="105" t="s">
        <v>2455</v>
      </c>
      <c r="F132" s="38">
        <v>0.21</v>
      </c>
      <c r="G132" s="135" t="s">
        <v>517</v>
      </c>
    </row>
    <row r="133" ht="15.75" customHeight="1">
      <c r="A133" s="41" t="s">
        <v>1404</v>
      </c>
      <c r="B133" s="42" t="s">
        <v>2456</v>
      </c>
      <c r="C133" s="41" t="s">
        <v>2453</v>
      </c>
      <c r="D133" s="102" t="s">
        <v>2454</v>
      </c>
      <c r="E133" s="102" t="s">
        <v>2455</v>
      </c>
      <c r="F133" s="84">
        <v>0.21</v>
      </c>
      <c r="G133" s="135" t="s">
        <v>517</v>
      </c>
    </row>
    <row r="134" ht="15.75" customHeight="1">
      <c r="A134" s="47" t="s">
        <v>1404</v>
      </c>
      <c r="B134" s="48" t="s">
        <v>2457</v>
      </c>
      <c r="C134" s="47" t="s">
        <v>2458</v>
      </c>
      <c r="D134" s="105" t="s">
        <v>2459</v>
      </c>
      <c r="E134" s="105" t="s">
        <v>2460</v>
      </c>
      <c r="F134" s="38">
        <v>0.21</v>
      </c>
      <c r="G134" s="135" t="s">
        <v>517</v>
      </c>
    </row>
    <row r="135" ht="15.75" customHeight="1">
      <c r="A135" s="41" t="s">
        <v>1404</v>
      </c>
      <c r="B135" s="42" t="s">
        <v>2461</v>
      </c>
      <c r="C135" s="41" t="s">
        <v>2462</v>
      </c>
      <c r="D135" s="102" t="s">
        <v>2459</v>
      </c>
      <c r="E135" s="102" t="s">
        <v>2460</v>
      </c>
      <c r="F135" s="84">
        <v>0.21</v>
      </c>
      <c r="G135" s="135" t="s">
        <v>517</v>
      </c>
    </row>
    <row r="136" ht="15.75" customHeight="1">
      <c r="A136" s="47" t="s">
        <v>1404</v>
      </c>
      <c r="B136" s="48" t="s">
        <v>2463</v>
      </c>
      <c r="C136" s="47" t="s">
        <v>2464</v>
      </c>
      <c r="D136" s="105" t="s">
        <v>2465</v>
      </c>
      <c r="E136" s="105" t="s">
        <v>2466</v>
      </c>
      <c r="F136" s="38">
        <v>0.21</v>
      </c>
      <c r="G136" s="135" t="s">
        <v>517</v>
      </c>
    </row>
    <row r="137" ht="15.75" customHeight="1">
      <c r="A137" s="41" t="s">
        <v>1404</v>
      </c>
      <c r="B137" s="42" t="s">
        <v>2467</v>
      </c>
      <c r="C137" s="41" t="s">
        <v>2464</v>
      </c>
      <c r="D137" s="102" t="s">
        <v>2465</v>
      </c>
      <c r="E137" s="102" t="s">
        <v>2466</v>
      </c>
      <c r="F137" s="84">
        <v>0.21</v>
      </c>
      <c r="G137" s="135" t="s">
        <v>517</v>
      </c>
    </row>
    <row r="138" ht="15.75" customHeight="1">
      <c r="A138" s="47" t="s">
        <v>1404</v>
      </c>
      <c r="B138" s="48" t="s">
        <v>2468</v>
      </c>
      <c r="C138" s="47" t="s">
        <v>2469</v>
      </c>
      <c r="D138" s="105" t="s">
        <v>2470</v>
      </c>
      <c r="E138" s="105" t="s">
        <v>2471</v>
      </c>
      <c r="F138" s="38">
        <v>0.21</v>
      </c>
      <c r="G138" s="135" t="s">
        <v>517</v>
      </c>
    </row>
    <row r="139" ht="15.75" customHeight="1">
      <c r="A139" s="41" t="s">
        <v>1404</v>
      </c>
      <c r="B139" s="42" t="s">
        <v>2472</v>
      </c>
      <c r="C139" s="41" t="s">
        <v>2473</v>
      </c>
      <c r="D139" s="102" t="s">
        <v>2470</v>
      </c>
      <c r="E139" s="102" t="s">
        <v>2471</v>
      </c>
      <c r="F139" s="84">
        <v>0.21</v>
      </c>
      <c r="G139" s="135" t="s">
        <v>517</v>
      </c>
    </row>
    <row r="140" ht="15.75" customHeight="1">
      <c r="A140" s="47" t="s">
        <v>1404</v>
      </c>
      <c r="B140" s="48" t="s">
        <v>2474</v>
      </c>
      <c r="C140" s="47" t="s">
        <v>2475</v>
      </c>
      <c r="D140" s="105" t="s">
        <v>2366</v>
      </c>
      <c r="E140" s="105" t="s">
        <v>2367</v>
      </c>
      <c r="F140" s="38">
        <v>0.21</v>
      </c>
      <c r="G140" s="135" t="s">
        <v>517</v>
      </c>
    </row>
    <row r="141" ht="15.75" customHeight="1">
      <c r="A141" s="41" t="s">
        <v>1404</v>
      </c>
      <c r="B141" s="42" t="s">
        <v>2476</v>
      </c>
      <c r="C141" s="41" t="s">
        <v>2477</v>
      </c>
      <c r="D141" s="102" t="s">
        <v>2208</v>
      </c>
      <c r="E141" s="102" t="s">
        <v>2209</v>
      </c>
      <c r="F141" s="84">
        <v>0.21</v>
      </c>
      <c r="G141" s="135" t="s">
        <v>517</v>
      </c>
    </row>
    <row r="142" ht="15.75" customHeight="1">
      <c r="A142" s="47" t="s">
        <v>1404</v>
      </c>
      <c r="B142" s="48" t="s">
        <v>2478</v>
      </c>
      <c r="C142" s="47" t="s">
        <v>2479</v>
      </c>
      <c r="D142" s="105" t="s">
        <v>2480</v>
      </c>
      <c r="E142" s="105" t="s">
        <v>2481</v>
      </c>
      <c r="F142" s="38">
        <v>0.21</v>
      </c>
      <c r="G142" s="135" t="s">
        <v>517</v>
      </c>
    </row>
    <row r="143" ht="15.75" customHeight="1">
      <c r="A143" s="41" t="s">
        <v>1404</v>
      </c>
      <c r="B143" s="41" t="s">
        <v>2482</v>
      </c>
      <c r="C143" s="41" t="s">
        <v>2483</v>
      </c>
      <c r="D143" s="102" t="s">
        <v>2193</v>
      </c>
      <c r="E143" s="102" t="s">
        <v>2194</v>
      </c>
      <c r="F143" s="84">
        <v>0.21</v>
      </c>
      <c r="G143" s="135" t="s">
        <v>517</v>
      </c>
    </row>
    <row r="144" ht="15.75" customHeight="1">
      <c r="A144" s="47" t="s">
        <v>1404</v>
      </c>
      <c r="B144" s="48" t="s">
        <v>2484</v>
      </c>
      <c r="C144" s="47" t="s">
        <v>2485</v>
      </c>
      <c r="D144" s="105" t="s">
        <v>2442</v>
      </c>
      <c r="E144" s="105" t="s">
        <v>2443</v>
      </c>
      <c r="F144" s="38">
        <v>0.21</v>
      </c>
      <c r="G144" s="135" t="s">
        <v>517</v>
      </c>
    </row>
    <row r="145" ht="15.75" customHeight="1">
      <c r="A145" s="41" t="s">
        <v>1404</v>
      </c>
      <c r="B145" s="41" t="s">
        <v>2486</v>
      </c>
      <c r="C145" s="41" t="s">
        <v>2487</v>
      </c>
      <c r="D145" s="102" t="s">
        <v>492</v>
      </c>
      <c r="E145" s="102" t="s">
        <v>493</v>
      </c>
      <c r="F145" s="84">
        <v>0.21</v>
      </c>
      <c r="G145" s="135" t="s">
        <v>517</v>
      </c>
    </row>
    <row r="146" ht="15.75" customHeight="1">
      <c r="A146" s="47" t="s">
        <v>1404</v>
      </c>
      <c r="B146" s="48" t="s">
        <v>2488</v>
      </c>
      <c r="C146" s="47" t="s">
        <v>2489</v>
      </c>
      <c r="D146" s="105" t="s">
        <v>2490</v>
      </c>
      <c r="E146" s="105" t="s">
        <v>2491</v>
      </c>
      <c r="F146" s="38">
        <v>0.21</v>
      </c>
      <c r="G146" s="135" t="s">
        <v>517</v>
      </c>
    </row>
    <row r="147" ht="15.75" customHeight="1">
      <c r="A147" s="41" t="s">
        <v>1404</v>
      </c>
      <c r="B147" s="42" t="s">
        <v>2492</v>
      </c>
      <c r="C147" s="41" t="s">
        <v>2493</v>
      </c>
      <c r="D147" s="102" t="s">
        <v>1629</v>
      </c>
      <c r="E147" s="102" t="s">
        <v>1630</v>
      </c>
      <c r="F147" s="84">
        <v>0.21</v>
      </c>
      <c r="G147" s="134" t="s">
        <v>2166</v>
      </c>
    </row>
    <row r="148" ht="15.75" customHeight="1">
      <c r="A148" s="47" t="s">
        <v>1404</v>
      </c>
      <c r="B148" s="48" t="s">
        <v>2494</v>
      </c>
      <c r="C148" s="47" t="s">
        <v>2493</v>
      </c>
      <c r="D148" s="105" t="s">
        <v>1629</v>
      </c>
      <c r="E148" s="105" t="s">
        <v>1630</v>
      </c>
      <c r="F148" s="38">
        <v>0.21</v>
      </c>
      <c r="G148" s="135" t="s">
        <v>517</v>
      </c>
    </row>
    <row r="149" ht="15.75" customHeight="1">
      <c r="A149" s="41" t="s">
        <v>1404</v>
      </c>
      <c r="B149" s="41" t="s">
        <v>2495</v>
      </c>
      <c r="C149" s="41" t="s">
        <v>2496</v>
      </c>
      <c r="D149" s="102" t="s">
        <v>2497</v>
      </c>
      <c r="E149" s="102" t="s">
        <v>2498</v>
      </c>
      <c r="F149" s="84">
        <v>0.21</v>
      </c>
      <c r="G149" s="135" t="s">
        <v>517</v>
      </c>
    </row>
    <row r="150" ht="15.75" customHeight="1">
      <c r="A150" s="47" t="s">
        <v>1404</v>
      </c>
      <c r="B150" s="48" t="s">
        <v>2499</v>
      </c>
      <c r="C150" s="47" t="s">
        <v>2500</v>
      </c>
      <c r="D150" s="105" t="s">
        <v>2501</v>
      </c>
      <c r="E150" s="105" t="s">
        <v>2502</v>
      </c>
      <c r="F150" s="38">
        <v>0.21</v>
      </c>
      <c r="G150" s="135" t="s">
        <v>517</v>
      </c>
    </row>
    <row r="151" ht="15.75" customHeight="1">
      <c r="A151" s="41" t="s">
        <v>1404</v>
      </c>
      <c r="B151" s="42" t="s">
        <v>2503</v>
      </c>
      <c r="C151" s="41" t="s">
        <v>328</v>
      </c>
      <c r="D151" s="102" t="s">
        <v>2504</v>
      </c>
      <c r="E151" s="102" t="s">
        <v>2505</v>
      </c>
      <c r="F151" s="84">
        <v>0.21</v>
      </c>
      <c r="G151" s="135" t="s">
        <v>517</v>
      </c>
    </row>
    <row r="152" ht="15.75" customHeight="1">
      <c r="A152" s="47" t="s">
        <v>1404</v>
      </c>
      <c r="B152" s="47" t="s">
        <v>2506</v>
      </c>
      <c r="C152" s="47" t="s">
        <v>2507</v>
      </c>
      <c r="D152" s="105" t="s">
        <v>2497</v>
      </c>
      <c r="E152" s="105" t="s">
        <v>2498</v>
      </c>
      <c r="F152" s="38">
        <v>0.21</v>
      </c>
      <c r="G152" s="135" t="s">
        <v>517</v>
      </c>
    </row>
    <row r="153" ht="15.75" customHeight="1">
      <c r="A153" s="41" t="s">
        <v>1404</v>
      </c>
      <c r="B153" s="42" t="s">
        <v>2508</v>
      </c>
      <c r="C153" s="41" t="s">
        <v>2509</v>
      </c>
      <c r="D153" s="102" t="s">
        <v>2501</v>
      </c>
      <c r="E153" s="102" t="s">
        <v>2502</v>
      </c>
      <c r="F153" s="84">
        <v>0.21</v>
      </c>
      <c r="G153" s="135" t="s">
        <v>517</v>
      </c>
    </row>
    <row r="154" ht="15.75" customHeight="1">
      <c r="A154" s="47" t="s">
        <v>1404</v>
      </c>
      <c r="B154" s="48" t="s">
        <v>2510</v>
      </c>
      <c r="C154" s="47" t="s">
        <v>328</v>
      </c>
      <c r="D154" s="105" t="s">
        <v>2504</v>
      </c>
      <c r="E154" s="105" t="s">
        <v>2505</v>
      </c>
      <c r="F154" s="38">
        <v>0.21</v>
      </c>
      <c r="G154" s="135" t="s">
        <v>517</v>
      </c>
    </row>
    <row r="155" ht="15.75" customHeight="1">
      <c r="A155" s="41" t="s">
        <v>1404</v>
      </c>
      <c r="B155" s="42" t="s">
        <v>2511</v>
      </c>
      <c r="C155" s="41" t="s">
        <v>2512</v>
      </c>
      <c r="D155" s="102" t="s">
        <v>2465</v>
      </c>
      <c r="E155" s="102" t="s">
        <v>2466</v>
      </c>
      <c r="F155" s="84">
        <v>0.21</v>
      </c>
      <c r="G155" s="135" t="s">
        <v>517</v>
      </c>
    </row>
    <row r="156" ht="15.75" customHeight="1">
      <c r="A156" s="47" t="s">
        <v>1404</v>
      </c>
      <c r="B156" s="48" t="s">
        <v>2513</v>
      </c>
      <c r="C156" s="47" t="s">
        <v>2512</v>
      </c>
      <c r="D156" s="105" t="s">
        <v>2465</v>
      </c>
      <c r="E156" s="105" t="s">
        <v>2466</v>
      </c>
      <c r="F156" s="38">
        <v>0.21</v>
      </c>
      <c r="G156" s="135" t="s">
        <v>517</v>
      </c>
    </row>
    <row r="157" ht="15.75" customHeight="1">
      <c r="A157" s="41" t="s">
        <v>1404</v>
      </c>
      <c r="B157" s="42" t="s">
        <v>2514</v>
      </c>
      <c r="C157" s="41" t="s">
        <v>2515</v>
      </c>
      <c r="D157" s="102" t="s">
        <v>2516</v>
      </c>
      <c r="E157" s="102" t="s">
        <v>2517</v>
      </c>
      <c r="F157" s="84">
        <v>0.21</v>
      </c>
      <c r="G157" s="135" t="s">
        <v>517</v>
      </c>
    </row>
    <row r="158" ht="15.75" customHeight="1">
      <c r="A158" s="47" t="s">
        <v>1404</v>
      </c>
      <c r="B158" s="48" t="s">
        <v>2518</v>
      </c>
      <c r="C158" s="47" t="s">
        <v>2515</v>
      </c>
      <c r="D158" s="105" t="s">
        <v>2516</v>
      </c>
      <c r="E158" s="105" t="s">
        <v>2517</v>
      </c>
      <c r="F158" s="38">
        <v>0.21</v>
      </c>
      <c r="G158" s="135" t="s">
        <v>517</v>
      </c>
    </row>
    <row r="159" ht="15.75" customHeight="1">
      <c r="A159" s="41" t="s">
        <v>1404</v>
      </c>
      <c r="B159" s="41" t="s">
        <v>2519</v>
      </c>
      <c r="C159" s="41" t="s">
        <v>2520</v>
      </c>
      <c r="D159" s="102" t="s">
        <v>2521</v>
      </c>
      <c r="E159" s="102" t="s">
        <v>2522</v>
      </c>
      <c r="F159" s="84">
        <v>0.21</v>
      </c>
      <c r="G159" s="135" t="s">
        <v>517</v>
      </c>
    </row>
    <row r="160" ht="15.75" customHeight="1">
      <c r="A160" s="47" t="s">
        <v>1404</v>
      </c>
      <c r="B160" s="48" t="s">
        <v>2523</v>
      </c>
      <c r="C160" s="47" t="s">
        <v>2524</v>
      </c>
      <c r="D160" s="105" t="s">
        <v>2521</v>
      </c>
      <c r="E160" s="105" t="s">
        <v>2522</v>
      </c>
      <c r="F160" s="38">
        <v>0.21</v>
      </c>
      <c r="G160" s="135" t="s">
        <v>517</v>
      </c>
    </row>
    <row r="161" ht="15.75" customHeight="1">
      <c r="A161" s="41" t="s">
        <v>1404</v>
      </c>
      <c r="B161" s="41" t="s">
        <v>2525</v>
      </c>
      <c r="C161" s="41" t="s">
        <v>2526</v>
      </c>
      <c r="D161" s="102" t="s">
        <v>2527</v>
      </c>
      <c r="E161" s="102" t="s">
        <v>2528</v>
      </c>
      <c r="F161" s="84">
        <v>0.21</v>
      </c>
      <c r="G161" s="134"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0" t="s">
        <v>23</v>
      </c>
      <c r="B1" s="77" t="s">
        <v>24</v>
      </c>
      <c r="C1" s="77" t="s">
        <v>25</v>
      </c>
      <c r="D1" s="27" t="s">
        <v>26</v>
      </c>
      <c r="E1" s="27" t="s">
        <v>27</v>
      </c>
      <c r="F1" s="77" t="s">
        <v>28</v>
      </c>
      <c r="G1" s="77" t="s">
        <v>29</v>
      </c>
      <c r="H1" s="141"/>
      <c r="I1" s="141"/>
      <c r="J1" s="141"/>
      <c r="K1" s="141"/>
      <c r="L1" s="141"/>
      <c r="M1" s="141"/>
      <c r="N1" s="141"/>
      <c r="O1" s="141"/>
      <c r="P1" s="141"/>
      <c r="Q1" s="141"/>
      <c r="R1" s="141"/>
      <c r="S1" s="141"/>
      <c r="T1" s="141"/>
    </row>
    <row r="2">
      <c r="A2" s="79" t="s">
        <v>2243</v>
      </c>
      <c r="C2" s="91"/>
      <c r="D2" s="31"/>
      <c r="E2" s="80"/>
      <c r="F2" s="91"/>
      <c r="G2" s="91"/>
      <c r="H2" s="142"/>
      <c r="I2" s="142"/>
      <c r="J2" s="142"/>
      <c r="K2" s="142"/>
      <c r="L2" s="142"/>
      <c r="M2" s="142"/>
      <c r="N2" s="142"/>
      <c r="O2" s="142"/>
      <c r="P2" s="142"/>
      <c r="Q2" s="142"/>
      <c r="R2" s="142"/>
      <c r="S2" s="142"/>
      <c r="T2" s="142"/>
    </row>
    <row r="3">
      <c r="A3" s="143" t="s">
        <v>2529</v>
      </c>
      <c r="B3" s="86" t="s">
        <v>2530</v>
      </c>
      <c r="C3" s="86" t="s">
        <v>2531</v>
      </c>
      <c r="D3" s="37" t="s">
        <v>2532</v>
      </c>
      <c r="E3" s="37" t="s">
        <v>2533</v>
      </c>
      <c r="F3" s="144" t="s">
        <v>2534</v>
      </c>
      <c r="G3" s="85" t="s">
        <v>2232</v>
      </c>
      <c r="H3" s="141"/>
      <c r="I3" s="141"/>
      <c r="J3" s="141"/>
      <c r="K3" s="141"/>
      <c r="L3" s="141"/>
      <c r="M3" s="141"/>
      <c r="N3" s="141"/>
      <c r="O3" s="141"/>
      <c r="P3" s="141"/>
      <c r="Q3" s="141"/>
      <c r="R3" s="141"/>
      <c r="S3" s="141"/>
      <c r="T3" s="141"/>
    </row>
    <row r="4">
      <c r="A4" s="145" t="s">
        <v>2529</v>
      </c>
      <c r="B4" s="81" t="s">
        <v>2535</v>
      </c>
      <c r="C4" s="81" t="s">
        <v>2536</v>
      </c>
      <c r="D4" s="44" t="s">
        <v>2537</v>
      </c>
      <c r="E4" s="44" t="s">
        <v>2538</v>
      </c>
      <c r="F4" s="146" t="s">
        <v>2534</v>
      </c>
      <c r="G4" s="147" t="s">
        <v>2195</v>
      </c>
      <c r="H4" s="141"/>
      <c r="I4" s="141"/>
      <c r="J4" s="141"/>
      <c r="K4" s="141"/>
      <c r="L4" s="141"/>
      <c r="M4" s="141"/>
      <c r="N4" s="141"/>
      <c r="O4" s="141"/>
      <c r="P4" s="141"/>
      <c r="Q4" s="141"/>
      <c r="R4" s="141"/>
      <c r="S4" s="141"/>
      <c r="T4" s="141"/>
    </row>
    <row r="5">
      <c r="A5" s="79" t="s">
        <v>2539</v>
      </c>
      <c r="C5" s="91"/>
      <c r="D5" s="31"/>
      <c r="E5" s="80"/>
      <c r="F5" s="91"/>
      <c r="G5" s="91"/>
      <c r="H5" s="142"/>
      <c r="I5" s="142"/>
      <c r="J5" s="142"/>
      <c r="K5" s="142"/>
      <c r="L5" s="142"/>
      <c r="M5" s="142"/>
      <c r="N5" s="142"/>
      <c r="O5" s="142"/>
      <c r="P5" s="142"/>
      <c r="Q5" s="142"/>
      <c r="R5" s="142"/>
      <c r="S5" s="142"/>
      <c r="T5" s="142"/>
    </row>
    <row r="6">
      <c r="A6" s="143" t="s">
        <v>2529</v>
      </c>
      <c r="B6" s="86" t="s">
        <v>2540</v>
      </c>
      <c r="C6" s="86" t="s">
        <v>2541</v>
      </c>
      <c r="D6" s="37" t="s">
        <v>2542</v>
      </c>
      <c r="E6" s="37" t="s">
        <v>2543</v>
      </c>
      <c r="F6" s="144" t="s">
        <v>2534</v>
      </c>
      <c r="G6" s="147" t="s">
        <v>2195</v>
      </c>
      <c r="H6" s="141"/>
      <c r="I6" s="141"/>
      <c r="J6" s="141"/>
      <c r="K6" s="141"/>
      <c r="L6" s="141"/>
      <c r="M6" s="141"/>
      <c r="N6" s="141"/>
      <c r="O6" s="141"/>
      <c r="P6" s="141"/>
      <c r="Q6" s="141"/>
      <c r="R6" s="141"/>
      <c r="S6" s="141"/>
      <c r="T6" s="141"/>
    </row>
    <row r="7">
      <c r="A7" s="145" t="s">
        <v>2529</v>
      </c>
      <c r="B7" s="81" t="s">
        <v>2544</v>
      </c>
      <c r="C7" s="81" t="s">
        <v>2545</v>
      </c>
      <c r="D7" s="44" t="s">
        <v>2546</v>
      </c>
      <c r="E7" s="44" t="s">
        <v>2194</v>
      </c>
      <c r="F7" s="146" t="s">
        <v>2534</v>
      </c>
      <c r="G7" s="85" t="s">
        <v>2232</v>
      </c>
      <c r="H7" s="141"/>
      <c r="I7" s="141"/>
      <c r="J7" s="141"/>
      <c r="K7" s="141"/>
      <c r="L7" s="141"/>
      <c r="M7" s="141"/>
      <c r="N7" s="141"/>
      <c r="O7" s="141"/>
      <c r="P7" s="141"/>
      <c r="Q7" s="141"/>
      <c r="R7" s="141"/>
      <c r="S7" s="141"/>
      <c r="T7" s="141"/>
    </row>
    <row r="8">
      <c r="A8" s="143" t="s">
        <v>2529</v>
      </c>
      <c r="B8" s="86" t="s">
        <v>2547</v>
      </c>
      <c r="C8" s="86" t="s">
        <v>2548</v>
      </c>
      <c r="D8" s="37" t="s">
        <v>2549</v>
      </c>
      <c r="E8" s="37" t="s">
        <v>2550</v>
      </c>
      <c r="F8" s="144" t="s">
        <v>2534</v>
      </c>
      <c r="G8" s="147" t="s">
        <v>2195</v>
      </c>
      <c r="H8" s="141"/>
      <c r="I8" s="141"/>
      <c r="J8" s="141"/>
      <c r="K8" s="141"/>
      <c r="L8" s="141"/>
      <c r="M8" s="141"/>
      <c r="N8" s="141"/>
      <c r="O8" s="141"/>
      <c r="P8" s="141"/>
      <c r="Q8" s="141"/>
      <c r="R8" s="141"/>
      <c r="S8" s="141"/>
      <c r="T8" s="141"/>
    </row>
    <row r="9">
      <c r="A9" s="145" t="s">
        <v>2529</v>
      </c>
      <c r="B9" s="81" t="s">
        <v>2551</v>
      </c>
      <c r="C9" s="81" t="s">
        <v>2552</v>
      </c>
      <c r="D9" s="44" t="s">
        <v>2553</v>
      </c>
      <c r="E9" s="44" t="s">
        <v>2554</v>
      </c>
      <c r="F9" s="146" t="s">
        <v>2534</v>
      </c>
      <c r="G9" s="147" t="s">
        <v>2195</v>
      </c>
      <c r="H9" s="141"/>
      <c r="I9" s="141"/>
      <c r="J9" s="141"/>
      <c r="K9" s="141"/>
      <c r="L9" s="141"/>
      <c r="M9" s="141"/>
      <c r="N9" s="141"/>
      <c r="O9" s="141"/>
      <c r="P9" s="141"/>
      <c r="Q9" s="141"/>
      <c r="R9" s="141"/>
      <c r="S9" s="141"/>
      <c r="T9" s="141"/>
    </row>
    <row r="10">
      <c r="A10" s="143" t="s">
        <v>2529</v>
      </c>
      <c r="B10" s="86" t="s">
        <v>2555</v>
      </c>
      <c r="C10" s="86" t="s">
        <v>2556</v>
      </c>
      <c r="D10" s="37" t="s">
        <v>2557</v>
      </c>
      <c r="E10" s="37" t="s">
        <v>2425</v>
      </c>
      <c r="F10" s="144" t="s">
        <v>2534</v>
      </c>
      <c r="G10" s="147" t="s">
        <v>2195</v>
      </c>
      <c r="H10" s="141"/>
      <c r="I10" s="141"/>
      <c r="J10" s="141"/>
      <c r="K10" s="141"/>
      <c r="L10" s="141"/>
      <c r="M10" s="141"/>
      <c r="N10" s="141"/>
      <c r="O10" s="141"/>
      <c r="P10" s="141"/>
      <c r="Q10" s="141"/>
      <c r="R10" s="141"/>
      <c r="S10" s="141"/>
      <c r="T10" s="141"/>
    </row>
    <row r="11">
      <c r="A11" s="145" t="s">
        <v>2529</v>
      </c>
      <c r="B11" s="81" t="s">
        <v>2558</v>
      </c>
      <c r="C11" s="81" t="s">
        <v>2559</v>
      </c>
      <c r="D11" s="44" t="s">
        <v>2560</v>
      </c>
      <c r="E11" s="44" t="s">
        <v>2205</v>
      </c>
      <c r="F11" s="146" t="s">
        <v>2534</v>
      </c>
      <c r="G11" s="147" t="s">
        <v>2195</v>
      </c>
      <c r="H11" s="141"/>
      <c r="I11" s="141"/>
      <c r="J11" s="141"/>
      <c r="K11" s="141"/>
      <c r="L11" s="141"/>
      <c r="M11" s="141"/>
      <c r="N11" s="141"/>
      <c r="O11" s="141"/>
      <c r="P11" s="141"/>
      <c r="Q11" s="141"/>
      <c r="R11" s="141"/>
      <c r="S11" s="141"/>
      <c r="T11" s="141"/>
    </row>
    <row r="12">
      <c r="A12" s="143" t="s">
        <v>2529</v>
      </c>
      <c r="B12" s="86" t="s">
        <v>2561</v>
      </c>
      <c r="C12" s="86" t="s">
        <v>2562</v>
      </c>
      <c r="D12" s="37" t="s">
        <v>2563</v>
      </c>
      <c r="E12" s="37" t="s">
        <v>476</v>
      </c>
      <c r="F12" s="144" t="s">
        <v>2534</v>
      </c>
      <c r="G12" s="147" t="s">
        <v>2195</v>
      </c>
      <c r="H12" s="141"/>
      <c r="I12" s="141"/>
      <c r="J12" s="141"/>
      <c r="K12" s="141"/>
      <c r="L12" s="141"/>
      <c r="M12" s="141"/>
      <c r="N12" s="141"/>
      <c r="O12" s="141"/>
      <c r="P12" s="141"/>
      <c r="Q12" s="141"/>
      <c r="R12" s="141"/>
      <c r="S12" s="141"/>
      <c r="T12" s="141"/>
    </row>
    <row r="13">
      <c r="A13" s="145" t="s">
        <v>2529</v>
      </c>
      <c r="B13" s="81" t="s">
        <v>2564</v>
      </c>
      <c r="C13" s="81" t="s">
        <v>2565</v>
      </c>
      <c r="D13" s="44" t="s">
        <v>2563</v>
      </c>
      <c r="E13" s="44" t="s">
        <v>476</v>
      </c>
      <c r="F13" s="146" t="s">
        <v>2534</v>
      </c>
      <c r="G13" s="147" t="s">
        <v>2195</v>
      </c>
      <c r="H13" s="141"/>
      <c r="I13" s="141"/>
      <c r="J13" s="141"/>
      <c r="K13" s="141"/>
      <c r="L13" s="141"/>
      <c r="M13" s="141"/>
      <c r="N13" s="141"/>
      <c r="O13" s="141"/>
      <c r="P13" s="141"/>
      <c r="Q13" s="141"/>
      <c r="R13" s="141"/>
      <c r="S13" s="141"/>
      <c r="T13" s="141"/>
    </row>
    <row r="14">
      <c r="A14" s="143" t="s">
        <v>2529</v>
      </c>
      <c r="B14" s="86" t="s">
        <v>2566</v>
      </c>
      <c r="C14" s="86" t="s">
        <v>2567</v>
      </c>
      <c r="D14" s="37" t="s">
        <v>2568</v>
      </c>
      <c r="E14" s="37" t="s">
        <v>220</v>
      </c>
      <c r="F14" s="144" t="s">
        <v>2534</v>
      </c>
      <c r="G14" s="147" t="s">
        <v>2195</v>
      </c>
      <c r="H14" s="141"/>
      <c r="I14" s="141"/>
      <c r="J14" s="141"/>
      <c r="K14" s="141"/>
      <c r="L14" s="141"/>
      <c r="M14" s="141"/>
      <c r="N14" s="141"/>
      <c r="O14" s="141"/>
      <c r="P14" s="141"/>
      <c r="Q14" s="141"/>
      <c r="R14" s="141"/>
      <c r="S14" s="141"/>
      <c r="T14" s="141"/>
    </row>
    <row r="15">
      <c r="A15" s="79" t="s">
        <v>2569</v>
      </c>
      <c r="C15" s="91"/>
      <c r="D15" s="31"/>
      <c r="E15" s="80"/>
      <c r="F15" s="91"/>
      <c r="G15" s="91"/>
      <c r="H15" s="142"/>
      <c r="I15" s="142"/>
      <c r="J15" s="142"/>
      <c r="K15" s="142"/>
      <c r="L15" s="142"/>
      <c r="M15" s="142"/>
      <c r="N15" s="142"/>
      <c r="O15" s="142"/>
      <c r="P15" s="142"/>
      <c r="Q15" s="142"/>
      <c r="R15" s="142"/>
      <c r="S15" s="142"/>
      <c r="T15" s="142"/>
    </row>
    <row r="16">
      <c r="A16" s="143" t="s">
        <v>2529</v>
      </c>
      <c r="B16" s="86" t="s">
        <v>2570</v>
      </c>
      <c r="C16" s="86" t="s">
        <v>2571</v>
      </c>
      <c r="D16" s="37" t="s">
        <v>2572</v>
      </c>
      <c r="E16" s="37" t="s">
        <v>2443</v>
      </c>
      <c r="F16" s="144" t="s">
        <v>2534</v>
      </c>
      <c r="G16" s="147" t="s">
        <v>2195</v>
      </c>
      <c r="H16" s="141"/>
      <c r="I16" s="141"/>
      <c r="J16" s="141"/>
      <c r="K16" s="141"/>
      <c r="L16" s="141"/>
      <c r="M16" s="141"/>
      <c r="N16" s="141"/>
      <c r="O16" s="141"/>
      <c r="P16" s="141"/>
      <c r="Q16" s="141"/>
      <c r="R16" s="141"/>
      <c r="S16" s="141"/>
      <c r="T16" s="141"/>
    </row>
    <row r="17">
      <c r="A17" s="79" t="s">
        <v>2573</v>
      </c>
      <c r="C17" s="91"/>
      <c r="D17" s="31"/>
      <c r="E17" s="80"/>
      <c r="F17" s="91"/>
      <c r="G17" s="91"/>
      <c r="H17" s="142"/>
      <c r="I17" s="142"/>
      <c r="J17" s="142"/>
      <c r="K17" s="142"/>
      <c r="L17" s="142"/>
      <c r="M17" s="142"/>
      <c r="N17" s="142"/>
      <c r="O17" s="142"/>
      <c r="P17" s="142"/>
      <c r="Q17" s="142"/>
      <c r="R17" s="142"/>
      <c r="S17" s="142"/>
      <c r="T17" s="142"/>
    </row>
    <row r="18">
      <c r="A18" s="143" t="s">
        <v>2529</v>
      </c>
      <c r="B18" s="86" t="s">
        <v>2574</v>
      </c>
      <c r="C18" s="86" t="s">
        <v>2575</v>
      </c>
      <c r="D18" s="37" t="s">
        <v>2576</v>
      </c>
      <c r="E18" s="37" t="s">
        <v>722</v>
      </c>
      <c r="F18" s="144" t="s">
        <v>2534</v>
      </c>
      <c r="G18" s="147" t="s">
        <v>2195</v>
      </c>
      <c r="H18" s="141"/>
      <c r="I18" s="141"/>
      <c r="J18" s="141"/>
      <c r="K18" s="141"/>
      <c r="L18" s="141"/>
      <c r="M18" s="141"/>
      <c r="N18" s="141"/>
      <c r="O18" s="141"/>
      <c r="P18" s="141"/>
      <c r="Q18" s="141"/>
      <c r="R18" s="141"/>
      <c r="S18" s="141"/>
      <c r="T18" s="141"/>
    </row>
    <row r="19">
      <c r="A19" s="145" t="s">
        <v>2529</v>
      </c>
      <c r="B19" s="81" t="s">
        <v>2577</v>
      </c>
      <c r="C19" s="81" t="s">
        <v>2578</v>
      </c>
      <c r="D19" s="44" t="s">
        <v>2576</v>
      </c>
      <c r="E19" s="44" t="s">
        <v>722</v>
      </c>
      <c r="F19" s="146" t="s">
        <v>2534</v>
      </c>
      <c r="G19" s="147" t="s">
        <v>2195</v>
      </c>
      <c r="H19" s="141"/>
      <c r="I19" s="141"/>
      <c r="J19" s="141"/>
      <c r="K19" s="141"/>
      <c r="L19" s="141"/>
      <c r="M19" s="141"/>
      <c r="N19" s="141"/>
      <c r="O19" s="141"/>
      <c r="P19" s="141"/>
      <c r="Q19" s="141"/>
      <c r="R19" s="141"/>
      <c r="S19" s="141"/>
      <c r="T19" s="141"/>
    </row>
    <row r="20">
      <c r="A20" s="143" t="s">
        <v>2529</v>
      </c>
      <c r="B20" s="86" t="s">
        <v>2579</v>
      </c>
      <c r="C20" s="86" t="s">
        <v>2580</v>
      </c>
      <c r="D20" s="37" t="s">
        <v>2581</v>
      </c>
      <c r="E20" s="37" t="s">
        <v>2582</v>
      </c>
      <c r="F20" s="144" t="s">
        <v>2534</v>
      </c>
      <c r="G20" s="147" t="s">
        <v>2195</v>
      </c>
      <c r="H20" s="141"/>
      <c r="I20" s="141"/>
      <c r="J20" s="141"/>
      <c r="K20" s="141"/>
      <c r="L20" s="141"/>
      <c r="M20" s="141"/>
      <c r="N20" s="141"/>
      <c r="O20" s="141"/>
      <c r="P20" s="141"/>
      <c r="Q20" s="141"/>
      <c r="R20" s="141"/>
      <c r="S20" s="141"/>
      <c r="T20" s="141"/>
    </row>
    <row r="21">
      <c r="A21" s="145" t="s">
        <v>2529</v>
      </c>
      <c r="B21" s="81" t="s">
        <v>2583</v>
      </c>
      <c r="C21" s="81" t="s">
        <v>2584</v>
      </c>
      <c r="D21" s="44" t="s">
        <v>2576</v>
      </c>
      <c r="E21" s="44" t="s">
        <v>722</v>
      </c>
      <c r="F21" s="146" t="s">
        <v>2534</v>
      </c>
      <c r="G21" s="147" t="s">
        <v>2195</v>
      </c>
      <c r="H21" s="141"/>
      <c r="I21" s="141"/>
      <c r="J21" s="141"/>
      <c r="K21" s="141"/>
      <c r="L21" s="141"/>
      <c r="M21" s="141"/>
      <c r="N21" s="141"/>
      <c r="O21" s="141"/>
      <c r="P21" s="141"/>
      <c r="Q21" s="141"/>
      <c r="R21" s="141"/>
      <c r="S21" s="141"/>
      <c r="T21" s="141"/>
    </row>
    <row r="22">
      <c r="A22" s="79" t="s">
        <v>2585</v>
      </c>
      <c r="C22" s="91"/>
      <c r="D22" s="31"/>
      <c r="E22" s="80"/>
      <c r="F22" s="91"/>
      <c r="G22" s="91"/>
      <c r="H22" s="142"/>
      <c r="I22" s="142"/>
      <c r="J22" s="142"/>
      <c r="K22" s="142"/>
      <c r="L22" s="142"/>
      <c r="M22" s="142"/>
      <c r="N22" s="142"/>
      <c r="O22" s="142"/>
      <c r="P22" s="142"/>
      <c r="Q22" s="142"/>
      <c r="R22" s="142"/>
      <c r="S22" s="142"/>
      <c r="T22" s="142"/>
    </row>
    <row r="23">
      <c r="A23" s="143" t="s">
        <v>2529</v>
      </c>
      <c r="B23" s="86" t="s">
        <v>2586</v>
      </c>
      <c r="C23" s="86" t="s">
        <v>2587</v>
      </c>
      <c r="D23" s="37" t="s">
        <v>2560</v>
      </c>
      <c r="E23" s="37" t="s">
        <v>2205</v>
      </c>
      <c r="F23" s="144" t="s">
        <v>2534</v>
      </c>
      <c r="G23" s="147" t="s">
        <v>2195</v>
      </c>
      <c r="H23" s="141"/>
      <c r="I23" s="141"/>
      <c r="J23" s="141"/>
      <c r="K23" s="141"/>
      <c r="L23" s="141"/>
      <c r="M23" s="141"/>
      <c r="N23" s="141"/>
      <c r="O23" s="141"/>
      <c r="P23" s="141"/>
      <c r="Q23" s="141"/>
      <c r="R23" s="141"/>
      <c r="S23" s="141"/>
      <c r="T23" s="141"/>
    </row>
    <row r="24">
      <c r="A24" s="145" t="s">
        <v>2529</v>
      </c>
      <c r="B24" s="81" t="s">
        <v>2588</v>
      </c>
      <c r="C24" s="81" t="s">
        <v>2589</v>
      </c>
      <c r="D24" s="44" t="s">
        <v>2590</v>
      </c>
      <c r="E24" s="44" t="s">
        <v>766</v>
      </c>
      <c r="F24" s="146" t="s">
        <v>2534</v>
      </c>
      <c r="G24" s="147" t="s">
        <v>2195</v>
      </c>
      <c r="H24" s="141"/>
      <c r="I24" s="141"/>
      <c r="J24" s="141"/>
      <c r="K24" s="141"/>
      <c r="L24" s="141"/>
      <c r="M24" s="141"/>
      <c r="N24" s="141"/>
      <c r="O24" s="141"/>
      <c r="P24" s="141"/>
      <c r="Q24" s="141"/>
      <c r="R24" s="141"/>
      <c r="S24" s="141"/>
      <c r="T24" s="141"/>
    </row>
    <row r="25">
      <c r="A25" s="79" t="s">
        <v>2591</v>
      </c>
      <c r="C25" s="91"/>
      <c r="D25" s="31"/>
      <c r="E25" s="80"/>
      <c r="F25" s="91"/>
      <c r="G25" s="91"/>
      <c r="H25" s="142"/>
      <c r="I25" s="142"/>
      <c r="J25" s="142"/>
      <c r="K25" s="142"/>
      <c r="L25" s="142"/>
      <c r="M25" s="142"/>
      <c r="N25" s="142"/>
      <c r="O25" s="142"/>
      <c r="P25" s="142"/>
      <c r="Q25" s="142"/>
      <c r="R25" s="142"/>
      <c r="S25" s="142"/>
      <c r="T25" s="142"/>
    </row>
    <row r="26">
      <c r="A26" s="143" t="s">
        <v>2529</v>
      </c>
      <c r="B26" s="86" t="s">
        <v>2592</v>
      </c>
      <c r="C26" s="86" t="s">
        <v>2593</v>
      </c>
      <c r="D26" s="37" t="s">
        <v>2594</v>
      </c>
      <c r="E26" s="37" t="s">
        <v>737</v>
      </c>
      <c r="F26" s="144" t="s">
        <v>2534</v>
      </c>
      <c r="G26" s="147" t="s">
        <v>2195</v>
      </c>
      <c r="H26" s="141"/>
      <c r="I26" s="141"/>
      <c r="J26" s="141"/>
      <c r="K26" s="141"/>
      <c r="L26" s="141"/>
      <c r="M26" s="141"/>
      <c r="N26" s="141"/>
      <c r="O26" s="141"/>
      <c r="P26" s="141"/>
      <c r="Q26" s="141"/>
      <c r="R26" s="141"/>
      <c r="S26" s="141"/>
      <c r="T26" s="141"/>
    </row>
    <row r="27">
      <c r="A27" s="145" t="s">
        <v>2529</v>
      </c>
      <c r="B27" s="81" t="s">
        <v>2595</v>
      </c>
      <c r="C27" s="81" t="s">
        <v>2596</v>
      </c>
      <c r="D27" s="44" t="s">
        <v>2597</v>
      </c>
      <c r="E27" s="44" t="s">
        <v>932</v>
      </c>
      <c r="F27" s="146" t="s">
        <v>2534</v>
      </c>
      <c r="G27" s="147" t="s">
        <v>2195</v>
      </c>
      <c r="H27" s="141"/>
      <c r="I27" s="141"/>
      <c r="J27" s="141"/>
      <c r="K27" s="141"/>
      <c r="L27" s="141"/>
      <c r="M27" s="141"/>
      <c r="N27" s="141"/>
      <c r="O27" s="141"/>
      <c r="P27" s="141"/>
      <c r="Q27" s="141"/>
      <c r="R27" s="141"/>
      <c r="S27" s="141"/>
      <c r="T27" s="141"/>
    </row>
    <row r="28">
      <c r="A28" s="143" t="s">
        <v>2529</v>
      </c>
      <c r="B28" s="86" t="s">
        <v>2598</v>
      </c>
      <c r="C28" s="86" t="s">
        <v>2599</v>
      </c>
      <c r="D28" s="37" t="s">
        <v>2600</v>
      </c>
      <c r="E28" s="37" t="s">
        <v>779</v>
      </c>
      <c r="F28" s="144" t="s">
        <v>2534</v>
      </c>
      <c r="G28" s="147" t="s">
        <v>2195</v>
      </c>
      <c r="H28" s="141"/>
      <c r="I28" s="141"/>
      <c r="J28" s="141"/>
      <c r="K28" s="141"/>
      <c r="L28" s="141"/>
      <c r="M28" s="141"/>
      <c r="N28" s="141"/>
      <c r="O28" s="141"/>
      <c r="P28" s="141"/>
      <c r="Q28" s="141"/>
      <c r="R28" s="141"/>
      <c r="S28" s="141"/>
      <c r="T28" s="141"/>
    </row>
    <row r="29">
      <c r="A29" s="145" t="s">
        <v>2529</v>
      </c>
      <c r="B29" s="81" t="s">
        <v>2601</v>
      </c>
      <c r="C29" s="81" t="s">
        <v>2602</v>
      </c>
      <c r="D29" s="44" t="s">
        <v>2022</v>
      </c>
      <c r="E29" s="44" t="s">
        <v>412</v>
      </c>
      <c r="F29" s="146" t="s">
        <v>2534</v>
      </c>
      <c r="G29" s="147" t="s">
        <v>2195</v>
      </c>
      <c r="H29" s="141"/>
      <c r="I29" s="141"/>
      <c r="J29" s="141"/>
      <c r="K29" s="141"/>
      <c r="L29" s="141"/>
      <c r="M29" s="141"/>
      <c r="N29" s="141"/>
      <c r="O29" s="141"/>
      <c r="P29" s="141"/>
      <c r="Q29" s="141"/>
      <c r="R29" s="141"/>
      <c r="S29" s="141"/>
      <c r="T29" s="141"/>
    </row>
    <row r="30">
      <c r="A30" s="143" t="s">
        <v>2529</v>
      </c>
      <c r="B30" s="86" t="s">
        <v>2603</v>
      </c>
      <c r="C30" s="86" t="s">
        <v>2604</v>
      </c>
      <c r="D30" s="37" t="s">
        <v>2605</v>
      </c>
      <c r="E30" s="37" t="s">
        <v>875</v>
      </c>
      <c r="F30" s="144" t="s">
        <v>2534</v>
      </c>
      <c r="G30" s="147" t="s">
        <v>2195</v>
      </c>
      <c r="H30" s="141"/>
      <c r="I30" s="141"/>
      <c r="J30" s="141"/>
      <c r="K30" s="141"/>
      <c r="L30" s="141"/>
      <c r="M30" s="141"/>
      <c r="N30" s="141"/>
      <c r="O30" s="141"/>
      <c r="P30" s="141"/>
      <c r="Q30" s="141"/>
      <c r="R30" s="141"/>
      <c r="S30" s="141"/>
      <c r="T30" s="141"/>
    </row>
    <row r="31">
      <c r="A31" s="145" t="s">
        <v>2529</v>
      </c>
      <c r="B31" s="81" t="s">
        <v>2606</v>
      </c>
      <c r="C31" s="81" t="s">
        <v>2607</v>
      </c>
      <c r="D31" s="44" t="s">
        <v>2608</v>
      </c>
      <c r="E31" s="44" t="s">
        <v>348</v>
      </c>
      <c r="F31" s="146" t="s">
        <v>2534</v>
      </c>
      <c r="G31" s="147" t="s">
        <v>2195</v>
      </c>
      <c r="H31" s="141"/>
      <c r="I31" s="141"/>
      <c r="J31" s="141"/>
      <c r="K31" s="141"/>
      <c r="L31" s="141"/>
      <c r="M31" s="141"/>
      <c r="N31" s="141"/>
      <c r="O31" s="141"/>
      <c r="P31" s="141"/>
      <c r="Q31" s="141"/>
      <c r="R31" s="141"/>
      <c r="S31" s="141"/>
      <c r="T31" s="141"/>
    </row>
    <row r="32">
      <c r="A32" s="143" t="s">
        <v>2529</v>
      </c>
      <c r="B32" s="86" t="s">
        <v>2609</v>
      </c>
      <c r="C32" s="86" t="s">
        <v>2610</v>
      </c>
      <c r="D32" s="37" t="s">
        <v>2611</v>
      </c>
      <c r="E32" s="37" t="s">
        <v>1354</v>
      </c>
      <c r="F32" s="144" t="s">
        <v>2534</v>
      </c>
      <c r="G32" s="147" t="s">
        <v>2195</v>
      </c>
      <c r="H32" s="141"/>
      <c r="I32" s="141"/>
      <c r="J32" s="141"/>
      <c r="K32" s="141"/>
      <c r="L32" s="141"/>
      <c r="M32" s="141"/>
      <c r="N32" s="141"/>
      <c r="O32" s="141"/>
      <c r="P32" s="141"/>
      <c r="Q32" s="141"/>
      <c r="R32" s="141"/>
      <c r="S32" s="141"/>
      <c r="T32" s="141"/>
    </row>
    <row r="33">
      <c r="A33" s="145" t="s">
        <v>2529</v>
      </c>
      <c r="B33" s="81" t="s">
        <v>2612</v>
      </c>
      <c r="C33" s="81" t="s">
        <v>2613</v>
      </c>
      <c r="D33" s="44" t="s">
        <v>2614</v>
      </c>
      <c r="E33" s="44" t="s">
        <v>210</v>
      </c>
      <c r="F33" s="146" t="s">
        <v>2534</v>
      </c>
      <c r="G33" s="147" t="s">
        <v>2195</v>
      </c>
      <c r="H33" s="141"/>
      <c r="I33" s="141"/>
      <c r="J33" s="141"/>
      <c r="K33" s="141"/>
      <c r="L33" s="141"/>
      <c r="M33" s="141"/>
      <c r="N33" s="141"/>
      <c r="O33" s="141"/>
      <c r="P33" s="141"/>
      <c r="Q33" s="141"/>
      <c r="R33" s="141"/>
      <c r="S33" s="141"/>
      <c r="T33" s="141"/>
    </row>
    <row r="34">
      <c r="A34" s="143" t="s">
        <v>2529</v>
      </c>
      <c r="B34" s="86" t="s">
        <v>2615</v>
      </c>
      <c r="C34" s="86" t="s">
        <v>2616</v>
      </c>
      <c r="D34" s="37" t="s">
        <v>2617</v>
      </c>
      <c r="E34" s="37" t="s">
        <v>449</v>
      </c>
      <c r="F34" s="144" t="s">
        <v>2534</v>
      </c>
      <c r="G34" s="147" t="s">
        <v>2195</v>
      </c>
      <c r="H34" s="141"/>
      <c r="I34" s="141"/>
      <c r="J34" s="141"/>
      <c r="K34" s="141"/>
      <c r="L34" s="141"/>
      <c r="M34" s="141"/>
      <c r="N34" s="141"/>
      <c r="O34" s="141"/>
      <c r="P34" s="141"/>
      <c r="Q34" s="141"/>
      <c r="R34" s="141"/>
      <c r="S34" s="141"/>
      <c r="T34" s="141"/>
    </row>
    <row r="35">
      <c r="A35" s="145" t="s">
        <v>2529</v>
      </c>
      <c r="B35" s="81" t="s">
        <v>2618</v>
      </c>
      <c r="C35" s="81" t="s">
        <v>2619</v>
      </c>
      <c r="D35" s="44" t="s">
        <v>2590</v>
      </c>
      <c r="E35" s="44" t="s">
        <v>766</v>
      </c>
      <c r="F35" s="146" t="s">
        <v>2534</v>
      </c>
      <c r="G35" s="147" t="s">
        <v>2195</v>
      </c>
      <c r="H35" s="141"/>
      <c r="I35" s="141"/>
      <c r="J35" s="141"/>
      <c r="K35" s="141"/>
      <c r="L35" s="141"/>
      <c r="M35" s="141"/>
      <c r="N35" s="141"/>
      <c r="O35" s="141"/>
      <c r="P35" s="141"/>
      <c r="Q35" s="141"/>
      <c r="R35" s="141"/>
      <c r="S35" s="141"/>
      <c r="T35" s="141"/>
    </row>
    <row r="36">
      <c r="A36" s="143" t="s">
        <v>2529</v>
      </c>
      <c r="B36" s="86" t="s">
        <v>2620</v>
      </c>
      <c r="C36" s="86" t="s">
        <v>2621</v>
      </c>
      <c r="D36" s="37" t="s">
        <v>2622</v>
      </c>
      <c r="E36" s="37" t="s">
        <v>1500</v>
      </c>
      <c r="F36" s="144" t="s">
        <v>2534</v>
      </c>
      <c r="G36" s="147" t="s">
        <v>2195</v>
      </c>
      <c r="H36" s="141"/>
      <c r="I36" s="141"/>
      <c r="J36" s="141"/>
      <c r="K36" s="141"/>
      <c r="L36" s="141"/>
      <c r="M36" s="141"/>
      <c r="N36" s="141"/>
      <c r="O36" s="141"/>
      <c r="P36" s="141"/>
      <c r="Q36" s="141"/>
      <c r="R36" s="141"/>
      <c r="S36" s="141"/>
      <c r="T36" s="141"/>
    </row>
    <row r="37">
      <c r="A37" s="145" t="s">
        <v>2529</v>
      </c>
      <c r="B37" s="81" t="s">
        <v>2623</v>
      </c>
      <c r="C37" s="81" t="s">
        <v>2624</v>
      </c>
      <c r="D37" s="44" t="s">
        <v>2625</v>
      </c>
      <c r="E37" s="44" t="s">
        <v>506</v>
      </c>
      <c r="F37" s="146" t="s">
        <v>2534</v>
      </c>
      <c r="G37" s="147" t="s">
        <v>2195</v>
      </c>
      <c r="H37" s="141"/>
      <c r="I37" s="141"/>
      <c r="J37" s="141"/>
      <c r="K37" s="141"/>
      <c r="L37" s="141"/>
      <c r="M37" s="141"/>
      <c r="N37" s="141"/>
      <c r="O37" s="141"/>
      <c r="P37" s="141"/>
      <c r="Q37" s="141"/>
      <c r="R37" s="141"/>
      <c r="S37" s="141"/>
      <c r="T37" s="141"/>
    </row>
    <row r="38">
      <c r="A38" s="143" t="s">
        <v>2529</v>
      </c>
      <c r="B38" s="86" t="s">
        <v>2626</v>
      </c>
      <c r="C38" s="86" t="s">
        <v>2627</v>
      </c>
      <c r="D38" s="37" t="s">
        <v>2628</v>
      </c>
      <c r="E38" s="37" t="s">
        <v>660</v>
      </c>
      <c r="F38" s="144" t="s">
        <v>2534</v>
      </c>
      <c r="G38" s="147" t="s">
        <v>2195</v>
      </c>
      <c r="H38" s="141"/>
      <c r="I38" s="141"/>
      <c r="J38" s="141"/>
      <c r="K38" s="141"/>
      <c r="L38" s="141"/>
      <c r="M38" s="141"/>
      <c r="N38" s="141"/>
      <c r="O38" s="141"/>
      <c r="P38" s="141"/>
      <c r="Q38" s="141"/>
      <c r="R38" s="141"/>
      <c r="S38" s="141"/>
      <c r="T38" s="141"/>
    </row>
    <row r="39">
      <c r="A39" s="145" t="s">
        <v>2529</v>
      </c>
      <c r="B39" s="81" t="s">
        <v>2629</v>
      </c>
      <c r="C39" s="81" t="s">
        <v>2630</v>
      </c>
      <c r="D39" s="44" t="s">
        <v>2631</v>
      </c>
      <c r="E39" s="44" t="s">
        <v>2632</v>
      </c>
      <c r="F39" s="146" t="s">
        <v>2534</v>
      </c>
      <c r="G39" s="147" t="s">
        <v>2195</v>
      </c>
      <c r="H39" s="141"/>
      <c r="I39" s="141"/>
      <c r="J39" s="141"/>
      <c r="K39" s="141"/>
      <c r="L39" s="141"/>
      <c r="M39" s="141"/>
      <c r="N39" s="141"/>
      <c r="O39" s="141"/>
      <c r="P39" s="141"/>
      <c r="Q39" s="141"/>
      <c r="R39" s="141"/>
      <c r="S39" s="141"/>
      <c r="T39" s="141"/>
    </row>
    <row r="40">
      <c r="A40" s="143" t="s">
        <v>2529</v>
      </c>
      <c r="B40" s="86" t="s">
        <v>2633</v>
      </c>
      <c r="C40" s="86" t="s">
        <v>2634</v>
      </c>
      <c r="D40" s="37" t="s">
        <v>2605</v>
      </c>
      <c r="E40" s="37" t="s">
        <v>875</v>
      </c>
      <c r="F40" s="144" t="s">
        <v>2534</v>
      </c>
      <c r="G40" s="147" t="s">
        <v>2195</v>
      </c>
      <c r="H40" s="141"/>
      <c r="I40" s="141"/>
      <c r="J40" s="141"/>
      <c r="K40" s="141"/>
      <c r="L40" s="141"/>
      <c r="M40" s="141"/>
      <c r="N40" s="141"/>
      <c r="O40" s="141"/>
      <c r="P40" s="141"/>
      <c r="Q40" s="141"/>
      <c r="R40" s="141"/>
      <c r="S40" s="141"/>
      <c r="T40" s="141"/>
    </row>
    <row r="41">
      <c r="A41" s="145" t="s">
        <v>2529</v>
      </c>
      <c r="B41" s="81" t="s">
        <v>2635</v>
      </c>
      <c r="C41" s="81" t="s">
        <v>2636</v>
      </c>
      <c r="D41" s="44" t="s">
        <v>2637</v>
      </c>
      <c r="E41" s="44" t="s">
        <v>2638</v>
      </c>
      <c r="F41" s="146" t="s">
        <v>2534</v>
      </c>
      <c r="G41" s="147" t="s">
        <v>2195</v>
      </c>
      <c r="H41" s="141"/>
      <c r="I41" s="141"/>
      <c r="J41" s="141"/>
      <c r="K41" s="141"/>
      <c r="L41" s="141"/>
      <c r="M41" s="141"/>
      <c r="N41" s="141"/>
      <c r="O41" s="141"/>
      <c r="P41" s="141"/>
      <c r="Q41" s="141"/>
      <c r="R41" s="141"/>
      <c r="S41" s="141"/>
      <c r="T41" s="141"/>
    </row>
    <row r="42">
      <c r="A42" s="143" t="s">
        <v>2529</v>
      </c>
      <c r="B42" s="86" t="s">
        <v>2639</v>
      </c>
      <c r="C42" s="86" t="s">
        <v>2640</v>
      </c>
      <c r="D42" s="37" t="s">
        <v>2600</v>
      </c>
      <c r="E42" s="37" t="s">
        <v>779</v>
      </c>
      <c r="F42" s="144" t="s">
        <v>2534</v>
      </c>
      <c r="G42" s="147" t="s">
        <v>2195</v>
      </c>
      <c r="H42" s="141"/>
      <c r="I42" s="141"/>
      <c r="J42" s="141"/>
      <c r="K42" s="141"/>
      <c r="L42" s="141"/>
      <c r="M42" s="141"/>
      <c r="N42" s="141"/>
      <c r="O42" s="141"/>
      <c r="P42" s="141"/>
      <c r="Q42" s="141"/>
      <c r="R42" s="141"/>
      <c r="S42" s="141"/>
      <c r="T42" s="141"/>
    </row>
    <row r="43">
      <c r="A43" s="145" t="s">
        <v>2529</v>
      </c>
      <c r="B43" s="81" t="s">
        <v>2641</v>
      </c>
      <c r="C43" s="81" t="s">
        <v>2642</v>
      </c>
      <c r="D43" s="44" t="s">
        <v>2643</v>
      </c>
      <c r="E43" s="44" t="s">
        <v>606</v>
      </c>
      <c r="F43" s="146" t="s">
        <v>2534</v>
      </c>
      <c r="G43" s="147" t="s">
        <v>2195</v>
      </c>
      <c r="H43" s="141"/>
      <c r="I43" s="141"/>
      <c r="J43" s="141"/>
      <c r="K43" s="141"/>
      <c r="L43" s="141"/>
      <c r="M43" s="141"/>
      <c r="N43" s="141"/>
      <c r="O43" s="141"/>
      <c r="P43" s="141"/>
      <c r="Q43" s="141"/>
      <c r="R43" s="141"/>
      <c r="S43" s="141"/>
      <c r="T43" s="141"/>
    </row>
    <row r="44">
      <c r="A44" s="143" t="s">
        <v>2529</v>
      </c>
      <c r="B44" s="86" t="s">
        <v>2644</v>
      </c>
      <c r="C44" s="86" t="s">
        <v>2645</v>
      </c>
      <c r="D44" s="37" t="s">
        <v>2600</v>
      </c>
      <c r="E44" s="37" t="s">
        <v>779</v>
      </c>
      <c r="F44" s="144" t="s">
        <v>2534</v>
      </c>
      <c r="G44" s="147" t="s">
        <v>2195</v>
      </c>
      <c r="H44" s="141"/>
      <c r="I44" s="141"/>
      <c r="J44" s="141"/>
      <c r="K44" s="141"/>
      <c r="L44" s="141"/>
      <c r="M44" s="141"/>
      <c r="N44" s="141"/>
      <c r="O44" s="141"/>
      <c r="P44" s="141"/>
      <c r="Q44" s="141"/>
      <c r="R44" s="141"/>
      <c r="S44" s="141"/>
      <c r="T44" s="141"/>
    </row>
    <row r="45">
      <c r="A45" s="145" t="s">
        <v>2529</v>
      </c>
      <c r="B45" s="81" t="s">
        <v>2646</v>
      </c>
      <c r="C45" s="81" t="s">
        <v>2647</v>
      </c>
      <c r="D45" s="44" t="s">
        <v>2600</v>
      </c>
      <c r="E45" s="44" t="s">
        <v>779</v>
      </c>
      <c r="F45" s="146" t="s">
        <v>2534</v>
      </c>
      <c r="G45" s="147" t="s">
        <v>2195</v>
      </c>
      <c r="H45" s="141"/>
      <c r="I45" s="141"/>
      <c r="J45" s="141"/>
      <c r="K45" s="141"/>
      <c r="L45" s="141"/>
      <c r="M45" s="141"/>
      <c r="N45" s="141"/>
      <c r="O45" s="141"/>
      <c r="P45" s="141"/>
      <c r="Q45" s="141"/>
      <c r="R45" s="141"/>
      <c r="S45" s="141"/>
      <c r="T45" s="141"/>
    </row>
    <row r="46">
      <c r="A46" s="143" t="s">
        <v>2529</v>
      </c>
      <c r="B46" s="86" t="s">
        <v>2648</v>
      </c>
      <c r="C46" s="86" t="s">
        <v>2649</v>
      </c>
      <c r="D46" s="37" t="s">
        <v>2594</v>
      </c>
      <c r="E46" s="37" t="s">
        <v>737</v>
      </c>
      <c r="F46" s="144" t="s">
        <v>2534</v>
      </c>
      <c r="G46" s="147" t="s">
        <v>2195</v>
      </c>
      <c r="H46" s="141"/>
      <c r="I46" s="141"/>
      <c r="J46" s="141"/>
      <c r="K46" s="141"/>
      <c r="L46" s="141"/>
      <c r="M46" s="141"/>
      <c r="N46" s="141"/>
      <c r="O46" s="141"/>
      <c r="P46" s="141"/>
      <c r="Q46" s="141"/>
      <c r="R46" s="141"/>
      <c r="S46" s="141"/>
      <c r="T46" s="141"/>
    </row>
    <row r="47">
      <c r="A47" s="145" t="s">
        <v>2529</v>
      </c>
      <c r="B47" s="81" t="s">
        <v>2650</v>
      </c>
      <c r="C47" s="81" t="s">
        <v>2651</v>
      </c>
      <c r="D47" s="44" t="s">
        <v>2597</v>
      </c>
      <c r="E47" s="44" t="s">
        <v>932</v>
      </c>
      <c r="F47" s="146" t="s">
        <v>2534</v>
      </c>
      <c r="G47" s="147" t="s">
        <v>2195</v>
      </c>
      <c r="H47" s="141"/>
      <c r="I47" s="141"/>
      <c r="J47" s="141"/>
      <c r="K47" s="141"/>
      <c r="L47" s="141"/>
      <c r="M47" s="141"/>
      <c r="N47" s="141"/>
      <c r="O47" s="141"/>
      <c r="P47" s="141"/>
      <c r="Q47" s="141"/>
      <c r="R47" s="141"/>
      <c r="S47" s="141"/>
      <c r="T47" s="141"/>
    </row>
    <row r="48">
      <c r="A48" s="143" t="s">
        <v>2529</v>
      </c>
      <c r="B48" s="86" t="s">
        <v>2652</v>
      </c>
      <c r="C48" s="86" t="s">
        <v>2653</v>
      </c>
      <c r="D48" s="37" t="s">
        <v>2600</v>
      </c>
      <c r="E48" s="37" t="s">
        <v>779</v>
      </c>
      <c r="F48" s="144" t="s">
        <v>2534</v>
      </c>
      <c r="G48" s="147" t="s">
        <v>2195</v>
      </c>
      <c r="H48" s="141"/>
      <c r="I48" s="141"/>
      <c r="J48" s="141"/>
      <c r="K48" s="141"/>
      <c r="L48" s="141"/>
      <c r="M48" s="141"/>
      <c r="N48" s="141"/>
      <c r="O48" s="141"/>
      <c r="P48" s="141"/>
      <c r="Q48" s="141"/>
      <c r="R48" s="141"/>
      <c r="S48" s="141"/>
      <c r="T48" s="141"/>
    </row>
    <row r="49">
      <c r="A49" s="145" t="s">
        <v>2529</v>
      </c>
      <c r="B49" s="81" t="s">
        <v>2654</v>
      </c>
      <c r="C49" s="81" t="s">
        <v>2655</v>
      </c>
      <c r="D49" s="44" t="s">
        <v>2600</v>
      </c>
      <c r="E49" s="44" t="s">
        <v>779</v>
      </c>
      <c r="F49" s="146" t="s">
        <v>2534</v>
      </c>
      <c r="G49" s="147" t="s">
        <v>2195</v>
      </c>
      <c r="H49" s="141"/>
      <c r="I49" s="141"/>
      <c r="J49" s="141"/>
      <c r="K49" s="141"/>
      <c r="L49" s="141"/>
      <c r="M49" s="141"/>
      <c r="N49" s="141"/>
      <c r="O49" s="141"/>
      <c r="P49" s="141"/>
      <c r="Q49" s="141"/>
      <c r="R49" s="141"/>
      <c r="S49" s="141"/>
      <c r="T49" s="141"/>
    </row>
    <row r="50">
      <c r="A50" s="143" t="s">
        <v>2529</v>
      </c>
      <c r="B50" s="86" t="s">
        <v>2656</v>
      </c>
      <c r="C50" s="86" t="s">
        <v>2657</v>
      </c>
      <c r="D50" s="37" t="s">
        <v>2600</v>
      </c>
      <c r="E50" s="37" t="s">
        <v>779</v>
      </c>
      <c r="F50" s="144" t="s">
        <v>2534</v>
      </c>
      <c r="G50" s="147" t="s">
        <v>2195</v>
      </c>
      <c r="H50" s="141"/>
      <c r="I50" s="141"/>
      <c r="J50" s="141"/>
      <c r="K50" s="141"/>
      <c r="L50" s="141"/>
      <c r="M50" s="141"/>
      <c r="N50" s="141"/>
      <c r="O50" s="141"/>
      <c r="P50" s="141"/>
      <c r="Q50" s="141"/>
      <c r="R50" s="141"/>
      <c r="S50" s="141"/>
      <c r="T50" s="141"/>
    </row>
    <row r="51">
      <c r="A51" s="145" t="s">
        <v>2529</v>
      </c>
      <c r="B51" s="81" t="s">
        <v>2658</v>
      </c>
      <c r="C51" s="81" t="s">
        <v>2659</v>
      </c>
      <c r="D51" s="44" t="s">
        <v>2022</v>
      </c>
      <c r="E51" s="44" t="s">
        <v>412</v>
      </c>
      <c r="F51" s="146" t="s">
        <v>2534</v>
      </c>
      <c r="G51" s="147" t="s">
        <v>2195</v>
      </c>
      <c r="H51" s="141"/>
      <c r="I51" s="141"/>
      <c r="J51" s="141"/>
      <c r="K51" s="141"/>
      <c r="L51" s="141"/>
      <c r="M51" s="141"/>
      <c r="N51" s="141"/>
      <c r="O51" s="141"/>
      <c r="P51" s="141"/>
      <c r="Q51" s="141"/>
      <c r="R51" s="141"/>
      <c r="S51" s="141"/>
      <c r="T51" s="141"/>
    </row>
    <row r="52">
      <c r="A52" s="143" t="s">
        <v>2529</v>
      </c>
      <c r="B52" s="86" t="s">
        <v>2660</v>
      </c>
      <c r="C52" s="86" t="s">
        <v>2661</v>
      </c>
      <c r="D52" s="37" t="s">
        <v>2662</v>
      </c>
      <c r="E52" s="37" t="s">
        <v>224</v>
      </c>
      <c r="F52" s="144" t="s">
        <v>2534</v>
      </c>
      <c r="G52" s="147" t="s">
        <v>2195</v>
      </c>
      <c r="H52" s="141"/>
      <c r="I52" s="141"/>
      <c r="J52" s="141"/>
      <c r="K52" s="141"/>
      <c r="L52" s="141"/>
      <c r="M52" s="141"/>
      <c r="N52" s="141"/>
      <c r="O52" s="141"/>
      <c r="P52" s="141"/>
      <c r="Q52" s="141"/>
      <c r="R52" s="141"/>
      <c r="S52" s="141"/>
      <c r="T52" s="141"/>
    </row>
    <row r="53">
      <c r="A53" s="145" t="s">
        <v>2529</v>
      </c>
      <c r="B53" s="81" t="s">
        <v>2663</v>
      </c>
      <c r="C53" s="81" t="s">
        <v>2664</v>
      </c>
      <c r="D53" s="44" t="s">
        <v>2665</v>
      </c>
      <c r="E53" s="44" t="s">
        <v>955</v>
      </c>
      <c r="F53" s="146" t="s">
        <v>2534</v>
      </c>
      <c r="G53" s="147" t="s">
        <v>2195</v>
      </c>
      <c r="H53" s="141"/>
      <c r="I53" s="141"/>
      <c r="J53" s="141"/>
      <c r="K53" s="141"/>
      <c r="L53" s="141"/>
      <c r="M53" s="141"/>
      <c r="N53" s="141"/>
      <c r="O53" s="141"/>
      <c r="P53" s="141"/>
      <c r="Q53" s="141"/>
      <c r="R53" s="141"/>
      <c r="S53" s="141"/>
      <c r="T53" s="141"/>
    </row>
    <row r="54">
      <c r="A54" s="143" t="s">
        <v>2529</v>
      </c>
      <c r="B54" s="86" t="s">
        <v>2666</v>
      </c>
      <c r="C54" s="86" t="s">
        <v>2667</v>
      </c>
      <c r="D54" s="37" t="s">
        <v>2611</v>
      </c>
      <c r="E54" s="37" t="s">
        <v>1354</v>
      </c>
      <c r="F54" s="144" t="s">
        <v>2534</v>
      </c>
      <c r="G54" s="147" t="s">
        <v>2195</v>
      </c>
      <c r="H54" s="141"/>
      <c r="I54" s="141"/>
      <c r="J54" s="141"/>
      <c r="K54" s="141"/>
      <c r="L54" s="141"/>
      <c r="M54" s="141"/>
      <c r="N54" s="141"/>
      <c r="O54" s="141"/>
      <c r="P54" s="141"/>
      <c r="Q54" s="141"/>
      <c r="R54" s="141"/>
      <c r="S54" s="141"/>
      <c r="T54" s="141"/>
    </row>
    <row r="55">
      <c r="A55" s="145" t="s">
        <v>2529</v>
      </c>
      <c r="B55" s="81" t="s">
        <v>2668</v>
      </c>
      <c r="C55" s="81" t="s">
        <v>2669</v>
      </c>
      <c r="D55" s="44" t="s">
        <v>2670</v>
      </c>
      <c r="E55" s="44" t="s">
        <v>2671</v>
      </c>
      <c r="F55" s="146" t="s">
        <v>2534</v>
      </c>
      <c r="G55" s="147" t="s">
        <v>2195</v>
      </c>
      <c r="H55" s="141"/>
      <c r="I55" s="141"/>
      <c r="J55" s="141"/>
      <c r="K55" s="141"/>
      <c r="L55" s="141"/>
      <c r="M55" s="141"/>
      <c r="N55" s="141"/>
      <c r="O55" s="141"/>
      <c r="P55" s="141"/>
      <c r="Q55" s="141"/>
      <c r="R55" s="141"/>
      <c r="S55" s="141"/>
      <c r="T55" s="141"/>
    </row>
    <row r="56">
      <c r="A56" s="143" t="s">
        <v>2529</v>
      </c>
      <c r="B56" s="86" t="s">
        <v>2672</v>
      </c>
      <c r="C56" s="86" t="s">
        <v>2673</v>
      </c>
      <c r="D56" s="37" t="s">
        <v>2674</v>
      </c>
      <c r="E56" s="37" t="s">
        <v>156</v>
      </c>
      <c r="F56" s="144" t="s">
        <v>2534</v>
      </c>
      <c r="G56" s="147" t="s">
        <v>2195</v>
      </c>
      <c r="H56" s="141"/>
      <c r="I56" s="141"/>
      <c r="J56" s="141"/>
      <c r="K56" s="141"/>
      <c r="L56" s="141"/>
      <c r="M56" s="141"/>
      <c r="N56" s="141"/>
      <c r="O56" s="141"/>
      <c r="P56" s="141"/>
      <c r="Q56" s="141"/>
      <c r="R56" s="141"/>
      <c r="S56" s="141"/>
      <c r="T56" s="141"/>
    </row>
    <row r="57">
      <c r="A57" s="145" t="s">
        <v>2529</v>
      </c>
      <c r="B57" s="81" t="s">
        <v>2675</v>
      </c>
      <c r="C57" s="81" t="s">
        <v>2676</v>
      </c>
      <c r="D57" s="44" t="s">
        <v>2677</v>
      </c>
      <c r="E57" s="44" t="s">
        <v>228</v>
      </c>
      <c r="F57" s="146" t="s">
        <v>2534</v>
      </c>
      <c r="G57" s="147" t="s">
        <v>2195</v>
      </c>
      <c r="H57" s="141"/>
      <c r="I57" s="141"/>
      <c r="J57" s="141"/>
      <c r="K57" s="141"/>
      <c r="L57" s="141"/>
      <c r="M57" s="141"/>
      <c r="N57" s="141"/>
      <c r="O57" s="141"/>
      <c r="P57" s="141"/>
      <c r="Q57" s="141"/>
      <c r="R57" s="141"/>
      <c r="S57" s="141"/>
      <c r="T57" s="141"/>
    </row>
    <row r="58">
      <c r="A58" s="143" t="s">
        <v>2529</v>
      </c>
      <c r="B58" s="86" t="s">
        <v>2678</v>
      </c>
      <c r="C58" s="86" t="s">
        <v>2679</v>
      </c>
      <c r="D58" s="37" t="s">
        <v>2674</v>
      </c>
      <c r="E58" s="37" t="s">
        <v>156</v>
      </c>
      <c r="F58" s="144" t="s">
        <v>2534</v>
      </c>
      <c r="G58" s="147" t="s">
        <v>2195</v>
      </c>
      <c r="H58" s="141"/>
      <c r="I58" s="141"/>
      <c r="J58" s="141"/>
      <c r="K58" s="141"/>
      <c r="L58" s="141"/>
      <c r="M58" s="141"/>
      <c r="N58" s="141"/>
      <c r="O58" s="141"/>
      <c r="P58" s="141"/>
      <c r="Q58" s="141"/>
      <c r="R58" s="141"/>
      <c r="S58" s="141"/>
      <c r="T58" s="141"/>
    </row>
    <row r="59">
      <c r="A59" s="145" t="s">
        <v>2529</v>
      </c>
      <c r="B59" s="81" t="s">
        <v>2680</v>
      </c>
      <c r="C59" s="81" t="s">
        <v>2681</v>
      </c>
      <c r="D59" s="44" t="s">
        <v>2542</v>
      </c>
      <c r="E59" s="44" t="s">
        <v>2543</v>
      </c>
      <c r="F59" s="146" t="s">
        <v>2534</v>
      </c>
      <c r="G59" s="147" t="s">
        <v>2195</v>
      </c>
      <c r="H59" s="141"/>
      <c r="I59" s="141"/>
      <c r="J59" s="141"/>
      <c r="K59" s="141"/>
      <c r="L59" s="141"/>
      <c r="M59" s="141"/>
      <c r="N59" s="141"/>
      <c r="O59" s="141"/>
      <c r="P59" s="141"/>
      <c r="Q59" s="141"/>
      <c r="R59" s="141"/>
      <c r="S59" s="141"/>
      <c r="T59" s="141"/>
    </row>
    <row r="60">
      <c r="A60" s="143" t="s">
        <v>2529</v>
      </c>
      <c r="B60" s="86" t="s">
        <v>2682</v>
      </c>
      <c r="C60" s="86" t="s">
        <v>2683</v>
      </c>
      <c r="D60" s="37" t="s">
        <v>2684</v>
      </c>
      <c r="E60" s="37" t="s">
        <v>1518</v>
      </c>
      <c r="F60" s="144" t="s">
        <v>2534</v>
      </c>
      <c r="G60" s="147" t="s">
        <v>2195</v>
      </c>
      <c r="H60" s="141"/>
      <c r="I60" s="141"/>
      <c r="J60" s="141"/>
      <c r="K60" s="141"/>
      <c r="L60" s="141"/>
      <c r="M60" s="141"/>
      <c r="N60" s="141"/>
      <c r="O60" s="141"/>
      <c r="P60" s="141"/>
      <c r="Q60" s="141"/>
      <c r="R60" s="141"/>
      <c r="S60" s="141"/>
      <c r="T60" s="141"/>
    </row>
    <row r="61">
      <c r="A61" s="145" t="s">
        <v>2529</v>
      </c>
      <c r="B61" s="81" t="s">
        <v>2685</v>
      </c>
      <c r="C61" s="81" t="s">
        <v>2686</v>
      </c>
      <c r="D61" s="44" t="s">
        <v>2687</v>
      </c>
      <c r="E61" s="44" t="s">
        <v>470</v>
      </c>
      <c r="F61" s="146" t="s">
        <v>2534</v>
      </c>
      <c r="G61" s="147" t="s">
        <v>2195</v>
      </c>
      <c r="H61" s="141"/>
      <c r="I61" s="141"/>
      <c r="J61" s="141"/>
      <c r="K61" s="141"/>
      <c r="L61" s="141"/>
      <c r="M61" s="141"/>
      <c r="N61" s="141"/>
      <c r="O61" s="141"/>
      <c r="P61" s="141"/>
      <c r="Q61" s="141"/>
      <c r="R61" s="141"/>
      <c r="S61" s="141"/>
      <c r="T61" s="141"/>
    </row>
    <row r="62">
      <c r="A62" s="143" t="s">
        <v>2529</v>
      </c>
      <c r="B62" s="86" t="s">
        <v>2688</v>
      </c>
      <c r="C62" s="86" t="s">
        <v>2689</v>
      </c>
      <c r="D62" s="37" t="s">
        <v>2614</v>
      </c>
      <c r="E62" s="37" t="s">
        <v>210</v>
      </c>
      <c r="F62" s="144" t="s">
        <v>2534</v>
      </c>
      <c r="G62" s="147" t="s">
        <v>2195</v>
      </c>
      <c r="H62" s="141"/>
      <c r="I62" s="141"/>
      <c r="J62" s="141"/>
      <c r="K62" s="141"/>
      <c r="L62" s="141"/>
      <c r="M62" s="141"/>
      <c r="N62" s="141"/>
      <c r="O62" s="141"/>
      <c r="P62" s="141"/>
      <c r="Q62" s="141"/>
      <c r="R62" s="141"/>
      <c r="S62" s="141"/>
      <c r="T62" s="141"/>
    </row>
    <row r="63">
      <c r="A63" s="145" t="s">
        <v>2529</v>
      </c>
      <c r="B63" s="81" t="s">
        <v>2690</v>
      </c>
      <c r="C63" s="81" t="s">
        <v>2691</v>
      </c>
      <c r="D63" s="44" t="s">
        <v>2600</v>
      </c>
      <c r="E63" s="44" t="s">
        <v>779</v>
      </c>
      <c r="F63" s="146" t="s">
        <v>2534</v>
      </c>
      <c r="G63" s="147" t="s">
        <v>2195</v>
      </c>
      <c r="H63" s="141"/>
      <c r="I63" s="141"/>
      <c r="J63" s="141"/>
      <c r="K63" s="141"/>
      <c r="L63" s="141"/>
      <c r="M63" s="141"/>
      <c r="N63" s="141"/>
      <c r="O63" s="141"/>
      <c r="P63" s="141"/>
      <c r="Q63" s="141"/>
      <c r="R63" s="141"/>
      <c r="S63" s="141"/>
      <c r="T63" s="141"/>
    </row>
    <row r="64">
      <c r="A64" s="143" t="s">
        <v>2529</v>
      </c>
      <c r="B64" s="86" t="s">
        <v>2692</v>
      </c>
      <c r="C64" s="86" t="s">
        <v>2693</v>
      </c>
      <c r="D64" s="37" t="s">
        <v>2694</v>
      </c>
      <c r="E64" s="37" t="s">
        <v>2228</v>
      </c>
      <c r="F64" s="144" t="s">
        <v>2534</v>
      </c>
      <c r="G64" s="147" t="s">
        <v>2195</v>
      </c>
      <c r="H64" s="141"/>
      <c r="I64" s="141"/>
      <c r="J64" s="141"/>
      <c r="K64" s="141"/>
      <c r="L64" s="141"/>
      <c r="M64" s="141"/>
      <c r="N64" s="141"/>
      <c r="O64" s="141"/>
      <c r="P64" s="141"/>
      <c r="Q64" s="141"/>
      <c r="R64" s="141"/>
      <c r="S64" s="141"/>
      <c r="T64" s="141"/>
    </row>
    <row r="65">
      <c r="A65" s="141"/>
      <c r="B65" s="141"/>
      <c r="C65" s="141"/>
      <c r="D65" s="92"/>
      <c r="E65" s="92"/>
      <c r="F65" s="141"/>
      <c r="G65" s="141"/>
      <c r="H65" s="141"/>
      <c r="I65" s="141"/>
      <c r="J65" s="141"/>
      <c r="K65" s="141"/>
      <c r="L65" s="141"/>
      <c r="M65" s="141"/>
      <c r="N65" s="141"/>
      <c r="O65" s="141"/>
      <c r="P65" s="141"/>
      <c r="Q65" s="141"/>
      <c r="R65" s="141"/>
      <c r="S65" s="141"/>
      <c r="T65" s="141"/>
    </row>
    <row r="66">
      <c r="A66" s="141"/>
      <c r="B66" s="141"/>
      <c r="C66" s="141"/>
      <c r="D66" s="92"/>
      <c r="E66" s="92"/>
      <c r="F66" s="141"/>
      <c r="G66" s="141"/>
      <c r="H66" s="141"/>
      <c r="I66" s="141"/>
      <c r="J66" s="141"/>
      <c r="K66" s="141"/>
      <c r="L66" s="141"/>
      <c r="M66" s="141"/>
      <c r="N66" s="141"/>
      <c r="O66" s="141"/>
      <c r="P66" s="141"/>
      <c r="Q66" s="141"/>
      <c r="R66" s="141"/>
      <c r="S66" s="141"/>
      <c r="T66" s="141"/>
    </row>
    <row r="67">
      <c r="A67" s="141"/>
      <c r="B67" s="141"/>
      <c r="C67" s="141"/>
      <c r="D67" s="92"/>
      <c r="E67" s="92"/>
      <c r="F67" s="141"/>
      <c r="G67" s="141"/>
      <c r="H67" s="141"/>
      <c r="I67" s="141"/>
      <c r="J67" s="141"/>
      <c r="K67" s="141"/>
      <c r="L67" s="141"/>
      <c r="M67" s="141"/>
      <c r="N67" s="141"/>
      <c r="O67" s="141"/>
      <c r="P67" s="141"/>
      <c r="Q67" s="141"/>
      <c r="R67" s="141"/>
      <c r="S67" s="141"/>
      <c r="T67" s="141"/>
    </row>
    <row r="68">
      <c r="A68" s="141"/>
      <c r="B68" s="141"/>
      <c r="C68" s="141"/>
      <c r="D68" s="92"/>
      <c r="E68" s="92"/>
      <c r="F68" s="141"/>
      <c r="G68" s="141"/>
      <c r="H68" s="141"/>
      <c r="I68" s="141"/>
      <c r="J68" s="141"/>
      <c r="K68" s="141"/>
      <c r="L68" s="141"/>
      <c r="M68" s="141"/>
      <c r="N68" s="141"/>
      <c r="O68" s="141"/>
      <c r="P68" s="141"/>
      <c r="Q68" s="141"/>
      <c r="R68" s="141"/>
      <c r="S68" s="141"/>
      <c r="T68" s="141"/>
    </row>
    <row r="69">
      <c r="A69" s="141"/>
      <c r="B69" s="141"/>
      <c r="C69" s="141"/>
      <c r="D69" s="92"/>
      <c r="E69" s="92"/>
      <c r="F69" s="141"/>
      <c r="G69" s="141"/>
      <c r="H69" s="141"/>
      <c r="I69" s="141"/>
      <c r="J69" s="141"/>
      <c r="K69" s="141"/>
      <c r="L69" s="141"/>
      <c r="M69" s="141"/>
      <c r="N69" s="141"/>
      <c r="O69" s="141"/>
      <c r="P69" s="141"/>
      <c r="Q69" s="141"/>
      <c r="R69" s="141"/>
      <c r="S69" s="141"/>
      <c r="T69" s="141"/>
    </row>
    <row r="70">
      <c r="A70" s="141"/>
      <c r="B70" s="141"/>
      <c r="C70" s="141"/>
      <c r="D70" s="92"/>
      <c r="E70" s="92"/>
      <c r="F70" s="141"/>
      <c r="G70" s="141"/>
      <c r="H70" s="141"/>
      <c r="I70" s="141"/>
      <c r="J70" s="141"/>
      <c r="K70" s="141"/>
      <c r="L70" s="141"/>
      <c r="M70" s="141"/>
      <c r="N70" s="141"/>
      <c r="O70" s="141"/>
      <c r="P70" s="141"/>
      <c r="Q70" s="141"/>
      <c r="R70" s="141"/>
      <c r="S70" s="141"/>
      <c r="T70" s="141"/>
    </row>
    <row r="71">
      <c r="A71" s="141"/>
      <c r="B71" s="141"/>
      <c r="C71" s="141"/>
      <c r="D71" s="92"/>
      <c r="E71" s="92"/>
      <c r="F71" s="141"/>
      <c r="G71" s="141"/>
      <c r="H71" s="141"/>
      <c r="I71" s="141"/>
      <c r="J71" s="141"/>
      <c r="K71" s="141"/>
      <c r="L71" s="141"/>
      <c r="M71" s="141"/>
      <c r="N71" s="141"/>
      <c r="O71" s="141"/>
      <c r="P71" s="141"/>
      <c r="Q71" s="141"/>
      <c r="R71" s="141"/>
      <c r="S71" s="141"/>
      <c r="T71" s="141"/>
    </row>
    <row r="72">
      <c r="A72" s="141"/>
      <c r="B72" s="141"/>
      <c r="C72" s="141"/>
      <c r="D72" s="92"/>
      <c r="E72" s="92"/>
      <c r="F72" s="141"/>
      <c r="G72" s="141"/>
      <c r="H72" s="141"/>
      <c r="I72" s="141"/>
      <c r="J72" s="141"/>
      <c r="K72" s="141"/>
      <c r="L72" s="141"/>
      <c r="M72" s="141"/>
      <c r="N72" s="141"/>
      <c r="O72" s="141"/>
      <c r="P72" s="141"/>
      <c r="Q72" s="141"/>
      <c r="R72" s="141"/>
      <c r="S72" s="141"/>
      <c r="T72" s="141"/>
    </row>
    <row r="73">
      <c r="A73" s="141"/>
      <c r="B73" s="141"/>
      <c r="C73" s="141"/>
      <c r="D73" s="92"/>
      <c r="E73" s="92"/>
      <c r="F73" s="141"/>
      <c r="G73" s="141"/>
      <c r="H73" s="141"/>
      <c r="I73" s="141"/>
      <c r="J73" s="141"/>
      <c r="K73" s="141"/>
      <c r="L73" s="141"/>
      <c r="M73" s="141"/>
      <c r="N73" s="141"/>
      <c r="O73" s="141"/>
      <c r="P73" s="141"/>
      <c r="Q73" s="141"/>
      <c r="R73" s="141"/>
      <c r="S73" s="141"/>
      <c r="T73" s="141"/>
    </row>
    <row r="74">
      <c r="A74" s="141"/>
      <c r="B74" s="141"/>
      <c r="C74" s="141"/>
      <c r="D74" s="92"/>
      <c r="E74" s="92"/>
      <c r="F74" s="141"/>
      <c r="G74" s="141"/>
      <c r="H74" s="141"/>
      <c r="I74" s="141"/>
      <c r="J74" s="141"/>
      <c r="K74" s="141"/>
      <c r="L74" s="141"/>
      <c r="M74" s="141"/>
      <c r="N74" s="141"/>
      <c r="O74" s="141"/>
      <c r="P74" s="141"/>
      <c r="Q74" s="141"/>
      <c r="R74" s="141"/>
      <c r="S74" s="141"/>
      <c r="T74" s="141"/>
    </row>
    <row r="75">
      <c r="A75" s="141"/>
      <c r="B75" s="141"/>
      <c r="C75" s="141"/>
      <c r="D75" s="92"/>
      <c r="E75" s="92"/>
      <c r="F75" s="141"/>
      <c r="G75" s="141"/>
      <c r="H75" s="141"/>
      <c r="I75" s="141"/>
      <c r="J75" s="141"/>
      <c r="K75" s="141"/>
      <c r="L75" s="141"/>
      <c r="M75" s="141"/>
      <c r="N75" s="141"/>
      <c r="O75" s="141"/>
      <c r="P75" s="141"/>
      <c r="Q75" s="141"/>
      <c r="R75" s="141"/>
      <c r="S75" s="141"/>
      <c r="T75" s="141"/>
    </row>
    <row r="76">
      <c r="A76" s="141"/>
      <c r="B76" s="141"/>
      <c r="C76" s="141"/>
      <c r="D76" s="92"/>
      <c r="E76" s="92"/>
      <c r="F76" s="141"/>
      <c r="G76" s="141"/>
      <c r="H76" s="141"/>
      <c r="I76" s="141"/>
      <c r="J76" s="141"/>
      <c r="K76" s="141"/>
      <c r="L76" s="141"/>
      <c r="M76" s="141"/>
      <c r="N76" s="141"/>
      <c r="O76" s="141"/>
      <c r="P76" s="141"/>
      <c r="Q76" s="141"/>
      <c r="R76" s="141"/>
      <c r="S76" s="141"/>
      <c r="T76" s="141"/>
    </row>
    <row r="77">
      <c r="A77" s="141"/>
      <c r="B77" s="141"/>
      <c r="C77" s="141"/>
      <c r="D77" s="92"/>
      <c r="E77" s="92"/>
      <c r="F77" s="141"/>
      <c r="G77" s="141"/>
      <c r="H77" s="141"/>
      <c r="I77" s="141"/>
      <c r="J77" s="141"/>
      <c r="K77" s="141"/>
      <c r="L77" s="141"/>
      <c r="M77" s="141"/>
      <c r="N77" s="141"/>
      <c r="O77" s="141"/>
      <c r="P77" s="141"/>
      <c r="Q77" s="141"/>
      <c r="R77" s="141"/>
      <c r="S77" s="141"/>
      <c r="T77" s="141"/>
    </row>
    <row r="78">
      <c r="A78" s="141"/>
      <c r="B78" s="141"/>
      <c r="C78" s="141"/>
      <c r="D78" s="92"/>
      <c r="E78" s="92"/>
      <c r="F78" s="141"/>
      <c r="G78" s="141"/>
      <c r="H78" s="141"/>
      <c r="I78" s="141"/>
      <c r="J78" s="141"/>
      <c r="K78" s="141"/>
      <c r="L78" s="141"/>
      <c r="M78" s="141"/>
      <c r="N78" s="141"/>
      <c r="O78" s="141"/>
      <c r="P78" s="141"/>
      <c r="Q78" s="141"/>
      <c r="R78" s="141"/>
      <c r="S78" s="141"/>
      <c r="T78" s="141"/>
    </row>
    <row r="79">
      <c r="A79" s="141"/>
      <c r="B79" s="141"/>
      <c r="C79" s="141"/>
      <c r="D79" s="92"/>
      <c r="E79" s="92"/>
      <c r="F79" s="141"/>
      <c r="G79" s="141"/>
      <c r="H79" s="141"/>
      <c r="I79" s="141"/>
      <c r="J79" s="141"/>
      <c r="K79" s="141"/>
      <c r="L79" s="141"/>
      <c r="M79" s="141"/>
      <c r="N79" s="141"/>
      <c r="O79" s="141"/>
      <c r="P79" s="141"/>
      <c r="Q79" s="141"/>
      <c r="R79" s="141"/>
      <c r="S79" s="141"/>
      <c r="T79" s="141"/>
    </row>
    <row r="80">
      <c r="A80" s="141"/>
      <c r="B80" s="141"/>
      <c r="C80" s="141"/>
      <c r="D80" s="92"/>
      <c r="E80" s="92"/>
      <c r="F80" s="141"/>
      <c r="G80" s="141"/>
      <c r="H80" s="141"/>
      <c r="I80" s="141"/>
      <c r="J80" s="141"/>
      <c r="K80" s="141"/>
      <c r="L80" s="141"/>
      <c r="M80" s="141"/>
      <c r="N80" s="141"/>
      <c r="O80" s="141"/>
      <c r="P80" s="141"/>
      <c r="Q80" s="141"/>
      <c r="R80" s="141"/>
      <c r="S80" s="141"/>
      <c r="T80" s="141"/>
    </row>
    <row r="81">
      <c r="A81" s="141"/>
      <c r="B81" s="141"/>
      <c r="C81" s="141"/>
      <c r="D81" s="92"/>
      <c r="E81" s="92"/>
      <c r="F81" s="141"/>
      <c r="G81" s="141"/>
      <c r="H81" s="141"/>
      <c r="I81" s="141"/>
      <c r="J81" s="141"/>
      <c r="K81" s="141"/>
      <c r="L81" s="141"/>
      <c r="M81" s="141"/>
      <c r="N81" s="141"/>
      <c r="O81" s="141"/>
      <c r="P81" s="141"/>
      <c r="Q81" s="141"/>
      <c r="R81" s="141"/>
      <c r="S81" s="141"/>
      <c r="T81" s="141"/>
    </row>
    <row r="82">
      <c r="A82" s="141"/>
      <c r="B82" s="141"/>
      <c r="C82" s="141"/>
      <c r="D82" s="92"/>
      <c r="E82" s="92"/>
      <c r="F82" s="141"/>
      <c r="G82" s="141"/>
      <c r="H82" s="141"/>
      <c r="I82" s="141"/>
      <c r="J82" s="141"/>
      <c r="K82" s="141"/>
      <c r="L82" s="141"/>
      <c r="M82" s="141"/>
      <c r="N82" s="141"/>
      <c r="O82" s="141"/>
      <c r="P82" s="141"/>
      <c r="Q82" s="141"/>
      <c r="R82" s="141"/>
      <c r="S82" s="141"/>
      <c r="T82" s="141"/>
    </row>
    <row r="83">
      <c r="A83" s="141"/>
      <c r="B83" s="141"/>
      <c r="C83" s="141"/>
      <c r="D83" s="92"/>
      <c r="E83" s="92"/>
      <c r="F83" s="141"/>
      <c r="G83" s="141"/>
      <c r="H83" s="141"/>
      <c r="I83" s="141"/>
      <c r="J83" s="141"/>
      <c r="K83" s="141"/>
      <c r="L83" s="141"/>
      <c r="M83" s="141"/>
      <c r="N83" s="141"/>
      <c r="O83" s="141"/>
      <c r="P83" s="141"/>
      <c r="Q83" s="141"/>
      <c r="R83" s="141"/>
      <c r="S83" s="141"/>
      <c r="T83" s="141"/>
    </row>
    <row r="84">
      <c r="A84" s="141"/>
      <c r="B84" s="141"/>
      <c r="C84" s="141"/>
      <c r="D84" s="92"/>
      <c r="E84" s="92"/>
      <c r="F84" s="141"/>
      <c r="G84" s="141"/>
      <c r="H84" s="141"/>
      <c r="I84" s="141"/>
      <c r="J84" s="141"/>
      <c r="K84" s="141"/>
      <c r="L84" s="141"/>
      <c r="M84" s="141"/>
      <c r="N84" s="141"/>
      <c r="O84" s="141"/>
      <c r="P84" s="141"/>
      <c r="Q84" s="141"/>
      <c r="R84" s="141"/>
      <c r="S84" s="141"/>
      <c r="T84" s="141"/>
    </row>
    <row r="85">
      <c r="A85" s="141"/>
      <c r="B85" s="141"/>
      <c r="C85" s="141"/>
      <c r="D85" s="92"/>
      <c r="E85" s="92"/>
      <c r="F85" s="141"/>
      <c r="G85" s="141"/>
      <c r="H85" s="141"/>
      <c r="I85" s="141"/>
      <c r="J85" s="141"/>
      <c r="K85" s="141"/>
      <c r="L85" s="141"/>
      <c r="M85" s="141"/>
      <c r="N85" s="141"/>
      <c r="O85" s="141"/>
      <c r="P85" s="141"/>
      <c r="Q85" s="141"/>
      <c r="R85" s="141"/>
      <c r="S85" s="141"/>
      <c r="T85" s="141"/>
    </row>
    <row r="86">
      <c r="A86" s="141"/>
      <c r="B86" s="141"/>
      <c r="C86" s="141"/>
      <c r="D86" s="92"/>
      <c r="E86" s="92"/>
      <c r="F86" s="141"/>
      <c r="G86" s="141"/>
      <c r="H86" s="141"/>
      <c r="I86" s="141"/>
      <c r="J86" s="141"/>
      <c r="K86" s="141"/>
      <c r="L86" s="141"/>
      <c r="M86" s="141"/>
      <c r="N86" s="141"/>
      <c r="O86" s="141"/>
      <c r="P86" s="141"/>
      <c r="Q86" s="141"/>
      <c r="R86" s="141"/>
      <c r="S86" s="141"/>
      <c r="T86" s="141"/>
    </row>
    <row r="87">
      <c r="A87" s="141"/>
      <c r="B87" s="141"/>
      <c r="C87" s="141"/>
      <c r="D87" s="92"/>
      <c r="E87" s="92"/>
      <c r="F87" s="141"/>
      <c r="G87" s="141"/>
      <c r="H87" s="141"/>
      <c r="I87" s="141"/>
      <c r="J87" s="141"/>
      <c r="K87" s="141"/>
      <c r="L87" s="141"/>
      <c r="M87" s="141"/>
      <c r="N87" s="141"/>
      <c r="O87" s="141"/>
      <c r="P87" s="141"/>
      <c r="Q87" s="141"/>
      <c r="R87" s="141"/>
      <c r="S87" s="141"/>
      <c r="T87" s="141"/>
    </row>
    <row r="88">
      <c r="A88" s="141"/>
      <c r="B88" s="141"/>
      <c r="C88" s="141"/>
      <c r="D88" s="92"/>
      <c r="E88" s="92"/>
      <c r="F88" s="141"/>
      <c r="G88" s="141"/>
      <c r="H88" s="141"/>
      <c r="I88" s="141"/>
      <c r="J88" s="141"/>
      <c r="K88" s="141"/>
      <c r="L88" s="141"/>
      <c r="M88" s="141"/>
      <c r="N88" s="141"/>
      <c r="O88" s="141"/>
      <c r="P88" s="141"/>
      <c r="Q88" s="141"/>
      <c r="R88" s="141"/>
      <c r="S88" s="141"/>
      <c r="T88" s="141"/>
    </row>
    <row r="89">
      <c r="A89" s="141"/>
      <c r="B89" s="141"/>
      <c r="C89" s="141"/>
      <c r="D89" s="92"/>
      <c r="E89" s="92"/>
      <c r="F89" s="141"/>
      <c r="G89" s="141"/>
      <c r="H89" s="141"/>
      <c r="I89" s="141"/>
      <c r="J89" s="141"/>
      <c r="K89" s="141"/>
      <c r="L89" s="141"/>
      <c r="M89" s="141"/>
      <c r="N89" s="141"/>
      <c r="O89" s="141"/>
      <c r="P89" s="141"/>
      <c r="Q89" s="141"/>
      <c r="R89" s="141"/>
      <c r="S89" s="141"/>
      <c r="T89" s="141"/>
    </row>
    <row r="90">
      <c r="A90" s="141"/>
      <c r="B90" s="141"/>
      <c r="C90" s="141"/>
      <c r="D90" s="92"/>
      <c r="E90" s="92"/>
      <c r="F90" s="141"/>
      <c r="G90" s="141"/>
      <c r="H90" s="141"/>
      <c r="I90" s="141"/>
      <c r="J90" s="141"/>
      <c r="K90" s="141"/>
      <c r="L90" s="141"/>
      <c r="M90" s="141"/>
      <c r="N90" s="141"/>
      <c r="O90" s="141"/>
      <c r="P90" s="141"/>
      <c r="Q90" s="141"/>
      <c r="R90" s="141"/>
      <c r="S90" s="141"/>
      <c r="T90" s="141"/>
    </row>
    <row r="91">
      <c r="A91" s="141"/>
      <c r="B91" s="141"/>
      <c r="C91" s="141"/>
      <c r="D91" s="92"/>
      <c r="E91" s="92"/>
      <c r="F91" s="141"/>
      <c r="G91" s="141"/>
      <c r="H91" s="141"/>
      <c r="I91" s="141"/>
      <c r="J91" s="141"/>
      <c r="K91" s="141"/>
      <c r="L91" s="141"/>
      <c r="M91" s="141"/>
      <c r="N91" s="141"/>
      <c r="O91" s="141"/>
      <c r="P91" s="141"/>
      <c r="Q91" s="141"/>
      <c r="R91" s="141"/>
      <c r="S91" s="141"/>
      <c r="T91" s="141"/>
    </row>
    <row r="92">
      <c r="A92" s="141"/>
      <c r="B92" s="141"/>
      <c r="C92" s="141"/>
      <c r="D92" s="92"/>
      <c r="E92" s="92"/>
      <c r="F92" s="141"/>
      <c r="G92" s="141"/>
      <c r="H92" s="141"/>
      <c r="I92" s="141"/>
      <c r="J92" s="141"/>
      <c r="K92" s="141"/>
      <c r="L92" s="141"/>
      <c r="M92" s="141"/>
      <c r="N92" s="141"/>
      <c r="O92" s="141"/>
      <c r="P92" s="141"/>
      <c r="Q92" s="141"/>
      <c r="R92" s="141"/>
      <c r="S92" s="141"/>
      <c r="T92" s="141"/>
    </row>
    <row r="93">
      <c r="A93" s="141"/>
      <c r="B93" s="141"/>
      <c r="C93" s="141"/>
      <c r="D93" s="92"/>
      <c r="E93" s="92"/>
      <c r="F93" s="141"/>
      <c r="G93" s="141"/>
      <c r="H93" s="141"/>
      <c r="I93" s="141"/>
      <c r="J93" s="141"/>
      <c r="K93" s="141"/>
      <c r="L93" s="141"/>
      <c r="M93" s="141"/>
      <c r="N93" s="141"/>
      <c r="O93" s="141"/>
      <c r="P93" s="141"/>
      <c r="Q93" s="141"/>
      <c r="R93" s="141"/>
      <c r="S93" s="141"/>
      <c r="T93" s="141"/>
    </row>
    <row r="94">
      <c r="A94" s="141"/>
      <c r="B94" s="141"/>
      <c r="C94" s="141"/>
      <c r="D94" s="92"/>
      <c r="E94" s="92"/>
      <c r="F94" s="141"/>
      <c r="G94" s="141"/>
      <c r="H94" s="141"/>
      <c r="I94" s="141"/>
      <c r="J94" s="141"/>
      <c r="K94" s="141"/>
      <c r="L94" s="141"/>
      <c r="M94" s="141"/>
      <c r="N94" s="141"/>
      <c r="O94" s="141"/>
      <c r="P94" s="141"/>
      <c r="Q94" s="141"/>
      <c r="R94" s="141"/>
      <c r="S94" s="141"/>
      <c r="T94" s="141"/>
    </row>
    <row r="95">
      <c r="A95" s="141"/>
      <c r="B95" s="141"/>
      <c r="C95" s="141"/>
      <c r="D95" s="92"/>
      <c r="E95" s="92"/>
      <c r="F95" s="141"/>
      <c r="G95" s="141"/>
      <c r="H95" s="141"/>
      <c r="I95" s="141"/>
      <c r="J95" s="141"/>
      <c r="K95" s="141"/>
      <c r="L95" s="141"/>
      <c r="M95" s="141"/>
      <c r="N95" s="141"/>
      <c r="O95" s="141"/>
      <c r="P95" s="141"/>
      <c r="Q95" s="141"/>
      <c r="R95" s="141"/>
      <c r="S95" s="141"/>
      <c r="T95" s="141"/>
    </row>
    <row r="96">
      <c r="A96" s="141"/>
      <c r="B96" s="141"/>
      <c r="C96" s="141"/>
      <c r="D96" s="92"/>
      <c r="E96" s="92"/>
      <c r="F96" s="141"/>
      <c r="G96" s="141"/>
      <c r="H96" s="141"/>
      <c r="I96" s="141"/>
      <c r="J96" s="141"/>
      <c r="K96" s="141"/>
      <c r="L96" s="141"/>
      <c r="M96" s="141"/>
      <c r="N96" s="141"/>
      <c r="O96" s="141"/>
      <c r="P96" s="141"/>
      <c r="Q96" s="141"/>
      <c r="R96" s="141"/>
      <c r="S96" s="141"/>
      <c r="T96" s="141"/>
    </row>
    <row r="97">
      <c r="A97" s="141"/>
      <c r="B97" s="141"/>
      <c r="C97" s="141"/>
      <c r="D97" s="92"/>
      <c r="E97" s="92"/>
      <c r="F97" s="141"/>
      <c r="G97" s="141"/>
      <c r="H97" s="141"/>
      <c r="I97" s="141"/>
      <c r="J97" s="141"/>
      <c r="K97" s="141"/>
      <c r="L97" s="141"/>
      <c r="M97" s="141"/>
      <c r="N97" s="141"/>
      <c r="O97" s="141"/>
      <c r="P97" s="141"/>
      <c r="Q97" s="141"/>
      <c r="R97" s="141"/>
      <c r="S97" s="141"/>
      <c r="T97" s="141"/>
    </row>
    <row r="98">
      <c r="A98" s="141"/>
      <c r="B98" s="141"/>
      <c r="C98" s="141"/>
      <c r="D98" s="92"/>
      <c r="E98" s="92"/>
      <c r="F98" s="141"/>
      <c r="G98" s="141"/>
      <c r="H98" s="141"/>
      <c r="I98" s="141"/>
      <c r="J98" s="141"/>
      <c r="K98" s="141"/>
      <c r="L98" s="141"/>
      <c r="M98" s="141"/>
      <c r="N98" s="141"/>
      <c r="O98" s="141"/>
      <c r="P98" s="141"/>
      <c r="Q98" s="141"/>
      <c r="R98" s="141"/>
      <c r="S98" s="141"/>
      <c r="T98" s="141"/>
    </row>
    <row r="99">
      <c r="A99" s="141"/>
      <c r="B99" s="141"/>
      <c r="C99" s="141"/>
      <c r="D99" s="92"/>
      <c r="E99" s="92"/>
      <c r="F99" s="141"/>
      <c r="G99" s="141"/>
      <c r="H99" s="141"/>
      <c r="I99" s="141"/>
      <c r="J99" s="141"/>
      <c r="K99" s="141"/>
      <c r="L99" s="141"/>
      <c r="M99" s="141"/>
      <c r="N99" s="141"/>
      <c r="O99" s="141"/>
      <c r="P99" s="141"/>
      <c r="Q99" s="141"/>
      <c r="R99" s="141"/>
      <c r="S99" s="141"/>
      <c r="T99" s="141"/>
    </row>
    <row r="100">
      <c r="A100" s="141"/>
      <c r="B100" s="141"/>
      <c r="C100" s="141"/>
      <c r="D100" s="92"/>
      <c r="E100" s="92"/>
      <c r="F100" s="141"/>
      <c r="G100" s="141"/>
      <c r="H100" s="141"/>
      <c r="I100" s="141"/>
      <c r="J100" s="141"/>
      <c r="K100" s="141"/>
      <c r="L100" s="141"/>
      <c r="M100" s="141"/>
      <c r="N100" s="141"/>
      <c r="O100" s="141"/>
      <c r="P100" s="141"/>
      <c r="Q100" s="141"/>
      <c r="R100" s="141"/>
      <c r="S100" s="141"/>
      <c r="T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7" t="s">
        <v>23</v>
      </c>
      <c r="B1" s="77" t="s">
        <v>24</v>
      </c>
      <c r="C1" s="77" t="s">
        <v>25</v>
      </c>
      <c r="D1" s="27" t="s">
        <v>26</v>
      </c>
      <c r="E1" s="27" t="s">
        <v>27</v>
      </c>
      <c r="F1" s="77" t="s">
        <v>28</v>
      </c>
      <c r="G1" s="77" t="s">
        <v>29</v>
      </c>
    </row>
    <row r="2">
      <c r="A2" s="79" t="s">
        <v>2695</v>
      </c>
      <c r="B2" s="80"/>
      <c r="C2" s="80"/>
      <c r="D2" s="31"/>
      <c r="E2" s="80"/>
      <c r="F2" s="80"/>
      <c r="G2" s="80"/>
    </row>
    <row r="3">
      <c r="A3" s="81" t="s">
        <v>2696</v>
      </c>
      <c r="B3" s="82" t="s">
        <v>2697</v>
      </c>
      <c r="C3" s="83" t="s">
        <v>2698</v>
      </c>
      <c r="D3" s="44" t="s">
        <v>2699</v>
      </c>
      <c r="E3" s="44" t="s">
        <v>2700</v>
      </c>
      <c r="F3" s="45">
        <v>0.21</v>
      </c>
      <c r="G3" s="147" t="str">
        <f>IFERROR(VLOOKUP("SOLARO QR1-UC",STOCK!$B$2:$Q$3692,3,FALSE),"")</f>
        <v>Mayor a 5</v>
      </c>
    </row>
    <row r="4">
      <c r="A4" s="86" t="s">
        <v>2696</v>
      </c>
      <c r="B4" s="87" t="s">
        <v>2701</v>
      </c>
      <c r="C4" s="88" t="s">
        <v>2702</v>
      </c>
      <c r="D4" s="37" t="s">
        <v>2703</v>
      </c>
      <c r="E4" s="37" t="s">
        <v>2704</v>
      </c>
      <c r="F4" s="38">
        <v>0.21</v>
      </c>
      <c r="G4" s="147" t="str">
        <f>IFERROR(VLOOKUP("SOLARO QR1",STOCK!$B$2:$Q$3692,3,FALSE),"")</f>
        <v>Mayor a 5</v>
      </c>
    </row>
    <row r="5">
      <c r="A5" s="81" t="s">
        <v>2696</v>
      </c>
      <c r="B5" s="82" t="s">
        <v>2705</v>
      </c>
      <c r="C5" s="148" t="s">
        <v>2706</v>
      </c>
      <c r="D5" s="44" t="s">
        <v>2707</v>
      </c>
      <c r="E5" s="44" t="s">
        <v>2708</v>
      </c>
      <c r="F5" s="149">
        <v>0.21</v>
      </c>
      <c r="G5" s="147" t="str">
        <f>IFERROR(VLOOKUP("SOLARO FR1-D",STOCK!$B$2:$Q$3692,3,FALSE),"")</f>
        <v>Menor a 5</v>
      </c>
    </row>
    <row r="6">
      <c r="A6" s="79" t="s">
        <v>2709</v>
      </c>
      <c r="B6" s="80"/>
      <c r="C6" s="80"/>
      <c r="D6" s="31"/>
      <c r="E6" s="80"/>
      <c r="F6" s="80"/>
      <c r="G6" s="80"/>
    </row>
    <row r="7">
      <c r="A7" s="81" t="s">
        <v>2696</v>
      </c>
      <c r="B7" s="82" t="s">
        <v>2710</v>
      </c>
      <c r="C7" s="83" t="s">
        <v>2711</v>
      </c>
      <c r="D7" s="44" t="s">
        <v>2712</v>
      </c>
      <c r="E7" s="44" t="s">
        <v>2713</v>
      </c>
      <c r="F7" s="45">
        <v>0.21</v>
      </c>
      <c r="G7" s="147" t="str">
        <f>IFERROR(VLOOKUP("XC-SML",STOCK!$B$2:$Q$3692,3,FALSE),"")</f>
        <v>Mayor a 5</v>
      </c>
    </row>
    <row r="8">
      <c r="A8" s="86" t="s">
        <v>2696</v>
      </c>
      <c r="B8" s="87" t="s">
        <v>2714</v>
      </c>
      <c r="C8" s="88" t="s">
        <v>2715</v>
      </c>
      <c r="D8" s="37" t="s">
        <v>2716</v>
      </c>
      <c r="E8" s="37" t="s">
        <v>2717</v>
      </c>
      <c r="F8" s="38">
        <v>0.21</v>
      </c>
      <c r="G8" s="147" t="str">
        <f>IFERROR(VLOOKUP("XC-SLO",STOCK!$B$2:$Q$3692,3,FALSE),"")</f>
        <v>Mayor a 5</v>
      </c>
    </row>
    <row r="9">
      <c r="A9" s="81" t="s">
        <v>2696</v>
      </c>
      <c r="B9" s="82" t="s">
        <v>2718</v>
      </c>
      <c r="C9" s="83" t="s">
        <v>2719</v>
      </c>
      <c r="D9" s="44" t="s">
        <v>2720</v>
      </c>
      <c r="E9" s="44" t="s">
        <v>2721</v>
      </c>
      <c r="F9" s="45">
        <v>0.21</v>
      </c>
      <c r="G9" s="147" t="str">
        <f>IFERROR(VLOOKUP("XC-SGP",STOCK!$B$2:$Q$3692,3,FALSE),"")</f>
        <v>Mayor a 5</v>
      </c>
    </row>
    <row r="10">
      <c r="A10" s="79" t="s">
        <v>2722</v>
      </c>
      <c r="B10" s="80"/>
      <c r="C10" s="80"/>
      <c r="D10" s="31"/>
      <c r="E10" s="80"/>
      <c r="F10" s="80"/>
      <c r="G10" s="80"/>
    </row>
    <row r="11">
      <c r="A11" s="81" t="s">
        <v>2696</v>
      </c>
      <c r="B11" s="82" t="s">
        <v>2723</v>
      </c>
      <c r="C11" s="83" t="s">
        <v>2724</v>
      </c>
      <c r="D11" s="44" t="s">
        <v>2725</v>
      </c>
      <c r="E11" s="44" t="s">
        <v>2726</v>
      </c>
      <c r="F11" s="45">
        <v>0.21</v>
      </c>
      <c r="G11" s="147" t="str">
        <f>IFERROR(VLOOKUP("GIOUSB",STOCK!$B$2:$Q$3692,3,FALSE),"")</f>
        <v>Mayor a 5</v>
      </c>
    </row>
    <row r="12">
      <c r="A12" s="86" t="s">
        <v>2696</v>
      </c>
      <c r="B12" s="87" t="s">
        <v>2727</v>
      </c>
      <c r="C12" s="88" t="s">
        <v>2728</v>
      </c>
      <c r="D12" s="37" t="s">
        <v>2729</v>
      </c>
      <c r="E12" s="37" t="s">
        <v>2730</v>
      </c>
      <c r="F12" s="38">
        <v>0.21</v>
      </c>
      <c r="G12" s="147" t="str">
        <f>IFERROR(VLOOKUP("SOLARO QR1-UC",STOCK!$B$2:$Q$3692,3,FALSE),"")</f>
        <v>Mayor a 5</v>
      </c>
    </row>
    <row r="13">
      <c r="A13" s="81" t="s">
        <v>2696</v>
      </c>
      <c r="B13" s="82" t="s">
        <v>2731</v>
      </c>
      <c r="C13" s="83" t="s">
        <v>2732</v>
      </c>
      <c r="D13" s="44" t="s">
        <v>2733</v>
      </c>
      <c r="E13" s="44" t="s">
        <v>2734</v>
      </c>
      <c r="F13" s="45">
        <v>0.21</v>
      </c>
      <c r="G13" s="147" t="str">
        <f>IFERROR(VLOOKUP("GIOXLR",STOCK!$B$2:$Q$3692,3,FALSE),"")</f>
        <v>Mayor a 5</v>
      </c>
    </row>
    <row r="14">
      <c r="A14" s="79" t="s">
        <v>2735</v>
      </c>
      <c r="B14" s="80"/>
      <c r="C14" s="80"/>
      <c r="D14" s="31"/>
      <c r="E14" s="80"/>
      <c r="F14" s="80"/>
      <c r="G14" s="80"/>
    </row>
    <row r="15">
      <c r="A15" s="81" t="s">
        <v>2696</v>
      </c>
      <c r="B15" s="82" t="s">
        <v>2736</v>
      </c>
      <c r="C15" s="83" t="s">
        <v>2737</v>
      </c>
      <c r="D15" s="44" t="s">
        <v>2738</v>
      </c>
      <c r="E15" s="44" t="s">
        <v>2739</v>
      </c>
      <c r="F15" s="45">
        <v>0.21</v>
      </c>
      <c r="G15" s="147" t="str">
        <f>IFERROR(VLOOKUP("SONIA C5",STOCK!$B$2:$Q$3692,3,FALSE),"")</f>
        <v>Mayor a 5</v>
      </c>
    </row>
    <row r="16">
      <c r="A16" s="79" t="s">
        <v>2740</v>
      </c>
      <c r="B16" s="80"/>
      <c r="C16" s="80"/>
      <c r="D16" s="31"/>
      <c r="E16" s="80"/>
      <c r="F16" s="80"/>
      <c r="G16" s="80"/>
    </row>
    <row r="17">
      <c r="A17" s="81" t="s">
        <v>2696</v>
      </c>
      <c r="B17" s="82" t="s">
        <v>2741</v>
      </c>
      <c r="C17" s="83" t="s">
        <v>2742</v>
      </c>
      <c r="D17" s="44" t="s">
        <v>2743</v>
      </c>
      <c r="E17" s="44" t="s">
        <v>2744</v>
      </c>
      <c r="F17" s="45">
        <v>0.21</v>
      </c>
      <c r="G17" s="147" t="str">
        <f>IFERROR(VLOOKUP("SONIA AMP",STOCK!$B$2:$Q$3692,3,FALSE),"")</f>
        <v>Mayor a 5</v>
      </c>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c r="H33" s="150" t="s">
        <v>2745</v>
      </c>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row r="991">
      <c r="D991" s="92"/>
      <c r="E991" s="92"/>
    </row>
    <row r="992">
      <c r="D992" s="92"/>
      <c r="E992" s="92"/>
    </row>
    <row r="993">
      <c r="D993" s="92"/>
      <c r="E993" s="92"/>
    </row>
    <row r="994">
      <c r="D994" s="92"/>
      <c r="E994" s="92"/>
    </row>
    <row r="995">
      <c r="D995" s="92"/>
      <c r="E995" s="92"/>
    </row>
    <row r="996">
      <c r="D996" s="92"/>
      <c r="E996" s="92"/>
    </row>
    <row r="997">
      <c r="D997" s="92"/>
      <c r="E997" s="92"/>
    </row>
    <row r="998">
      <c r="D998" s="92"/>
      <c r="E998" s="92"/>
    </row>
    <row r="999">
      <c r="D999" s="92"/>
      <c r="E999" s="92"/>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31" t="s">
        <v>26</v>
      </c>
      <c r="E1" s="27" t="s">
        <v>27</v>
      </c>
      <c r="F1" s="94" t="s">
        <v>28</v>
      </c>
      <c r="G1" s="151" t="s">
        <v>29</v>
      </c>
    </row>
    <row r="2" ht="15.75" customHeight="1">
      <c r="A2" s="29" t="s">
        <v>2746</v>
      </c>
      <c r="C2" s="32"/>
      <c r="D2" s="55"/>
      <c r="E2" s="55"/>
      <c r="F2" s="114"/>
      <c r="G2" s="32"/>
    </row>
    <row r="3" ht="15.75" customHeight="1">
      <c r="A3" s="41" t="s">
        <v>2747</v>
      </c>
      <c r="B3" s="101" t="s">
        <v>2748</v>
      </c>
      <c r="C3" s="43" t="s">
        <v>2749</v>
      </c>
      <c r="D3" s="44" t="s">
        <v>2750</v>
      </c>
      <c r="E3" s="44" t="s">
        <v>2751</v>
      </c>
      <c r="F3" s="45">
        <v>0.105</v>
      </c>
      <c r="G3" s="50" t="str">
        <f>VLOOKUP("QU-16C",STOCK!B2:Q3656,3,FALSE)</f>
        <v>SIN STOCK</v>
      </c>
    </row>
    <row r="4" ht="15.75" customHeight="1">
      <c r="A4" s="47" t="s">
        <v>2747</v>
      </c>
      <c r="B4" s="48" t="s">
        <v>2752</v>
      </c>
      <c r="C4" s="49" t="s">
        <v>2753</v>
      </c>
      <c r="D4" s="37" t="s">
        <v>2754</v>
      </c>
      <c r="E4" s="37" t="s">
        <v>2755</v>
      </c>
      <c r="F4" s="152">
        <v>0.105</v>
      </c>
      <c r="G4" s="53" t="str">
        <f>VLOOKUP("QU-24C",STOCK!B2:Q3656,3,FALSE)</f>
        <v>Menor a 5</v>
      </c>
    </row>
    <row r="5" ht="15.75" customHeight="1">
      <c r="A5" s="41" t="s">
        <v>2747</v>
      </c>
      <c r="B5" s="42" t="s">
        <v>2756</v>
      </c>
      <c r="C5" s="43" t="s">
        <v>2757</v>
      </c>
      <c r="D5" s="44" t="s">
        <v>2758</v>
      </c>
      <c r="E5" s="44" t="s">
        <v>2759</v>
      </c>
      <c r="F5" s="45">
        <v>0.105</v>
      </c>
      <c r="G5" s="50" t="str">
        <f>VLOOKUP("QU-32C",STOCK!B2:Q3656,3,FALSE)</f>
        <v>SIN STOCK</v>
      </c>
    </row>
    <row r="6" ht="15.75" customHeight="1">
      <c r="A6" s="47" t="s">
        <v>2747</v>
      </c>
      <c r="B6" s="48" t="s">
        <v>2760</v>
      </c>
      <c r="C6" s="49" t="s">
        <v>2761</v>
      </c>
      <c r="D6" s="37" t="s">
        <v>2762</v>
      </c>
      <c r="E6" s="37" t="s">
        <v>2763</v>
      </c>
      <c r="F6" s="152">
        <v>0.105</v>
      </c>
      <c r="G6" s="50" t="str">
        <f>VLOOKUP("QU-PAC",STOCK!B2:Q3656,3,FALSE)</f>
        <v>SIN STOCK</v>
      </c>
    </row>
    <row r="7" ht="15.75" customHeight="1">
      <c r="A7" s="41" t="s">
        <v>2747</v>
      </c>
      <c r="B7" s="42" t="s">
        <v>2764</v>
      </c>
      <c r="C7" s="43" t="s">
        <v>2765</v>
      </c>
      <c r="D7" s="44" t="s">
        <v>2766</v>
      </c>
      <c r="E7" s="44" t="s">
        <v>2767</v>
      </c>
      <c r="F7" s="45">
        <v>0.105</v>
      </c>
      <c r="G7" s="50" t="str">
        <f>VLOOKUP("QU-SB",STOCK!B2:Q3656,3,FALSE)</f>
        <v>SIN STOCK</v>
      </c>
    </row>
    <row r="8" ht="15.75" customHeight="1">
      <c r="A8" s="47" t="s">
        <v>2747</v>
      </c>
      <c r="B8" s="56" t="s">
        <v>2768</v>
      </c>
      <c r="C8" s="49" t="s">
        <v>2769</v>
      </c>
      <c r="D8" s="37" t="s">
        <v>2770</v>
      </c>
      <c r="E8" s="37" t="s">
        <v>2771</v>
      </c>
      <c r="F8" s="152">
        <v>0.105</v>
      </c>
      <c r="G8" s="50" t="str">
        <f>IFERROR(VLOOKUP("QU-5",STOCK!B5:Q3659,3,FALSE),"SIN STOCK")</f>
        <v>Menor a 5</v>
      </c>
    </row>
    <row r="9" ht="15.75" customHeight="1">
      <c r="A9" s="41" t="s">
        <v>2747</v>
      </c>
      <c r="B9" s="57" t="s">
        <v>2772</v>
      </c>
      <c r="C9" s="43" t="s">
        <v>2773</v>
      </c>
      <c r="D9" s="44" t="s">
        <v>2774</v>
      </c>
      <c r="E9" s="44" t="s">
        <v>2775</v>
      </c>
      <c r="F9" s="45">
        <v>0.105</v>
      </c>
      <c r="G9" s="50" t="str">
        <f>VLOOKUP("QU-5D",STOCK!B2:Q3656,3,FALSE)</f>
        <v>Mayor a 5</v>
      </c>
    </row>
    <row r="10" ht="15.75" customHeight="1">
      <c r="A10" s="47" t="s">
        <v>2747</v>
      </c>
      <c r="B10" s="56" t="s">
        <v>2776</v>
      </c>
      <c r="C10" s="49" t="s">
        <v>2777</v>
      </c>
      <c r="D10" s="37" t="s">
        <v>2778</v>
      </c>
      <c r="E10" s="37" t="s">
        <v>2779</v>
      </c>
      <c r="F10" s="152">
        <v>0.105</v>
      </c>
      <c r="G10" s="50" t="str">
        <f>IFERROR(VLOOKUP("QU-6",STOCK!B5:Q3659,3,FALSE),"SIN STOCK")</f>
        <v>Mayor a 5</v>
      </c>
    </row>
    <row r="11" ht="15.75" customHeight="1">
      <c r="A11" s="41" t="s">
        <v>2747</v>
      </c>
      <c r="B11" s="57" t="s">
        <v>2780</v>
      </c>
      <c r="C11" s="43" t="s">
        <v>2781</v>
      </c>
      <c r="D11" s="44" t="s">
        <v>2782</v>
      </c>
      <c r="E11" s="44" t="s">
        <v>2783</v>
      </c>
      <c r="F11" s="45">
        <v>0.105</v>
      </c>
      <c r="G11" s="50" t="str">
        <f>VLOOKUP("QU-6D",STOCK!B2:Q3656,3,FALSE)</f>
        <v>Mayor a 5</v>
      </c>
    </row>
    <row r="12" ht="15.75" customHeight="1">
      <c r="A12" s="47" t="s">
        <v>2747</v>
      </c>
      <c r="B12" s="56" t="s">
        <v>2784</v>
      </c>
      <c r="C12" s="49" t="s">
        <v>2785</v>
      </c>
      <c r="D12" s="37" t="s">
        <v>2786</v>
      </c>
      <c r="E12" s="37" t="s">
        <v>2787</v>
      </c>
      <c r="F12" s="152">
        <v>0.105</v>
      </c>
      <c r="G12" s="50" t="str">
        <f>IFERROR(VLOOKUP("QU-7",STOCK!B5:Q3659,3,FALSE),"SIN STOCK")</f>
        <v>Mayor a 5</v>
      </c>
    </row>
    <row r="13" ht="15.75" customHeight="1">
      <c r="A13" s="41" t="s">
        <v>2747</v>
      </c>
      <c r="B13" s="42" t="s">
        <v>2788</v>
      </c>
      <c r="C13" s="43" t="s">
        <v>2789</v>
      </c>
      <c r="D13" s="44" t="s">
        <v>2790</v>
      </c>
      <c r="E13" s="44" t="s">
        <v>2791</v>
      </c>
      <c r="F13" s="45">
        <v>0.105</v>
      </c>
      <c r="G13" s="50" t="str">
        <f>VLOOKUP("QU-7D",STOCK!B2:Q3656,3,FALSE)</f>
        <v>Mayor a 5</v>
      </c>
    </row>
    <row r="14" ht="15.75" customHeight="1">
      <c r="A14" s="29" t="s">
        <v>2792</v>
      </c>
      <c r="C14" s="32"/>
      <c r="D14" s="55"/>
      <c r="E14" s="153"/>
      <c r="F14" s="32"/>
      <c r="G14" s="32"/>
    </row>
    <row r="15" ht="15.75" customHeight="1">
      <c r="A15" s="41" t="s">
        <v>2747</v>
      </c>
      <c r="B15" s="42" t="s">
        <v>2793</v>
      </c>
      <c r="C15" s="43" t="s">
        <v>2794</v>
      </c>
      <c r="D15" s="44" t="s">
        <v>2795</v>
      </c>
      <c r="E15" s="44" t="s">
        <v>2796</v>
      </c>
      <c r="F15" s="45">
        <v>0.105</v>
      </c>
      <c r="G15" s="53" t="str">
        <f>VLOOKUP("SQ-5",STOCK!B2:Q3656,3,FALSE)</f>
        <v>Mayor a 5</v>
      </c>
    </row>
    <row r="16" ht="15.75" customHeight="1">
      <c r="A16" s="47" t="s">
        <v>2747</v>
      </c>
      <c r="B16" s="48" t="s">
        <v>2797</v>
      </c>
      <c r="C16" s="49" t="s">
        <v>2798</v>
      </c>
      <c r="D16" s="37" t="s">
        <v>2799</v>
      </c>
      <c r="E16" s="37" t="s">
        <v>2800</v>
      </c>
      <c r="F16" s="152">
        <v>0.105</v>
      </c>
      <c r="G16" s="39" t="str">
        <f>VLOOKUP("SQ-6",STOCK!B2:Q3656,3,FALSE)</f>
        <v>Mayor a 5</v>
      </c>
    </row>
    <row r="17" ht="15.75" customHeight="1">
      <c r="A17" s="41" t="s">
        <v>2747</v>
      </c>
      <c r="B17" s="42" t="s">
        <v>2801</v>
      </c>
      <c r="C17" s="43" t="s">
        <v>2802</v>
      </c>
      <c r="D17" s="44" t="s">
        <v>2803</v>
      </c>
      <c r="E17" s="44" t="s">
        <v>2804</v>
      </c>
      <c r="F17" s="45">
        <v>0.105</v>
      </c>
      <c r="G17" s="53" t="str">
        <f>VLOOKUP("SQ-7",STOCK!B2:Q3656,3,FALSE)</f>
        <v>Mayor a 5</v>
      </c>
    </row>
    <row r="18" ht="15.75" customHeight="1">
      <c r="A18" s="47" t="s">
        <v>2747</v>
      </c>
      <c r="B18" s="48" t="s">
        <v>2805</v>
      </c>
      <c r="C18" s="49" t="s">
        <v>2806</v>
      </c>
      <c r="D18" s="37" t="s">
        <v>2807</v>
      </c>
      <c r="E18" s="37" t="s">
        <v>2808</v>
      </c>
      <c r="F18" s="152">
        <v>0.105</v>
      </c>
      <c r="G18" s="53" t="str">
        <f>VLOOKUP("SQ-RACK",STOCK!B3:Q3657,3,FALSE)</f>
        <v>SIN STOCK</v>
      </c>
    </row>
    <row r="19" ht="15.75" customHeight="1">
      <c r="A19" s="41" t="s">
        <v>2747</v>
      </c>
      <c r="B19" s="42" t="s">
        <v>2809</v>
      </c>
      <c r="C19" s="43" t="s">
        <v>2810</v>
      </c>
      <c r="D19" s="44" t="s">
        <v>2811</v>
      </c>
      <c r="E19" s="44" t="s">
        <v>2812</v>
      </c>
      <c r="F19" s="45">
        <v>0.21</v>
      </c>
      <c r="G19" s="39" t="str">
        <f>VLOOKUP("M-SQ-DANT64-AX",STOCK!B2:Q3656,3,FALSE)</f>
        <v>Mayor a 5</v>
      </c>
    </row>
    <row r="20" ht="15.75" customHeight="1">
      <c r="A20" s="47" t="s">
        <v>2747</v>
      </c>
      <c r="B20" s="48" t="s">
        <v>2813</v>
      </c>
      <c r="C20" s="49" t="s">
        <v>2814</v>
      </c>
      <c r="D20" s="37" t="s">
        <v>2815</v>
      </c>
      <c r="E20" s="37" t="s">
        <v>2816</v>
      </c>
      <c r="F20" s="152">
        <v>0.105</v>
      </c>
      <c r="G20" s="50" t="str">
        <f>VLOOKUP("M-SQ-DANT32",STOCK!B3:Q3657,3,FALSE)</f>
        <v>Mayor a 5</v>
      </c>
    </row>
    <row r="21" ht="15.75" customHeight="1">
      <c r="A21" s="41" t="s">
        <v>2747</v>
      </c>
      <c r="B21" s="42" t="s">
        <v>2817</v>
      </c>
      <c r="C21" s="43" t="s">
        <v>2818</v>
      </c>
      <c r="D21" s="44" t="s">
        <v>2819</v>
      </c>
      <c r="E21" s="44" t="s">
        <v>2820</v>
      </c>
      <c r="F21" s="149">
        <v>0.21</v>
      </c>
      <c r="G21" s="39" t="str">
        <f>VLOOKUP("M-SQ-WAVES3-AX",STOCK!B2:Q3656,3,FALSE)</f>
        <v>Mayor a 5</v>
      </c>
    </row>
    <row r="22" ht="15.75" customHeight="1">
      <c r="A22" s="47" t="s">
        <v>2747</v>
      </c>
      <c r="B22" s="48" t="s">
        <v>2821</v>
      </c>
      <c r="C22" s="49" t="s">
        <v>2822</v>
      </c>
      <c r="D22" s="37" t="s">
        <v>2823</v>
      </c>
      <c r="E22" s="37" t="s">
        <v>2824</v>
      </c>
      <c r="F22" s="154">
        <v>0.21</v>
      </c>
      <c r="G22" s="39" t="str">
        <f>VLOOKUP("M-SQ-SLINK-AX",STOCK!B2:Q3656,3,FALSE)</f>
        <v>Mayor a 5</v>
      </c>
    </row>
    <row r="23" ht="15.75" customHeight="1">
      <c r="A23" s="41" t="s">
        <v>2747</v>
      </c>
      <c r="B23" s="42" t="s">
        <v>2825</v>
      </c>
      <c r="C23" s="43" t="s">
        <v>2826</v>
      </c>
      <c r="D23" s="44" t="s">
        <v>2827</v>
      </c>
      <c r="E23" s="44" t="s">
        <v>2828</v>
      </c>
      <c r="F23" s="149">
        <v>0.21</v>
      </c>
      <c r="G23" s="39" t="str">
        <f>VLOOKUP("M-SQ-MADI-AX",STOCK!B2:Q3656,3,FALSE)</f>
        <v>Mayor a 5</v>
      </c>
    </row>
    <row r="24" ht="15.75" customHeight="1">
      <c r="A24" s="29" t="s">
        <v>2829</v>
      </c>
      <c r="C24" s="32"/>
      <c r="D24" s="55"/>
      <c r="E24" s="153"/>
      <c r="F24" s="32"/>
      <c r="G24" s="32"/>
    </row>
    <row r="25" ht="15.75" customHeight="1">
      <c r="A25" s="41" t="s">
        <v>2747</v>
      </c>
      <c r="B25" s="42" t="s">
        <v>2830</v>
      </c>
      <c r="C25" s="43" t="s">
        <v>2831</v>
      </c>
      <c r="D25" s="44" t="s">
        <v>2832</v>
      </c>
      <c r="E25" s="44" t="s">
        <v>2833</v>
      </c>
      <c r="F25" s="45">
        <v>0.105</v>
      </c>
      <c r="G25" s="53" t="str">
        <f>VLOOKUP("AVANTIS/ARX",STOCK!B2:Q3656,3,FALSE)</f>
        <v>Menor a 5</v>
      </c>
    </row>
    <row r="26" ht="15.75" customHeight="1">
      <c r="A26" s="47" t="s">
        <v>2747</v>
      </c>
      <c r="B26" s="48" t="s">
        <v>2834</v>
      </c>
      <c r="C26" s="49" t="s">
        <v>2835</v>
      </c>
      <c r="D26" s="37" t="s">
        <v>2836</v>
      </c>
      <c r="E26" s="37" t="s">
        <v>2837</v>
      </c>
      <c r="F26" s="152">
        <v>0.105</v>
      </c>
      <c r="G26" s="50" t="str">
        <f>VLOOKUP("AVANTIS-S/ARX",STOCK!B2:Q3656,3,FALSE)</f>
        <v>Menor a 5</v>
      </c>
    </row>
    <row r="27" ht="15.75" customHeight="1">
      <c r="A27" s="29" t="s">
        <v>2838</v>
      </c>
      <c r="C27" s="32"/>
      <c r="D27" s="55"/>
      <c r="E27" s="153"/>
      <c r="F27" s="32"/>
      <c r="G27" s="32"/>
    </row>
    <row r="28" ht="15.75" customHeight="1">
      <c r="A28" s="41" t="s">
        <v>2747</v>
      </c>
      <c r="B28" s="42" t="s">
        <v>2839</v>
      </c>
      <c r="C28" s="41" t="s">
        <v>2840</v>
      </c>
      <c r="D28" s="44" t="s">
        <v>2841</v>
      </c>
      <c r="E28" s="44" t="s">
        <v>2842</v>
      </c>
      <c r="F28" s="45">
        <v>0.105</v>
      </c>
      <c r="G28" s="39" t="str">
        <f>IFERROR(VLOOKUP("CQ12T",STOCK!B2:Q3656,3,FALSE),"SIN STOCK")</f>
        <v>Mayor a 5</v>
      </c>
    </row>
    <row r="29" ht="15.75" customHeight="1">
      <c r="A29" s="47" t="s">
        <v>2747</v>
      </c>
      <c r="B29" s="48" t="s">
        <v>2843</v>
      </c>
      <c r="C29" s="47" t="s">
        <v>2844</v>
      </c>
      <c r="D29" s="37" t="s">
        <v>2845</v>
      </c>
      <c r="E29" s="37" t="s">
        <v>2846</v>
      </c>
      <c r="F29" s="152">
        <v>0.105</v>
      </c>
      <c r="G29" s="39" t="str">
        <f>IFERROR(VLOOKUP("CQ18T",STOCK!B3:Q3657,3,FALSE),"SIN STOCK")</f>
        <v>Mayor a 5</v>
      </c>
    </row>
    <row r="30" ht="15.75" customHeight="1">
      <c r="A30" s="41" t="s">
        <v>2747</v>
      </c>
      <c r="B30" s="42" t="s">
        <v>2847</v>
      </c>
      <c r="C30" s="41" t="s">
        <v>2848</v>
      </c>
      <c r="D30" s="44" t="s">
        <v>2849</v>
      </c>
      <c r="E30" s="44" t="s">
        <v>2850</v>
      </c>
      <c r="F30" s="45">
        <v>0.105</v>
      </c>
      <c r="G30" s="39" t="str">
        <f>IFERROR(VLOOKUP("CQ20B",STOCK!B4:Q3658,3,FALSE),"SIN STOCK")</f>
        <v>Mayor a 5</v>
      </c>
    </row>
    <row r="31" ht="15.75" customHeight="1">
      <c r="A31" s="47" t="s">
        <v>2747</v>
      </c>
      <c r="B31" s="48" t="s">
        <v>2851</v>
      </c>
      <c r="C31" s="49" t="s">
        <v>2852</v>
      </c>
      <c r="D31" s="37" t="s">
        <v>2853</v>
      </c>
      <c r="E31" s="37" t="s">
        <v>2854</v>
      </c>
      <c r="F31" s="152">
        <v>0.105</v>
      </c>
      <c r="G31" s="50" t="str">
        <f>IFERROR(VLOOKUP("CQ12T-CASE",STOCK!B5:Q3659,3,FALSE),"SIN STOCK")</f>
        <v>SIN STOCK</v>
      </c>
    </row>
    <row r="32" ht="15.75" customHeight="1">
      <c r="A32" s="41" t="s">
        <v>2747</v>
      </c>
      <c r="B32" s="42" t="s">
        <v>2855</v>
      </c>
      <c r="C32" s="43" t="s">
        <v>2856</v>
      </c>
      <c r="D32" s="44" t="s">
        <v>2853</v>
      </c>
      <c r="E32" s="44" t="s">
        <v>2854</v>
      </c>
      <c r="F32" s="45">
        <v>0.105</v>
      </c>
      <c r="G32" s="50" t="str">
        <f>IFERROR(VLOOKUP("CQ18T-CASE",STOCK!B6:Q3660,3,FALSE),"SIN STOCK")</f>
        <v>SIN STOCK</v>
      </c>
    </row>
    <row r="33" ht="15.75" customHeight="1">
      <c r="A33" s="47" t="s">
        <v>2747</v>
      </c>
      <c r="B33" s="48" t="s">
        <v>2857</v>
      </c>
      <c r="C33" s="49" t="s">
        <v>2858</v>
      </c>
      <c r="D33" s="37" t="s">
        <v>2859</v>
      </c>
      <c r="E33" s="37" t="s">
        <v>2860</v>
      </c>
      <c r="F33" s="152">
        <v>0.105</v>
      </c>
      <c r="G33" s="50" t="str">
        <f>IFERROR(VLOOKUP("CQ20B-CASE",STOCK!B7:Q3661,3,FALSE),"SIN STOCK")</f>
        <v>SIN STOCK</v>
      </c>
    </row>
    <row r="34" ht="15.75" customHeight="1">
      <c r="A34" s="41" t="s">
        <v>2747</v>
      </c>
      <c r="B34" s="42" t="s">
        <v>2861</v>
      </c>
      <c r="C34" s="43" t="s">
        <v>2862</v>
      </c>
      <c r="D34" s="44" t="s">
        <v>2863</v>
      </c>
      <c r="E34" s="44" t="s">
        <v>2864</v>
      </c>
      <c r="F34" s="45">
        <v>0.21</v>
      </c>
      <c r="G34" s="50" t="str">
        <f>IFERROR(VLOOKUP("CQ12T-RK19",STOCK!B8:Q3662,3,FALSE),"SIN STOCK")</f>
        <v>SIN STOCK</v>
      </c>
    </row>
    <row r="35" ht="15.75" customHeight="1">
      <c r="A35" s="47" t="s">
        <v>2747</v>
      </c>
      <c r="B35" s="48" t="s">
        <v>2865</v>
      </c>
      <c r="C35" s="49" t="s">
        <v>2866</v>
      </c>
      <c r="D35" s="37" t="s">
        <v>2863</v>
      </c>
      <c r="E35" s="37" t="s">
        <v>2864</v>
      </c>
      <c r="F35" s="152">
        <v>0.21</v>
      </c>
      <c r="G35" s="50" t="str">
        <f>IFERROR(VLOOKUP("CQ18T-RK19",STOCK!B9:Q3663,3,FALSE),"SIN STOCK")</f>
        <v>SIN STOCK</v>
      </c>
    </row>
    <row r="36" ht="15.75" customHeight="1">
      <c r="A36" s="41" t="s">
        <v>2747</v>
      </c>
      <c r="B36" s="101" t="s">
        <v>2867</v>
      </c>
      <c r="C36" s="43" t="s">
        <v>2868</v>
      </c>
      <c r="D36" s="44" t="s">
        <v>2869</v>
      </c>
      <c r="E36" s="44" t="s">
        <v>2870</v>
      </c>
      <c r="F36" s="45">
        <v>0.21</v>
      </c>
      <c r="G36" s="50" t="str">
        <f>IFERROR(VLOOKUP("CQ20B-RK19",STOCK!B10:Q3664,3,FALSE),"SIN STOCK")</f>
        <v>SIN STOCK</v>
      </c>
    </row>
    <row r="37" ht="15.75" customHeight="1">
      <c r="A37" s="29" t="s">
        <v>2871</v>
      </c>
      <c r="C37" s="32"/>
      <c r="D37" s="55"/>
      <c r="E37" s="153"/>
      <c r="F37" s="32"/>
      <c r="G37" s="32"/>
    </row>
    <row r="38" ht="15.75" customHeight="1">
      <c r="A38" s="41" t="s">
        <v>2747</v>
      </c>
      <c r="B38" s="101" t="s">
        <v>2872</v>
      </c>
      <c r="C38" s="43" t="s">
        <v>2873</v>
      </c>
      <c r="D38" s="44" t="s">
        <v>2874</v>
      </c>
      <c r="E38" s="44" t="s">
        <v>2875</v>
      </c>
      <c r="F38" s="45">
        <v>0.105</v>
      </c>
      <c r="G38" s="50" t="str">
        <f>IFERROR(VLOOKUP("DLIVE-CTI15",STOCK!B2:Q3656,3,FALSE),"SIN STOCK")</f>
        <v>Menor a 5</v>
      </c>
    </row>
    <row r="39" ht="15.75" customHeight="1">
      <c r="A39" s="47" t="s">
        <v>2747</v>
      </c>
      <c r="B39" s="48" t="s">
        <v>2876</v>
      </c>
      <c r="C39" s="49" t="s">
        <v>2877</v>
      </c>
      <c r="D39" s="37" t="s">
        <v>2878</v>
      </c>
      <c r="E39" s="37" t="s">
        <v>2879</v>
      </c>
      <c r="F39" s="152">
        <v>0.105</v>
      </c>
      <c r="G39" s="50" t="str">
        <f>IFERROR(VLOOKUP("DLIVE-DLC15",STOCK!B2:Q3656,3,FALSE),"SIN STOCK")</f>
        <v>Menor a 5</v>
      </c>
    </row>
    <row r="40" ht="15.75" customHeight="1">
      <c r="A40" s="41" t="s">
        <v>2747</v>
      </c>
      <c r="B40" s="42" t="s">
        <v>2880</v>
      </c>
      <c r="C40" s="43" t="s">
        <v>2881</v>
      </c>
      <c r="D40" s="44" t="s">
        <v>2882</v>
      </c>
      <c r="E40" s="44" t="s">
        <v>2883</v>
      </c>
      <c r="F40" s="45">
        <v>0.105</v>
      </c>
      <c r="G40" s="53" t="str">
        <f>IFERROR(VLOOKUP("DLIVE-DLC25",STOCK!B2:Q3656,3,FALSE),"SIN STOCK")</f>
        <v>Menor a 5</v>
      </c>
    </row>
    <row r="41" ht="15.75" customHeight="1">
      <c r="A41" s="47" t="s">
        <v>2747</v>
      </c>
      <c r="B41" s="48" t="s">
        <v>2884</v>
      </c>
      <c r="C41" s="49" t="s">
        <v>2885</v>
      </c>
      <c r="D41" s="37" t="s">
        <v>2886</v>
      </c>
      <c r="E41" s="37" t="s">
        <v>2887</v>
      </c>
      <c r="F41" s="152">
        <v>0.105</v>
      </c>
      <c r="G41" s="50" t="str">
        <f>IFERROR(VLOOKUP("DLIVE-DLC35",STOCK!B2:Q3656,3,FALSE),"SIN STOCK")</f>
        <v>Menor a 5</v>
      </c>
    </row>
    <row r="42" ht="15.75" customHeight="1">
      <c r="A42" s="41" t="s">
        <v>2747</v>
      </c>
      <c r="B42" s="42" t="s">
        <v>2888</v>
      </c>
      <c r="C42" s="43" t="s">
        <v>2889</v>
      </c>
      <c r="D42" s="44" t="s">
        <v>2890</v>
      </c>
      <c r="E42" s="44" t="s">
        <v>2891</v>
      </c>
      <c r="F42" s="45">
        <v>0.105</v>
      </c>
      <c r="G42" s="50" t="str">
        <f>IFERROR(VLOOKUP("DLIVE-CDM32",STOCK!B2:Q3656,3,FALSE),"SIN STOCK")</f>
        <v>SIN STOCK</v>
      </c>
    </row>
    <row r="43" ht="15.75" customHeight="1">
      <c r="A43" s="47" t="s">
        <v>2747</v>
      </c>
      <c r="B43" s="48" t="s">
        <v>2892</v>
      </c>
      <c r="C43" s="49" t="s">
        <v>2893</v>
      </c>
      <c r="D43" s="37" t="s">
        <v>2894</v>
      </c>
      <c r="E43" s="37" t="s">
        <v>2895</v>
      </c>
      <c r="F43" s="152">
        <v>0.105</v>
      </c>
      <c r="G43" s="50" t="str">
        <f>IFERROR(VLOOKUP("DLIVE-CDM48",STOCK!B2:Q3656,3,FALSE),"SIN STOCK")</f>
        <v>SIN STOCK</v>
      </c>
    </row>
    <row r="44" ht="15.75" customHeight="1">
      <c r="A44" s="41" t="s">
        <v>2747</v>
      </c>
      <c r="B44" s="101" t="s">
        <v>2896</v>
      </c>
      <c r="C44" s="43" t="s">
        <v>2897</v>
      </c>
      <c r="D44" s="44" t="s">
        <v>2898</v>
      </c>
      <c r="E44" s="44" t="s">
        <v>2899</v>
      </c>
      <c r="F44" s="45">
        <v>0.105</v>
      </c>
      <c r="G44" s="50" t="str">
        <f>IFERROR(VLOOKUP("DLIVE-CDM64",STOCK!B2:Q3656,3,FALSE),"SIN STOCK")</f>
        <v>SIN STOCK</v>
      </c>
    </row>
    <row r="45" ht="15.75" customHeight="1">
      <c r="A45" s="29" t="s">
        <v>2900</v>
      </c>
      <c r="C45" s="32"/>
      <c r="D45" s="55"/>
      <c r="E45" s="153"/>
      <c r="F45" s="32"/>
      <c r="G45" s="32"/>
    </row>
    <row r="46" ht="15.75" customHeight="1">
      <c r="A46" s="41" t="s">
        <v>2747</v>
      </c>
      <c r="B46" s="101" t="s">
        <v>2901</v>
      </c>
      <c r="C46" s="43" t="s">
        <v>2902</v>
      </c>
      <c r="D46" s="44" t="s">
        <v>2903</v>
      </c>
      <c r="E46" s="44" t="s">
        <v>2904</v>
      </c>
      <c r="F46" s="45">
        <v>0.105</v>
      </c>
      <c r="G46" s="50" t="str">
        <f>IFERROR(VLOOKUP("DLIVE-S3",STOCK!B2:Q3656,3,FALSE),"SIN STOCK")</f>
        <v>SIN STOCK</v>
      </c>
    </row>
    <row r="47" ht="15.75" customHeight="1">
      <c r="A47" s="47" t="s">
        <v>2747</v>
      </c>
      <c r="B47" s="48" t="s">
        <v>2905</v>
      </c>
      <c r="C47" s="49" t="s">
        <v>2906</v>
      </c>
      <c r="D47" s="37" t="s">
        <v>2907</v>
      </c>
      <c r="E47" s="37" t="s">
        <v>2908</v>
      </c>
      <c r="F47" s="152">
        <v>0.105</v>
      </c>
      <c r="G47" s="53" t="str">
        <f>IFERROR(VLOOKUP("DLIVE-S5",STOCK!B2:Q3656,3,FALSE),"SIN STOCK")</f>
        <v>SIN STOCK</v>
      </c>
    </row>
    <row r="48" ht="15.75" customHeight="1">
      <c r="A48" s="41" t="s">
        <v>2747</v>
      </c>
      <c r="B48" s="42" t="s">
        <v>2909</v>
      </c>
      <c r="C48" s="43" t="s">
        <v>2910</v>
      </c>
      <c r="D48" s="44" t="s">
        <v>2911</v>
      </c>
      <c r="E48" s="44" t="s">
        <v>2912</v>
      </c>
      <c r="F48" s="45">
        <v>0.105</v>
      </c>
      <c r="G48" s="50" t="str">
        <f>IFERROR(VLOOKUP("DLIVE-S7",STOCK!B2:Q3656,3,FALSE),"SIN STOCK")</f>
        <v>SIN STOCK</v>
      </c>
    </row>
    <row r="49" ht="15.75" customHeight="1">
      <c r="A49" s="47" t="s">
        <v>2747</v>
      </c>
      <c r="B49" s="48" t="s">
        <v>2913</v>
      </c>
      <c r="C49" s="49" t="s">
        <v>2914</v>
      </c>
      <c r="D49" s="37" t="s">
        <v>2915</v>
      </c>
      <c r="E49" s="37" t="s">
        <v>2916</v>
      </c>
      <c r="F49" s="152">
        <v>0.105</v>
      </c>
      <c r="G49" s="53" t="str">
        <f>IFERROR(VLOOKUP("DLIVE-DM32",STOCK!B2:Q3656,3,FALSE),"SIN STOCK")</f>
        <v>Menor a 5</v>
      </c>
    </row>
    <row r="50" ht="15.75" customHeight="1">
      <c r="A50" s="41" t="s">
        <v>2747</v>
      </c>
      <c r="B50" s="42" t="s">
        <v>2917</v>
      </c>
      <c r="C50" s="43" t="s">
        <v>2918</v>
      </c>
      <c r="D50" s="44" t="s">
        <v>2919</v>
      </c>
      <c r="E50" s="44" t="s">
        <v>2920</v>
      </c>
      <c r="F50" s="45">
        <v>0.105</v>
      </c>
      <c r="G50" s="50" t="str">
        <f>IFERROR(VLOOKUP("DLIVE-DM48",STOCK!B2:Q3656,3,FALSE),"SIN STOCK")</f>
        <v>SIN STOCK</v>
      </c>
    </row>
    <row r="51" ht="15.75" customHeight="1">
      <c r="A51" s="47" t="s">
        <v>2747</v>
      </c>
      <c r="B51" s="48" t="s">
        <v>2921</v>
      </c>
      <c r="C51" s="49" t="s">
        <v>2922</v>
      </c>
      <c r="D51" s="37" t="s">
        <v>2923</v>
      </c>
      <c r="E51" s="37" t="s">
        <v>2924</v>
      </c>
      <c r="F51" s="152">
        <v>0.105</v>
      </c>
      <c r="G51" s="50" t="str">
        <f>IFERROR(VLOOKUP("DLIVE-DM64",STOCK!B2:Q3656,3,FALSE),"SIN STOCK")</f>
        <v>SIN STOCK</v>
      </c>
    </row>
    <row r="52" ht="15.75" customHeight="1">
      <c r="A52" s="41" t="s">
        <v>2747</v>
      </c>
      <c r="B52" s="42" t="s">
        <v>2925</v>
      </c>
      <c r="C52" s="43" t="s">
        <v>2926</v>
      </c>
      <c r="D52" s="44" t="s">
        <v>2927</v>
      </c>
      <c r="E52" s="44" t="s">
        <v>2928</v>
      </c>
      <c r="F52" s="45">
        <v>0.105</v>
      </c>
      <c r="G52" s="50" t="str">
        <f>IFERROR(VLOOKUP("DLIVE-DM0",STOCK!B2:Q3656,3,FALSE),"SIN STOCK")</f>
        <v>SIN STOCK</v>
      </c>
    </row>
    <row r="53" ht="15.75" customHeight="1">
      <c r="A53" s="47" t="s">
        <v>2747</v>
      </c>
      <c r="B53" s="48" t="s">
        <v>2929</v>
      </c>
      <c r="C53" s="49" t="s">
        <v>2930</v>
      </c>
      <c r="D53" s="37" t="s">
        <v>2931</v>
      </c>
      <c r="E53" s="37" t="s">
        <v>2932</v>
      </c>
      <c r="F53" s="152">
        <v>0.105</v>
      </c>
      <c r="G53" s="53" t="str">
        <f>IFERROR(VLOOKUP("DLIVE-DX32",STOCK!B2:Q3656,3,FALSE),"SIN STOCK")</f>
        <v>Menor a 5</v>
      </c>
    </row>
    <row r="54" ht="15.75" customHeight="1">
      <c r="A54" s="29" t="s">
        <v>2933</v>
      </c>
      <c r="C54" s="32"/>
      <c r="D54" s="55"/>
      <c r="E54" s="153"/>
      <c r="F54" s="32"/>
      <c r="G54" s="32"/>
    </row>
    <row r="55" ht="15.75" customHeight="1">
      <c r="A55" s="41" t="s">
        <v>2747</v>
      </c>
      <c r="B55" s="41" t="s">
        <v>2934</v>
      </c>
      <c r="C55" s="43" t="s">
        <v>2935</v>
      </c>
      <c r="D55" s="44" t="s">
        <v>2936</v>
      </c>
      <c r="E55" s="44" t="s">
        <v>2937</v>
      </c>
      <c r="F55" s="149">
        <v>0.21</v>
      </c>
      <c r="G55" s="53" t="str">
        <f>IFERROR(VLOOKUP("MPS16",STOCK!B2:Q3656,3,FALSE),"SIN STOCK")</f>
        <v>Menor a 5</v>
      </c>
    </row>
    <row r="56" ht="15.75" customHeight="1">
      <c r="A56" s="47" t="s">
        <v>2747</v>
      </c>
      <c r="B56" s="48" t="s">
        <v>2938</v>
      </c>
      <c r="C56" s="49" t="s">
        <v>2939</v>
      </c>
      <c r="D56" s="37" t="s">
        <v>2940</v>
      </c>
      <c r="E56" s="37" t="s">
        <v>2941</v>
      </c>
      <c r="F56" s="154">
        <v>0.21</v>
      </c>
      <c r="G56" s="50" t="str">
        <f>IFERROR(VLOOKUP("IP1-BK-EU",STOCK!B2:Q3656,3,FALSE),"SIN STOCK")</f>
        <v>SIN STOCK</v>
      </c>
    </row>
    <row r="57" ht="15.75" customHeight="1">
      <c r="A57" s="41" t="s">
        <v>2747</v>
      </c>
      <c r="B57" s="42" t="s">
        <v>2942</v>
      </c>
      <c r="C57" s="43" t="s">
        <v>2943</v>
      </c>
      <c r="D57" s="44" t="s">
        <v>2940</v>
      </c>
      <c r="E57" s="44" t="s">
        <v>2941</v>
      </c>
      <c r="F57" s="149">
        <v>0.21</v>
      </c>
      <c r="G57" s="50" t="str">
        <f>IFERROR(VLOOKUP("IP1-WH-EU",STOCK!B2:Q3656,3,FALSE),"SIN STOCK")</f>
        <v>SIN STOCK</v>
      </c>
    </row>
    <row r="58" ht="15.75" customHeight="1">
      <c r="A58" s="47" t="s">
        <v>2747</v>
      </c>
      <c r="B58" s="47" t="s">
        <v>2944</v>
      </c>
      <c r="C58" s="49" t="s">
        <v>2945</v>
      </c>
      <c r="D58" s="37" t="s">
        <v>2946</v>
      </c>
      <c r="E58" s="37" t="s">
        <v>2947</v>
      </c>
      <c r="F58" s="152">
        <v>0.105</v>
      </c>
      <c r="G58" s="53" t="str">
        <f>IFERROR(VLOOKUP("IP4-BK",STOCK!B2:Q3656,3,FALSE),"SIN STOCK")</f>
        <v>Menor a 5</v>
      </c>
    </row>
    <row r="59" ht="15.75" customHeight="1">
      <c r="A59" s="41" t="s">
        <v>2747</v>
      </c>
      <c r="B59" s="42" t="s">
        <v>2948</v>
      </c>
      <c r="C59" s="43" t="s">
        <v>2949</v>
      </c>
      <c r="D59" s="44" t="s">
        <v>2950</v>
      </c>
      <c r="E59" s="44" t="s">
        <v>2951</v>
      </c>
      <c r="F59" s="45">
        <v>0.105</v>
      </c>
      <c r="G59" s="53" t="str">
        <f>IFERROR(VLOOKUP("IP6",STOCK!B2:Q3656,3,FALSE),"SIN STOCK")</f>
        <v>Menor a 5</v>
      </c>
    </row>
    <row r="60" ht="15.75" customHeight="1">
      <c r="A60" s="47" t="s">
        <v>2747</v>
      </c>
      <c r="B60" s="48" t="s">
        <v>2952</v>
      </c>
      <c r="C60" s="49" t="s">
        <v>2953</v>
      </c>
      <c r="D60" s="37" t="s">
        <v>2954</v>
      </c>
      <c r="E60" s="37" t="s">
        <v>2955</v>
      </c>
      <c r="F60" s="152">
        <v>0.21</v>
      </c>
      <c r="G60" s="53" t="str">
        <f>IFERROR(VLOOKUP("IP8",STOCK!B2:Q3656,3,FALSE),"SIN STOCK")</f>
        <v>Mayor a 5</v>
      </c>
    </row>
    <row r="61" ht="15.75" customHeight="1">
      <c r="A61" s="41" t="s">
        <v>2747</v>
      </c>
      <c r="B61" s="42" t="s">
        <v>2956</v>
      </c>
      <c r="C61" s="43" t="s">
        <v>2957</v>
      </c>
      <c r="D61" s="44" t="s">
        <v>2958</v>
      </c>
      <c r="E61" s="44" t="s">
        <v>2959</v>
      </c>
      <c r="F61" s="45">
        <v>0.105</v>
      </c>
      <c r="G61" s="53" t="str">
        <f>IFERROR(VLOOKUP("DX-HUB",STOCK!B2:Q3656,3,FALSE),"SIN STOCK")</f>
        <v>Menor a 5</v>
      </c>
    </row>
    <row r="62" ht="15.75" customHeight="1">
      <c r="A62" s="47" t="s">
        <v>2747</v>
      </c>
      <c r="B62" s="48" t="s">
        <v>2960</v>
      </c>
      <c r="C62" s="49" t="s">
        <v>2961</v>
      </c>
      <c r="D62" s="37" t="s">
        <v>2962</v>
      </c>
      <c r="E62" s="37" t="s">
        <v>2963</v>
      </c>
      <c r="F62" s="152">
        <v>0.105</v>
      </c>
      <c r="G62" s="53" t="str">
        <f>IFERROR(VLOOKUP("GPIO/X",STOCK!B2:Q3656,3,FALSE),"SIN STOCK")</f>
        <v>Menor a 5</v>
      </c>
    </row>
    <row r="63" ht="15.75" customHeight="1">
      <c r="A63" s="41" t="s">
        <v>2747</v>
      </c>
      <c r="B63" s="71" t="s">
        <v>2964</v>
      </c>
      <c r="C63" s="43" t="s">
        <v>2965</v>
      </c>
      <c r="D63" s="44" t="s">
        <v>2966</v>
      </c>
      <c r="E63" s="44" t="s">
        <v>2967</v>
      </c>
      <c r="F63" s="45">
        <v>0.21</v>
      </c>
      <c r="G63" s="50" t="str">
        <f>IFERROR(VLOOKUP("M-DX32-INPR-AX",STOCK!B2:Q3656,3,FALSE),"SIN STOCK")</f>
        <v>SIN STOCK</v>
      </c>
    </row>
    <row r="64" ht="15.75" customHeight="1">
      <c r="A64" s="47" t="s">
        <v>2747</v>
      </c>
      <c r="B64" s="70" t="s">
        <v>2968</v>
      </c>
      <c r="C64" s="49" t="s">
        <v>2969</v>
      </c>
      <c r="D64" s="37" t="s">
        <v>2970</v>
      </c>
      <c r="E64" s="37" t="s">
        <v>2971</v>
      </c>
      <c r="F64" s="152">
        <v>0.21</v>
      </c>
      <c r="G64" s="50" t="str">
        <f>IFERROR(VLOOKUP("M-DX32-OUTPR-AX",STOCK!B2:Q3656,3,FALSE),"SIN STOCK")</f>
        <v>SIN STOCK</v>
      </c>
    </row>
    <row r="65" ht="15.75" customHeight="1">
      <c r="A65" s="41" t="s">
        <v>2747</v>
      </c>
      <c r="B65" s="42" t="s">
        <v>2972</v>
      </c>
      <c r="C65" s="43" t="s">
        <v>2973</v>
      </c>
      <c r="D65" s="44" t="s">
        <v>2974</v>
      </c>
      <c r="E65" s="44" t="s">
        <v>2975</v>
      </c>
      <c r="F65" s="45">
        <v>0.105</v>
      </c>
      <c r="G65" s="50" t="str">
        <f>IFERROR(VLOOKUP("M-DL-DANT64-AX",STOCK!B2:Q3656,3,FALSE),"SIN STOCK")</f>
        <v>SIN STOCK</v>
      </c>
    </row>
    <row r="66" ht="15.75" customHeight="1">
      <c r="A66" s="47" t="s">
        <v>2747</v>
      </c>
      <c r="B66" s="48" t="s">
        <v>2976</v>
      </c>
      <c r="C66" s="49" t="s">
        <v>2977</v>
      </c>
      <c r="D66" s="37" t="s">
        <v>2978</v>
      </c>
      <c r="E66" s="37" t="s">
        <v>2979</v>
      </c>
      <c r="F66" s="152">
        <v>0.105</v>
      </c>
      <c r="G66" s="53" t="str">
        <f>IFERROR(VLOOKUP("M-DL-DANT128-AX",STOCK!B2:Q3656,3,FALSE),"SIN STOCK")</f>
        <v>Menor a 5</v>
      </c>
    </row>
    <row r="67" ht="15.75" customHeight="1">
      <c r="A67" s="41" t="s">
        <v>2747</v>
      </c>
      <c r="B67" s="42" t="s">
        <v>2980</v>
      </c>
      <c r="C67" s="43" t="s">
        <v>2981</v>
      </c>
      <c r="D67" s="44" t="s">
        <v>2982</v>
      </c>
      <c r="E67" s="44" t="s">
        <v>2983</v>
      </c>
      <c r="F67" s="45">
        <v>0.105</v>
      </c>
      <c r="G67" s="53" t="str">
        <f>IFERROR(VLOOKUP("M-DL-GOPT-AX",STOCK!B2:Q3656,3,FALSE),"SIN STOCK")</f>
        <v>Menor a 5</v>
      </c>
    </row>
    <row r="68" ht="15.75" customHeight="1">
      <c r="A68" s="47" t="s">
        <v>2747</v>
      </c>
      <c r="B68" s="48" t="s">
        <v>2984</v>
      </c>
      <c r="C68" s="49" t="s">
        <v>2985</v>
      </c>
      <c r="D68" s="37" t="s">
        <v>2986</v>
      </c>
      <c r="E68" s="37" t="s">
        <v>2987</v>
      </c>
      <c r="F68" s="152">
        <v>0.105</v>
      </c>
      <c r="G68" s="53" t="str">
        <f>IFERROR(VLOOKUP("M-DL-SMADI-AX",STOCK!B2:Q3656,3,FALSE),"SIN STOCK")</f>
        <v>Menor a 5</v>
      </c>
    </row>
    <row r="69" ht="15.75" customHeight="1">
      <c r="A69" s="41" t="s">
        <v>2747</v>
      </c>
      <c r="B69" s="42" t="s">
        <v>2988</v>
      </c>
      <c r="C69" s="43" t="s">
        <v>2989</v>
      </c>
      <c r="D69" s="44" t="s">
        <v>2990</v>
      </c>
      <c r="E69" s="44" t="s">
        <v>2991</v>
      </c>
      <c r="F69" s="45">
        <v>0.105</v>
      </c>
      <c r="G69" s="39" t="str">
        <f>IFERROR(VLOOKUP("M-DL-DXLINK-A",STOCK!B2:Q3656,3,FALSE),"SIN STOCK")</f>
        <v>Mayor a 5</v>
      </c>
    </row>
    <row r="70" ht="15.75" customHeight="1">
      <c r="A70" s="47" t="s">
        <v>2747</v>
      </c>
      <c r="B70" s="48" t="s">
        <v>2992</v>
      </c>
      <c r="C70" s="49" t="s">
        <v>2993</v>
      </c>
      <c r="D70" s="37" t="s">
        <v>2994</v>
      </c>
      <c r="E70" s="37" t="s">
        <v>2995</v>
      </c>
      <c r="F70" s="152">
        <v>0.105</v>
      </c>
      <c r="G70" s="39" t="str">
        <f>IFERROR(VLOOKUP("M-DL-ADAPT-AX",STOCK!B2:Q3656,3,FALSE),"SIN STOCK")</f>
        <v>Mayor a 5</v>
      </c>
    </row>
    <row r="71" ht="15.75" customHeight="1">
      <c r="A71" s="41" t="s">
        <v>2747</v>
      </c>
      <c r="B71" s="41" t="s">
        <v>2996</v>
      </c>
      <c r="C71" s="43" t="s">
        <v>2997</v>
      </c>
      <c r="D71" s="44" t="s">
        <v>2998</v>
      </c>
      <c r="E71" s="44" t="s">
        <v>2999</v>
      </c>
      <c r="F71" s="45">
        <v>0.105</v>
      </c>
      <c r="G71" s="50" t="str">
        <f>IFERROR(VLOOKUP("M-DL-AIN-AX",STOCK!B2:Q3656,3,FALSE),"SIN STOCK")</f>
        <v>SIN STOCK</v>
      </c>
    </row>
    <row r="72" ht="15.75" customHeight="1">
      <c r="A72" s="47" t="s">
        <v>2747</v>
      </c>
      <c r="B72" s="47" t="s">
        <v>3000</v>
      </c>
      <c r="C72" s="49" t="s">
        <v>3001</v>
      </c>
      <c r="D72" s="37" t="s">
        <v>3002</v>
      </c>
      <c r="E72" s="37" t="s">
        <v>3003</v>
      </c>
      <c r="F72" s="152">
        <v>0.105</v>
      </c>
      <c r="G72" s="50" t="str">
        <f>IFERROR(VLOOKUP("M-DL-AOUT-AX",STOCK!B2:Q3656,3,FALSE),"SIN STOCK")</f>
        <v>SIN STOCK</v>
      </c>
    </row>
    <row r="73" ht="15.75" customHeight="1">
      <c r="A73" s="41" t="s">
        <v>2747</v>
      </c>
      <c r="B73" s="41" t="s">
        <v>3004</v>
      </c>
      <c r="C73" s="43" t="s">
        <v>3005</v>
      </c>
      <c r="D73" s="44" t="s">
        <v>3006</v>
      </c>
      <c r="E73" s="44" t="s">
        <v>2095</v>
      </c>
      <c r="F73" s="45">
        <v>0.105</v>
      </c>
      <c r="G73" s="50" t="str">
        <f>IFERROR(VLOOKUP("M-DL-DIN-AX",STOCK!B2:Q3656,3,FALSE),"SIN STOCK")</f>
        <v>SIN STOCK</v>
      </c>
    </row>
    <row r="74" ht="15.75" customHeight="1">
      <c r="A74" s="47" t="s">
        <v>2747</v>
      </c>
      <c r="B74" s="70" t="s">
        <v>3007</v>
      </c>
      <c r="C74" s="49" t="s">
        <v>3008</v>
      </c>
      <c r="D74" s="37" t="s">
        <v>3006</v>
      </c>
      <c r="E74" s="37" t="s">
        <v>2095</v>
      </c>
      <c r="F74" s="152">
        <v>0.105</v>
      </c>
      <c r="G74" s="50" t="str">
        <f>IFERROR(VLOOKUP("M-DL-DOUT-AX",STOCK!B2:Q3656,3,FALSE),"SIN STOCK")</f>
        <v>SIN STOCK</v>
      </c>
    </row>
    <row r="75" ht="15.75" customHeight="1">
      <c r="A75" s="41" t="s">
        <v>2747</v>
      </c>
      <c r="B75" s="42" t="s">
        <v>3009</v>
      </c>
      <c r="C75" s="43" t="s">
        <v>3010</v>
      </c>
      <c r="D75" s="44" t="s">
        <v>3011</v>
      </c>
      <c r="E75" s="44" t="s">
        <v>3012</v>
      </c>
      <c r="F75" s="45">
        <v>0.105</v>
      </c>
      <c r="G75" s="53" t="str">
        <f>IFERROR(VLOOKUP("M-DL-GACE-AX",STOCK!B2:Q3656,3,FALSE),"SIN STOCK")</f>
        <v>Menor a 5</v>
      </c>
    </row>
    <row r="76" ht="15.75" customHeight="1">
      <c r="A76" s="47" t="s">
        <v>2747</v>
      </c>
      <c r="B76" s="48" t="s">
        <v>3013</v>
      </c>
      <c r="C76" s="49" t="s">
        <v>3014</v>
      </c>
      <c r="D76" s="37" t="s">
        <v>3015</v>
      </c>
      <c r="E76" s="37" t="s">
        <v>3016</v>
      </c>
      <c r="F76" s="152">
        <v>0.105</v>
      </c>
      <c r="G76" s="50" t="str">
        <f>IFERROR(VLOOKUP("M-DL-WAVES3-AX",STOCK!B2:Q3656,3,FALSE),"SIN STOCK")</f>
        <v>SIN STOCK</v>
      </c>
    </row>
    <row r="77" ht="15.75" customHeight="1">
      <c r="A77" s="41" t="s">
        <v>2747</v>
      </c>
      <c r="B77" s="71" t="s">
        <v>3017</v>
      </c>
      <c r="C77" s="43" t="s">
        <v>3018</v>
      </c>
      <c r="D77" s="44" t="s">
        <v>2095</v>
      </c>
      <c r="E77" s="44" t="s">
        <v>2095</v>
      </c>
      <c r="F77" s="45">
        <v>0.105</v>
      </c>
      <c r="G77" s="50" t="str">
        <f>IFERROR(VLOOKUP("FULLU-RK19X",STOCK!B2:Q3656,3,FALSE),"SIN STOCK")</f>
        <v>SIN STOCK</v>
      </c>
    </row>
    <row r="78" ht="15.75" customHeight="1">
      <c r="A78" s="47" t="s">
        <v>2747</v>
      </c>
      <c r="B78" s="70" t="s">
        <v>3019</v>
      </c>
      <c r="C78" s="49" t="s">
        <v>3020</v>
      </c>
      <c r="D78" s="37" t="s">
        <v>2095</v>
      </c>
      <c r="E78" s="37" t="s">
        <v>2095</v>
      </c>
      <c r="F78" s="152">
        <v>0.105</v>
      </c>
      <c r="G78" s="50" t="str">
        <f>IFERROR(VLOOKUP("DL-DLC15-RK19X",STOCK!B2:Q3656,3,FALSE),"SIN STOCK")</f>
        <v>SIN STOCK</v>
      </c>
    </row>
    <row r="79" ht="15.75" customHeight="1">
      <c r="A79" s="41" t="s">
        <v>2747</v>
      </c>
      <c r="B79" s="41" t="s">
        <v>3021</v>
      </c>
      <c r="C79" s="43" t="s">
        <v>3022</v>
      </c>
      <c r="D79" s="44" t="s">
        <v>3023</v>
      </c>
      <c r="E79" s="44" t="s">
        <v>3024</v>
      </c>
      <c r="F79" s="45">
        <v>0.105</v>
      </c>
      <c r="G79" s="39" t="str">
        <f>IFERROR(VLOOKUP("M-DL-ULTRAFX-AX",STOCK!B3:Q3657,3,FALSE),"SIN STOCK")</f>
        <v>Mayor a 5</v>
      </c>
    </row>
    <row r="80" ht="15.75" customHeight="1">
      <c r="A80" s="29" t="s">
        <v>3025</v>
      </c>
      <c r="C80" s="32"/>
      <c r="D80" s="55"/>
      <c r="E80" s="153"/>
      <c r="F80" s="32"/>
      <c r="G80" s="32"/>
    </row>
    <row r="81" ht="15.75" customHeight="1">
      <c r="A81" s="41" t="s">
        <v>2747</v>
      </c>
      <c r="B81" s="42" t="s">
        <v>3026</v>
      </c>
      <c r="C81" s="43" t="s">
        <v>3027</v>
      </c>
      <c r="D81" s="44" t="s">
        <v>3028</v>
      </c>
      <c r="E81" s="44" t="s">
        <v>3029</v>
      </c>
      <c r="F81" s="45">
        <v>0.105</v>
      </c>
      <c r="G81" s="39" t="str">
        <f>IFERROR(VLOOKUP("AHM-16",STOCK!B2:Q3656,3,FALSE),"SIN STOCK")</f>
        <v>Mayor a 5</v>
      </c>
    </row>
    <row r="82" ht="15.75" customHeight="1">
      <c r="A82" s="47" t="s">
        <v>2747</v>
      </c>
      <c r="B82" s="48" t="s">
        <v>3030</v>
      </c>
      <c r="C82" s="49" t="s">
        <v>3031</v>
      </c>
      <c r="D82" s="37" t="s">
        <v>3032</v>
      </c>
      <c r="E82" s="37" t="s">
        <v>3033</v>
      </c>
      <c r="F82" s="152">
        <v>0.105</v>
      </c>
      <c r="G82" s="53" t="str">
        <f>IFERROR(VLOOKUP("AHM-32",STOCK!B2:Q3656,3,FALSE),"SIN STOCK")</f>
        <v>Mayor a 5</v>
      </c>
    </row>
    <row r="83" ht="15.75" customHeight="1">
      <c r="A83" s="41" t="s">
        <v>2747</v>
      </c>
      <c r="B83" s="42" t="s">
        <v>3034</v>
      </c>
      <c r="C83" s="43" t="s">
        <v>3035</v>
      </c>
      <c r="D83" s="44" t="s">
        <v>3036</v>
      </c>
      <c r="E83" s="44" t="s">
        <v>3037</v>
      </c>
      <c r="F83" s="45">
        <v>0.105</v>
      </c>
      <c r="G83" s="53" t="str">
        <f>IFERROR(VLOOKUP("AHM-64",STOCK!B2:Q3656,3,FALSE),"SIN STOCK")</f>
        <v>Mayor a 5</v>
      </c>
    </row>
    <row r="84" ht="15.75" customHeight="1">
      <c r="A84" s="47" t="s">
        <v>2747</v>
      </c>
      <c r="B84" s="48" t="s">
        <v>3038</v>
      </c>
      <c r="C84" s="49" t="s">
        <v>3039</v>
      </c>
      <c r="D84" s="37" t="s">
        <v>3040</v>
      </c>
      <c r="E84" s="37" t="s">
        <v>3041</v>
      </c>
      <c r="F84" s="152">
        <v>0.105</v>
      </c>
      <c r="G84" s="50" t="str">
        <f>IFERROR(VLOOKUP("M-AHM-32-AX",STOCK!B2:Q3656,3,FALSE),"SIN STOCK")</f>
        <v>SIN STOCK</v>
      </c>
    </row>
    <row r="85" ht="15.75" customHeight="1">
      <c r="A85" s="41" t="s">
        <v>2747</v>
      </c>
      <c r="B85" s="42" t="s">
        <v>3042</v>
      </c>
      <c r="C85" s="43" t="s">
        <v>3043</v>
      </c>
      <c r="D85" s="44" t="s">
        <v>3040</v>
      </c>
      <c r="E85" s="44" t="s">
        <v>3041</v>
      </c>
      <c r="F85" s="45">
        <v>0.105</v>
      </c>
      <c r="G85" s="53" t="str">
        <f>IFERROR(VLOOKUP("M-AHM-64-AX",STOCK!B2:Q3656,3,FALSE),"SIN STOCK")</f>
        <v>Menor a 5</v>
      </c>
    </row>
    <row r="86" ht="15.75" customHeight="1">
      <c r="A86" s="47" t="s">
        <v>2747</v>
      </c>
      <c r="B86" s="70" t="s">
        <v>3044</v>
      </c>
      <c r="C86" s="49" t="s">
        <v>3045</v>
      </c>
      <c r="D86" s="37" t="s">
        <v>3046</v>
      </c>
      <c r="E86" s="37" t="s">
        <v>3047</v>
      </c>
      <c r="F86" s="152">
        <v>0.105</v>
      </c>
      <c r="G86" s="50" t="str">
        <f>IFERROR(VLOOKUP("AHM-64-RK/X",STOCK!B2:Q3656,3,FALSE),"SIN STOCK")</f>
        <v>SIN STOCK</v>
      </c>
    </row>
    <row r="87" ht="15.75" customHeight="1">
      <c r="A87" s="29" t="s">
        <v>3048</v>
      </c>
      <c r="C87" s="32"/>
      <c r="D87" s="153"/>
      <c r="E87" s="153"/>
      <c r="F87" s="153"/>
      <c r="G87" s="32"/>
    </row>
    <row r="88" ht="15.75" customHeight="1">
      <c r="A88" s="41" t="s">
        <v>2747</v>
      </c>
      <c r="B88" s="42" t="s">
        <v>3049</v>
      </c>
      <c r="C88" s="43" t="s">
        <v>3050</v>
      </c>
      <c r="D88" s="44" t="s">
        <v>3051</v>
      </c>
      <c r="E88" s="44" t="s">
        <v>3052</v>
      </c>
      <c r="F88" s="149">
        <v>0.21</v>
      </c>
      <c r="G88" s="53" t="str">
        <f>IFERROR(VLOOKUP("CC-7",STOCK!B2:Q3656,3,FALSE),"SIN STOCK")</f>
        <v>Menor a 5</v>
      </c>
    </row>
    <row r="89" ht="15.75" customHeight="1">
      <c r="A89" s="47" t="s">
        <v>2747</v>
      </c>
      <c r="B89" s="48" t="s">
        <v>3053</v>
      </c>
      <c r="C89" s="49" t="s">
        <v>3054</v>
      </c>
      <c r="D89" s="37" t="s">
        <v>3055</v>
      </c>
      <c r="E89" s="37" t="s">
        <v>3056</v>
      </c>
      <c r="F89" s="154">
        <v>0.21</v>
      </c>
      <c r="G89" s="53" t="str">
        <f>IFERROR(VLOOKUP("CC-10",STOCK!B2:Q3656,3,FALSE),"SIN STOCK")</f>
        <v>Menor a 5</v>
      </c>
    </row>
    <row r="90" ht="15.75" customHeight="1">
      <c r="A90" s="41" t="s">
        <v>2747</v>
      </c>
      <c r="B90" s="42" t="s">
        <v>3057</v>
      </c>
      <c r="C90" s="43" t="s">
        <v>3058</v>
      </c>
      <c r="D90" s="44" t="s">
        <v>3059</v>
      </c>
      <c r="E90" s="44" t="s">
        <v>3060</v>
      </c>
      <c r="F90" s="149">
        <v>0.21</v>
      </c>
      <c r="G90" s="53" t="str">
        <f>IFERROR(VLOOKUP("CC-STN",STOCK!B2:Q3656,3,FALSE),"SIN STOCK")</f>
        <v>Menor a 5</v>
      </c>
    </row>
    <row r="91" ht="15.75" customHeight="1">
      <c r="A91" s="47" t="s">
        <v>2747</v>
      </c>
      <c r="B91" s="48" t="s">
        <v>3061</v>
      </c>
      <c r="C91" s="49" t="s">
        <v>3062</v>
      </c>
      <c r="D91" s="37" t="s">
        <v>3063</v>
      </c>
      <c r="E91" s="37" t="s">
        <v>3064</v>
      </c>
      <c r="F91" s="154">
        <v>0.21</v>
      </c>
      <c r="G91" s="53" t="str">
        <f>IFERROR(VLOOKUP("CC-BRK",STOCK!B2:Q3656,3,FALSE),"SIN STOCK")</f>
        <v>Menor a 5</v>
      </c>
    </row>
    <row r="92" ht="15.75" customHeight="1">
      <c r="A92" s="29" t="s">
        <v>3065</v>
      </c>
      <c r="C92" s="32"/>
      <c r="D92" s="55"/>
      <c r="E92" s="153"/>
      <c r="F92" s="32"/>
      <c r="G92" s="32"/>
    </row>
    <row r="93" ht="15.75" customHeight="1">
      <c r="A93" s="41" t="s">
        <v>2747</v>
      </c>
      <c r="B93" s="42" t="s">
        <v>3066</v>
      </c>
      <c r="C93" s="43" t="s">
        <v>3067</v>
      </c>
      <c r="D93" s="44" t="s">
        <v>3068</v>
      </c>
      <c r="E93" s="44" t="s">
        <v>3069</v>
      </c>
      <c r="F93" s="45">
        <v>0.105</v>
      </c>
      <c r="G93" s="53" t="str">
        <f>IFERROR(VLOOKUP("GX4816",STOCK!B2:Q3656,3,FALSE),"SIN STOCK")</f>
        <v>Menor a 5</v>
      </c>
    </row>
    <row r="94" ht="15.75" customHeight="1">
      <c r="A94" s="47" t="s">
        <v>2747</v>
      </c>
      <c r="B94" s="48" t="s">
        <v>3070</v>
      </c>
      <c r="C94" s="49" t="s">
        <v>3071</v>
      </c>
      <c r="D94" s="37" t="s">
        <v>3072</v>
      </c>
      <c r="E94" s="37" t="s">
        <v>3073</v>
      </c>
      <c r="F94" s="152">
        <v>0.105</v>
      </c>
      <c r="G94" s="53" t="str">
        <f>IFERROR(VLOOKUP("DX012",STOCK!B2:Q3656,3,FALSE),"SIN STOCK")</f>
        <v>SIN STOCK</v>
      </c>
    </row>
    <row r="95" ht="15.75" customHeight="1">
      <c r="A95" s="41" t="s">
        <v>2747</v>
      </c>
      <c r="B95" s="42" t="s">
        <v>3074</v>
      </c>
      <c r="C95" s="43" t="s">
        <v>3075</v>
      </c>
      <c r="D95" s="44" t="s">
        <v>3076</v>
      </c>
      <c r="E95" s="44" t="s">
        <v>3077</v>
      </c>
      <c r="F95" s="45">
        <v>0.105</v>
      </c>
      <c r="G95" s="39" t="str">
        <f>IFERROR(VLOOKUP("DX168",STOCK!B2:Q3656,3,FALSE),"SIN STOCK")</f>
        <v>Mayor a 5</v>
      </c>
    </row>
    <row r="96" ht="15.75" customHeight="1">
      <c r="A96" s="47" t="s">
        <v>2747</v>
      </c>
      <c r="B96" s="48" t="s">
        <v>3078</v>
      </c>
      <c r="C96" s="49" t="s">
        <v>3079</v>
      </c>
      <c r="D96" s="37" t="s">
        <v>3080</v>
      </c>
      <c r="E96" s="37" t="s">
        <v>3081</v>
      </c>
      <c r="F96" s="152">
        <v>0.105</v>
      </c>
      <c r="G96" s="53" t="str">
        <f>IFERROR(VLOOKUP("DX164-W",STOCK!B2:Q3656,3,FALSE),"SIN STOCK")</f>
        <v>Menor a 5</v>
      </c>
    </row>
    <row r="97" ht="15.75" customHeight="1">
      <c r="A97" s="41" t="s">
        <v>2747</v>
      </c>
      <c r="B97" s="42" t="s">
        <v>3082</v>
      </c>
      <c r="C97" s="43" t="s">
        <v>3083</v>
      </c>
      <c r="D97" s="44" t="s">
        <v>3084</v>
      </c>
      <c r="E97" s="44" t="s">
        <v>3085</v>
      </c>
      <c r="F97" s="45">
        <v>0.105</v>
      </c>
      <c r="G97" s="53" t="str">
        <f>IFERROR(VLOOKUP("DX88-P",STOCK!B2:Q3656,3,FALSE),"SIN STOCK")</f>
        <v>Menor a 5</v>
      </c>
    </row>
    <row r="98" ht="15.75" customHeight="1">
      <c r="A98" s="47" t="s">
        <v>2747</v>
      </c>
      <c r="B98" s="48" t="s">
        <v>3086</v>
      </c>
      <c r="C98" s="49" t="s">
        <v>3087</v>
      </c>
      <c r="D98" s="37" t="s">
        <v>3088</v>
      </c>
      <c r="E98" s="37" t="s">
        <v>3089</v>
      </c>
      <c r="F98" s="152">
        <v>0.105</v>
      </c>
      <c r="G98" s="50" t="str">
        <f>IFERROR(VLOOKUP("DT168",STOCK!B2:Q3656,3,FALSE),"SIN STOCK")</f>
        <v>SIN STOCK</v>
      </c>
    </row>
    <row r="99" ht="15.75" customHeight="1">
      <c r="A99" s="41" t="s">
        <v>2747</v>
      </c>
      <c r="B99" s="42" t="s">
        <v>3090</v>
      </c>
      <c r="C99" s="43" t="s">
        <v>3091</v>
      </c>
      <c r="D99" s="44" t="s">
        <v>3092</v>
      </c>
      <c r="E99" s="44" t="s">
        <v>3093</v>
      </c>
      <c r="F99" s="45">
        <v>0.105</v>
      </c>
      <c r="G99" s="53" t="str">
        <f>IFERROR(VLOOKUP("DT164-W",STOCK!B2:Q3656,3,FALSE),"SIN STOCK")</f>
        <v>Menor a 5</v>
      </c>
    </row>
    <row r="100" ht="15.75" customHeight="1">
      <c r="A100" s="47" t="s">
        <v>2747</v>
      </c>
      <c r="B100" s="48" t="s">
        <v>3094</v>
      </c>
      <c r="C100" s="49" t="s">
        <v>3095</v>
      </c>
      <c r="D100" s="37" t="s">
        <v>3096</v>
      </c>
      <c r="E100" s="37" t="s">
        <v>3097</v>
      </c>
      <c r="F100" s="152">
        <v>0.105</v>
      </c>
      <c r="G100" s="39" t="str">
        <f>IFERROR(VLOOKUP("AR0804",STOCK!B2:Q3656,3,FALSE),"SIN STOCK")</f>
        <v>Mayor a 5</v>
      </c>
    </row>
    <row r="101" ht="15.75" customHeight="1">
      <c r="A101" s="41" t="s">
        <v>2747</v>
      </c>
      <c r="B101" s="42" t="s">
        <v>3098</v>
      </c>
      <c r="C101" s="43" t="s">
        <v>3099</v>
      </c>
      <c r="D101" s="44" t="s">
        <v>3100</v>
      </c>
      <c r="E101" s="44" t="s">
        <v>3101</v>
      </c>
      <c r="F101" s="45">
        <v>0.105</v>
      </c>
      <c r="G101" s="53" t="str">
        <f>IFERROR(VLOOKUP("AR2412",STOCK!B2:Q3656,3,FALSE),"SIN STOCK")</f>
        <v>Mayor a 5</v>
      </c>
    </row>
    <row r="102" ht="15.75" customHeight="1">
      <c r="A102" s="47" t="s">
        <v>2747</v>
      </c>
      <c r="B102" s="48" t="s">
        <v>3102</v>
      </c>
      <c r="C102" s="49" t="s">
        <v>3103</v>
      </c>
      <c r="D102" s="37" t="s">
        <v>3104</v>
      </c>
      <c r="E102" s="37" t="s">
        <v>3105</v>
      </c>
      <c r="F102" s="152">
        <v>0.105</v>
      </c>
      <c r="G102" s="39" t="str">
        <f>IFERROR(VLOOKUP("AB1608",STOCK!B2:Q3656,3,FALSE),"SIN STOCK")</f>
        <v>Mayor a 5</v>
      </c>
    </row>
    <row r="103" ht="15.75" customHeight="1">
      <c r="A103" s="29" t="s">
        <v>3106</v>
      </c>
      <c r="C103" s="32"/>
      <c r="D103" s="55"/>
      <c r="E103" s="153"/>
      <c r="F103" s="32"/>
      <c r="G103" s="32"/>
    </row>
    <row r="104" ht="15.75" customHeight="1">
      <c r="A104" s="41" t="s">
        <v>2747</v>
      </c>
      <c r="B104" s="42" t="s">
        <v>3107</v>
      </c>
      <c r="C104" s="43" t="s">
        <v>3108</v>
      </c>
      <c r="D104" s="44" t="s">
        <v>3109</v>
      </c>
      <c r="E104" s="44" t="s">
        <v>3110</v>
      </c>
      <c r="F104" s="45">
        <v>0.105</v>
      </c>
      <c r="G104" s="50" t="str">
        <f>IFERROR(VLOOKUP("DT02/X",STOCK!B2:Q3656,3,FALSE),"SIN STOCK")</f>
        <v>SIN STOCK</v>
      </c>
    </row>
    <row r="105" ht="15.75" customHeight="1">
      <c r="A105" s="47" t="s">
        <v>2747</v>
      </c>
      <c r="B105" s="48" t="s">
        <v>3111</v>
      </c>
      <c r="C105" s="49" t="s">
        <v>3112</v>
      </c>
      <c r="D105" s="37" t="s">
        <v>3113</v>
      </c>
      <c r="E105" s="37" t="s">
        <v>3114</v>
      </c>
      <c r="F105" s="152">
        <v>0.105</v>
      </c>
      <c r="G105" s="50" t="str">
        <f>IFERROR(VLOOKUP("DT20/X",STOCK!B2:Q3656,3,FALSE),"SIN STOCK")</f>
        <v>SIN STOCK</v>
      </c>
    </row>
    <row r="106" ht="15.75" customHeight="1">
      <c r="A106" s="41" t="s">
        <v>2747</v>
      </c>
      <c r="B106" s="42" t="s">
        <v>3115</v>
      </c>
      <c r="C106" s="43" t="s">
        <v>3116</v>
      </c>
      <c r="D106" s="44" t="s">
        <v>3117</v>
      </c>
      <c r="E106" s="44" t="s">
        <v>3118</v>
      </c>
      <c r="F106" s="45">
        <v>0.105</v>
      </c>
      <c r="G106" s="50" t="str">
        <f>IFERROR(VLOOKUP("DT22-M/X",STOCK!B2:Q3656,3,FALSE),"SIN STOCK")</f>
        <v>SIN STOCK</v>
      </c>
    </row>
    <row r="107" ht="15.75" customHeight="1">
      <c r="A107" s="47" t="s">
        <v>2747</v>
      </c>
      <c r="B107" s="48" t="s">
        <v>3119</v>
      </c>
      <c r="C107" s="49" t="s">
        <v>3120</v>
      </c>
      <c r="D107" s="37" t="s">
        <v>3121</v>
      </c>
      <c r="E107" s="37" t="s">
        <v>3122</v>
      </c>
      <c r="F107" s="152">
        <v>0.105</v>
      </c>
      <c r="G107" s="50" t="str">
        <f>IFERROR(VLOOKUP("DT02-M/X",STOCK!B2:Q3656,3,FALSE),"SIN STOCK")</f>
        <v>SIN STOCK</v>
      </c>
    </row>
    <row r="108" ht="15.75" customHeight="1">
      <c r="A108" s="41" t="s">
        <v>2747</v>
      </c>
      <c r="B108" s="42" t="s">
        <v>3123</v>
      </c>
      <c r="C108" s="43" t="s">
        <v>3124</v>
      </c>
      <c r="D108" s="44" t="s">
        <v>3125</v>
      </c>
      <c r="E108" s="44" t="s">
        <v>3126</v>
      </c>
      <c r="F108" s="45">
        <v>0.105</v>
      </c>
      <c r="G108" s="50" t="str">
        <f>IFERROR(VLOOKUP("DT20-M/X",STOCK!B2:Q3656,3,FALSE),"SIN STOCK")</f>
        <v>SIN STOCK</v>
      </c>
    </row>
    <row r="109" ht="15.75" customHeight="1">
      <c r="A109" s="47" t="s">
        <v>2747</v>
      </c>
      <c r="B109" s="70" t="s">
        <v>3127</v>
      </c>
      <c r="C109" s="49" t="s">
        <v>3128</v>
      </c>
      <c r="D109" s="37" t="s">
        <v>3129</v>
      </c>
      <c r="E109" s="37" t="s">
        <v>3130</v>
      </c>
      <c r="F109" s="152">
        <v>0.105</v>
      </c>
      <c r="G109" s="50" t="str">
        <f>IFERROR(VLOOKUP("DT-RK19/X",STOCK!B2:Q3656,3,FALSE),"SIN STOCK")</f>
        <v>SIN STOCK</v>
      </c>
    </row>
    <row r="110" ht="15.75" customHeight="1">
      <c r="A110" s="41" t="s">
        <v>2747</v>
      </c>
      <c r="B110" s="71" t="s">
        <v>3131</v>
      </c>
      <c r="C110" s="43" t="s">
        <v>3132</v>
      </c>
      <c r="D110" s="44" t="s">
        <v>3133</v>
      </c>
      <c r="E110" s="44" t="s">
        <v>3134</v>
      </c>
      <c r="F110" s="45">
        <v>0.105</v>
      </c>
      <c r="G110" s="50" t="str">
        <f>IFERROR(VLOOKUP("DT-SMK/X",STOCK!B2:Q3656,3,FALSE),"SIN STOCK")</f>
        <v>SIN STOCK</v>
      </c>
    </row>
    <row r="111" ht="15.75" customHeight="1">
      <c r="A111" s="29" t="s">
        <v>3135</v>
      </c>
      <c r="C111" s="32"/>
      <c r="D111" s="55"/>
      <c r="E111" s="153"/>
      <c r="F111" s="32"/>
      <c r="G111" s="32"/>
    </row>
    <row r="112" ht="15.75" customHeight="1">
      <c r="A112" s="41" t="s">
        <v>2747</v>
      </c>
      <c r="B112" s="42" t="s">
        <v>3136</v>
      </c>
      <c r="C112" s="43" t="s">
        <v>3137</v>
      </c>
      <c r="D112" s="44" t="s">
        <v>3138</v>
      </c>
      <c r="E112" s="44" t="s">
        <v>3139</v>
      </c>
      <c r="F112" s="45">
        <v>0.105</v>
      </c>
      <c r="G112" s="39" t="str">
        <f>IFERROR(VLOOKUP("ME-500/X",STOCK!B2:Q3656,3,FALSE),"SIN STOCK")</f>
        <v>Mayor a 5</v>
      </c>
    </row>
    <row r="113" ht="15.75" customHeight="1">
      <c r="A113" s="47" t="s">
        <v>2747</v>
      </c>
      <c r="B113" s="48" t="s">
        <v>3140</v>
      </c>
      <c r="C113" s="49" t="s">
        <v>3141</v>
      </c>
      <c r="D113" s="37" t="s">
        <v>3142</v>
      </c>
      <c r="E113" s="37" t="s">
        <v>3143</v>
      </c>
      <c r="F113" s="152">
        <v>0.105</v>
      </c>
      <c r="G113" s="39" t="str">
        <f>IFERROR(VLOOKUP("ME-1/X",STOCK!B2:Q3656,3,FALSE),"SIN STOCK")</f>
        <v>Mayor a 5</v>
      </c>
    </row>
    <row r="114" ht="15.75" customHeight="1">
      <c r="A114" s="41" t="s">
        <v>2747</v>
      </c>
      <c r="B114" s="42" t="s">
        <v>3144</v>
      </c>
      <c r="C114" s="43" t="s">
        <v>3145</v>
      </c>
      <c r="D114" s="44" t="s">
        <v>3146</v>
      </c>
      <c r="E114" s="44" t="s">
        <v>3147</v>
      </c>
      <c r="F114" s="45">
        <v>0.105</v>
      </c>
      <c r="G114" s="50" t="str">
        <f>IFERROR(VLOOKUP("ME-U",STOCK!B2:Q3656,3,FALSE),"SIN STOCK")</f>
        <v>SIN STOCK</v>
      </c>
    </row>
    <row r="115" ht="15.75" customHeight="1">
      <c r="A115" s="29" t="s">
        <v>3148</v>
      </c>
      <c r="C115" s="32"/>
      <c r="D115" s="55"/>
      <c r="E115" s="153"/>
      <c r="F115" s="32"/>
      <c r="G115" s="32"/>
    </row>
    <row r="116" ht="15.75" customHeight="1">
      <c r="A116" s="41" t="s">
        <v>2747</v>
      </c>
      <c r="B116" s="42" t="s">
        <v>3149</v>
      </c>
      <c r="C116" s="43" t="s">
        <v>3150</v>
      </c>
      <c r="D116" s="44" t="s">
        <v>3151</v>
      </c>
      <c r="E116" s="44" t="s">
        <v>3152</v>
      </c>
      <c r="F116" s="45">
        <v>0.105</v>
      </c>
      <c r="G116" s="39" t="str">
        <f>IFERROR(VLOOKUP("XONE:922",STOCK!B1:Q3655,3,FALSE),"SIN STOCK")</f>
        <v>Mayor a 5</v>
      </c>
    </row>
    <row r="117" ht="15.75" customHeight="1">
      <c r="A117" s="47" t="s">
        <v>2747</v>
      </c>
      <c r="B117" s="48" t="s">
        <v>3153</v>
      </c>
      <c r="C117" s="49" t="s">
        <v>3154</v>
      </c>
      <c r="D117" s="37" t="s">
        <v>3155</v>
      </c>
      <c r="E117" s="37" t="s">
        <v>3156</v>
      </c>
      <c r="F117" s="152">
        <v>0.105</v>
      </c>
      <c r="G117" s="39" t="str">
        <f>IFERROR(VLOOKUP("XONE:96",STOCK!B2:Q3656,3,FALSE),"SIN STOCK")</f>
        <v>Mayor a 5</v>
      </c>
    </row>
    <row r="118" ht="15.75" customHeight="1">
      <c r="A118" s="41" t="s">
        <v>2747</v>
      </c>
      <c r="B118" s="42" t="s">
        <v>3157</v>
      </c>
      <c r="C118" s="43" t="s">
        <v>3158</v>
      </c>
      <c r="D118" s="44" t="s">
        <v>3159</v>
      </c>
      <c r="E118" s="44" t="s">
        <v>3160</v>
      </c>
      <c r="F118" s="45">
        <v>0.105</v>
      </c>
      <c r="G118" s="39" t="str">
        <f>IFERROR(VLOOKUP("XONE:PX5",STOCK!B2:Q3656,3,FALSE),"SIN STOCK")</f>
        <v>SIN STOCK</v>
      </c>
    </row>
    <row r="119" ht="15.75" customHeight="1">
      <c r="A119" s="47" t="s">
        <v>2747</v>
      </c>
      <c r="B119" s="48" t="s">
        <v>3161</v>
      </c>
      <c r="C119" s="49" t="s">
        <v>3162</v>
      </c>
      <c r="D119" s="37" t="s">
        <v>3163</v>
      </c>
      <c r="E119" s="37" t="s">
        <v>3164</v>
      </c>
      <c r="F119" s="152">
        <v>0.105</v>
      </c>
      <c r="G119" s="39" t="str">
        <f>IFERROR(VLOOKUP("XONE:92",STOCK!B2:Q3656,3,FALSE),"SIN STOCK")</f>
        <v>SIN STOCK</v>
      </c>
    </row>
    <row r="120" ht="15.75" customHeight="1">
      <c r="A120" s="41" t="s">
        <v>2747</v>
      </c>
      <c r="B120" s="42" t="s">
        <v>3165</v>
      </c>
      <c r="C120" s="43" t="s">
        <v>3166</v>
      </c>
      <c r="D120" s="44" t="s">
        <v>3167</v>
      </c>
      <c r="E120" s="44" t="s">
        <v>3168</v>
      </c>
      <c r="F120" s="45">
        <v>0.105</v>
      </c>
      <c r="G120" s="39" t="str">
        <f>IFERROR(VLOOKUP("XONE:43",STOCK!B2:Q3656,3,FALSE),"SIN STOCK")</f>
        <v>Menor a 5</v>
      </c>
    </row>
    <row r="121" ht="15.75" customHeight="1">
      <c r="A121" s="47" t="s">
        <v>2747</v>
      </c>
      <c r="B121" s="48" t="s">
        <v>3169</v>
      </c>
      <c r="C121" s="49" t="s">
        <v>3170</v>
      </c>
      <c r="D121" s="37" t="s">
        <v>3171</v>
      </c>
      <c r="E121" s="37" t="s">
        <v>3172</v>
      </c>
      <c r="F121" s="152">
        <v>0.105</v>
      </c>
      <c r="G121" s="39" t="str">
        <f>IFERROR(VLOOKUP("XONE:23",STOCK!B2:Q3656,3,FALSE),"SIN STOCK")</f>
        <v>SIN STOCK</v>
      </c>
    </row>
    <row r="122" ht="15.75" customHeight="1">
      <c r="A122" s="41" t="s">
        <v>2747</v>
      </c>
      <c r="B122" s="42" t="s">
        <v>3173</v>
      </c>
      <c r="C122" s="43" t="s">
        <v>3174</v>
      </c>
      <c r="D122" s="44" t="s">
        <v>3175</v>
      </c>
      <c r="E122" s="44" t="s">
        <v>3176</v>
      </c>
      <c r="F122" s="45">
        <v>0.105</v>
      </c>
      <c r="G122" s="39" t="str">
        <f>IFERROR(VLOOKUP("XONE:23C",STOCK!B2:Q3656,3,FALSE),"SIN STOCK")</f>
        <v>SIN STOCK</v>
      </c>
    </row>
    <row r="123" ht="15.75" customHeight="1">
      <c r="A123" s="47" t="s">
        <v>2747</v>
      </c>
      <c r="B123" s="48" t="s">
        <v>3177</v>
      </c>
      <c r="C123" s="35" t="s">
        <v>3178</v>
      </c>
      <c r="D123" s="37" t="s">
        <v>3179</v>
      </c>
      <c r="E123" s="37" t="s">
        <v>3180</v>
      </c>
      <c r="F123" s="152">
        <v>0.105</v>
      </c>
      <c r="G123" s="39" t="str">
        <f>IFERROR(VLOOKUP("XONE:K2",STOCK!B2:Q3656,3,FALSE),"SIN STOCK")</f>
        <v>Mayor a 5</v>
      </c>
    </row>
    <row r="124" ht="15.75" customHeight="1">
      <c r="A124" s="41" t="s">
        <v>2747</v>
      </c>
      <c r="B124" s="42" t="s">
        <v>3181</v>
      </c>
      <c r="C124" s="43"/>
      <c r="D124" s="44" t="s">
        <v>3182</v>
      </c>
      <c r="E124" s="44" t="s">
        <v>3183</v>
      </c>
      <c r="F124" s="45">
        <v>0.105</v>
      </c>
      <c r="G124" s="39" t="str">
        <f>IFERROR(VLOOKUP("MODEL1",STOCK!B2:Q3656,3,FALSE),"SIN STOCK")</f>
        <v>Menor a 5</v>
      </c>
    </row>
    <row r="125" ht="15.75" customHeight="1">
      <c r="A125" s="47" t="s">
        <v>2747</v>
      </c>
      <c r="B125" s="56" t="s">
        <v>3184</v>
      </c>
      <c r="C125" s="49"/>
      <c r="D125" s="37" t="s">
        <v>3185</v>
      </c>
      <c r="E125" s="37" t="s">
        <v>3186</v>
      </c>
      <c r="F125" s="152">
        <v>0.105</v>
      </c>
      <c r="G125" s="39" t="str">
        <f>IFERROR(VLOOKUP("MODEL1.4",STOCK!B2:Q3656,3,FALSE),"SIN STOCK")</f>
        <v>Mayor a 5</v>
      </c>
    </row>
    <row r="126" ht="15.75" customHeight="1">
      <c r="A126" s="29" t="s">
        <v>3187</v>
      </c>
      <c r="C126" s="32"/>
      <c r="D126" s="153"/>
      <c r="E126" s="153"/>
      <c r="F126" s="153"/>
      <c r="G126" s="32"/>
    </row>
    <row r="127" ht="15.75" customHeight="1">
      <c r="A127" s="41" t="s">
        <v>2747</v>
      </c>
      <c r="B127" s="42" t="s">
        <v>3188</v>
      </c>
      <c r="C127" s="43" t="s">
        <v>3189</v>
      </c>
      <c r="D127" s="44" t="s">
        <v>3190</v>
      </c>
      <c r="E127" s="44" t="s">
        <v>3191</v>
      </c>
      <c r="F127" s="45">
        <v>0.105</v>
      </c>
      <c r="G127" s="50" t="str">
        <f>IFERROR(VLOOKUP("ZED6",STOCK!B2:Q3656,3,FALSE),"SIN STOCK")</f>
        <v>SIN STOCK</v>
      </c>
    </row>
    <row r="128" ht="15.75" hidden="1" customHeight="1">
      <c r="A128" s="47" t="s">
        <v>2747</v>
      </c>
      <c r="B128" s="48" t="s">
        <v>3192</v>
      </c>
      <c r="C128" s="49" t="s">
        <v>3193</v>
      </c>
      <c r="D128" s="37" t="s">
        <v>3194</v>
      </c>
      <c r="E128" s="37" t="s">
        <v>3195</v>
      </c>
      <c r="F128" s="152">
        <v>0.105</v>
      </c>
      <c r="G128" s="50" t="str">
        <f>IFERROR(VLOOKUP("ZED6FX",STOCK!B2:Q3656,3,FALSE),"SIN STOCK")</f>
        <v>SIN STOCK</v>
      </c>
    </row>
    <row r="129" ht="15.75" customHeight="1">
      <c r="A129" s="29" t="s">
        <v>3196</v>
      </c>
      <c r="C129" s="32"/>
      <c r="D129" s="153"/>
      <c r="E129" s="153"/>
      <c r="F129" s="32"/>
      <c r="G129" s="32"/>
    </row>
    <row r="130" ht="15.75" customHeight="1">
      <c r="A130" s="41" t="s">
        <v>2747</v>
      </c>
      <c r="B130" s="42" t="s">
        <v>3197</v>
      </c>
      <c r="C130" s="43" t="s">
        <v>3198</v>
      </c>
      <c r="D130" s="44" t="s">
        <v>3194</v>
      </c>
      <c r="E130" s="44" t="s">
        <v>3195</v>
      </c>
      <c r="F130" s="45">
        <v>0.105</v>
      </c>
      <c r="G130" s="53" t="str">
        <f>IFERROR(VLOOKUP("ZEDI8",STOCK!B2:Q3656,3,FALSE),"SIN STOCK")</f>
        <v>Menor a 5</v>
      </c>
    </row>
    <row r="131" ht="15.75" customHeight="1">
      <c r="A131" s="47" t="s">
        <v>2747</v>
      </c>
      <c r="B131" s="48" t="s">
        <v>3199</v>
      </c>
      <c r="C131" s="49" t="s">
        <v>3200</v>
      </c>
      <c r="D131" s="37" t="s">
        <v>3201</v>
      </c>
      <c r="E131" s="37" t="s">
        <v>3202</v>
      </c>
      <c r="F131" s="152">
        <v>0.105</v>
      </c>
      <c r="G131" s="53" t="str">
        <f>IFERROR(VLOOKUP("ZEDI10",STOCK!B2:Q3656,3,FALSE),"SIN STOCK")</f>
        <v>SIN STOCK</v>
      </c>
    </row>
    <row r="132" ht="15.75" customHeight="1">
      <c r="A132" s="41" t="s">
        <v>2747</v>
      </c>
      <c r="B132" s="42" t="s">
        <v>3203</v>
      </c>
      <c r="C132" s="43" t="s">
        <v>3204</v>
      </c>
      <c r="D132" s="44" t="s">
        <v>3205</v>
      </c>
      <c r="E132" s="44" t="s">
        <v>3206</v>
      </c>
      <c r="F132" s="45">
        <v>0.105</v>
      </c>
      <c r="G132" s="50" t="str">
        <f>IFERROR(VLOOKUP("ZEDI10FX",STOCK!B2:Q3656,3,FALSE),"SIN STOCK")</f>
        <v>SIN STOCK</v>
      </c>
    </row>
    <row r="133" ht="15.75" customHeight="1">
      <c r="A133" s="29" t="s">
        <v>3207</v>
      </c>
      <c r="C133" s="32"/>
      <c r="D133" s="55"/>
      <c r="E133" s="153"/>
      <c r="F133" s="32"/>
      <c r="G133" s="32"/>
    </row>
    <row r="134" ht="15.75" customHeight="1">
      <c r="A134" s="41" t="s">
        <v>2747</v>
      </c>
      <c r="B134" s="42" t="s">
        <v>3208</v>
      </c>
      <c r="C134" s="43" t="s">
        <v>3209</v>
      </c>
      <c r="D134" s="44" t="s">
        <v>3210</v>
      </c>
      <c r="E134" s="44" t="s">
        <v>3211</v>
      </c>
      <c r="F134" s="45">
        <v>0.105</v>
      </c>
      <c r="G134" s="50" t="str">
        <f>IFERROR(VLOOKUP("ZED10FX",STOCK!B2:Q3656,3,FALSE),"SIN STOCK")</f>
        <v>SIN STOCK</v>
      </c>
    </row>
    <row r="135" ht="15.75" customHeight="1">
      <c r="A135" s="47" t="s">
        <v>2747</v>
      </c>
      <c r="B135" s="48" t="s">
        <v>3212</v>
      </c>
      <c r="C135" s="49" t="s">
        <v>3213</v>
      </c>
      <c r="D135" s="37" t="s">
        <v>3214</v>
      </c>
      <c r="E135" s="37" t="s">
        <v>3215</v>
      </c>
      <c r="F135" s="152">
        <v>0.105</v>
      </c>
      <c r="G135" s="39" t="str">
        <f>IFERROR(VLOOKUP("ZED60-10FX",STOCK!B2:Q3656,3,FALSE),"SIN STOCK")</f>
        <v>Mayor a 5</v>
      </c>
    </row>
    <row r="136" ht="15.75" customHeight="1">
      <c r="A136" s="41" t="s">
        <v>2747</v>
      </c>
      <c r="B136" s="42" t="s">
        <v>3216</v>
      </c>
      <c r="C136" s="43" t="s">
        <v>3217</v>
      </c>
      <c r="D136" s="44" t="s">
        <v>3218</v>
      </c>
      <c r="E136" s="44" t="s">
        <v>3219</v>
      </c>
      <c r="F136" s="45">
        <v>0.105</v>
      </c>
      <c r="G136" s="50" t="str">
        <f>IFERROR(VLOOKUP("ZED60-14FX",STOCK!B2:Q3656,3,FALSE),"SIN STOCK")</f>
        <v>SIN STOCK</v>
      </c>
    </row>
    <row r="137" ht="15.75" customHeight="1">
      <c r="A137" s="47" t="s">
        <v>2747</v>
      </c>
      <c r="B137" s="64" t="s">
        <v>3220</v>
      </c>
      <c r="C137" s="49" t="s">
        <v>3221</v>
      </c>
      <c r="D137" s="37" t="s">
        <v>3222</v>
      </c>
      <c r="E137" s="37" t="s">
        <v>3223</v>
      </c>
      <c r="F137" s="152">
        <v>0.105</v>
      </c>
      <c r="G137" s="39" t="str">
        <f>IFERROR(VLOOKUP("ZED12FX",STOCK!B2:Q3656,3,FALSE),"SIN STOCK")</f>
        <v>Mayor a 5</v>
      </c>
    </row>
    <row r="138" ht="15.75" customHeight="1">
      <c r="A138" s="41" t="s">
        <v>2747</v>
      </c>
      <c r="B138" s="42" t="s">
        <v>3224</v>
      </c>
      <c r="C138" s="43" t="s">
        <v>3225</v>
      </c>
      <c r="D138" s="44" t="s">
        <v>3226</v>
      </c>
      <c r="E138" s="44" t="s">
        <v>3227</v>
      </c>
      <c r="F138" s="45">
        <v>0.105</v>
      </c>
      <c r="G138" s="53" t="str">
        <f>IFERROR(VLOOKUP("ZED16FX",STOCK!B2:Q3656,3,FALSE),"SIN STOCK")</f>
        <v>Menor a 5</v>
      </c>
    </row>
    <row r="139" ht="15.75" customHeight="1">
      <c r="A139" s="47" t="s">
        <v>2747</v>
      </c>
      <c r="B139" s="64" t="s">
        <v>3228</v>
      </c>
      <c r="C139" s="49" t="s">
        <v>3229</v>
      </c>
      <c r="D139" s="37" t="s">
        <v>3230</v>
      </c>
      <c r="E139" s="37" t="s">
        <v>3231</v>
      </c>
      <c r="F139" s="152">
        <v>0.105</v>
      </c>
      <c r="G139" s="50" t="str">
        <f>IFERROR(VLOOKUP("ZED22FX",STOCK!B2:Q3656,3,FALSE),"SIN STOCK")</f>
        <v>Menor a 5</v>
      </c>
    </row>
    <row r="140" ht="15.75" customHeight="1">
      <c r="A140" s="29" t="s">
        <v>3232</v>
      </c>
      <c r="C140" s="32"/>
      <c r="D140" s="153"/>
      <c r="E140" s="153"/>
      <c r="F140" s="32"/>
      <c r="G140" s="32"/>
    </row>
    <row r="141" ht="15.75" customHeight="1">
      <c r="A141" s="41" t="s">
        <v>2747</v>
      </c>
      <c r="B141" s="42" t="s">
        <v>3233</v>
      </c>
      <c r="C141" s="43" t="s">
        <v>3234</v>
      </c>
      <c r="D141" s="44" t="s">
        <v>3235</v>
      </c>
      <c r="E141" s="44" t="s">
        <v>3236</v>
      </c>
      <c r="F141" s="45">
        <v>0.105</v>
      </c>
      <c r="G141" s="39" t="str">
        <f>IFERROR(VLOOKUP("ZED1002",STOCK!B2:Q3656,3,FALSE),"SIN STOCK")</f>
        <v>SIN STOCK</v>
      </c>
    </row>
    <row r="142" ht="15.75" customHeight="1">
      <c r="A142" s="47" t="s">
        <v>2747</v>
      </c>
      <c r="B142" s="48" t="s">
        <v>3237</v>
      </c>
      <c r="C142" s="49" t="s">
        <v>3238</v>
      </c>
      <c r="D142" s="37" t="s">
        <v>3239</v>
      </c>
      <c r="E142" s="37" t="s">
        <v>3240</v>
      </c>
      <c r="F142" s="152">
        <v>0.105</v>
      </c>
      <c r="G142" s="39" t="str">
        <f>IFERROR(VLOOKUP("ZED1402",STOCK!B2:Q3656,3,FALSE),"SIN STOCK")</f>
        <v>Mayor a 5</v>
      </c>
    </row>
    <row r="143" ht="15.75" customHeight="1">
      <c r="A143" s="41" t="s">
        <v>2747</v>
      </c>
      <c r="B143" s="42" t="s">
        <v>3241</v>
      </c>
      <c r="C143" s="43" t="s">
        <v>3242</v>
      </c>
      <c r="D143" s="44" t="s">
        <v>3243</v>
      </c>
      <c r="E143" s="44" t="s">
        <v>3244</v>
      </c>
      <c r="F143" s="45">
        <v>0.105</v>
      </c>
      <c r="G143" s="39" t="str">
        <f>IFERROR(VLOOKUP("ZED1802",STOCK!B2:Q3656,3,FALSE),"SIN STOCK")</f>
        <v>Mayor a 5</v>
      </c>
    </row>
    <row r="144" ht="15.75" customHeight="1">
      <c r="A144" s="47" t="s">
        <v>2747</v>
      </c>
      <c r="B144" s="48" t="s">
        <v>3245</v>
      </c>
      <c r="C144" s="49" t="s">
        <v>3246</v>
      </c>
      <c r="D144" s="37" t="s">
        <v>3247</v>
      </c>
      <c r="E144" s="37" t="s">
        <v>3248</v>
      </c>
      <c r="F144" s="152">
        <v>0.105</v>
      </c>
      <c r="G144" s="39" t="str">
        <f>IFERROR(VLOOKUP("ZED2402",STOCK!B2:Q3656,3,FALSE),"SIN STOCK")</f>
        <v>Mayor a 5</v>
      </c>
    </row>
    <row r="145" ht="15.75" customHeight="1">
      <c r="A145" s="29" t="s">
        <v>3249</v>
      </c>
      <c r="C145" s="32"/>
      <c r="D145" s="55"/>
      <c r="E145" s="153"/>
      <c r="F145" s="32"/>
      <c r="G145" s="32"/>
    </row>
    <row r="146" ht="15.75" customHeight="1">
      <c r="A146" s="41" t="s">
        <v>2747</v>
      </c>
      <c r="B146" s="42" t="s">
        <v>3250</v>
      </c>
      <c r="C146" s="43" t="s">
        <v>3251</v>
      </c>
      <c r="D146" s="44" t="s">
        <v>3252</v>
      </c>
      <c r="E146" s="44" t="s">
        <v>3253</v>
      </c>
      <c r="F146" s="45">
        <v>0.105</v>
      </c>
      <c r="G146" s="53" t="str">
        <f>IFERROR(VLOOKUP("ZED2042",STOCK!B2:Q3656,3,FALSE),"SIN STOCK")</f>
        <v>SIN STOCK</v>
      </c>
    </row>
    <row r="147" ht="15.75" customHeight="1">
      <c r="A147" s="47" t="s">
        <v>2747</v>
      </c>
      <c r="B147" s="48" t="s">
        <v>3254</v>
      </c>
      <c r="C147" s="49" t="s">
        <v>3255</v>
      </c>
      <c r="D147" s="37" t="s">
        <v>3256</v>
      </c>
      <c r="E147" s="37" t="s">
        <v>3257</v>
      </c>
      <c r="F147" s="152">
        <v>0.105</v>
      </c>
      <c r="G147" s="50" t="str">
        <f>IFERROR(VLOOKUP("ZED2842",STOCK!B2:Q3656,3,FALSE),"SIN STOCK")</f>
        <v>SIN STOCK</v>
      </c>
    </row>
    <row r="148" ht="15.75" customHeight="1">
      <c r="A148" s="41" t="s">
        <v>2747</v>
      </c>
      <c r="B148" s="42" t="s">
        <v>3258</v>
      </c>
      <c r="C148" s="43" t="s">
        <v>3259</v>
      </c>
      <c r="D148" s="44" t="s">
        <v>3260</v>
      </c>
      <c r="E148" s="44" t="s">
        <v>3261</v>
      </c>
      <c r="F148" s="45">
        <v>0.105</v>
      </c>
      <c r="G148" s="53" t="str">
        <f>IFERROR(VLOOKUP("ZED3642",STOCK!B2:Q3656,3,FALSE),"SIN STOCK")</f>
        <v>SIN STOCK</v>
      </c>
    </row>
    <row r="149" ht="15.75" customHeight="1">
      <c r="A149" s="29" t="s">
        <v>3262</v>
      </c>
      <c r="C149" s="32"/>
      <c r="D149" s="55"/>
      <c r="E149" s="153"/>
      <c r="F149" s="32"/>
      <c r="G149" s="32"/>
    </row>
    <row r="150" ht="15.75" customHeight="1">
      <c r="A150" s="47" t="s">
        <v>2747</v>
      </c>
      <c r="B150" s="47" t="s">
        <v>3263</v>
      </c>
      <c r="C150" s="155"/>
      <c r="D150" s="37" t="s">
        <v>3264</v>
      </c>
      <c r="E150" s="37" t="s">
        <v>3265</v>
      </c>
      <c r="F150" s="152">
        <v>0.105</v>
      </c>
      <c r="G150" s="53" t="str">
        <f>IFERROR(VLOOKUP("XB-10",STOCK!B2:Q3656,3,FALSE),"SIN STOCK")</f>
        <v>Menor a 5</v>
      </c>
    </row>
    <row r="151" ht="15.75" customHeight="1">
      <c r="A151" s="41" t="s">
        <v>2747</v>
      </c>
      <c r="B151" s="42" t="s">
        <v>3266</v>
      </c>
      <c r="C151" s="43" t="s">
        <v>3267</v>
      </c>
      <c r="D151" s="44" t="s">
        <v>3268</v>
      </c>
      <c r="E151" s="44" t="s">
        <v>3269</v>
      </c>
      <c r="F151" s="45">
        <v>0.105</v>
      </c>
      <c r="G151" s="39" t="str">
        <f>IFERROR(VLOOKUP("XB2-14",STOCK!B2:Q3656,3,FALSE),"SIN STOCK")</f>
        <v>Mayor a 5</v>
      </c>
    </row>
    <row r="152" ht="15.75" customHeight="1">
      <c r="A152" s="29" t="s">
        <v>3270</v>
      </c>
      <c r="C152" s="32"/>
      <c r="D152" s="55"/>
      <c r="E152" s="153"/>
      <c r="F152" s="32"/>
      <c r="G152" s="32"/>
    </row>
    <row r="153" ht="15.75" customHeight="1">
      <c r="A153" s="41" t="s">
        <v>2747</v>
      </c>
      <c r="B153" s="41" t="s">
        <v>3271</v>
      </c>
      <c r="C153" s="156"/>
      <c r="D153" s="44" t="s">
        <v>3272</v>
      </c>
      <c r="E153" s="44" t="s">
        <v>3273</v>
      </c>
      <c r="F153" s="45">
        <v>0.21</v>
      </c>
      <c r="G153" s="157"/>
    </row>
    <row r="154" ht="15.75" customHeight="1">
      <c r="A154" s="47" t="s">
        <v>2747</v>
      </c>
      <c r="B154" s="47" t="s">
        <v>3274</v>
      </c>
      <c r="C154" s="155"/>
      <c r="D154" s="37" t="s">
        <v>3275</v>
      </c>
      <c r="E154" s="37" t="s">
        <v>3276</v>
      </c>
      <c r="F154" s="152">
        <v>0.21</v>
      </c>
      <c r="G154" s="157"/>
    </row>
    <row r="155" ht="15.75" customHeight="1">
      <c r="A155" s="41" t="s">
        <v>2747</v>
      </c>
      <c r="B155" s="41" t="s">
        <v>3277</v>
      </c>
      <c r="C155" s="156"/>
      <c r="D155" s="44" t="s">
        <v>3278</v>
      </c>
      <c r="E155" s="44" t="s">
        <v>3279</v>
      </c>
      <c r="F155" s="45">
        <v>0.21</v>
      </c>
      <c r="G155" s="157"/>
    </row>
    <row r="156" ht="15.75" customHeight="1">
      <c r="A156" s="47" t="s">
        <v>2747</v>
      </c>
      <c r="B156" s="47" t="s">
        <v>3280</v>
      </c>
      <c r="C156" s="155"/>
      <c r="D156" s="37" t="s">
        <v>3281</v>
      </c>
      <c r="E156" s="37" t="s">
        <v>3282</v>
      </c>
      <c r="F156" s="152">
        <v>0.21</v>
      </c>
      <c r="G156" s="157"/>
    </row>
    <row r="157" ht="15.75" customHeight="1">
      <c r="A157" s="41" t="s">
        <v>2747</v>
      </c>
      <c r="B157" s="41" t="s">
        <v>3283</v>
      </c>
      <c r="C157" s="156"/>
      <c r="D157" s="44" t="s">
        <v>3284</v>
      </c>
      <c r="E157" s="44" t="s">
        <v>3285</v>
      </c>
      <c r="F157" s="45">
        <v>0.21</v>
      </c>
      <c r="G157" s="157"/>
    </row>
    <row r="158" ht="15.75" customHeight="1">
      <c r="A158" s="47" t="s">
        <v>2747</v>
      </c>
      <c r="B158" s="47" t="s">
        <v>3286</v>
      </c>
      <c r="C158" s="155"/>
      <c r="D158" s="37" t="s">
        <v>3284</v>
      </c>
      <c r="E158" s="37" t="s">
        <v>3285</v>
      </c>
      <c r="F158" s="152">
        <v>0.21</v>
      </c>
      <c r="G158" s="157"/>
    </row>
    <row r="159" ht="15.75" customHeight="1">
      <c r="A159" s="41" t="s">
        <v>2747</v>
      </c>
      <c r="B159" s="41" t="s">
        <v>3287</v>
      </c>
      <c r="C159" s="156"/>
      <c r="D159" s="44" t="s">
        <v>3288</v>
      </c>
      <c r="E159" s="44" t="s">
        <v>3289</v>
      </c>
      <c r="F159" s="45">
        <v>0.21</v>
      </c>
      <c r="G159" s="157"/>
    </row>
    <row r="160" ht="15.75" customHeight="1">
      <c r="A160" s="47" t="s">
        <v>2747</v>
      </c>
      <c r="B160" s="47" t="s">
        <v>3290</v>
      </c>
      <c r="C160" s="155"/>
      <c r="D160" s="37" t="s">
        <v>3291</v>
      </c>
      <c r="E160" s="37" t="s">
        <v>3292</v>
      </c>
      <c r="F160" s="152">
        <v>0.21</v>
      </c>
      <c r="G160" s="157"/>
    </row>
    <row r="161" ht="15.75" customHeight="1">
      <c r="A161" s="156"/>
      <c r="B161" s="156"/>
      <c r="C161" s="156"/>
      <c r="D161" s="158"/>
      <c r="E161" s="158"/>
      <c r="F161" s="159"/>
      <c r="G161" s="157"/>
    </row>
    <row r="162" ht="15.75" customHeight="1">
      <c r="A162" s="156"/>
      <c r="B162" s="156"/>
      <c r="C162" s="156"/>
      <c r="D162" s="158"/>
      <c r="E162" s="158"/>
      <c r="F162" s="159"/>
      <c r="G162" s="157"/>
    </row>
    <row r="163" ht="15.75" customHeight="1">
      <c r="A163" s="156"/>
      <c r="B163" s="156"/>
      <c r="C163" s="156"/>
      <c r="D163" s="158"/>
      <c r="E163" s="158"/>
      <c r="F163" s="159"/>
      <c r="G163" s="157"/>
    </row>
    <row r="164" ht="15.75" customHeight="1">
      <c r="A164" s="156"/>
      <c r="B164" s="156"/>
      <c r="C164" s="156"/>
      <c r="D164" s="158"/>
      <c r="E164" s="158"/>
      <c r="F164" s="159"/>
      <c r="G164" s="157"/>
    </row>
    <row r="165" ht="15.75" customHeight="1">
      <c r="A165" s="156"/>
      <c r="B165" s="156"/>
      <c r="C165" s="156"/>
      <c r="D165" s="158"/>
      <c r="E165" s="158"/>
      <c r="F165" s="159"/>
      <c r="G165" s="157"/>
    </row>
    <row r="166" ht="15.75" customHeight="1">
      <c r="A166" s="156"/>
      <c r="B166" s="156"/>
      <c r="C166" s="156"/>
      <c r="D166" s="158"/>
      <c r="E166" s="158"/>
      <c r="F166" s="159"/>
      <c r="G166" s="157"/>
    </row>
    <row r="167" ht="15.75" customHeight="1">
      <c r="A167" s="156"/>
      <c r="B167" s="156"/>
      <c r="C167" s="156"/>
      <c r="D167" s="158"/>
      <c r="E167" s="158"/>
      <c r="F167" s="159"/>
      <c r="G167" s="157"/>
    </row>
    <row r="168" ht="15.75" customHeight="1">
      <c r="A168" s="156"/>
      <c r="B168" s="156"/>
      <c r="C168" s="156"/>
      <c r="D168" s="158"/>
      <c r="E168" s="158"/>
      <c r="F168" s="159"/>
      <c r="G168" s="157"/>
    </row>
    <row r="169" ht="15.75" customHeight="1">
      <c r="A169" s="156"/>
      <c r="B169" s="156"/>
      <c r="C169" s="156"/>
      <c r="D169" s="158"/>
      <c r="E169" s="158"/>
      <c r="F169" s="159"/>
      <c r="G169" s="157"/>
    </row>
    <row r="170" ht="15.75" customHeight="1">
      <c r="A170" s="156"/>
      <c r="B170" s="156"/>
      <c r="C170" s="156"/>
      <c r="D170" s="158"/>
      <c r="E170" s="158"/>
      <c r="F170" s="159"/>
      <c r="G170" s="157"/>
    </row>
    <row r="171" ht="15.75" customHeight="1">
      <c r="A171" s="156"/>
      <c r="B171" s="156"/>
      <c r="C171" s="156"/>
      <c r="D171" s="158"/>
      <c r="E171" s="158"/>
      <c r="F171" s="159"/>
      <c r="G171" s="157"/>
    </row>
    <row r="172" ht="15.75" customHeight="1">
      <c r="A172" s="156"/>
      <c r="B172" s="156"/>
      <c r="C172" s="156"/>
      <c r="D172" s="158"/>
      <c r="E172" s="158"/>
      <c r="F172" s="159"/>
      <c r="G172" s="157"/>
    </row>
    <row r="173" ht="15.75" customHeight="1">
      <c r="A173" s="156"/>
      <c r="B173" s="156"/>
      <c r="C173" s="156"/>
      <c r="D173" s="158"/>
      <c r="E173" s="158"/>
      <c r="F173" s="159"/>
      <c r="G173" s="157"/>
    </row>
    <row r="174" ht="15.75" customHeight="1">
      <c r="A174" s="156"/>
      <c r="B174" s="156"/>
      <c r="C174" s="156"/>
      <c r="D174" s="158"/>
      <c r="E174" s="158"/>
      <c r="F174" s="159"/>
      <c r="G174" s="157"/>
    </row>
    <row r="175" ht="15.75" customHeight="1">
      <c r="A175" s="156"/>
      <c r="B175" s="156"/>
      <c r="C175" s="156"/>
      <c r="D175" s="158"/>
      <c r="E175" s="158"/>
      <c r="F175" s="159"/>
      <c r="G175" s="157"/>
    </row>
    <row r="176" ht="15.75" customHeight="1">
      <c r="A176" s="156"/>
      <c r="B176" s="156"/>
      <c r="C176" s="156"/>
      <c r="D176" s="158"/>
      <c r="E176" s="158"/>
      <c r="F176" s="159"/>
      <c r="G176" s="157"/>
    </row>
    <row r="177" ht="15.75" customHeight="1">
      <c r="A177" s="156"/>
      <c r="B177" s="156"/>
      <c r="C177" s="156"/>
      <c r="D177" s="158"/>
      <c r="E177" s="158"/>
      <c r="F177" s="159"/>
      <c r="G177" s="157"/>
    </row>
    <row r="178" ht="15.75" customHeight="1">
      <c r="A178" s="156"/>
      <c r="B178" s="156"/>
      <c r="C178" s="156"/>
      <c r="D178" s="158"/>
      <c r="E178" s="158"/>
      <c r="F178" s="159"/>
      <c r="G178" s="157"/>
    </row>
    <row r="179" ht="15.75" customHeight="1">
      <c r="A179" s="156"/>
      <c r="B179" s="156"/>
      <c r="C179" s="156"/>
      <c r="D179" s="158"/>
      <c r="E179" s="158"/>
      <c r="F179" s="159"/>
      <c r="G179" s="157"/>
    </row>
    <row r="180" ht="15.75" customHeight="1">
      <c r="A180" s="156"/>
      <c r="B180" s="156"/>
      <c r="C180" s="156"/>
      <c r="D180" s="158"/>
      <c r="E180" s="158"/>
      <c r="F180" s="159"/>
      <c r="G180" s="157"/>
    </row>
    <row r="181" ht="15.75" customHeight="1">
      <c r="A181" s="156"/>
      <c r="B181" s="156"/>
      <c r="C181" s="156"/>
      <c r="D181" s="158"/>
      <c r="E181" s="158"/>
      <c r="F181" s="159"/>
      <c r="G181" s="157"/>
    </row>
    <row r="182" ht="15.75" customHeight="1">
      <c r="A182" s="156"/>
      <c r="B182" s="156"/>
      <c r="C182" s="156"/>
      <c r="D182" s="158"/>
      <c r="E182" s="158"/>
      <c r="F182" s="159"/>
      <c r="G182" s="157"/>
    </row>
    <row r="183" ht="15.75" customHeight="1">
      <c r="A183" s="156"/>
      <c r="B183" s="156"/>
      <c r="C183" s="156"/>
      <c r="D183" s="158"/>
      <c r="E183" s="158"/>
      <c r="F183" s="159"/>
      <c r="G183" s="157"/>
    </row>
    <row r="184" ht="15.75" customHeight="1">
      <c r="A184" s="156"/>
      <c r="B184" s="156"/>
      <c r="C184" s="156"/>
      <c r="D184" s="158"/>
      <c r="E184" s="158"/>
      <c r="F184" s="159"/>
      <c r="G184" s="157"/>
    </row>
    <row r="185" ht="15.75" customHeight="1">
      <c r="A185" s="156"/>
      <c r="B185" s="156"/>
      <c r="C185" s="156"/>
      <c r="D185" s="158"/>
      <c r="E185" s="158"/>
      <c r="F185" s="159"/>
      <c r="G185" s="157"/>
    </row>
    <row r="186" ht="15.75" customHeight="1">
      <c r="A186" s="156"/>
      <c r="B186" s="156"/>
      <c r="C186" s="156"/>
      <c r="D186" s="158"/>
      <c r="E186" s="158"/>
      <c r="F186" s="159"/>
      <c r="G186" s="157"/>
    </row>
    <row r="187" ht="15.75" customHeight="1">
      <c r="A187" s="156"/>
      <c r="B187" s="156"/>
      <c r="C187" s="156"/>
      <c r="D187" s="158"/>
      <c r="E187" s="158"/>
      <c r="F187" s="159"/>
      <c r="G187" s="157"/>
    </row>
    <row r="188" ht="15.75" customHeight="1">
      <c r="A188" s="156"/>
      <c r="B188" s="156"/>
      <c r="C188" s="156"/>
      <c r="D188" s="158"/>
      <c r="E188" s="158"/>
      <c r="F188" s="159"/>
      <c r="G188" s="157"/>
    </row>
    <row r="189" ht="15.75" customHeight="1">
      <c r="A189" s="156"/>
      <c r="B189" s="156"/>
      <c r="C189" s="156"/>
      <c r="D189" s="158"/>
      <c r="E189" s="158"/>
      <c r="F189" s="159"/>
      <c r="G189" s="157"/>
    </row>
    <row r="190" ht="15.75" customHeight="1">
      <c r="A190" s="156"/>
      <c r="B190" s="156"/>
      <c r="C190" s="156"/>
      <c r="D190" s="158"/>
      <c r="E190" s="158"/>
      <c r="F190" s="159"/>
      <c r="G190" s="157"/>
    </row>
    <row r="191" ht="15.75" customHeight="1">
      <c r="A191" s="156"/>
      <c r="B191" s="156"/>
      <c r="C191" s="156"/>
      <c r="D191" s="158"/>
      <c r="E191" s="158"/>
      <c r="F191" s="159"/>
      <c r="G191" s="157"/>
    </row>
    <row r="192" ht="15.75" customHeight="1">
      <c r="A192" s="156"/>
      <c r="B192" s="156"/>
      <c r="C192" s="156"/>
      <c r="D192" s="158"/>
      <c r="E192" s="158"/>
      <c r="F192" s="159"/>
      <c r="G192" s="157"/>
    </row>
    <row r="193" ht="15.75" customHeight="1">
      <c r="A193" s="156"/>
      <c r="B193" s="156"/>
      <c r="C193" s="156"/>
      <c r="D193" s="158"/>
      <c r="E193" s="158"/>
      <c r="F193" s="159"/>
      <c r="G193" s="157"/>
    </row>
    <row r="194" ht="15.75" customHeight="1">
      <c r="A194" s="156"/>
      <c r="B194" s="156"/>
      <c r="C194" s="156"/>
      <c r="D194" s="158"/>
      <c r="E194" s="158"/>
      <c r="F194" s="159"/>
      <c r="G194" s="157"/>
    </row>
    <row r="195" ht="15.75" customHeight="1">
      <c r="A195" s="156"/>
      <c r="B195" s="156"/>
      <c r="C195" s="156"/>
      <c r="D195" s="158"/>
      <c r="E195" s="158"/>
      <c r="F195" s="159"/>
      <c r="G195" s="157"/>
    </row>
    <row r="196" ht="15.75" customHeight="1">
      <c r="A196" s="156"/>
      <c r="B196" s="156"/>
      <c r="C196" s="156"/>
      <c r="D196" s="158"/>
      <c r="E196" s="158"/>
      <c r="F196" s="159"/>
      <c r="G196" s="157"/>
    </row>
    <row r="197" ht="15.75" customHeight="1">
      <c r="A197" s="156"/>
      <c r="B197" s="156"/>
      <c r="C197" s="156"/>
      <c r="D197" s="158"/>
      <c r="E197" s="158"/>
      <c r="F197" s="159"/>
      <c r="G197" s="157"/>
    </row>
    <row r="198" ht="15.75" customHeight="1">
      <c r="A198" s="156"/>
      <c r="B198" s="156"/>
      <c r="C198" s="156"/>
      <c r="D198" s="158"/>
      <c r="E198" s="158"/>
      <c r="F198" s="159"/>
      <c r="G198" s="157"/>
    </row>
    <row r="199" ht="15.75" customHeight="1">
      <c r="A199" s="156"/>
      <c r="B199" s="156"/>
      <c r="C199" s="156"/>
      <c r="D199" s="158"/>
      <c r="E199" s="158"/>
      <c r="F199" s="159"/>
      <c r="G199" s="157"/>
    </row>
    <row r="200" ht="15.75" customHeight="1">
      <c r="A200" s="156"/>
      <c r="B200" s="156"/>
      <c r="C200" s="156"/>
      <c r="D200" s="158"/>
      <c r="E200" s="158"/>
      <c r="F200" s="159"/>
      <c r="G200" s="157"/>
    </row>
    <row r="201" ht="15.75" customHeight="1">
      <c r="A201" s="156"/>
      <c r="B201" s="156"/>
      <c r="C201" s="156"/>
      <c r="D201" s="158"/>
      <c r="E201" s="158"/>
      <c r="F201" s="159"/>
      <c r="G201" s="157"/>
    </row>
    <row r="202" ht="15.75" customHeight="1">
      <c r="A202" s="156"/>
      <c r="B202" s="156"/>
      <c r="C202" s="156"/>
      <c r="D202" s="158"/>
      <c r="E202" s="158"/>
      <c r="F202" s="159"/>
      <c r="G202" s="157"/>
    </row>
    <row r="203" ht="15.75" customHeight="1">
      <c r="A203" s="156"/>
      <c r="B203" s="156"/>
      <c r="C203" s="156"/>
      <c r="D203" s="158"/>
      <c r="E203" s="158"/>
      <c r="F203" s="159"/>
      <c r="G203" s="157"/>
    </row>
    <row r="204" ht="15.75" customHeight="1">
      <c r="A204" s="156"/>
      <c r="B204" s="156"/>
      <c r="C204" s="156"/>
      <c r="D204" s="158"/>
      <c r="E204" s="158"/>
      <c r="F204" s="159"/>
      <c r="G204" s="157"/>
    </row>
    <row r="205" ht="15.75" customHeight="1">
      <c r="A205" s="156"/>
      <c r="B205" s="156"/>
      <c r="C205" s="156"/>
      <c r="D205" s="158"/>
      <c r="E205" s="158"/>
      <c r="F205" s="159"/>
      <c r="G205" s="157"/>
    </row>
    <row r="206" ht="15.75" customHeight="1">
      <c r="A206" s="156"/>
      <c r="B206" s="156"/>
      <c r="C206" s="156"/>
      <c r="D206" s="158"/>
      <c r="E206" s="158"/>
      <c r="F206" s="159"/>
      <c r="G206" s="157"/>
    </row>
    <row r="207" ht="15.75" customHeight="1">
      <c r="A207" s="156"/>
      <c r="B207" s="156"/>
      <c r="C207" s="156"/>
      <c r="D207" s="158"/>
      <c r="E207" s="158"/>
      <c r="F207" s="159"/>
      <c r="G207" s="157"/>
    </row>
    <row r="208" ht="15.75" customHeight="1">
      <c r="A208" s="156"/>
      <c r="B208" s="156"/>
      <c r="C208" s="156"/>
      <c r="D208" s="158"/>
      <c r="E208" s="158"/>
      <c r="F208" s="159"/>
      <c r="G208" s="157"/>
    </row>
    <row r="209" ht="15.75" customHeight="1">
      <c r="A209" s="156"/>
      <c r="B209" s="156"/>
      <c r="C209" s="156"/>
      <c r="D209" s="158"/>
      <c r="E209" s="158"/>
      <c r="F209" s="159"/>
      <c r="G209" s="157"/>
    </row>
    <row r="210" ht="15.75" customHeight="1">
      <c r="A210" s="156"/>
      <c r="B210" s="156"/>
      <c r="C210" s="156"/>
      <c r="D210" s="158"/>
      <c r="E210" s="158"/>
      <c r="F210" s="159"/>
      <c r="G210" s="157"/>
    </row>
    <row r="211" ht="15.75" customHeight="1">
      <c r="A211" s="156"/>
      <c r="B211" s="156"/>
      <c r="C211" s="156"/>
      <c r="D211" s="158"/>
      <c r="E211" s="158"/>
      <c r="F211" s="159"/>
      <c r="G211" s="157"/>
    </row>
    <row r="212" ht="15.75" customHeight="1">
      <c r="A212" s="156"/>
      <c r="B212" s="156"/>
      <c r="C212" s="156"/>
      <c r="D212" s="158"/>
      <c r="E212" s="158"/>
      <c r="F212" s="159"/>
      <c r="G212" s="157"/>
    </row>
    <row r="213" ht="15.75" customHeight="1">
      <c r="A213" s="156"/>
      <c r="B213" s="156"/>
      <c r="C213" s="156"/>
      <c r="D213" s="158"/>
      <c r="E213" s="158"/>
      <c r="F213" s="159"/>
      <c r="G213" s="157"/>
    </row>
    <row r="214" ht="15.75" customHeight="1">
      <c r="A214" s="156"/>
      <c r="B214" s="156"/>
      <c r="C214" s="156"/>
      <c r="D214" s="158"/>
      <c r="E214" s="158"/>
      <c r="F214" s="159"/>
      <c r="G214" s="157"/>
    </row>
    <row r="215" ht="15.75" customHeight="1">
      <c r="A215" s="156"/>
      <c r="B215" s="156"/>
      <c r="C215" s="156"/>
      <c r="D215" s="158"/>
      <c r="E215" s="158"/>
      <c r="F215" s="159"/>
      <c r="G215" s="157"/>
    </row>
    <row r="216" ht="15.75" customHeight="1">
      <c r="A216" s="156"/>
      <c r="B216" s="156"/>
      <c r="C216" s="156"/>
      <c r="D216" s="158"/>
      <c r="E216" s="158"/>
      <c r="F216" s="159"/>
      <c r="G216" s="157"/>
    </row>
    <row r="217" ht="15.75" customHeight="1">
      <c r="A217" s="156"/>
      <c r="B217" s="156"/>
      <c r="C217" s="156"/>
      <c r="D217" s="158"/>
      <c r="E217" s="158"/>
      <c r="F217" s="159"/>
      <c r="G217" s="157"/>
    </row>
    <row r="218" ht="15.75" customHeight="1">
      <c r="A218" s="156"/>
      <c r="B218" s="156"/>
      <c r="C218" s="156"/>
      <c r="D218" s="158"/>
      <c r="E218" s="158"/>
      <c r="F218" s="159"/>
      <c r="G218" s="157"/>
    </row>
    <row r="219" ht="15.75" customHeight="1">
      <c r="A219" s="156"/>
      <c r="B219" s="156"/>
      <c r="C219" s="156"/>
      <c r="D219" s="158"/>
      <c r="E219" s="158"/>
      <c r="F219" s="159"/>
      <c r="G219" s="157"/>
    </row>
    <row r="220" ht="15.75" customHeight="1">
      <c r="A220" s="156"/>
      <c r="B220" s="156"/>
      <c r="C220" s="156"/>
      <c r="D220" s="158"/>
      <c r="E220" s="158"/>
      <c r="F220" s="159"/>
      <c r="G220" s="157"/>
    </row>
    <row r="221" ht="15.75" customHeight="1">
      <c r="A221" s="156"/>
      <c r="B221" s="156"/>
      <c r="C221" s="156"/>
      <c r="D221" s="158"/>
      <c r="E221" s="158"/>
      <c r="F221" s="159"/>
      <c r="G221" s="157"/>
    </row>
    <row r="222" ht="15.75" customHeight="1">
      <c r="A222" s="156"/>
      <c r="B222" s="156"/>
      <c r="C222" s="156"/>
      <c r="D222" s="158"/>
      <c r="E222" s="158"/>
      <c r="F222" s="159"/>
      <c r="G222" s="157"/>
    </row>
    <row r="223" ht="15.75" customHeight="1">
      <c r="A223" s="156"/>
      <c r="B223" s="156"/>
      <c r="C223" s="156"/>
      <c r="D223" s="158"/>
      <c r="E223" s="158"/>
      <c r="F223" s="159"/>
      <c r="G223" s="157"/>
    </row>
    <row r="224" ht="15.75" customHeight="1">
      <c r="A224" s="156"/>
      <c r="B224" s="156"/>
      <c r="C224" s="156"/>
      <c r="D224" s="158"/>
      <c r="E224" s="158"/>
      <c r="F224" s="159"/>
      <c r="G224" s="157"/>
    </row>
    <row r="225" ht="15.75" customHeight="1">
      <c r="A225" s="156"/>
      <c r="B225" s="156"/>
      <c r="C225" s="156"/>
      <c r="D225" s="158"/>
      <c r="E225" s="158"/>
      <c r="F225" s="159"/>
      <c r="G225" s="157"/>
    </row>
    <row r="226" ht="15.75" customHeight="1">
      <c r="A226" s="156"/>
      <c r="B226" s="156"/>
      <c r="C226" s="156"/>
      <c r="D226" s="158"/>
      <c r="E226" s="158"/>
      <c r="F226" s="159"/>
      <c r="G226" s="157"/>
    </row>
    <row r="227" ht="15.75" customHeight="1">
      <c r="A227" s="156"/>
      <c r="B227" s="156"/>
      <c r="C227" s="156"/>
      <c r="D227" s="158"/>
      <c r="E227" s="158"/>
      <c r="F227" s="159"/>
      <c r="G227" s="157"/>
    </row>
    <row r="228" ht="15.75" customHeight="1">
      <c r="A228" s="156"/>
      <c r="B228" s="156"/>
      <c r="C228" s="156"/>
      <c r="D228" s="158"/>
      <c r="E228" s="158"/>
      <c r="F228" s="159"/>
      <c r="G228" s="157"/>
    </row>
    <row r="229" ht="15.75" customHeight="1">
      <c r="A229" s="156"/>
      <c r="B229" s="156"/>
      <c r="C229" s="156"/>
      <c r="D229" s="158"/>
      <c r="E229" s="158"/>
      <c r="F229" s="159"/>
      <c r="G229" s="157"/>
    </row>
    <row r="230" ht="15.75" customHeight="1">
      <c r="A230" s="156"/>
      <c r="B230" s="156"/>
      <c r="C230" s="156"/>
      <c r="D230" s="158"/>
      <c r="E230" s="158"/>
      <c r="F230" s="159"/>
      <c r="G230" s="157"/>
    </row>
    <row r="231" ht="15.75" customHeight="1">
      <c r="A231" s="156"/>
      <c r="B231" s="156"/>
      <c r="C231" s="156"/>
      <c r="D231" s="158"/>
      <c r="E231" s="158"/>
      <c r="F231" s="159"/>
      <c r="G231" s="157"/>
    </row>
    <row r="232" ht="15.75" customHeight="1">
      <c r="A232" s="156"/>
      <c r="B232" s="156"/>
      <c r="C232" s="156"/>
      <c r="D232" s="158"/>
      <c r="E232" s="158"/>
      <c r="F232" s="159"/>
      <c r="G232" s="157"/>
    </row>
    <row r="233" ht="15.75" customHeight="1">
      <c r="A233" s="156"/>
      <c r="B233" s="156"/>
      <c r="C233" s="156"/>
      <c r="D233" s="158"/>
      <c r="E233" s="158"/>
      <c r="F233" s="159"/>
      <c r="G233" s="157"/>
    </row>
    <row r="234" ht="15.75" customHeight="1">
      <c r="A234" s="156"/>
      <c r="B234" s="156"/>
      <c r="C234" s="156"/>
      <c r="D234" s="158"/>
      <c r="E234" s="158"/>
      <c r="F234" s="159"/>
      <c r="G234" s="157"/>
    </row>
    <row r="235" ht="15.75" customHeight="1">
      <c r="A235" s="156"/>
      <c r="B235" s="156"/>
      <c r="C235" s="156"/>
      <c r="D235" s="158"/>
      <c r="E235" s="158"/>
      <c r="F235" s="159"/>
      <c r="G235" s="157"/>
    </row>
    <row r="236" ht="15.75" customHeight="1">
      <c r="A236" s="156"/>
      <c r="B236" s="156"/>
      <c r="C236" s="156"/>
      <c r="D236" s="158"/>
      <c r="E236" s="158"/>
      <c r="F236" s="159"/>
      <c r="G236" s="157"/>
    </row>
    <row r="237" ht="15.75" customHeight="1">
      <c r="A237" s="156"/>
      <c r="B237" s="156"/>
      <c r="C237" s="156"/>
      <c r="D237" s="158"/>
      <c r="E237" s="158"/>
      <c r="F237" s="159"/>
      <c r="G237" s="157"/>
    </row>
    <row r="238" ht="15.75" customHeight="1">
      <c r="A238" s="156"/>
      <c r="B238" s="156"/>
      <c r="C238" s="156"/>
      <c r="D238" s="158"/>
      <c r="E238" s="158"/>
      <c r="F238" s="159"/>
      <c r="G238" s="157"/>
    </row>
    <row r="239" ht="15.75" customHeight="1">
      <c r="A239" s="156"/>
      <c r="B239" s="156"/>
      <c r="C239" s="156"/>
      <c r="D239" s="158"/>
      <c r="E239" s="158"/>
      <c r="F239" s="159"/>
      <c r="G239" s="157"/>
    </row>
    <row r="240" ht="15.75" customHeight="1">
      <c r="A240" s="156"/>
      <c r="B240" s="156"/>
      <c r="C240" s="156"/>
      <c r="D240" s="158"/>
      <c r="E240" s="158"/>
      <c r="F240" s="159"/>
      <c r="G240" s="157"/>
    </row>
    <row r="241" ht="15.75" customHeight="1">
      <c r="A241" s="156"/>
      <c r="B241" s="156"/>
      <c r="C241" s="156"/>
      <c r="D241" s="158"/>
      <c r="E241" s="158"/>
      <c r="F241" s="159"/>
      <c r="G241" s="157"/>
    </row>
    <row r="242" ht="15.75" customHeight="1">
      <c r="A242" s="156"/>
      <c r="B242" s="156"/>
      <c r="C242" s="156"/>
      <c r="D242" s="158"/>
      <c r="E242" s="158"/>
      <c r="F242" s="159"/>
      <c r="G242" s="157"/>
    </row>
    <row r="243" ht="15.75" customHeight="1">
      <c r="A243" s="156"/>
      <c r="B243" s="156"/>
      <c r="C243" s="156"/>
      <c r="D243" s="158"/>
      <c r="E243" s="158"/>
      <c r="F243" s="159"/>
      <c r="G243" s="157"/>
    </row>
    <row r="244" ht="15.75" customHeight="1">
      <c r="A244" s="156"/>
      <c r="B244" s="156"/>
      <c r="C244" s="156"/>
      <c r="D244" s="158"/>
      <c r="E244" s="158"/>
      <c r="F244" s="159"/>
      <c r="G244" s="157"/>
    </row>
    <row r="245" ht="15.75" customHeight="1">
      <c r="A245" s="156"/>
      <c r="B245" s="156"/>
      <c r="C245" s="156"/>
      <c r="D245" s="158"/>
      <c r="E245" s="158"/>
      <c r="F245" s="159"/>
      <c r="G245" s="157"/>
    </row>
    <row r="246" ht="15.75" customHeight="1">
      <c r="A246" s="156"/>
      <c r="B246" s="156"/>
      <c r="C246" s="156"/>
      <c r="D246" s="158"/>
      <c r="E246" s="158"/>
      <c r="F246" s="159"/>
      <c r="G246" s="157"/>
    </row>
    <row r="247" ht="15.75" customHeight="1">
      <c r="A247" s="156"/>
      <c r="B247" s="156"/>
      <c r="C247" s="156"/>
      <c r="D247" s="158"/>
      <c r="E247" s="158"/>
      <c r="F247" s="159"/>
      <c r="G247" s="157"/>
    </row>
    <row r="248" ht="15.75" customHeight="1">
      <c r="A248" s="156"/>
      <c r="B248" s="156"/>
      <c r="C248" s="156"/>
      <c r="D248" s="158"/>
      <c r="E248" s="158"/>
      <c r="F248" s="159"/>
      <c r="G248" s="157"/>
    </row>
    <row r="249" ht="15.75" customHeight="1">
      <c r="A249" s="156"/>
      <c r="B249" s="156"/>
      <c r="C249" s="156"/>
      <c r="D249" s="158"/>
      <c r="E249" s="158"/>
      <c r="F249" s="159"/>
      <c r="G249" s="157"/>
    </row>
    <row r="250" ht="15.75" customHeight="1">
      <c r="A250" s="156"/>
      <c r="B250" s="156"/>
      <c r="C250" s="156"/>
      <c r="D250" s="158"/>
      <c r="E250" s="158"/>
      <c r="F250" s="159"/>
      <c r="G250" s="157"/>
    </row>
    <row r="251" ht="15.75" customHeight="1">
      <c r="A251" s="156"/>
      <c r="B251" s="156"/>
      <c r="C251" s="156"/>
      <c r="D251" s="158"/>
      <c r="E251" s="158"/>
      <c r="F251" s="159"/>
      <c r="G251" s="157"/>
    </row>
    <row r="252" ht="15.75" customHeight="1">
      <c r="A252" s="156"/>
      <c r="B252" s="156"/>
      <c r="C252" s="156"/>
      <c r="D252" s="158"/>
      <c r="E252" s="158"/>
      <c r="F252" s="159"/>
      <c r="G252" s="157"/>
    </row>
    <row r="253" ht="15.75" customHeight="1">
      <c r="A253" s="156"/>
      <c r="B253" s="156"/>
      <c r="C253" s="156"/>
      <c r="D253" s="158"/>
      <c r="E253" s="158"/>
      <c r="F253" s="159"/>
      <c r="G253" s="157"/>
    </row>
    <row r="254" ht="15.75" customHeight="1">
      <c r="A254" s="156"/>
      <c r="B254" s="156"/>
      <c r="C254" s="156"/>
      <c r="D254" s="158"/>
      <c r="E254" s="158"/>
      <c r="F254" s="159"/>
      <c r="G254" s="157"/>
    </row>
    <row r="255" ht="15.75" customHeight="1">
      <c r="A255" s="156"/>
      <c r="B255" s="156"/>
      <c r="C255" s="156"/>
      <c r="D255" s="158"/>
      <c r="E255" s="158"/>
      <c r="F255" s="159"/>
      <c r="G255" s="157"/>
    </row>
    <row r="256" ht="15.75" customHeight="1">
      <c r="A256" s="156"/>
      <c r="B256" s="156"/>
      <c r="C256" s="156"/>
      <c r="D256" s="158"/>
      <c r="E256" s="158"/>
      <c r="F256" s="159"/>
      <c r="G256" s="157"/>
    </row>
    <row r="257" ht="15.75" customHeight="1">
      <c r="A257" s="156"/>
      <c r="B257" s="156"/>
      <c r="C257" s="156"/>
      <c r="D257" s="158"/>
      <c r="E257" s="158"/>
      <c r="F257" s="159"/>
      <c r="G257" s="157"/>
    </row>
    <row r="258" ht="15.75" customHeight="1">
      <c r="A258" s="156"/>
      <c r="B258" s="156"/>
      <c r="C258" s="156"/>
      <c r="D258" s="158"/>
      <c r="E258" s="158"/>
      <c r="F258" s="159"/>
      <c r="G258" s="157"/>
    </row>
    <row r="259" ht="15.75" customHeight="1">
      <c r="A259" s="156"/>
      <c r="B259" s="156"/>
      <c r="C259" s="156"/>
      <c r="D259" s="158"/>
      <c r="E259" s="158"/>
      <c r="F259" s="159"/>
      <c r="G259" s="157"/>
    </row>
    <row r="260" ht="15.75" customHeight="1">
      <c r="A260" s="156"/>
      <c r="B260" s="156"/>
      <c r="C260" s="156"/>
      <c r="D260" s="158"/>
      <c r="E260" s="158"/>
      <c r="F260" s="159"/>
      <c r="G260" s="157"/>
    </row>
    <row r="261" ht="15.75" customHeight="1">
      <c r="A261" s="156"/>
      <c r="B261" s="156"/>
      <c r="C261" s="156"/>
      <c r="D261" s="158"/>
      <c r="E261" s="158"/>
      <c r="F261" s="159"/>
      <c r="G261" s="157"/>
    </row>
    <row r="262" ht="15.75" customHeight="1">
      <c r="A262" s="156"/>
      <c r="B262" s="156"/>
      <c r="C262" s="156"/>
      <c r="D262" s="158"/>
      <c r="E262" s="158"/>
      <c r="F262" s="159"/>
      <c r="G262" s="157"/>
    </row>
    <row r="263" ht="15.75" customHeight="1">
      <c r="A263" s="156"/>
      <c r="B263" s="156"/>
      <c r="C263" s="156"/>
      <c r="D263" s="158"/>
      <c r="E263" s="158"/>
      <c r="F263" s="159"/>
      <c r="G263" s="157"/>
    </row>
    <row r="264" ht="15.75" customHeight="1">
      <c r="A264" s="156"/>
      <c r="B264" s="156"/>
      <c r="C264" s="156"/>
      <c r="D264" s="158"/>
      <c r="E264" s="158"/>
      <c r="F264" s="159"/>
      <c r="G264" s="157"/>
    </row>
    <row r="265" ht="15.75" customHeight="1">
      <c r="A265" s="156"/>
      <c r="B265" s="156"/>
      <c r="C265" s="156"/>
      <c r="D265" s="158"/>
      <c r="E265" s="158"/>
      <c r="F265" s="159"/>
      <c r="G265" s="157"/>
    </row>
    <row r="266" ht="15.75" customHeight="1">
      <c r="A266" s="156"/>
      <c r="B266" s="156"/>
      <c r="C266" s="156"/>
      <c r="D266" s="158"/>
      <c r="E266" s="158"/>
      <c r="F266" s="159"/>
      <c r="G266" s="157"/>
    </row>
    <row r="267" ht="15.75" customHeight="1">
      <c r="A267" s="156"/>
      <c r="B267" s="156"/>
      <c r="C267" s="156"/>
      <c r="D267" s="158"/>
      <c r="E267" s="158"/>
      <c r="F267" s="159"/>
      <c r="G267" s="157"/>
    </row>
    <row r="268" ht="15.75" customHeight="1">
      <c r="A268" s="156"/>
      <c r="B268" s="156"/>
      <c r="C268" s="156"/>
      <c r="D268" s="158"/>
      <c r="E268" s="158"/>
      <c r="F268" s="159"/>
      <c r="G268" s="157"/>
    </row>
    <row r="269" ht="15.75" customHeight="1">
      <c r="A269" s="156"/>
      <c r="B269" s="156"/>
      <c r="C269" s="156"/>
      <c r="D269" s="158"/>
      <c r="E269" s="158"/>
      <c r="F269" s="159"/>
      <c r="G269" s="157"/>
    </row>
    <row r="270" ht="15.75" customHeight="1">
      <c r="A270" s="156"/>
      <c r="B270" s="156"/>
      <c r="C270" s="156"/>
      <c r="D270" s="158"/>
      <c r="E270" s="158"/>
      <c r="F270" s="159"/>
      <c r="G270" s="157"/>
    </row>
    <row r="271" ht="15.75" customHeight="1">
      <c r="A271" s="156"/>
      <c r="B271" s="156"/>
      <c r="C271" s="156"/>
      <c r="D271" s="158"/>
      <c r="E271" s="158"/>
      <c r="F271" s="159"/>
      <c r="G271" s="157"/>
    </row>
    <row r="272" ht="15.75" customHeight="1">
      <c r="A272" s="156"/>
      <c r="B272" s="156"/>
      <c r="C272" s="156"/>
      <c r="D272" s="158"/>
      <c r="E272" s="158"/>
      <c r="F272" s="159"/>
      <c r="G272" s="157"/>
    </row>
    <row r="273" ht="15.75" customHeight="1">
      <c r="A273" s="156"/>
      <c r="B273" s="156"/>
      <c r="C273" s="156"/>
      <c r="D273" s="158"/>
      <c r="E273" s="158"/>
      <c r="F273" s="159"/>
      <c r="G273" s="157"/>
    </row>
    <row r="274" ht="15.75" customHeight="1">
      <c r="A274" s="156"/>
      <c r="B274" s="156"/>
      <c r="C274" s="156"/>
      <c r="D274" s="158"/>
      <c r="E274" s="158"/>
      <c r="F274" s="159"/>
      <c r="G274" s="157"/>
    </row>
    <row r="275" ht="15.75" customHeight="1">
      <c r="A275" s="156"/>
      <c r="B275" s="156"/>
      <c r="C275" s="156"/>
      <c r="D275" s="158"/>
      <c r="E275" s="158"/>
      <c r="F275" s="159"/>
      <c r="G275" s="157"/>
    </row>
    <row r="276" ht="15.75" customHeight="1">
      <c r="A276" s="156"/>
      <c r="B276" s="156"/>
      <c r="C276" s="156"/>
      <c r="D276" s="158"/>
      <c r="E276" s="158"/>
      <c r="F276" s="159"/>
      <c r="G276" s="157"/>
    </row>
    <row r="277" ht="15.75" customHeight="1">
      <c r="A277" s="156"/>
      <c r="B277" s="156"/>
      <c r="C277" s="156"/>
      <c r="D277" s="158"/>
      <c r="E277" s="158"/>
      <c r="F277" s="159"/>
      <c r="G277" s="157"/>
    </row>
    <row r="278" ht="15.75" customHeight="1">
      <c r="A278" s="156"/>
      <c r="B278" s="156"/>
      <c r="C278" s="156"/>
      <c r="D278" s="158"/>
      <c r="E278" s="158"/>
      <c r="F278" s="159"/>
      <c r="G278" s="157"/>
    </row>
    <row r="279" ht="15.75" customHeight="1">
      <c r="A279" s="156"/>
      <c r="B279" s="156"/>
      <c r="C279" s="156"/>
      <c r="D279" s="158"/>
      <c r="E279" s="158"/>
      <c r="F279" s="159"/>
      <c r="G279" s="157"/>
    </row>
    <row r="280" ht="15.75" customHeight="1">
      <c r="A280" s="156"/>
      <c r="B280" s="156"/>
      <c r="C280" s="156"/>
      <c r="D280" s="158"/>
      <c r="E280" s="158"/>
      <c r="F280" s="159"/>
      <c r="G280" s="157"/>
    </row>
    <row r="281" ht="15.75" customHeight="1">
      <c r="A281" s="156"/>
      <c r="B281" s="156"/>
      <c r="C281" s="156"/>
      <c r="D281" s="158"/>
      <c r="E281" s="158"/>
      <c r="F281" s="159"/>
      <c r="G281" s="157"/>
    </row>
    <row r="282" ht="15.75" customHeight="1">
      <c r="A282" s="156"/>
      <c r="B282" s="156"/>
      <c r="C282" s="156"/>
      <c r="D282" s="158"/>
      <c r="E282" s="158"/>
      <c r="F282" s="159"/>
      <c r="G282" s="157"/>
    </row>
    <row r="283" ht="15.75" customHeight="1">
      <c r="A283" s="156"/>
      <c r="B283" s="156"/>
      <c r="C283" s="156"/>
      <c r="D283" s="158"/>
      <c r="E283" s="158"/>
      <c r="F283" s="159"/>
      <c r="G283" s="157"/>
    </row>
    <row r="284" ht="15.75" customHeight="1">
      <c r="A284" s="156"/>
      <c r="B284" s="156"/>
      <c r="C284" s="156"/>
      <c r="D284" s="158"/>
      <c r="E284" s="158"/>
      <c r="F284" s="159"/>
      <c r="G284" s="157"/>
    </row>
    <row r="285" ht="15.75" customHeight="1">
      <c r="A285" s="156"/>
      <c r="B285" s="156"/>
      <c r="C285" s="156"/>
      <c r="D285" s="158"/>
      <c r="E285" s="158"/>
      <c r="F285" s="159"/>
      <c r="G285" s="157"/>
    </row>
    <row r="286" ht="15.75" customHeight="1">
      <c r="A286" s="156"/>
      <c r="B286" s="156"/>
      <c r="C286" s="156"/>
      <c r="D286" s="158"/>
      <c r="E286" s="158"/>
      <c r="F286" s="159"/>
      <c r="G286" s="157"/>
    </row>
    <row r="287" ht="15.75" customHeight="1">
      <c r="A287" s="156"/>
      <c r="B287" s="156"/>
      <c r="C287" s="156"/>
      <c r="D287" s="158"/>
      <c r="E287" s="158"/>
      <c r="F287" s="159"/>
      <c r="G287" s="157"/>
    </row>
    <row r="288" ht="15.75" customHeight="1">
      <c r="A288" s="156"/>
      <c r="B288" s="156"/>
      <c r="C288" s="156"/>
      <c r="D288" s="158"/>
      <c r="E288" s="158"/>
      <c r="F288" s="159"/>
      <c r="G288" s="157"/>
    </row>
    <row r="289" ht="15.75" customHeight="1">
      <c r="A289" s="156"/>
      <c r="B289" s="156"/>
      <c r="C289" s="156"/>
      <c r="D289" s="158"/>
      <c r="E289" s="158"/>
      <c r="F289" s="159"/>
      <c r="G289" s="157"/>
    </row>
    <row r="290" ht="15.75" customHeight="1">
      <c r="A290" s="156"/>
      <c r="B290" s="156"/>
      <c r="C290" s="156"/>
      <c r="D290" s="158"/>
      <c r="E290" s="158"/>
      <c r="F290" s="159"/>
      <c r="G290" s="157"/>
    </row>
    <row r="291" ht="15.75" customHeight="1">
      <c r="A291" s="156"/>
      <c r="B291" s="156"/>
      <c r="C291" s="156"/>
      <c r="D291" s="158"/>
      <c r="E291" s="158"/>
      <c r="F291" s="159"/>
      <c r="G291" s="157"/>
    </row>
    <row r="292" ht="15.75" customHeight="1">
      <c r="A292" s="156"/>
      <c r="B292" s="156"/>
      <c r="C292" s="156"/>
      <c r="D292" s="158"/>
      <c r="E292" s="158"/>
      <c r="F292" s="159"/>
      <c r="G292" s="157"/>
    </row>
    <row r="293" ht="15.75" customHeight="1">
      <c r="A293" s="156"/>
      <c r="B293" s="156"/>
      <c r="C293" s="156"/>
      <c r="D293" s="158"/>
      <c r="E293" s="158"/>
      <c r="F293" s="159"/>
      <c r="G293" s="157"/>
    </row>
    <row r="294" ht="15.75" customHeight="1">
      <c r="A294" s="156"/>
      <c r="B294" s="156"/>
      <c r="C294" s="156"/>
      <c r="D294" s="158"/>
      <c r="E294" s="158"/>
      <c r="F294" s="159"/>
      <c r="G294" s="157"/>
    </row>
    <row r="295" ht="15.75" customHeight="1">
      <c r="A295" s="156"/>
      <c r="B295" s="156"/>
      <c r="C295" s="156"/>
      <c r="D295" s="158"/>
      <c r="E295" s="158"/>
      <c r="F295" s="159"/>
      <c r="G295" s="157"/>
    </row>
    <row r="296" ht="15.75" customHeight="1">
      <c r="A296" s="156"/>
      <c r="B296" s="156"/>
      <c r="C296" s="156"/>
      <c r="D296" s="158"/>
      <c r="E296" s="158"/>
      <c r="F296" s="159"/>
      <c r="G296" s="157"/>
    </row>
    <row r="297" ht="15.75" customHeight="1">
      <c r="A297" s="156"/>
      <c r="B297" s="156"/>
      <c r="C297" s="156"/>
      <c r="D297" s="158"/>
      <c r="E297" s="158"/>
      <c r="F297" s="159"/>
      <c r="G297" s="157"/>
    </row>
    <row r="298" ht="15.75" customHeight="1">
      <c r="A298" s="156"/>
      <c r="B298" s="156"/>
      <c r="C298" s="156"/>
      <c r="D298" s="158"/>
      <c r="E298" s="158"/>
      <c r="F298" s="159"/>
      <c r="G298" s="157"/>
    </row>
    <row r="299" ht="15.75" customHeight="1">
      <c r="A299" s="156"/>
      <c r="B299" s="156"/>
      <c r="C299" s="156"/>
      <c r="D299" s="158"/>
      <c r="E299" s="158"/>
      <c r="F299" s="159"/>
      <c r="G299" s="157"/>
    </row>
    <row r="300" ht="15.75" customHeight="1">
      <c r="A300" s="156"/>
      <c r="B300" s="156"/>
      <c r="C300" s="156"/>
      <c r="D300" s="158"/>
      <c r="E300" s="158"/>
      <c r="F300" s="159"/>
      <c r="G300" s="157"/>
    </row>
    <row r="301" ht="15.75" customHeight="1">
      <c r="A301" s="156"/>
      <c r="B301" s="156"/>
      <c r="C301" s="156"/>
      <c r="D301" s="158"/>
      <c r="E301" s="158"/>
      <c r="F301" s="159"/>
      <c r="G301" s="157"/>
    </row>
    <row r="302" ht="15.75" customHeight="1">
      <c r="A302" s="156"/>
      <c r="B302" s="156"/>
      <c r="C302" s="156"/>
      <c r="D302" s="158"/>
      <c r="E302" s="158"/>
      <c r="F302" s="159"/>
      <c r="G302" s="157"/>
    </row>
    <row r="303" ht="15.75" customHeight="1">
      <c r="A303" s="156"/>
      <c r="B303" s="156"/>
      <c r="C303" s="156"/>
      <c r="D303" s="158"/>
      <c r="E303" s="158"/>
      <c r="F303" s="159"/>
      <c r="G303" s="157"/>
    </row>
    <row r="304" ht="15.75" customHeight="1">
      <c r="A304" s="156"/>
      <c r="B304" s="156"/>
      <c r="C304" s="156"/>
      <c r="D304" s="158"/>
      <c r="E304" s="158"/>
      <c r="F304" s="159"/>
      <c r="G304" s="157"/>
    </row>
    <row r="305" ht="15.75" customHeight="1">
      <c r="A305" s="156"/>
      <c r="B305" s="156"/>
      <c r="C305" s="156"/>
      <c r="D305" s="158"/>
      <c r="E305" s="158"/>
      <c r="F305" s="159"/>
      <c r="G305" s="157"/>
    </row>
    <row r="306" ht="15.75" customHeight="1">
      <c r="A306" s="156"/>
      <c r="B306" s="156"/>
      <c r="C306" s="156"/>
      <c r="D306" s="158"/>
      <c r="E306" s="158"/>
      <c r="F306" s="159"/>
      <c r="G306" s="157"/>
    </row>
    <row r="307" ht="15.75" customHeight="1">
      <c r="A307" s="156"/>
      <c r="B307" s="156"/>
      <c r="C307" s="156"/>
      <c r="D307" s="158"/>
      <c r="E307" s="158"/>
      <c r="F307" s="159"/>
      <c r="G307" s="157"/>
    </row>
    <row r="308" ht="15.75" customHeight="1">
      <c r="A308" s="156"/>
      <c r="B308" s="156"/>
      <c r="C308" s="156"/>
      <c r="D308" s="158"/>
      <c r="E308" s="158"/>
      <c r="F308" s="159"/>
      <c r="G308" s="157"/>
    </row>
    <row r="309" ht="15.75" customHeight="1">
      <c r="A309" s="156"/>
      <c r="B309" s="156"/>
      <c r="C309" s="156"/>
      <c r="D309" s="158"/>
      <c r="E309" s="158"/>
      <c r="F309" s="159"/>
      <c r="G309" s="157"/>
    </row>
    <row r="310" ht="15.75" customHeight="1">
      <c r="A310" s="156"/>
      <c r="B310" s="156"/>
      <c r="C310" s="156"/>
      <c r="D310" s="158"/>
      <c r="E310" s="158"/>
      <c r="F310" s="159"/>
      <c r="G310" s="157"/>
    </row>
    <row r="311" ht="15.75" customHeight="1">
      <c r="A311" s="156"/>
      <c r="B311" s="156"/>
      <c r="C311" s="156"/>
      <c r="D311" s="158"/>
      <c r="E311" s="158"/>
      <c r="F311" s="159"/>
      <c r="G311" s="157"/>
    </row>
    <row r="312" ht="15.75" customHeight="1">
      <c r="A312" s="156"/>
      <c r="B312" s="156"/>
      <c r="C312" s="156"/>
      <c r="D312" s="158"/>
      <c r="E312" s="158"/>
      <c r="F312" s="159"/>
      <c r="G312" s="157"/>
    </row>
    <row r="313" ht="15.75" customHeight="1">
      <c r="A313" s="156"/>
      <c r="B313" s="156"/>
      <c r="C313" s="156"/>
      <c r="D313" s="158"/>
      <c r="E313" s="158"/>
      <c r="F313" s="159"/>
      <c r="G313" s="157"/>
    </row>
    <row r="314" ht="15.75" customHeight="1">
      <c r="A314" s="156"/>
      <c r="B314" s="156"/>
      <c r="C314" s="156"/>
      <c r="D314" s="158"/>
      <c r="E314" s="158"/>
      <c r="F314" s="159"/>
      <c r="G314" s="157"/>
    </row>
    <row r="315" ht="15.75" customHeight="1">
      <c r="A315" s="156"/>
      <c r="B315" s="156"/>
      <c r="C315" s="156"/>
      <c r="D315" s="158"/>
      <c r="E315" s="158"/>
      <c r="F315" s="159"/>
      <c r="G315" s="157"/>
    </row>
    <row r="316" ht="15.75" customHeight="1">
      <c r="A316" s="156"/>
      <c r="B316" s="156"/>
      <c r="C316" s="156"/>
      <c r="D316" s="158"/>
      <c r="E316" s="158"/>
      <c r="F316" s="159"/>
      <c r="G316" s="157"/>
    </row>
    <row r="317" ht="15.75" customHeight="1">
      <c r="A317" s="156"/>
      <c r="B317" s="156"/>
      <c r="C317" s="156"/>
      <c r="D317" s="158"/>
      <c r="E317" s="158"/>
      <c r="F317" s="159"/>
      <c r="G317" s="157"/>
    </row>
    <row r="318" ht="15.75" customHeight="1">
      <c r="A318" s="156"/>
      <c r="B318" s="156"/>
      <c r="C318" s="156"/>
      <c r="D318" s="158"/>
      <c r="E318" s="158"/>
      <c r="F318" s="159"/>
      <c r="G318" s="157"/>
    </row>
    <row r="319" ht="15.75" customHeight="1">
      <c r="A319" s="156"/>
      <c r="B319" s="156"/>
      <c r="C319" s="156"/>
      <c r="D319" s="158"/>
      <c r="E319" s="158"/>
      <c r="F319" s="159"/>
      <c r="G319" s="157"/>
    </row>
    <row r="320" ht="15.75" customHeight="1">
      <c r="A320" s="156"/>
      <c r="B320" s="156"/>
      <c r="C320" s="156"/>
      <c r="D320" s="158"/>
      <c r="E320" s="158"/>
      <c r="F320" s="159"/>
      <c r="G320" s="157"/>
    </row>
    <row r="321" ht="15.75" customHeight="1">
      <c r="A321" s="156"/>
      <c r="B321" s="156"/>
      <c r="C321" s="156"/>
      <c r="D321" s="158"/>
      <c r="E321" s="158"/>
      <c r="F321" s="159"/>
      <c r="G321" s="157"/>
    </row>
    <row r="322" ht="15.75" customHeight="1">
      <c r="A322" s="156"/>
      <c r="B322" s="156"/>
      <c r="C322" s="156"/>
      <c r="D322" s="158"/>
      <c r="E322" s="158"/>
      <c r="F322" s="159"/>
      <c r="G322" s="157"/>
    </row>
    <row r="323" ht="15.75" customHeight="1">
      <c r="A323" s="156"/>
      <c r="B323" s="156"/>
      <c r="C323" s="156"/>
      <c r="D323" s="158"/>
      <c r="E323" s="158"/>
      <c r="F323" s="159"/>
      <c r="G323" s="157"/>
    </row>
    <row r="324" ht="15.75" customHeight="1">
      <c r="A324" s="156"/>
      <c r="B324" s="156"/>
      <c r="C324" s="156"/>
      <c r="D324" s="158"/>
      <c r="E324" s="158"/>
      <c r="F324" s="159"/>
      <c r="G324" s="157"/>
    </row>
    <row r="325" ht="15.75" customHeight="1">
      <c r="A325" s="156"/>
      <c r="B325" s="156"/>
      <c r="C325" s="156"/>
      <c r="D325" s="158"/>
      <c r="E325" s="158"/>
      <c r="F325" s="159"/>
      <c r="G325" s="157"/>
    </row>
    <row r="326" ht="15.75" customHeight="1">
      <c r="A326" s="156"/>
      <c r="B326" s="156"/>
      <c r="C326" s="156"/>
      <c r="D326" s="158"/>
      <c r="E326" s="158"/>
      <c r="F326" s="159"/>
      <c r="G326" s="157"/>
    </row>
    <row r="327" ht="15.75" customHeight="1">
      <c r="A327" s="156"/>
      <c r="B327" s="156"/>
      <c r="C327" s="156"/>
      <c r="D327" s="158"/>
      <c r="E327" s="158"/>
      <c r="F327" s="159"/>
      <c r="G327" s="157"/>
    </row>
    <row r="328" ht="15.75" customHeight="1">
      <c r="A328" s="156"/>
      <c r="B328" s="156"/>
      <c r="C328" s="156"/>
      <c r="D328" s="158"/>
      <c r="E328" s="158"/>
      <c r="F328" s="159"/>
      <c r="G328" s="157"/>
    </row>
    <row r="329" ht="15.75" customHeight="1">
      <c r="A329" s="156"/>
      <c r="B329" s="156"/>
      <c r="C329" s="156"/>
      <c r="D329" s="158"/>
      <c r="E329" s="158"/>
      <c r="F329" s="159"/>
      <c r="G329" s="157"/>
    </row>
    <row r="330" ht="15.75" customHeight="1">
      <c r="A330" s="156"/>
      <c r="B330" s="156"/>
      <c r="C330" s="156"/>
      <c r="D330" s="158"/>
      <c r="E330" s="158"/>
      <c r="F330" s="159"/>
      <c r="G330" s="157"/>
    </row>
    <row r="331" ht="15.75" customHeight="1">
      <c r="A331" s="156"/>
      <c r="B331" s="156"/>
      <c r="C331" s="156"/>
      <c r="D331" s="158"/>
      <c r="E331" s="158"/>
      <c r="F331" s="159"/>
      <c r="G331" s="157"/>
    </row>
    <row r="332" ht="15.75" customHeight="1">
      <c r="A332" s="156"/>
      <c r="B332" s="156"/>
      <c r="C332" s="156"/>
      <c r="D332" s="158"/>
      <c r="E332" s="158"/>
      <c r="F332" s="159"/>
      <c r="G332" s="157"/>
    </row>
    <row r="333" ht="15.75" customHeight="1">
      <c r="A333" s="156"/>
      <c r="B333" s="156"/>
      <c r="C333" s="156"/>
      <c r="D333" s="158"/>
      <c r="E333" s="158"/>
      <c r="F333" s="159"/>
      <c r="G333" s="157"/>
    </row>
    <row r="334" ht="15.75" customHeight="1">
      <c r="A334" s="156"/>
      <c r="B334" s="156"/>
      <c r="C334" s="156"/>
      <c r="D334" s="158"/>
      <c r="E334" s="158"/>
      <c r="F334" s="159"/>
      <c r="G334" s="157"/>
    </row>
    <row r="335" ht="15.75" customHeight="1">
      <c r="A335" s="156"/>
      <c r="B335" s="156"/>
      <c r="C335" s="156"/>
      <c r="D335" s="158"/>
      <c r="E335" s="158"/>
      <c r="F335" s="159"/>
      <c r="G335" s="157"/>
    </row>
    <row r="336" ht="15.75" customHeight="1">
      <c r="A336" s="156"/>
      <c r="B336" s="156"/>
      <c r="C336" s="156"/>
      <c r="D336" s="158"/>
      <c r="E336" s="158"/>
      <c r="F336" s="159"/>
      <c r="G336" s="157"/>
    </row>
    <row r="337" ht="15.75" customHeight="1">
      <c r="A337" s="156"/>
      <c r="B337" s="156"/>
      <c r="C337" s="156"/>
      <c r="D337" s="158"/>
      <c r="E337" s="158"/>
      <c r="F337" s="159"/>
      <c r="G337" s="157"/>
    </row>
    <row r="338" ht="15.75" customHeight="1">
      <c r="A338" s="156"/>
      <c r="B338" s="156"/>
      <c r="C338" s="156"/>
      <c r="D338" s="158"/>
      <c r="E338" s="158"/>
      <c r="F338" s="159"/>
      <c r="G338" s="157"/>
    </row>
    <row r="339" ht="15.75" customHeight="1">
      <c r="A339" s="156"/>
      <c r="B339" s="156"/>
      <c r="C339" s="156"/>
      <c r="D339" s="158"/>
      <c r="E339" s="158"/>
      <c r="F339" s="159"/>
      <c r="G339" s="157"/>
    </row>
    <row r="340" ht="15.75" customHeight="1">
      <c r="A340" s="156"/>
      <c r="B340" s="156"/>
      <c r="C340" s="156"/>
      <c r="D340" s="158"/>
      <c r="E340" s="158"/>
      <c r="F340" s="159"/>
      <c r="G340" s="157"/>
    </row>
    <row r="341" ht="15.75" customHeight="1">
      <c r="A341" s="156"/>
      <c r="B341" s="156"/>
      <c r="C341" s="156"/>
      <c r="D341" s="158"/>
      <c r="E341" s="158"/>
      <c r="F341" s="159"/>
      <c r="G341" s="157"/>
    </row>
    <row r="342" ht="15.75" customHeight="1">
      <c r="A342" s="156"/>
      <c r="B342" s="156"/>
      <c r="C342" s="156"/>
      <c r="D342" s="158"/>
      <c r="E342" s="158"/>
      <c r="F342" s="159"/>
      <c r="G342" s="157"/>
    </row>
    <row r="343" ht="15.75" customHeight="1">
      <c r="A343" s="156"/>
      <c r="B343" s="156"/>
      <c r="C343" s="156"/>
      <c r="D343" s="158"/>
      <c r="E343" s="158"/>
      <c r="F343" s="159"/>
      <c r="G343" s="157"/>
    </row>
    <row r="344" ht="15.75" customHeight="1">
      <c r="A344" s="156"/>
      <c r="B344" s="156"/>
      <c r="C344" s="156"/>
      <c r="D344" s="158"/>
      <c r="E344" s="158"/>
      <c r="F344" s="159"/>
      <c r="G344" s="157"/>
    </row>
    <row r="345" ht="15.75" customHeight="1">
      <c r="A345" s="156"/>
      <c r="B345" s="156"/>
      <c r="C345" s="156"/>
      <c r="D345" s="158"/>
      <c r="E345" s="158"/>
      <c r="F345" s="159"/>
      <c r="G345" s="157"/>
    </row>
    <row r="346" ht="15.75" customHeight="1">
      <c r="A346" s="156"/>
      <c r="B346" s="156"/>
      <c r="C346" s="156"/>
      <c r="D346" s="158"/>
      <c r="E346" s="158"/>
      <c r="F346" s="159"/>
      <c r="G346" s="157"/>
    </row>
    <row r="347" ht="15.75" customHeight="1">
      <c r="A347" s="156"/>
      <c r="B347" s="156"/>
      <c r="C347" s="156"/>
      <c r="D347" s="158"/>
      <c r="E347" s="158"/>
      <c r="F347" s="159"/>
      <c r="G347" s="157"/>
    </row>
    <row r="348" ht="15.75" customHeight="1">
      <c r="A348" s="156"/>
      <c r="B348" s="156"/>
      <c r="C348" s="156"/>
      <c r="D348" s="158"/>
      <c r="E348" s="158"/>
      <c r="F348" s="159"/>
      <c r="G348" s="157"/>
    </row>
    <row r="349" ht="15.75" customHeight="1">
      <c r="A349" s="156"/>
      <c r="B349" s="156"/>
      <c r="C349" s="156"/>
      <c r="D349" s="158"/>
      <c r="E349" s="158"/>
      <c r="F349" s="159"/>
      <c r="G349" s="157"/>
    </row>
    <row r="350" ht="15.75" customHeight="1">
      <c r="A350" s="156"/>
      <c r="B350" s="156"/>
      <c r="C350" s="156"/>
      <c r="D350" s="158"/>
      <c r="E350" s="158"/>
      <c r="F350" s="159"/>
      <c r="G350" s="157"/>
    </row>
    <row r="351" ht="15.75" customHeight="1">
      <c r="A351" s="156"/>
      <c r="B351" s="156"/>
      <c r="C351" s="156"/>
      <c r="D351" s="158"/>
      <c r="E351" s="158"/>
      <c r="F351" s="159"/>
      <c r="G351" s="157"/>
    </row>
    <row r="352" ht="15.75" customHeight="1">
      <c r="A352" s="156"/>
      <c r="B352" s="156"/>
      <c r="C352" s="156"/>
      <c r="D352" s="158"/>
      <c r="E352" s="158"/>
      <c r="F352" s="159"/>
      <c r="G352" s="157"/>
    </row>
    <row r="353" ht="15.75" customHeight="1">
      <c r="A353" s="156"/>
      <c r="B353" s="156"/>
      <c r="C353" s="156"/>
      <c r="D353" s="158"/>
      <c r="E353" s="158"/>
      <c r="F353" s="159"/>
      <c r="G353" s="157"/>
    </row>
    <row r="354" ht="15.75" customHeight="1">
      <c r="A354" s="156"/>
      <c r="B354" s="156"/>
      <c r="C354" s="156"/>
      <c r="D354" s="158"/>
      <c r="E354" s="158"/>
      <c r="F354" s="159"/>
      <c r="G354" s="157"/>
    </row>
    <row r="355" ht="15.75" customHeight="1">
      <c r="A355" s="156"/>
      <c r="B355" s="156"/>
      <c r="C355" s="156"/>
      <c r="D355" s="158"/>
      <c r="E355" s="158"/>
      <c r="F355" s="159"/>
      <c r="G355" s="157"/>
    </row>
    <row r="356" ht="15.75" customHeight="1">
      <c r="A356" s="156"/>
      <c r="B356" s="156"/>
      <c r="C356" s="156"/>
      <c r="D356" s="158"/>
      <c r="E356" s="158"/>
      <c r="F356" s="159"/>
      <c r="G356" s="157"/>
    </row>
    <row r="357" ht="15.75" customHeight="1">
      <c r="A357" s="156"/>
      <c r="B357" s="156"/>
      <c r="C357" s="156"/>
      <c r="D357" s="158"/>
      <c r="E357" s="158"/>
      <c r="F357" s="159"/>
      <c r="G357" s="157"/>
    </row>
    <row r="358" ht="15.75" customHeight="1">
      <c r="A358" s="156"/>
      <c r="B358" s="156"/>
      <c r="C358" s="156"/>
      <c r="D358" s="158"/>
      <c r="E358" s="158"/>
      <c r="F358" s="159"/>
      <c r="G358" s="157"/>
    </row>
    <row r="359" ht="15.75" customHeight="1">
      <c r="A359" s="156"/>
      <c r="B359" s="156"/>
      <c r="C359" s="156"/>
      <c r="D359" s="158"/>
      <c r="E359" s="158"/>
      <c r="F359" s="159"/>
      <c r="G359" s="157"/>
    </row>
    <row r="360" ht="15.75" customHeight="1">
      <c r="A360" s="156"/>
      <c r="B360" s="156"/>
      <c r="C360" s="156"/>
      <c r="D360" s="158"/>
      <c r="E360" s="158"/>
      <c r="F360" s="159"/>
      <c r="G360" s="157"/>
    </row>
    <row r="361" ht="15.75" customHeight="1">
      <c r="A361" s="156"/>
      <c r="B361" s="156"/>
      <c r="C361" s="156"/>
      <c r="D361" s="158"/>
      <c r="E361" s="158"/>
      <c r="F361" s="159"/>
      <c r="G361" s="157"/>
    </row>
    <row r="362" ht="15.75" customHeight="1">
      <c r="A362" s="156"/>
      <c r="B362" s="156"/>
      <c r="C362" s="156"/>
      <c r="D362" s="158"/>
      <c r="E362" s="158"/>
      <c r="F362" s="159"/>
      <c r="G362" s="157"/>
    </row>
    <row r="363" ht="15.75" customHeight="1">
      <c r="A363" s="156"/>
      <c r="B363" s="156"/>
      <c r="C363" s="156"/>
      <c r="D363" s="158"/>
      <c r="E363" s="158"/>
      <c r="F363" s="159"/>
      <c r="G363" s="157"/>
    </row>
    <row r="364" ht="15.75" customHeight="1">
      <c r="A364" s="156"/>
      <c r="B364" s="156"/>
      <c r="C364" s="156"/>
      <c r="D364" s="158"/>
      <c r="E364" s="158"/>
      <c r="F364" s="159"/>
      <c r="G364" s="157"/>
    </row>
    <row r="365" ht="15.75" customHeight="1">
      <c r="A365" s="156"/>
      <c r="B365" s="156"/>
      <c r="C365" s="156"/>
      <c r="D365" s="158"/>
      <c r="E365" s="158"/>
      <c r="F365" s="159"/>
      <c r="G365" s="157"/>
    </row>
    <row r="366" ht="15.75" customHeight="1">
      <c r="A366" s="156"/>
      <c r="B366" s="156"/>
      <c r="C366" s="156"/>
      <c r="D366" s="158"/>
      <c r="E366" s="158"/>
      <c r="F366" s="159"/>
      <c r="G366" s="157"/>
    </row>
    <row r="367" ht="15.75" customHeight="1">
      <c r="A367" s="156"/>
      <c r="B367" s="156"/>
      <c r="C367" s="156"/>
      <c r="D367" s="158"/>
      <c r="E367" s="158"/>
      <c r="F367" s="159"/>
      <c r="G367" s="157"/>
    </row>
    <row r="368" ht="15.75" customHeight="1">
      <c r="A368" s="156"/>
      <c r="B368" s="156"/>
      <c r="C368" s="156"/>
      <c r="D368" s="158"/>
      <c r="E368" s="158"/>
      <c r="F368" s="159"/>
      <c r="G368" s="157"/>
    </row>
    <row r="369" ht="15.75" customHeight="1">
      <c r="A369" s="156"/>
      <c r="B369" s="156"/>
      <c r="C369" s="156"/>
      <c r="D369" s="158"/>
      <c r="E369" s="158"/>
      <c r="F369" s="159"/>
      <c r="G369" s="157"/>
    </row>
    <row r="370" ht="15.75" customHeight="1">
      <c r="A370" s="156"/>
      <c r="B370" s="156"/>
      <c r="C370" s="156"/>
      <c r="D370" s="158"/>
      <c r="E370" s="158"/>
      <c r="F370" s="159"/>
      <c r="G370" s="157"/>
    </row>
    <row r="371" ht="15.75" customHeight="1">
      <c r="A371" s="156"/>
      <c r="B371" s="156"/>
      <c r="C371" s="156"/>
      <c r="D371" s="158"/>
      <c r="E371" s="158"/>
      <c r="F371" s="159"/>
      <c r="G371" s="157"/>
    </row>
    <row r="372" ht="15.75" customHeight="1">
      <c r="A372" s="156"/>
      <c r="B372" s="156"/>
      <c r="C372" s="156"/>
      <c r="D372" s="158"/>
      <c r="E372" s="158"/>
      <c r="F372" s="159"/>
      <c r="G372" s="157"/>
    </row>
    <row r="373" ht="15.75" customHeight="1">
      <c r="A373" s="156"/>
      <c r="B373" s="156"/>
      <c r="C373" s="156"/>
      <c r="D373" s="158"/>
      <c r="E373" s="158"/>
      <c r="F373" s="159"/>
      <c r="G373" s="157"/>
    </row>
    <row r="374" ht="15.75" customHeight="1">
      <c r="A374" s="156"/>
      <c r="B374" s="156"/>
      <c r="C374" s="156"/>
      <c r="D374" s="158"/>
      <c r="E374" s="158"/>
      <c r="F374" s="159"/>
      <c r="G374" s="157"/>
    </row>
    <row r="375" ht="15.75" customHeight="1">
      <c r="A375" s="156"/>
      <c r="B375" s="156"/>
      <c r="C375" s="156"/>
      <c r="D375" s="158"/>
      <c r="E375" s="158"/>
      <c r="F375" s="159"/>
      <c r="G375" s="157"/>
    </row>
    <row r="376" ht="15.75" customHeight="1">
      <c r="A376" s="156"/>
      <c r="B376" s="156"/>
      <c r="C376" s="156"/>
      <c r="D376" s="158"/>
      <c r="E376" s="158"/>
      <c r="F376" s="159"/>
      <c r="G376" s="157"/>
    </row>
    <row r="377" ht="15.75" customHeight="1">
      <c r="A377" s="156"/>
      <c r="B377" s="156"/>
      <c r="C377" s="156"/>
      <c r="D377" s="158"/>
      <c r="E377" s="158"/>
      <c r="F377" s="159"/>
      <c r="G377" s="157"/>
    </row>
    <row r="378" ht="15.75" customHeight="1">
      <c r="A378" s="156"/>
      <c r="B378" s="156"/>
      <c r="C378" s="156"/>
      <c r="D378" s="158"/>
      <c r="E378" s="158"/>
      <c r="F378" s="159"/>
      <c r="G378" s="157"/>
    </row>
    <row r="379" ht="15.75" customHeight="1">
      <c r="A379" s="156"/>
      <c r="B379" s="156"/>
      <c r="C379" s="156"/>
      <c r="D379" s="158"/>
      <c r="E379" s="158"/>
      <c r="F379" s="159"/>
      <c r="G379" s="157"/>
    </row>
    <row r="380" ht="15.75" customHeight="1">
      <c r="A380" s="156"/>
      <c r="B380" s="156"/>
      <c r="C380" s="156"/>
      <c r="D380" s="158"/>
      <c r="E380" s="158"/>
      <c r="F380" s="159"/>
      <c r="G380" s="157"/>
    </row>
    <row r="381" ht="15.75" customHeight="1">
      <c r="A381" s="156"/>
      <c r="B381" s="156"/>
      <c r="C381" s="156"/>
      <c r="D381" s="158"/>
      <c r="E381" s="158"/>
      <c r="F381" s="159"/>
      <c r="G381" s="157"/>
    </row>
    <row r="382" ht="15.75" customHeight="1">
      <c r="A382" s="156"/>
      <c r="B382" s="156"/>
      <c r="C382" s="156"/>
      <c r="D382" s="158"/>
      <c r="E382" s="158"/>
      <c r="F382" s="159"/>
      <c r="G382" s="157"/>
    </row>
    <row r="383" ht="15.75" customHeight="1">
      <c r="A383" s="156"/>
      <c r="B383" s="156"/>
      <c r="C383" s="156"/>
      <c r="D383" s="158"/>
      <c r="E383" s="158"/>
      <c r="F383" s="159"/>
      <c r="G383" s="157"/>
    </row>
    <row r="384" ht="15.75" customHeight="1">
      <c r="A384" s="156"/>
      <c r="B384" s="156"/>
      <c r="C384" s="156"/>
      <c r="D384" s="158"/>
      <c r="E384" s="158"/>
      <c r="F384" s="159"/>
      <c r="G384" s="157"/>
    </row>
    <row r="385" ht="15.75" customHeight="1">
      <c r="A385" s="156"/>
      <c r="B385" s="156"/>
      <c r="C385" s="156"/>
      <c r="D385" s="158"/>
      <c r="E385" s="158"/>
      <c r="F385" s="159"/>
      <c r="G385" s="157"/>
    </row>
    <row r="386" ht="15.75" customHeight="1">
      <c r="A386" s="156"/>
      <c r="B386" s="156"/>
      <c r="C386" s="156"/>
      <c r="D386" s="158"/>
      <c r="E386" s="158"/>
      <c r="F386" s="159"/>
      <c r="G386" s="157"/>
    </row>
    <row r="387" ht="15.75" customHeight="1">
      <c r="A387" s="156"/>
      <c r="B387" s="156"/>
      <c r="C387" s="156"/>
      <c r="D387" s="158"/>
      <c r="E387" s="158"/>
      <c r="F387" s="159"/>
      <c r="G387" s="157"/>
    </row>
    <row r="388" ht="15.75" customHeight="1">
      <c r="A388" s="156"/>
      <c r="B388" s="156"/>
      <c r="C388" s="156"/>
      <c r="D388" s="158"/>
      <c r="E388" s="158"/>
      <c r="F388" s="159"/>
      <c r="G388" s="157"/>
    </row>
    <row r="389" ht="15.75" customHeight="1">
      <c r="A389" s="156"/>
      <c r="B389" s="156"/>
      <c r="C389" s="156"/>
      <c r="D389" s="158"/>
      <c r="E389" s="158"/>
      <c r="F389" s="159"/>
      <c r="G389" s="157"/>
    </row>
    <row r="390" ht="15.75" customHeight="1">
      <c r="A390" s="156"/>
      <c r="B390" s="156"/>
      <c r="C390" s="156"/>
      <c r="D390" s="158"/>
      <c r="E390" s="158"/>
      <c r="F390" s="159"/>
      <c r="G390" s="157"/>
    </row>
    <row r="391" ht="15.75" customHeight="1">
      <c r="A391" s="156"/>
      <c r="B391" s="156"/>
      <c r="C391" s="156"/>
      <c r="D391" s="158"/>
      <c r="E391" s="158"/>
      <c r="F391" s="159"/>
      <c r="G391" s="157"/>
    </row>
    <row r="392" ht="15.75" customHeight="1">
      <c r="A392" s="156"/>
      <c r="B392" s="156"/>
      <c r="C392" s="156"/>
      <c r="D392" s="158"/>
      <c r="E392" s="158"/>
      <c r="F392" s="159"/>
      <c r="G392" s="157"/>
    </row>
    <row r="393" ht="15.75" customHeight="1">
      <c r="A393" s="156"/>
      <c r="B393" s="156"/>
      <c r="C393" s="156"/>
      <c r="D393" s="158"/>
      <c r="E393" s="158"/>
      <c r="F393" s="159"/>
      <c r="G393" s="157"/>
    </row>
    <row r="394" ht="15.75" customHeight="1">
      <c r="A394" s="156"/>
      <c r="B394" s="156"/>
      <c r="C394" s="156"/>
      <c r="D394" s="158"/>
      <c r="E394" s="158"/>
      <c r="F394" s="159"/>
      <c r="G394" s="157"/>
    </row>
    <row r="395" ht="15.75" customHeight="1">
      <c r="A395" s="156"/>
      <c r="B395" s="156"/>
      <c r="C395" s="156"/>
      <c r="D395" s="158"/>
      <c r="E395" s="158"/>
      <c r="F395" s="159"/>
      <c r="G395" s="157"/>
    </row>
    <row r="396" ht="15.75" customHeight="1">
      <c r="A396" s="156"/>
      <c r="B396" s="156"/>
      <c r="C396" s="156"/>
      <c r="D396" s="158"/>
      <c r="E396" s="158"/>
      <c r="F396" s="159"/>
      <c r="G396" s="157"/>
    </row>
    <row r="397" ht="15.75" customHeight="1">
      <c r="A397" s="156"/>
      <c r="B397" s="156"/>
      <c r="C397" s="156"/>
      <c r="D397" s="158"/>
      <c r="E397" s="158"/>
      <c r="F397" s="159"/>
      <c r="G397" s="157"/>
    </row>
    <row r="398" ht="15.75" customHeight="1">
      <c r="A398" s="156"/>
      <c r="B398" s="156"/>
      <c r="C398" s="156"/>
      <c r="D398" s="158"/>
      <c r="E398" s="158"/>
      <c r="F398" s="159"/>
      <c r="G398" s="157"/>
    </row>
    <row r="399" ht="15.75" customHeight="1">
      <c r="A399" s="156"/>
      <c r="B399" s="156"/>
      <c r="C399" s="156"/>
      <c r="D399" s="158"/>
      <c r="E399" s="158"/>
      <c r="F399" s="159"/>
      <c r="G399" s="157"/>
    </row>
    <row r="400" ht="15.75" customHeight="1">
      <c r="A400" s="156"/>
      <c r="B400" s="156"/>
      <c r="C400" s="156"/>
      <c r="D400" s="158"/>
      <c r="E400" s="158"/>
      <c r="F400" s="159"/>
      <c r="G400" s="157"/>
    </row>
    <row r="401" ht="15.75" customHeight="1">
      <c r="A401" s="156"/>
      <c r="B401" s="156"/>
      <c r="C401" s="156"/>
      <c r="D401" s="158"/>
      <c r="E401" s="158"/>
      <c r="F401" s="159"/>
      <c r="G401" s="157"/>
    </row>
    <row r="402" ht="15.75" customHeight="1">
      <c r="A402" s="156"/>
      <c r="B402" s="156"/>
      <c r="C402" s="156"/>
      <c r="D402" s="158"/>
      <c r="E402" s="158"/>
      <c r="F402" s="159"/>
      <c r="G402" s="157"/>
    </row>
    <row r="403" ht="15.75" customHeight="1">
      <c r="A403" s="156"/>
      <c r="B403" s="156"/>
      <c r="C403" s="156"/>
      <c r="D403" s="158"/>
      <c r="E403" s="158"/>
      <c r="F403" s="159"/>
      <c r="G403" s="157"/>
    </row>
    <row r="404" ht="15.75" customHeight="1">
      <c r="A404" s="156"/>
      <c r="B404" s="156"/>
      <c r="C404" s="156"/>
      <c r="D404" s="158"/>
      <c r="E404" s="158"/>
      <c r="F404" s="159"/>
      <c r="G404" s="157"/>
    </row>
    <row r="405" ht="15.75" customHeight="1">
      <c r="A405" s="156"/>
      <c r="B405" s="156"/>
      <c r="C405" s="156"/>
      <c r="D405" s="158"/>
      <c r="E405" s="158"/>
      <c r="F405" s="159"/>
      <c r="G405" s="157"/>
    </row>
    <row r="406" ht="15.75" customHeight="1">
      <c r="A406" s="156"/>
      <c r="B406" s="156"/>
      <c r="C406" s="156"/>
      <c r="D406" s="158"/>
      <c r="E406" s="158"/>
      <c r="F406" s="159"/>
      <c r="G406" s="157"/>
    </row>
    <row r="407" ht="15.75" customHeight="1">
      <c r="A407" s="156"/>
      <c r="B407" s="156"/>
      <c r="C407" s="156"/>
      <c r="D407" s="158"/>
      <c r="E407" s="158"/>
      <c r="F407" s="159"/>
      <c r="G407" s="157"/>
    </row>
    <row r="408" ht="15.75" customHeight="1">
      <c r="A408" s="156"/>
      <c r="B408" s="156"/>
      <c r="C408" s="156"/>
      <c r="D408" s="158"/>
      <c r="E408" s="158"/>
      <c r="F408" s="159"/>
      <c r="G408" s="157"/>
    </row>
    <row r="409" ht="15.75" customHeight="1">
      <c r="A409" s="156"/>
      <c r="B409" s="156"/>
      <c r="C409" s="156"/>
      <c r="D409" s="158"/>
      <c r="E409" s="158"/>
      <c r="F409" s="159"/>
      <c r="G409" s="157"/>
    </row>
    <row r="410" ht="15.75" customHeight="1">
      <c r="A410" s="156"/>
      <c r="B410" s="156"/>
      <c r="C410" s="156"/>
      <c r="D410" s="158"/>
      <c r="E410" s="158"/>
      <c r="F410" s="159"/>
      <c r="G410" s="157"/>
    </row>
    <row r="411" ht="15.75" customHeight="1">
      <c r="A411" s="156"/>
      <c r="B411" s="156"/>
      <c r="C411" s="156"/>
      <c r="D411" s="158"/>
      <c r="E411" s="158"/>
      <c r="F411" s="159"/>
      <c r="G411" s="157"/>
    </row>
    <row r="412" ht="15.75" customHeight="1">
      <c r="A412" s="156"/>
      <c r="B412" s="156"/>
      <c r="C412" s="156"/>
      <c r="D412" s="158"/>
      <c r="E412" s="158"/>
      <c r="F412" s="159"/>
      <c r="G412" s="157"/>
    </row>
    <row r="413" ht="15.75" customHeight="1">
      <c r="A413" s="156"/>
      <c r="B413" s="156"/>
      <c r="C413" s="156"/>
      <c r="D413" s="158"/>
      <c r="E413" s="158"/>
      <c r="F413" s="159"/>
      <c r="G413" s="157"/>
    </row>
    <row r="414" ht="15.75" customHeight="1">
      <c r="A414" s="156"/>
      <c r="B414" s="156"/>
      <c r="C414" s="156"/>
      <c r="D414" s="158"/>
      <c r="E414" s="158"/>
      <c r="F414" s="159"/>
      <c r="G414" s="157"/>
    </row>
    <row r="415" ht="15.75" customHeight="1">
      <c r="A415" s="156"/>
      <c r="B415" s="156"/>
      <c r="C415" s="156"/>
      <c r="D415" s="158"/>
      <c r="E415" s="158"/>
      <c r="F415" s="159"/>
      <c r="G415" s="157"/>
    </row>
    <row r="416" ht="15.75" customHeight="1">
      <c r="A416" s="156"/>
      <c r="B416" s="156"/>
      <c r="C416" s="156"/>
      <c r="D416" s="158"/>
      <c r="E416" s="158"/>
      <c r="F416" s="159"/>
      <c r="G416" s="157"/>
    </row>
    <row r="417" ht="15.75" customHeight="1">
      <c r="A417" s="156"/>
      <c r="B417" s="156"/>
      <c r="C417" s="156"/>
      <c r="D417" s="158"/>
      <c r="E417" s="158"/>
      <c r="F417" s="159"/>
      <c r="G417" s="157"/>
    </row>
    <row r="418" ht="15.75" customHeight="1">
      <c r="A418" s="156"/>
      <c r="B418" s="156"/>
      <c r="C418" s="156"/>
      <c r="D418" s="158"/>
      <c r="E418" s="158"/>
      <c r="F418" s="159"/>
      <c r="G418" s="157"/>
    </row>
    <row r="419" ht="15.75" customHeight="1">
      <c r="A419" s="156"/>
      <c r="B419" s="156"/>
      <c r="C419" s="156"/>
      <c r="D419" s="158"/>
      <c r="E419" s="158"/>
      <c r="F419" s="159"/>
      <c r="G419" s="157"/>
    </row>
    <row r="420" ht="15.75" customHeight="1">
      <c r="A420" s="156"/>
      <c r="B420" s="156"/>
      <c r="C420" s="156"/>
      <c r="D420" s="158"/>
      <c r="E420" s="158"/>
      <c r="F420" s="159"/>
      <c r="G420" s="157"/>
    </row>
    <row r="421" ht="15.75" customHeight="1">
      <c r="A421" s="156"/>
      <c r="B421" s="156"/>
      <c r="C421" s="156"/>
      <c r="D421" s="158"/>
      <c r="E421" s="158"/>
      <c r="F421" s="159"/>
      <c r="G421" s="157"/>
    </row>
    <row r="422" ht="15.75" customHeight="1">
      <c r="A422" s="156"/>
      <c r="B422" s="156"/>
      <c r="C422" s="156"/>
      <c r="D422" s="158"/>
      <c r="E422" s="158"/>
      <c r="F422" s="159"/>
      <c r="G422" s="157"/>
    </row>
    <row r="423" ht="15.75" customHeight="1">
      <c r="A423" s="156"/>
      <c r="B423" s="156"/>
      <c r="C423" s="156"/>
      <c r="D423" s="158"/>
      <c r="E423" s="158"/>
      <c r="F423" s="159"/>
      <c r="G423" s="157"/>
    </row>
    <row r="424" ht="15.75" customHeight="1">
      <c r="A424" s="156"/>
      <c r="B424" s="156"/>
      <c r="C424" s="156"/>
      <c r="D424" s="158"/>
      <c r="E424" s="158"/>
      <c r="F424" s="159"/>
      <c r="G424" s="157"/>
    </row>
    <row r="425" ht="15.75" customHeight="1">
      <c r="A425" s="156"/>
      <c r="B425" s="156"/>
      <c r="C425" s="156"/>
      <c r="D425" s="158"/>
      <c r="E425" s="158"/>
      <c r="F425" s="159"/>
      <c r="G425" s="157"/>
    </row>
    <row r="426" ht="15.75" customHeight="1">
      <c r="A426" s="156"/>
      <c r="B426" s="156"/>
      <c r="C426" s="156"/>
      <c r="D426" s="158"/>
      <c r="E426" s="158"/>
      <c r="F426" s="159"/>
      <c r="G426" s="157"/>
    </row>
    <row r="427" ht="15.75" customHeight="1">
      <c r="A427" s="156"/>
      <c r="B427" s="156"/>
      <c r="C427" s="156"/>
      <c r="D427" s="158"/>
      <c r="E427" s="158"/>
      <c r="F427" s="159"/>
      <c r="G427" s="157"/>
    </row>
    <row r="428" ht="15.75" customHeight="1">
      <c r="A428" s="156"/>
      <c r="B428" s="156"/>
      <c r="C428" s="156"/>
      <c r="D428" s="158"/>
      <c r="E428" s="158"/>
      <c r="F428" s="159"/>
      <c r="G428" s="157"/>
    </row>
    <row r="429" ht="15.75" customHeight="1">
      <c r="A429" s="156"/>
      <c r="B429" s="156"/>
      <c r="C429" s="156"/>
      <c r="D429" s="158"/>
      <c r="E429" s="158"/>
      <c r="F429" s="159"/>
      <c r="G429" s="157"/>
    </row>
    <row r="430" ht="15.75" customHeight="1">
      <c r="A430" s="156"/>
      <c r="B430" s="156"/>
      <c r="C430" s="156"/>
      <c r="D430" s="158"/>
      <c r="E430" s="158"/>
      <c r="F430" s="159"/>
      <c r="G430" s="157"/>
    </row>
    <row r="431" ht="15.75" customHeight="1">
      <c r="A431" s="156"/>
      <c r="B431" s="156"/>
      <c r="C431" s="156"/>
      <c r="D431" s="158"/>
      <c r="E431" s="158"/>
      <c r="F431" s="159"/>
      <c r="G431" s="157"/>
    </row>
    <row r="432" ht="15.75" customHeight="1">
      <c r="A432" s="156"/>
      <c r="B432" s="156"/>
      <c r="C432" s="156"/>
      <c r="D432" s="158"/>
      <c r="E432" s="158"/>
      <c r="F432" s="159"/>
      <c r="G432" s="157"/>
    </row>
    <row r="433" ht="15.75" customHeight="1">
      <c r="A433" s="156"/>
      <c r="B433" s="156"/>
      <c r="C433" s="156"/>
      <c r="D433" s="158"/>
      <c r="E433" s="158"/>
      <c r="F433" s="159"/>
      <c r="G433" s="157"/>
    </row>
    <row r="434" ht="15.75" customHeight="1">
      <c r="A434" s="156"/>
      <c r="B434" s="156"/>
      <c r="C434" s="156"/>
      <c r="D434" s="158"/>
      <c r="E434" s="158"/>
      <c r="F434" s="159"/>
      <c r="G434" s="157"/>
    </row>
    <row r="435" ht="15.75" customHeight="1">
      <c r="A435" s="156"/>
      <c r="B435" s="156"/>
      <c r="C435" s="156"/>
      <c r="D435" s="158"/>
      <c r="E435" s="158"/>
      <c r="F435" s="159"/>
      <c r="G435" s="157"/>
    </row>
    <row r="436" ht="15.75" customHeight="1">
      <c r="A436" s="156"/>
      <c r="B436" s="156"/>
      <c r="C436" s="156"/>
      <c r="D436" s="158"/>
      <c r="E436" s="158"/>
      <c r="F436" s="159"/>
      <c r="G436" s="157"/>
    </row>
    <row r="437" ht="15.75" customHeight="1">
      <c r="A437" s="156"/>
      <c r="B437" s="156"/>
      <c r="C437" s="156"/>
      <c r="D437" s="158"/>
      <c r="E437" s="158"/>
      <c r="F437" s="159"/>
      <c r="G437" s="157"/>
    </row>
    <row r="438" ht="15.75" customHeight="1">
      <c r="A438" s="156"/>
      <c r="B438" s="156"/>
      <c r="C438" s="156"/>
      <c r="D438" s="158"/>
      <c r="E438" s="158"/>
      <c r="F438" s="159"/>
      <c r="G438" s="157"/>
    </row>
    <row r="439" ht="15.75" customHeight="1">
      <c r="A439" s="156"/>
      <c r="B439" s="156"/>
      <c r="C439" s="156"/>
      <c r="D439" s="158"/>
      <c r="E439" s="158"/>
      <c r="F439" s="159"/>
      <c r="G439" s="157"/>
    </row>
    <row r="440" ht="15.75" customHeight="1">
      <c r="A440" s="156"/>
      <c r="B440" s="156"/>
      <c r="C440" s="156"/>
      <c r="D440" s="158"/>
      <c r="E440" s="158"/>
      <c r="F440" s="159"/>
      <c r="G440" s="157"/>
    </row>
    <row r="441" ht="15.75" customHeight="1">
      <c r="A441" s="156"/>
      <c r="B441" s="156"/>
      <c r="C441" s="156"/>
      <c r="D441" s="158"/>
      <c r="E441" s="158"/>
      <c r="F441" s="159"/>
      <c r="G441" s="157"/>
    </row>
    <row r="442" ht="15.75" customHeight="1">
      <c r="A442" s="156"/>
      <c r="B442" s="156"/>
      <c r="C442" s="156"/>
      <c r="D442" s="158"/>
      <c r="E442" s="158"/>
      <c r="F442" s="159"/>
      <c r="G442" s="157"/>
    </row>
    <row r="443" ht="15.75" customHeight="1">
      <c r="A443" s="156"/>
      <c r="B443" s="156"/>
      <c r="C443" s="156"/>
      <c r="D443" s="158"/>
      <c r="E443" s="158"/>
      <c r="F443" s="159"/>
      <c r="G443" s="157"/>
    </row>
    <row r="444" ht="15.75" customHeight="1">
      <c r="A444" s="156"/>
      <c r="B444" s="156"/>
      <c r="C444" s="156"/>
      <c r="D444" s="158"/>
      <c r="E444" s="158"/>
      <c r="F444" s="159"/>
      <c r="G444" s="157"/>
    </row>
    <row r="445" ht="15.75" customHeight="1">
      <c r="A445" s="156"/>
      <c r="B445" s="156"/>
      <c r="C445" s="156"/>
      <c r="D445" s="158"/>
      <c r="E445" s="158"/>
      <c r="F445" s="159"/>
      <c r="G445" s="157"/>
    </row>
    <row r="446" ht="15.75" customHeight="1">
      <c r="A446" s="156"/>
      <c r="B446" s="156"/>
      <c r="C446" s="156"/>
      <c r="D446" s="158"/>
      <c r="E446" s="158"/>
      <c r="F446" s="159"/>
      <c r="G446" s="157"/>
    </row>
    <row r="447" ht="15.75" customHeight="1">
      <c r="A447" s="156"/>
      <c r="B447" s="156"/>
      <c r="C447" s="156"/>
      <c r="D447" s="158"/>
      <c r="E447" s="158"/>
      <c r="F447" s="159"/>
      <c r="G447" s="157"/>
    </row>
    <row r="448" ht="15.75" customHeight="1">
      <c r="A448" s="156"/>
      <c r="B448" s="156"/>
      <c r="C448" s="156"/>
      <c r="D448" s="158"/>
      <c r="E448" s="158"/>
      <c r="F448" s="159"/>
      <c r="G448" s="157"/>
    </row>
    <row r="449" ht="15.75" customHeight="1">
      <c r="A449" s="156"/>
      <c r="B449" s="156"/>
      <c r="C449" s="156"/>
      <c r="D449" s="158"/>
      <c r="E449" s="158"/>
      <c r="F449" s="159"/>
      <c r="G449" s="157"/>
    </row>
    <row r="450" ht="15.75" customHeight="1">
      <c r="A450" s="156"/>
      <c r="B450" s="156"/>
      <c r="C450" s="156"/>
      <c r="D450" s="158"/>
      <c r="E450" s="158"/>
      <c r="F450" s="159"/>
      <c r="G450" s="157"/>
    </row>
    <row r="451" ht="15.75" customHeight="1">
      <c r="A451" s="156"/>
      <c r="B451" s="156"/>
      <c r="C451" s="156"/>
      <c r="D451" s="158"/>
      <c r="E451" s="158"/>
      <c r="F451" s="159"/>
      <c r="G451" s="157"/>
    </row>
    <row r="452" ht="15.75" customHeight="1">
      <c r="A452" s="156"/>
      <c r="B452" s="156"/>
      <c r="C452" s="156"/>
      <c r="D452" s="158"/>
      <c r="E452" s="158"/>
      <c r="F452" s="159"/>
      <c r="G452" s="157"/>
    </row>
    <row r="453" ht="15.75" customHeight="1">
      <c r="A453" s="156"/>
      <c r="B453" s="156"/>
      <c r="C453" s="156"/>
      <c r="D453" s="158"/>
      <c r="E453" s="158"/>
      <c r="F453" s="159"/>
      <c r="G453" s="157"/>
    </row>
    <row r="454" ht="15.75" customHeight="1">
      <c r="A454" s="156"/>
      <c r="B454" s="156"/>
      <c r="C454" s="156"/>
      <c r="D454" s="158"/>
      <c r="E454" s="158"/>
      <c r="F454" s="159"/>
      <c r="G454" s="157"/>
    </row>
    <row r="455" ht="15.75" customHeight="1">
      <c r="A455" s="156"/>
      <c r="B455" s="156"/>
      <c r="C455" s="156"/>
      <c r="D455" s="158"/>
      <c r="E455" s="158"/>
      <c r="F455" s="159"/>
      <c r="G455" s="157"/>
    </row>
    <row r="456" ht="15.75" customHeight="1">
      <c r="A456" s="156"/>
      <c r="B456" s="156"/>
      <c r="C456" s="156"/>
      <c r="D456" s="158"/>
      <c r="E456" s="158"/>
      <c r="F456" s="159"/>
      <c r="G456" s="157"/>
    </row>
    <row r="457" ht="15.75" customHeight="1">
      <c r="A457" s="156"/>
      <c r="B457" s="156"/>
      <c r="C457" s="156"/>
      <c r="D457" s="158"/>
      <c r="E457" s="158"/>
      <c r="F457" s="159"/>
      <c r="G457" s="157"/>
    </row>
    <row r="458" ht="15.75" customHeight="1">
      <c r="A458" s="156"/>
      <c r="B458" s="156"/>
      <c r="C458" s="156"/>
      <c r="D458" s="158"/>
      <c r="E458" s="158"/>
      <c r="F458" s="159"/>
      <c r="G458" s="157"/>
    </row>
    <row r="459" ht="15.75" customHeight="1">
      <c r="A459" s="156"/>
      <c r="B459" s="156"/>
      <c r="C459" s="156"/>
      <c r="D459" s="158"/>
      <c r="E459" s="158"/>
      <c r="F459" s="159"/>
      <c r="G459" s="157"/>
    </row>
    <row r="460" ht="15.75" customHeight="1">
      <c r="A460" s="156"/>
      <c r="B460" s="156"/>
      <c r="C460" s="156"/>
      <c r="D460" s="158"/>
      <c r="E460" s="158"/>
      <c r="F460" s="159"/>
      <c r="G460" s="157"/>
    </row>
    <row r="461" ht="15.75" customHeight="1">
      <c r="A461" s="156"/>
      <c r="B461" s="156"/>
      <c r="C461" s="156"/>
      <c r="D461" s="158"/>
      <c r="E461" s="158"/>
      <c r="F461" s="159"/>
      <c r="G461" s="157"/>
    </row>
    <row r="462" ht="15.75" customHeight="1">
      <c r="A462" s="156"/>
      <c r="B462" s="156"/>
      <c r="C462" s="156"/>
      <c r="D462" s="158"/>
      <c r="E462" s="158"/>
      <c r="F462" s="159"/>
      <c r="G462" s="157"/>
    </row>
    <row r="463" ht="15.75" customHeight="1">
      <c r="A463" s="156"/>
      <c r="B463" s="156"/>
      <c r="C463" s="156"/>
      <c r="D463" s="158"/>
      <c r="E463" s="158"/>
      <c r="F463" s="159"/>
      <c r="G463" s="157"/>
    </row>
    <row r="464" ht="15.75" customHeight="1">
      <c r="A464" s="156"/>
      <c r="B464" s="156"/>
      <c r="C464" s="156"/>
      <c r="D464" s="158"/>
      <c r="E464" s="158"/>
      <c r="F464" s="159"/>
      <c r="G464" s="157"/>
    </row>
    <row r="465" ht="15.75" customHeight="1">
      <c r="A465" s="156"/>
      <c r="B465" s="156"/>
      <c r="C465" s="156"/>
      <c r="D465" s="158"/>
      <c r="E465" s="158"/>
      <c r="F465" s="159"/>
      <c r="G465" s="157"/>
    </row>
    <row r="466" ht="15.75" customHeight="1">
      <c r="A466" s="156"/>
      <c r="B466" s="156"/>
      <c r="C466" s="156"/>
      <c r="D466" s="158"/>
      <c r="E466" s="158"/>
      <c r="F466" s="159"/>
      <c r="G466" s="157"/>
    </row>
    <row r="467" ht="15.75" customHeight="1">
      <c r="A467" s="156"/>
      <c r="B467" s="156"/>
      <c r="C467" s="156"/>
      <c r="D467" s="158"/>
      <c r="E467" s="158"/>
      <c r="F467" s="159"/>
      <c r="G467" s="157"/>
    </row>
    <row r="468" ht="15.75" customHeight="1">
      <c r="A468" s="156"/>
      <c r="B468" s="156"/>
      <c r="C468" s="156"/>
      <c r="D468" s="158"/>
      <c r="E468" s="158"/>
      <c r="F468" s="159"/>
      <c r="G468" s="157"/>
    </row>
    <row r="469" ht="15.75" customHeight="1">
      <c r="A469" s="156"/>
      <c r="B469" s="156"/>
      <c r="C469" s="156"/>
      <c r="D469" s="158"/>
      <c r="E469" s="158"/>
      <c r="F469" s="159"/>
      <c r="G469" s="157"/>
    </row>
    <row r="470" ht="15.75" customHeight="1">
      <c r="A470" s="156"/>
      <c r="B470" s="156"/>
      <c r="C470" s="156"/>
      <c r="D470" s="158"/>
      <c r="E470" s="158"/>
      <c r="F470" s="159"/>
      <c r="G470" s="157"/>
    </row>
    <row r="471" ht="15.75" customHeight="1">
      <c r="A471" s="156"/>
      <c r="B471" s="156"/>
      <c r="C471" s="156"/>
      <c r="D471" s="158"/>
      <c r="E471" s="158"/>
      <c r="F471" s="159"/>
      <c r="G471" s="157"/>
    </row>
    <row r="472" ht="15.75" customHeight="1">
      <c r="A472" s="156"/>
      <c r="B472" s="156"/>
      <c r="C472" s="156"/>
      <c r="D472" s="158"/>
      <c r="E472" s="158"/>
      <c r="F472" s="159"/>
      <c r="G472" s="157"/>
    </row>
    <row r="473" ht="15.75" customHeight="1">
      <c r="A473" s="156"/>
      <c r="B473" s="156"/>
      <c r="C473" s="156"/>
      <c r="D473" s="158"/>
      <c r="E473" s="158"/>
      <c r="F473" s="159"/>
      <c r="G473" s="157"/>
    </row>
    <row r="474" ht="15.75" customHeight="1">
      <c r="A474" s="156"/>
      <c r="B474" s="156"/>
      <c r="C474" s="156"/>
      <c r="D474" s="158"/>
      <c r="E474" s="158"/>
      <c r="F474" s="159"/>
      <c r="G474" s="157"/>
    </row>
    <row r="475" ht="15.75" customHeight="1">
      <c r="A475" s="156"/>
      <c r="B475" s="156"/>
      <c r="C475" s="156"/>
      <c r="D475" s="158"/>
      <c r="E475" s="158"/>
      <c r="F475" s="159"/>
      <c r="G475" s="157"/>
    </row>
    <row r="476" ht="15.75" customHeight="1">
      <c r="A476" s="156"/>
      <c r="B476" s="156"/>
      <c r="C476" s="156"/>
      <c r="D476" s="158"/>
      <c r="E476" s="158"/>
      <c r="F476" s="159"/>
      <c r="G476" s="157"/>
    </row>
    <row r="477" ht="15.75" customHeight="1">
      <c r="A477" s="156"/>
      <c r="B477" s="156"/>
      <c r="C477" s="156"/>
      <c r="D477" s="158"/>
      <c r="E477" s="158"/>
      <c r="F477" s="159"/>
      <c r="G477" s="157"/>
    </row>
    <row r="478" ht="15.75" customHeight="1">
      <c r="A478" s="156"/>
      <c r="B478" s="156"/>
      <c r="C478" s="156"/>
      <c r="D478" s="158"/>
      <c r="E478" s="158"/>
      <c r="F478" s="159"/>
      <c r="G478" s="157"/>
    </row>
    <row r="479" ht="15.75" customHeight="1">
      <c r="A479" s="156"/>
      <c r="B479" s="156"/>
      <c r="C479" s="156"/>
      <c r="D479" s="158"/>
      <c r="E479" s="158"/>
      <c r="F479" s="159"/>
      <c r="G479" s="157"/>
    </row>
    <row r="480" ht="15.75" customHeight="1">
      <c r="A480" s="156"/>
      <c r="B480" s="156"/>
      <c r="C480" s="156"/>
      <c r="D480" s="158"/>
      <c r="E480" s="158"/>
      <c r="F480" s="159"/>
      <c r="G480" s="157"/>
    </row>
    <row r="481" ht="15.75" customHeight="1">
      <c r="A481" s="156"/>
      <c r="B481" s="156"/>
      <c r="C481" s="156"/>
      <c r="D481" s="158"/>
      <c r="E481" s="158"/>
      <c r="F481" s="159"/>
      <c r="G481" s="157"/>
    </row>
    <row r="482" ht="15.75" customHeight="1">
      <c r="A482" s="156"/>
      <c r="B482" s="156"/>
      <c r="C482" s="156"/>
      <c r="D482" s="158"/>
      <c r="E482" s="158"/>
      <c r="F482" s="159"/>
      <c r="G482" s="157"/>
    </row>
    <row r="483" ht="15.75" customHeight="1">
      <c r="A483" s="156"/>
      <c r="B483" s="156"/>
      <c r="C483" s="156"/>
      <c r="D483" s="158"/>
      <c r="E483" s="158"/>
      <c r="F483" s="159"/>
      <c r="G483" s="157"/>
    </row>
    <row r="484" ht="15.75" customHeight="1">
      <c r="A484" s="156"/>
      <c r="B484" s="156"/>
      <c r="C484" s="156"/>
      <c r="D484" s="158"/>
      <c r="E484" s="158"/>
      <c r="F484" s="159"/>
      <c r="G484" s="157"/>
    </row>
    <row r="485" ht="15.75" customHeight="1">
      <c r="A485" s="156"/>
      <c r="B485" s="156"/>
      <c r="C485" s="156"/>
      <c r="D485" s="158"/>
      <c r="E485" s="158"/>
      <c r="F485" s="159"/>
      <c r="G485" s="157"/>
    </row>
    <row r="486" ht="15.75" customHeight="1">
      <c r="A486" s="156"/>
      <c r="B486" s="156"/>
      <c r="C486" s="156"/>
      <c r="D486" s="158"/>
      <c r="E486" s="158"/>
      <c r="F486" s="159"/>
      <c r="G486" s="157"/>
    </row>
    <row r="487" ht="15.75" customHeight="1">
      <c r="A487" s="156"/>
      <c r="B487" s="156"/>
      <c r="C487" s="156"/>
      <c r="D487" s="158"/>
      <c r="E487" s="158"/>
      <c r="F487" s="159"/>
      <c r="G487" s="157"/>
    </row>
    <row r="488" ht="15.75" customHeight="1">
      <c r="A488" s="156"/>
      <c r="B488" s="156"/>
      <c r="C488" s="156"/>
      <c r="D488" s="158"/>
      <c r="E488" s="158"/>
      <c r="F488" s="159"/>
      <c r="G488" s="157"/>
    </row>
    <row r="489" ht="15.75" customHeight="1">
      <c r="A489" s="156"/>
      <c r="B489" s="156"/>
      <c r="C489" s="156"/>
      <c r="D489" s="158"/>
      <c r="E489" s="158"/>
      <c r="F489" s="159"/>
      <c r="G489" s="157"/>
    </row>
    <row r="490" ht="15.75" customHeight="1">
      <c r="A490" s="156"/>
      <c r="B490" s="156"/>
      <c r="C490" s="156"/>
      <c r="D490" s="158"/>
      <c r="E490" s="158"/>
      <c r="F490" s="159"/>
      <c r="G490" s="157"/>
    </row>
    <row r="491" ht="15.75" customHeight="1">
      <c r="A491" s="156"/>
      <c r="B491" s="156"/>
      <c r="C491" s="156"/>
      <c r="D491" s="158"/>
      <c r="E491" s="158"/>
      <c r="F491" s="159"/>
      <c r="G491" s="157"/>
    </row>
    <row r="492" ht="15.75" customHeight="1">
      <c r="A492" s="156"/>
      <c r="B492" s="156"/>
      <c r="C492" s="156"/>
      <c r="D492" s="158"/>
      <c r="E492" s="158"/>
      <c r="F492" s="159"/>
      <c r="G492" s="157"/>
    </row>
    <row r="493" ht="15.75" customHeight="1">
      <c r="A493" s="156"/>
      <c r="B493" s="156"/>
      <c r="C493" s="156"/>
      <c r="D493" s="158"/>
      <c r="E493" s="158"/>
      <c r="F493" s="159"/>
      <c r="G493" s="157"/>
    </row>
    <row r="494" ht="15.75" customHeight="1">
      <c r="A494" s="156"/>
      <c r="B494" s="156"/>
      <c r="C494" s="156"/>
      <c r="D494" s="158"/>
      <c r="E494" s="158"/>
      <c r="F494" s="159"/>
      <c r="G494" s="157"/>
    </row>
    <row r="495" ht="15.75" customHeight="1">
      <c r="A495" s="156"/>
      <c r="B495" s="156"/>
      <c r="C495" s="156"/>
      <c r="D495" s="158"/>
      <c r="E495" s="158"/>
      <c r="F495" s="159"/>
      <c r="G495" s="157"/>
    </row>
    <row r="496" ht="15.75" customHeight="1">
      <c r="A496" s="156"/>
      <c r="B496" s="156"/>
      <c r="C496" s="156"/>
      <c r="D496" s="158"/>
      <c r="E496" s="158"/>
      <c r="F496" s="159"/>
      <c r="G496" s="157"/>
    </row>
    <row r="497" ht="15.75" customHeight="1">
      <c r="A497" s="156"/>
      <c r="B497" s="156"/>
      <c r="C497" s="156"/>
      <c r="D497" s="158"/>
      <c r="E497" s="158"/>
      <c r="F497" s="159"/>
      <c r="G497" s="157"/>
    </row>
    <row r="498" ht="15.75" customHeight="1">
      <c r="A498" s="156"/>
      <c r="B498" s="156"/>
      <c r="C498" s="156"/>
      <c r="D498" s="158"/>
      <c r="E498" s="158"/>
      <c r="F498" s="159"/>
      <c r="G498" s="157"/>
    </row>
    <row r="499" ht="15.75" customHeight="1">
      <c r="A499" s="156"/>
      <c r="B499" s="156"/>
      <c r="C499" s="156"/>
      <c r="D499" s="158"/>
      <c r="E499" s="158"/>
      <c r="F499" s="159"/>
      <c r="G499" s="157"/>
    </row>
    <row r="500" ht="15.75" customHeight="1">
      <c r="A500" s="156"/>
      <c r="B500" s="156"/>
      <c r="C500" s="156"/>
      <c r="D500" s="158"/>
      <c r="E500" s="158"/>
      <c r="F500" s="159"/>
      <c r="G500" s="157"/>
    </row>
    <row r="501" ht="15.75" customHeight="1">
      <c r="A501" s="156"/>
      <c r="B501" s="156"/>
      <c r="C501" s="156"/>
      <c r="D501" s="158"/>
      <c r="E501" s="158"/>
      <c r="F501" s="159"/>
      <c r="G501" s="157"/>
    </row>
    <row r="502" ht="15.75" customHeight="1">
      <c r="A502" s="156"/>
      <c r="B502" s="156"/>
      <c r="C502" s="156"/>
      <c r="D502" s="158"/>
      <c r="E502" s="158"/>
      <c r="F502" s="159"/>
      <c r="G502" s="157"/>
    </row>
    <row r="503" ht="15.75" customHeight="1">
      <c r="A503" s="156"/>
      <c r="B503" s="156"/>
      <c r="C503" s="156"/>
      <c r="D503" s="158"/>
      <c r="E503" s="158"/>
      <c r="F503" s="159"/>
      <c r="G503" s="157"/>
    </row>
    <row r="504" ht="15.75" customHeight="1">
      <c r="A504" s="156"/>
      <c r="B504" s="156"/>
      <c r="C504" s="156"/>
      <c r="D504" s="158"/>
      <c r="E504" s="158"/>
      <c r="F504" s="159"/>
      <c r="G504" s="157"/>
    </row>
    <row r="505" ht="15.75" customHeight="1">
      <c r="A505" s="156"/>
      <c r="B505" s="156"/>
      <c r="C505" s="156"/>
      <c r="D505" s="158"/>
      <c r="E505" s="158"/>
      <c r="F505" s="159"/>
      <c r="G505" s="157"/>
    </row>
    <row r="506" ht="15.75" customHeight="1">
      <c r="A506" s="156"/>
      <c r="B506" s="156"/>
      <c r="C506" s="156"/>
      <c r="D506" s="158"/>
      <c r="E506" s="158"/>
      <c r="F506" s="159"/>
      <c r="G506" s="157"/>
    </row>
    <row r="507" ht="15.75" customHeight="1">
      <c r="A507" s="156"/>
      <c r="B507" s="156"/>
      <c r="C507" s="156"/>
      <c r="D507" s="158"/>
      <c r="E507" s="158"/>
      <c r="F507" s="159"/>
      <c r="G507" s="157"/>
    </row>
    <row r="508" ht="15.75" customHeight="1">
      <c r="A508" s="156"/>
      <c r="B508" s="156"/>
      <c r="C508" s="156"/>
      <c r="D508" s="158"/>
      <c r="E508" s="158"/>
      <c r="F508" s="159"/>
      <c r="G508" s="157"/>
    </row>
    <row r="509" ht="15.75" customHeight="1">
      <c r="A509" s="156"/>
      <c r="B509" s="156"/>
      <c r="C509" s="156"/>
      <c r="D509" s="158"/>
      <c r="E509" s="158"/>
      <c r="F509" s="159"/>
      <c r="G509" s="157"/>
    </row>
    <row r="510" ht="15.75" customHeight="1">
      <c r="A510" s="156"/>
      <c r="B510" s="156"/>
      <c r="C510" s="156"/>
      <c r="D510" s="158"/>
      <c r="E510" s="158"/>
      <c r="F510" s="159"/>
      <c r="G510" s="157"/>
    </row>
    <row r="511" ht="15.75" customHeight="1">
      <c r="A511" s="156"/>
      <c r="B511" s="156"/>
      <c r="C511" s="156"/>
      <c r="D511" s="158"/>
      <c r="E511" s="158"/>
      <c r="F511" s="159"/>
      <c r="G511" s="157"/>
    </row>
    <row r="512" ht="15.75" customHeight="1">
      <c r="A512" s="156"/>
      <c r="B512" s="156"/>
      <c r="C512" s="156"/>
      <c r="D512" s="158"/>
      <c r="E512" s="158"/>
      <c r="F512" s="159"/>
      <c r="G512" s="157"/>
    </row>
    <row r="513" ht="15.75" customHeight="1">
      <c r="A513" s="156"/>
      <c r="B513" s="156"/>
      <c r="C513" s="156"/>
      <c r="D513" s="158"/>
      <c r="E513" s="158"/>
      <c r="F513" s="159"/>
      <c r="G513" s="157"/>
    </row>
    <row r="514" ht="15.75" customHeight="1">
      <c r="A514" s="156"/>
      <c r="B514" s="156"/>
      <c r="C514" s="156"/>
      <c r="D514" s="158"/>
      <c r="E514" s="158"/>
      <c r="F514" s="159"/>
      <c r="G514" s="157"/>
    </row>
    <row r="515" ht="15.75" customHeight="1">
      <c r="A515" s="156"/>
      <c r="B515" s="156"/>
      <c r="C515" s="156"/>
      <c r="D515" s="158"/>
      <c r="E515" s="158"/>
      <c r="F515" s="159"/>
      <c r="G515" s="157"/>
    </row>
    <row r="516" ht="15.75" customHeight="1">
      <c r="A516" s="156"/>
      <c r="B516" s="156"/>
      <c r="C516" s="156"/>
      <c r="D516" s="158"/>
      <c r="E516" s="158"/>
      <c r="F516" s="159"/>
      <c r="G516" s="157"/>
    </row>
    <row r="517" ht="15.75" customHeight="1">
      <c r="A517" s="156"/>
      <c r="B517" s="156"/>
      <c r="C517" s="156"/>
      <c r="D517" s="158"/>
      <c r="E517" s="158"/>
      <c r="F517" s="159"/>
      <c r="G517" s="157"/>
    </row>
    <row r="518" ht="15.75" customHeight="1">
      <c r="A518" s="156"/>
      <c r="B518" s="156"/>
      <c r="C518" s="156"/>
      <c r="D518" s="158"/>
      <c r="E518" s="158"/>
      <c r="F518" s="159"/>
      <c r="G518" s="157"/>
    </row>
    <row r="519" ht="15.75" customHeight="1">
      <c r="A519" s="156"/>
      <c r="B519" s="156"/>
      <c r="C519" s="156"/>
      <c r="D519" s="158"/>
      <c r="E519" s="158"/>
      <c r="F519" s="159"/>
      <c r="G519" s="157"/>
    </row>
    <row r="520" ht="15.75" customHeight="1">
      <c r="A520" s="156"/>
      <c r="B520" s="156"/>
      <c r="C520" s="156"/>
      <c r="D520" s="158"/>
      <c r="E520" s="158"/>
      <c r="F520" s="159"/>
      <c r="G520" s="157"/>
    </row>
    <row r="521" ht="15.75" customHeight="1">
      <c r="A521" s="156"/>
      <c r="B521" s="156"/>
      <c r="C521" s="156"/>
      <c r="D521" s="158"/>
      <c r="E521" s="158"/>
      <c r="F521" s="159"/>
      <c r="G521" s="157"/>
    </row>
    <row r="522" ht="15.75" customHeight="1">
      <c r="A522" s="156"/>
      <c r="B522" s="156"/>
      <c r="C522" s="156"/>
      <c r="D522" s="158"/>
      <c r="E522" s="158"/>
      <c r="F522" s="159"/>
      <c r="G522" s="157"/>
    </row>
    <row r="523" ht="15.75" customHeight="1">
      <c r="A523" s="156"/>
      <c r="B523" s="156"/>
      <c r="C523" s="156"/>
      <c r="D523" s="158"/>
      <c r="E523" s="158"/>
      <c r="F523" s="159"/>
      <c r="G523" s="157"/>
    </row>
    <row r="524" ht="15.75" customHeight="1">
      <c r="A524" s="156"/>
      <c r="B524" s="156"/>
      <c r="C524" s="156"/>
      <c r="D524" s="158"/>
      <c r="E524" s="158"/>
      <c r="F524" s="159"/>
      <c r="G524" s="157"/>
    </row>
    <row r="525" ht="15.75" customHeight="1">
      <c r="A525" s="156"/>
      <c r="B525" s="156"/>
      <c r="C525" s="156"/>
      <c r="D525" s="158"/>
      <c r="E525" s="158"/>
      <c r="F525" s="159"/>
      <c r="G525" s="157"/>
    </row>
    <row r="526" ht="15.75" customHeight="1">
      <c r="A526" s="156"/>
      <c r="B526" s="156"/>
      <c r="C526" s="156"/>
      <c r="D526" s="158"/>
      <c r="E526" s="158"/>
      <c r="F526" s="159"/>
      <c r="G526" s="157"/>
    </row>
    <row r="527" ht="15.75" customHeight="1">
      <c r="A527" s="156"/>
      <c r="B527" s="156"/>
      <c r="C527" s="156"/>
      <c r="D527" s="158"/>
      <c r="E527" s="158"/>
      <c r="F527" s="159"/>
      <c r="G527" s="157"/>
    </row>
    <row r="528" ht="15.75" customHeight="1">
      <c r="A528" s="156"/>
      <c r="B528" s="156"/>
      <c r="C528" s="156"/>
      <c r="D528" s="158"/>
      <c r="E528" s="158"/>
      <c r="F528" s="159"/>
      <c r="G528" s="157"/>
    </row>
    <row r="529" ht="15.75" customHeight="1">
      <c r="A529" s="156"/>
      <c r="B529" s="156"/>
      <c r="C529" s="156"/>
      <c r="D529" s="158"/>
      <c r="E529" s="158"/>
      <c r="F529" s="159"/>
      <c r="G529" s="157"/>
    </row>
    <row r="530" ht="15.75" customHeight="1">
      <c r="A530" s="156"/>
      <c r="B530" s="156"/>
      <c r="C530" s="156"/>
      <c r="D530" s="158"/>
      <c r="E530" s="158"/>
      <c r="F530" s="159"/>
      <c r="G530" s="157"/>
    </row>
    <row r="531" ht="15.75" customHeight="1">
      <c r="A531" s="156"/>
      <c r="B531" s="156"/>
      <c r="C531" s="156"/>
      <c r="D531" s="158"/>
      <c r="E531" s="158"/>
      <c r="F531" s="159"/>
      <c r="G531" s="157"/>
    </row>
    <row r="532" ht="15.75" customHeight="1">
      <c r="A532" s="156"/>
      <c r="B532" s="156"/>
      <c r="C532" s="156"/>
      <c r="D532" s="158"/>
      <c r="E532" s="158"/>
      <c r="F532" s="159"/>
      <c r="G532" s="157"/>
    </row>
    <row r="533" ht="15.75" customHeight="1">
      <c r="A533" s="156"/>
      <c r="B533" s="156"/>
      <c r="C533" s="156"/>
      <c r="D533" s="158"/>
      <c r="E533" s="158"/>
      <c r="F533" s="159"/>
      <c r="G533" s="157"/>
    </row>
    <row r="534" ht="15.75" customHeight="1">
      <c r="A534" s="156"/>
      <c r="B534" s="156"/>
      <c r="C534" s="156"/>
      <c r="D534" s="158"/>
      <c r="E534" s="158"/>
      <c r="F534" s="159"/>
      <c r="G534" s="157"/>
    </row>
    <row r="535" ht="15.75" customHeight="1">
      <c r="A535" s="156"/>
      <c r="B535" s="156"/>
      <c r="C535" s="156"/>
      <c r="D535" s="158"/>
      <c r="E535" s="158"/>
      <c r="F535" s="159"/>
      <c r="G535" s="157"/>
    </row>
    <row r="536" ht="15.75" customHeight="1">
      <c r="A536" s="156"/>
      <c r="B536" s="156"/>
      <c r="C536" s="156"/>
      <c r="D536" s="158"/>
      <c r="E536" s="158"/>
      <c r="F536" s="159"/>
      <c r="G536" s="157"/>
    </row>
    <row r="537" ht="15.75" customHeight="1">
      <c r="A537" s="156"/>
      <c r="B537" s="156"/>
      <c r="C537" s="156"/>
      <c r="D537" s="158"/>
      <c r="E537" s="158"/>
      <c r="F537" s="159"/>
      <c r="G537" s="157"/>
    </row>
    <row r="538" ht="15.75" customHeight="1">
      <c r="A538" s="156"/>
      <c r="B538" s="156"/>
      <c r="C538" s="156"/>
      <c r="D538" s="158"/>
      <c r="E538" s="158"/>
      <c r="F538" s="159"/>
      <c r="G538" s="157"/>
    </row>
    <row r="539" ht="15.75" customHeight="1">
      <c r="A539" s="156"/>
      <c r="B539" s="156"/>
      <c r="C539" s="156"/>
      <c r="D539" s="158"/>
      <c r="E539" s="158"/>
      <c r="F539" s="159"/>
      <c r="G539" s="157"/>
    </row>
    <row r="540" ht="15.75" customHeight="1">
      <c r="A540" s="156"/>
      <c r="B540" s="156"/>
      <c r="C540" s="156"/>
      <c r="D540" s="158"/>
      <c r="E540" s="158"/>
      <c r="F540" s="159"/>
      <c r="G540" s="157"/>
    </row>
    <row r="541" ht="15.75" customHeight="1">
      <c r="A541" s="156"/>
      <c r="B541" s="156"/>
      <c r="C541" s="156"/>
      <c r="D541" s="158"/>
      <c r="E541" s="158"/>
      <c r="F541" s="159"/>
      <c r="G541" s="157"/>
    </row>
    <row r="542" ht="15.75" customHeight="1">
      <c r="A542" s="156"/>
      <c r="B542" s="156"/>
      <c r="C542" s="156"/>
      <c r="D542" s="158"/>
      <c r="E542" s="158"/>
      <c r="F542" s="159"/>
      <c r="G542" s="157"/>
    </row>
    <row r="543" ht="15.75" customHeight="1">
      <c r="A543" s="156"/>
      <c r="B543" s="156"/>
      <c r="C543" s="156"/>
      <c r="D543" s="158"/>
      <c r="E543" s="158"/>
      <c r="F543" s="159"/>
      <c r="G543" s="157"/>
    </row>
    <row r="544" ht="15.75" customHeight="1">
      <c r="A544" s="156"/>
      <c r="B544" s="156"/>
      <c r="C544" s="156"/>
      <c r="D544" s="158"/>
      <c r="E544" s="158"/>
      <c r="F544" s="159"/>
      <c r="G544" s="157"/>
    </row>
    <row r="545" ht="15.75" customHeight="1">
      <c r="A545" s="156"/>
      <c r="B545" s="156"/>
      <c r="C545" s="156"/>
      <c r="D545" s="158"/>
      <c r="E545" s="158"/>
      <c r="F545" s="159"/>
      <c r="G545" s="157"/>
    </row>
    <row r="546" ht="15.75" customHeight="1">
      <c r="A546" s="156"/>
      <c r="B546" s="156"/>
      <c r="C546" s="156"/>
      <c r="D546" s="158"/>
      <c r="E546" s="158"/>
      <c r="F546" s="159"/>
      <c r="G546" s="157"/>
    </row>
    <row r="547" ht="15.75" customHeight="1">
      <c r="A547" s="156"/>
      <c r="B547" s="156"/>
      <c r="C547" s="156"/>
      <c r="D547" s="158"/>
      <c r="E547" s="158"/>
      <c r="F547" s="159"/>
      <c r="G547" s="157"/>
    </row>
    <row r="548" ht="15.75" customHeight="1">
      <c r="A548" s="156"/>
      <c r="B548" s="156"/>
      <c r="C548" s="156"/>
      <c r="D548" s="158"/>
      <c r="E548" s="158"/>
      <c r="F548" s="159"/>
      <c r="G548" s="157"/>
    </row>
    <row r="549" ht="15.75" customHeight="1">
      <c r="A549" s="156"/>
      <c r="B549" s="156"/>
      <c r="C549" s="156"/>
      <c r="D549" s="158"/>
      <c r="E549" s="158"/>
      <c r="F549" s="159"/>
      <c r="G549" s="157"/>
    </row>
    <row r="550" ht="15.75" customHeight="1">
      <c r="A550" s="156"/>
      <c r="B550" s="156"/>
      <c r="C550" s="156"/>
      <c r="D550" s="158"/>
      <c r="E550" s="158"/>
      <c r="F550" s="159"/>
      <c r="G550" s="157"/>
    </row>
    <row r="551" ht="15.75" customHeight="1">
      <c r="A551" s="156"/>
      <c r="B551" s="156"/>
      <c r="C551" s="156"/>
      <c r="D551" s="158"/>
      <c r="E551" s="158"/>
      <c r="F551" s="159"/>
      <c r="G551" s="157"/>
    </row>
    <row r="552" ht="15.75" customHeight="1">
      <c r="A552" s="156"/>
      <c r="B552" s="156"/>
      <c r="C552" s="156"/>
      <c r="D552" s="158"/>
      <c r="E552" s="158"/>
      <c r="F552" s="159"/>
      <c r="G552" s="157"/>
    </row>
    <row r="553" ht="15.75" customHeight="1">
      <c r="A553" s="156"/>
      <c r="B553" s="156"/>
      <c r="C553" s="156"/>
      <c r="D553" s="158"/>
      <c r="E553" s="158"/>
      <c r="F553" s="159"/>
      <c r="G553" s="157"/>
    </row>
    <row r="554" ht="15.75" customHeight="1">
      <c r="A554" s="156"/>
      <c r="B554" s="156"/>
      <c r="C554" s="156"/>
      <c r="D554" s="158"/>
      <c r="E554" s="158"/>
      <c r="F554" s="159"/>
      <c r="G554" s="157"/>
    </row>
    <row r="555" ht="15.75" customHeight="1">
      <c r="A555" s="156"/>
      <c r="B555" s="156"/>
      <c r="C555" s="156"/>
      <c r="D555" s="158"/>
      <c r="E555" s="158"/>
      <c r="F555" s="159"/>
      <c r="G555" s="157"/>
    </row>
    <row r="556" ht="15.75" customHeight="1">
      <c r="A556" s="156"/>
      <c r="B556" s="156"/>
      <c r="C556" s="156"/>
      <c r="D556" s="158"/>
      <c r="E556" s="158"/>
      <c r="F556" s="159"/>
      <c r="G556" s="157"/>
    </row>
    <row r="557" ht="15.75" customHeight="1">
      <c r="A557" s="156"/>
      <c r="B557" s="156"/>
      <c r="C557" s="156"/>
      <c r="D557" s="158"/>
      <c r="E557" s="158"/>
      <c r="F557" s="159"/>
      <c r="G557" s="157"/>
    </row>
    <row r="558" ht="15.75" customHeight="1">
      <c r="A558" s="156"/>
      <c r="B558" s="156"/>
      <c r="C558" s="156"/>
      <c r="D558" s="158"/>
      <c r="E558" s="158"/>
      <c r="F558" s="159"/>
      <c r="G558" s="157"/>
    </row>
    <row r="559" ht="15.75" customHeight="1">
      <c r="A559" s="156"/>
      <c r="B559" s="156"/>
      <c r="C559" s="156"/>
      <c r="D559" s="158"/>
      <c r="E559" s="158"/>
      <c r="F559" s="159"/>
      <c r="G559" s="157"/>
    </row>
    <row r="560" ht="15.75" customHeight="1">
      <c r="A560" s="156"/>
      <c r="B560" s="156"/>
      <c r="C560" s="156"/>
      <c r="D560" s="158"/>
      <c r="E560" s="158"/>
      <c r="F560" s="159"/>
      <c r="G560" s="157"/>
    </row>
    <row r="561" ht="15.75" customHeight="1">
      <c r="A561" s="156"/>
      <c r="B561" s="156"/>
      <c r="C561" s="156"/>
      <c r="D561" s="158"/>
      <c r="E561" s="158"/>
      <c r="F561" s="159"/>
      <c r="G561" s="157"/>
    </row>
    <row r="562" ht="15.75" customHeight="1">
      <c r="A562" s="156"/>
      <c r="B562" s="156"/>
      <c r="C562" s="156"/>
      <c r="D562" s="158"/>
      <c r="E562" s="158"/>
      <c r="F562" s="159"/>
      <c r="G562" s="157"/>
    </row>
    <row r="563" ht="15.75" customHeight="1">
      <c r="A563" s="156"/>
      <c r="B563" s="156"/>
      <c r="C563" s="156"/>
      <c r="D563" s="158"/>
      <c r="E563" s="158"/>
      <c r="F563" s="159"/>
      <c r="G563" s="157"/>
    </row>
    <row r="564" ht="15.75" customHeight="1">
      <c r="A564" s="156"/>
      <c r="B564" s="156"/>
      <c r="C564" s="156"/>
      <c r="D564" s="158"/>
      <c r="E564" s="158"/>
      <c r="F564" s="159"/>
      <c r="G564" s="157"/>
    </row>
    <row r="565" ht="15.75" customHeight="1">
      <c r="A565" s="156"/>
      <c r="B565" s="156"/>
      <c r="C565" s="156"/>
      <c r="D565" s="158"/>
      <c r="E565" s="158"/>
      <c r="F565" s="159"/>
      <c r="G565" s="157"/>
    </row>
    <row r="566" ht="15.75" customHeight="1">
      <c r="A566" s="156"/>
      <c r="B566" s="156"/>
      <c r="C566" s="156"/>
      <c r="D566" s="158"/>
      <c r="E566" s="158"/>
      <c r="F566" s="159"/>
      <c r="G566" s="157"/>
    </row>
    <row r="567" ht="15.75" customHeight="1">
      <c r="A567" s="156"/>
      <c r="B567" s="156"/>
      <c r="C567" s="156"/>
      <c r="D567" s="158"/>
      <c r="E567" s="158"/>
      <c r="F567" s="159"/>
      <c r="G567" s="157"/>
    </row>
    <row r="568" ht="15.75" customHeight="1">
      <c r="A568" s="156"/>
      <c r="B568" s="156"/>
      <c r="C568" s="156"/>
      <c r="D568" s="158"/>
      <c r="E568" s="158"/>
      <c r="F568" s="159"/>
      <c r="G568" s="157"/>
    </row>
    <row r="569" ht="15.75" customHeight="1">
      <c r="A569" s="156"/>
      <c r="B569" s="156"/>
      <c r="C569" s="156"/>
      <c r="D569" s="158"/>
      <c r="E569" s="158"/>
      <c r="F569" s="159"/>
      <c r="G569" s="157"/>
    </row>
    <row r="570" ht="15.75" customHeight="1">
      <c r="A570" s="156"/>
      <c r="B570" s="156"/>
      <c r="C570" s="156"/>
      <c r="D570" s="158"/>
      <c r="E570" s="158"/>
      <c r="F570" s="159"/>
      <c r="G570" s="157"/>
    </row>
    <row r="571" ht="15.75" customHeight="1">
      <c r="A571" s="156"/>
      <c r="B571" s="156"/>
      <c r="C571" s="156"/>
      <c r="D571" s="158"/>
      <c r="E571" s="158"/>
      <c r="F571" s="159"/>
      <c r="G571" s="157"/>
    </row>
    <row r="572" ht="15.75" customHeight="1">
      <c r="A572" s="156"/>
      <c r="B572" s="156"/>
      <c r="C572" s="156"/>
      <c r="D572" s="158"/>
      <c r="E572" s="158"/>
      <c r="F572" s="159"/>
      <c r="G572" s="157"/>
    </row>
    <row r="573" ht="15.75" customHeight="1">
      <c r="A573" s="156"/>
      <c r="B573" s="156"/>
      <c r="C573" s="156"/>
      <c r="D573" s="158"/>
      <c r="E573" s="158"/>
      <c r="F573" s="159"/>
      <c r="G573" s="157"/>
    </row>
    <row r="574" ht="15.75" customHeight="1">
      <c r="A574" s="156"/>
      <c r="B574" s="156"/>
      <c r="C574" s="156"/>
      <c r="D574" s="158"/>
      <c r="E574" s="158"/>
      <c r="F574" s="159"/>
      <c r="G574" s="157"/>
    </row>
    <row r="575" ht="15.75" customHeight="1">
      <c r="A575" s="156"/>
      <c r="B575" s="156"/>
      <c r="C575" s="156"/>
      <c r="D575" s="158"/>
      <c r="E575" s="158"/>
      <c r="F575" s="159"/>
      <c r="G575" s="157"/>
    </row>
    <row r="576" ht="15.75" customHeight="1">
      <c r="A576" s="156"/>
      <c r="B576" s="156"/>
      <c r="C576" s="156"/>
      <c r="D576" s="158"/>
      <c r="E576" s="158"/>
      <c r="F576" s="159"/>
      <c r="G576" s="157"/>
    </row>
    <row r="577" ht="15.75" customHeight="1">
      <c r="A577" s="156"/>
      <c r="B577" s="156"/>
      <c r="C577" s="156"/>
      <c r="D577" s="158"/>
      <c r="E577" s="158"/>
      <c r="F577" s="159"/>
      <c r="G577" s="157"/>
    </row>
    <row r="578" ht="15.75" customHeight="1">
      <c r="A578" s="156"/>
      <c r="B578" s="156"/>
      <c r="C578" s="156"/>
      <c r="D578" s="158"/>
      <c r="E578" s="158"/>
      <c r="F578" s="159"/>
      <c r="G578" s="157"/>
    </row>
    <row r="579" ht="15.75" customHeight="1">
      <c r="A579" s="156"/>
      <c r="B579" s="156"/>
      <c r="C579" s="156"/>
      <c r="D579" s="158"/>
      <c r="E579" s="158"/>
      <c r="F579" s="159"/>
      <c r="G579" s="157"/>
    </row>
    <row r="580" ht="15.75" customHeight="1">
      <c r="A580" s="156"/>
      <c r="B580" s="156"/>
      <c r="C580" s="156"/>
      <c r="D580" s="158"/>
      <c r="E580" s="158"/>
      <c r="F580" s="159"/>
      <c r="G580" s="157"/>
    </row>
    <row r="581" ht="15.75" customHeight="1">
      <c r="A581" s="156"/>
      <c r="B581" s="156"/>
      <c r="C581" s="156"/>
      <c r="D581" s="158"/>
      <c r="E581" s="158"/>
      <c r="F581" s="159"/>
      <c r="G581" s="157"/>
    </row>
    <row r="582" ht="15.75" customHeight="1">
      <c r="A582" s="156"/>
      <c r="B582" s="156"/>
      <c r="C582" s="156"/>
      <c r="D582" s="158"/>
      <c r="E582" s="158"/>
      <c r="F582" s="159"/>
      <c r="G582" s="157"/>
    </row>
    <row r="583" ht="15.75" customHeight="1">
      <c r="A583" s="156"/>
      <c r="B583" s="156"/>
      <c r="C583" s="156"/>
      <c r="D583" s="158"/>
      <c r="E583" s="158"/>
      <c r="F583" s="159"/>
      <c r="G583" s="157"/>
    </row>
    <row r="584" ht="15.75" customHeight="1">
      <c r="A584" s="156"/>
      <c r="B584" s="156"/>
      <c r="C584" s="156"/>
      <c r="D584" s="158"/>
      <c r="E584" s="158"/>
      <c r="F584" s="159"/>
      <c r="G584" s="157"/>
    </row>
    <row r="585" ht="15.75" customHeight="1">
      <c r="A585" s="156"/>
      <c r="B585" s="156"/>
      <c r="C585" s="156"/>
      <c r="D585" s="158"/>
      <c r="E585" s="158"/>
      <c r="F585" s="159"/>
      <c r="G585" s="157"/>
    </row>
    <row r="586" ht="15.75" customHeight="1">
      <c r="A586" s="156"/>
      <c r="B586" s="156"/>
      <c r="C586" s="156"/>
      <c r="D586" s="158"/>
      <c r="E586" s="158"/>
      <c r="F586" s="159"/>
      <c r="G586" s="157"/>
    </row>
    <row r="587" ht="15.75" customHeight="1">
      <c r="A587" s="156"/>
      <c r="B587" s="156"/>
      <c r="C587" s="156"/>
      <c r="D587" s="158"/>
      <c r="E587" s="158"/>
      <c r="F587" s="159"/>
      <c r="G587" s="157"/>
    </row>
    <row r="588" ht="15.75" customHeight="1">
      <c r="A588" s="156"/>
      <c r="B588" s="156"/>
      <c r="C588" s="156"/>
      <c r="D588" s="158"/>
      <c r="E588" s="158"/>
      <c r="F588" s="159"/>
      <c r="G588" s="157"/>
    </row>
    <row r="589" ht="15.75" customHeight="1">
      <c r="A589" s="156"/>
      <c r="B589" s="156"/>
      <c r="C589" s="156"/>
      <c r="D589" s="158"/>
      <c r="E589" s="158"/>
      <c r="F589" s="159"/>
      <c r="G589" s="157"/>
    </row>
    <row r="590" ht="15.75" customHeight="1">
      <c r="A590" s="156"/>
      <c r="B590" s="156"/>
      <c r="C590" s="156"/>
      <c r="D590" s="158"/>
      <c r="E590" s="158"/>
      <c r="F590" s="159"/>
      <c r="G590" s="157"/>
    </row>
    <row r="591" ht="15.75" customHeight="1">
      <c r="A591" s="156"/>
      <c r="B591" s="156"/>
      <c r="C591" s="156"/>
      <c r="D591" s="158"/>
      <c r="E591" s="158"/>
      <c r="F591" s="159"/>
      <c r="G591" s="157"/>
    </row>
    <row r="592" ht="15.75" customHeight="1">
      <c r="A592" s="156"/>
      <c r="B592" s="156"/>
      <c r="C592" s="156"/>
      <c r="D592" s="158"/>
      <c r="E592" s="158"/>
      <c r="F592" s="159"/>
      <c r="G592" s="157"/>
    </row>
    <row r="593" ht="15.75" customHeight="1">
      <c r="A593" s="156"/>
      <c r="B593" s="156"/>
      <c r="C593" s="156"/>
      <c r="D593" s="158"/>
      <c r="E593" s="158"/>
      <c r="F593" s="159"/>
      <c r="G593" s="157"/>
    </row>
    <row r="594" ht="15.75" customHeight="1">
      <c r="A594" s="156"/>
      <c r="B594" s="156"/>
      <c r="C594" s="156"/>
      <c r="D594" s="158"/>
      <c r="E594" s="158"/>
      <c r="F594" s="159"/>
      <c r="G594" s="157"/>
    </row>
    <row r="595" ht="15.75" customHeight="1">
      <c r="A595" s="156"/>
      <c r="B595" s="156"/>
      <c r="C595" s="156"/>
      <c r="D595" s="158"/>
      <c r="E595" s="158"/>
      <c r="F595" s="159"/>
      <c r="G595" s="157"/>
    </row>
    <row r="596" ht="15.75" customHeight="1">
      <c r="A596" s="156"/>
      <c r="B596" s="156"/>
      <c r="C596" s="156"/>
      <c r="D596" s="158"/>
      <c r="E596" s="158"/>
      <c r="F596" s="159"/>
      <c r="G596" s="157"/>
    </row>
    <row r="597" ht="15.75" customHeight="1">
      <c r="A597" s="156"/>
      <c r="B597" s="156"/>
      <c r="C597" s="156"/>
      <c r="D597" s="158"/>
      <c r="E597" s="158"/>
      <c r="F597" s="159"/>
      <c r="G597" s="157"/>
    </row>
    <row r="598" ht="15.75" customHeight="1">
      <c r="A598" s="156"/>
      <c r="B598" s="156"/>
      <c r="C598" s="156"/>
      <c r="D598" s="158"/>
      <c r="E598" s="158"/>
      <c r="F598" s="159"/>
      <c r="G598" s="157"/>
    </row>
    <row r="599" ht="15.75" customHeight="1">
      <c r="A599" s="156"/>
      <c r="B599" s="156"/>
      <c r="C599" s="156"/>
      <c r="D599" s="158"/>
      <c r="E599" s="158"/>
      <c r="F599" s="159"/>
      <c r="G599" s="157"/>
    </row>
    <row r="600" ht="15.75" customHeight="1">
      <c r="A600" s="156"/>
      <c r="B600" s="156"/>
      <c r="C600" s="156"/>
      <c r="D600" s="158"/>
      <c r="E600" s="158"/>
      <c r="F600" s="159"/>
      <c r="G600" s="157"/>
    </row>
    <row r="601" ht="15.75" customHeight="1">
      <c r="A601" s="156"/>
      <c r="B601" s="156"/>
      <c r="C601" s="156"/>
      <c r="D601" s="158"/>
      <c r="E601" s="158"/>
      <c r="F601" s="159"/>
      <c r="G601" s="157"/>
    </row>
    <row r="602" ht="15.75" customHeight="1">
      <c r="A602" s="156"/>
      <c r="B602" s="156"/>
      <c r="C602" s="156"/>
      <c r="D602" s="158"/>
      <c r="E602" s="158"/>
      <c r="F602" s="159"/>
      <c r="G602" s="157"/>
    </row>
    <row r="603" ht="15.75" customHeight="1">
      <c r="A603" s="156"/>
      <c r="B603" s="156"/>
      <c r="C603" s="156"/>
      <c r="D603" s="158"/>
      <c r="E603" s="158"/>
      <c r="F603" s="159"/>
      <c r="G603" s="157"/>
    </row>
    <row r="604" ht="15.75" customHeight="1">
      <c r="A604" s="156"/>
      <c r="B604" s="156"/>
      <c r="C604" s="156"/>
      <c r="D604" s="158"/>
      <c r="E604" s="158"/>
      <c r="F604" s="159"/>
      <c r="G604" s="157"/>
    </row>
    <row r="605" ht="15.75" customHeight="1">
      <c r="A605" s="156"/>
      <c r="B605" s="156"/>
      <c r="C605" s="156"/>
      <c r="D605" s="158"/>
      <c r="E605" s="158"/>
      <c r="F605" s="159"/>
      <c r="G605" s="157"/>
    </row>
    <row r="606" ht="15.75" customHeight="1">
      <c r="A606" s="156"/>
      <c r="B606" s="156"/>
      <c r="C606" s="156"/>
      <c r="D606" s="158"/>
      <c r="E606" s="158"/>
      <c r="F606" s="159"/>
      <c r="G606" s="157"/>
    </row>
    <row r="607" ht="15.75" customHeight="1">
      <c r="A607" s="156"/>
      <c r="B607" s="156"/>
      <c r="C607" s="156"/>
      <c r="D607" s="158"/>
      <c r="E607" s="158"/>
      <c r="F607" s="159"/>
      <c r="G607" s="157"/>
    </row>
    <row r="608" ht="15.75" customHeight="1">
      <c r="A608" s="156"/>
      <c r="B608" s="156"/>
      <c r="C608" s="156"/>
      <c r="D608" s="158"/>
      <c r="E608" s="158"/>
      <c r="F608" s="159"/>
      <c r="G608" s="157"/>
    </row>
    <row r="609" ht="15.75" customHeight="1">
      <c r="A609" s="156"/>
      <c r="B609" s="156"/>
      <c r="C609" s="156"/>
      <c r="D609" s="158"/>
      <c r="E609" s="158"/>
      <c r="F609" s="159"/>
      <c r="G609" s="157"/>
    </row>
    <row r="610" ht="15.75" customHeight="1">
      <c r="A610" s="156"/>
      <c r="B610" s="156"/>
      <c r="C610" s="156"/>
      <c r="D610" s="158"/>
      <c r="E610" s="158"/>
      <c r="F610" s="159"/>
      <c r="G610" s="157"/>
    </row>
    <row r="611" ht="15.75" customHeight="1">
      <c r="A611" s="156"/>
      <c r="B611" s="156"/>
      <c r="C611" s="156"/>
      <c r="D611" s="158"/>
      <c r="E611" s="158"/>
      <c r="F611" s="159"/>
      <c r="G611" s="157"/>
    </row>
    <row r="612" ht="15.75" customHeight="1">
      <c r="A612" s="156"/>
      <c r="B612" s="156"/>
      <c r="C612" s="156"/>
      <c r="D612" s="158"/>
      <c r="E612" s="158"/>
      <c r="F612" s="159"/>
      <c r="G612" s="157"/>
    </row>
    <row r="613" ht="15.75" customHeight="1">
      <c r="A613" s="156"/>
      <c r="B613" s="156"/>
      <c r="C613" s="156"/>
      <c r="D613" s="158"/>
      <c r="E613" s="158"/>
      <c r="F613" s="159"/>
      <c r="G613" s="157"/>
    </row>
    <row r="614" ht="15.75" customHeight="1">
      <c r="A614" s="156"/>
      <c r="B614" s="156"/>
      <c r="C614" s="156"/>
      <c r="D614" s="158"/>
      <c r="E614" s="158"/>
      <c r="F614" s="159"/>
      <c r="G614" s="157"/>
    </row>
    <row r="615" ht="15.75" customHeight="1">
      <c r="A615" s="156"/>
      <c r="B615" s="156"/>
      <c r="C615" s="156"/>
      <c r="D615" s="158"/>
      <c r="E615" s="158"/>
      <c r="F615" s="159"/>
      <c r="G615" s="157"/>
    </row>
    <row r="616" ht="15.75" customHeight="1">
      <c r="A616" s="156"/>
      <c r="B616" s="156"/>
      <c r="C616" s="156"/>
      <c r="D616" s="158"/>
      <c r="E616" s="158"/>
      <c r="F616" s="159"/>
      <c r="G616" s="157"/>
    </row>
    <row r="617" ht="15.75" customHeight="1">
      <c r="A617" s="156"/>
      <c r="B617" s="156"/>
      <c r="C617" s="156"/>
      <c r="D617" s="158"/>
      <c r="E617" s="158"/>
      <c r="F617" s="159"/>
      <c r="G617" s="157"/>
    </row>
    <row r="618" ht="15.75" customHeight="1">
      <c r="A618" s="156"/>
      <c r="B618" s="156"/>
      <c r="C618" s="156"/>
      <c r="D618" s="158"/>
      <c r="E618" s="158"/>
      <c r="F618" s="159"/>
      <c r="G618" s="157"/>
    </row>
    <row r="619" ht="15.75" customHeight="1">
      <c r="A619" s="156"/>
      <c r="B619" s="156"/>
      <c r="C619" s="156"/>
      <c r="D619" s="158"/>
      <c r="E619" s="158"/>
      <c r="F619" s="159"/>
      <c r="G619" s="157"/>
    </row>
    <row r="620" ht="15.75" customHeight="1">
      <c r="A620" s="156"/>
      <c r="B620" s="156"/>
      <c r="C620" s="156"/>
      <c r="D620" s="158"/>
      <c r="E620" s="158"/>
      <c r="F620" s="159"/>
      <c r="G620" s="157"/>
    </row>
    <row r="621" ht="15.75" customHeight="1">
      <c r="A621" s="156"/>
      <c r="B621" s="156"/>
      <c r="C621" s="156"/>
      <c r="D621" s="158"/>
      <c r="E621" s="158"/>
      <c r="F621" s="159"/>
      <c r="G621" s="157"/>
    </row>
    <row r="622" ht="15.75" customHeight="1">
      <c r="A622" s="156"/>
      <c r="B622" s="156"/>
      <c r="C622" s="156"/>
      <c r="D622" s="158"/>
      <c r="E622" s="158"/>
      <c r="F622" s="159"/>
      <c r="G622" s="157"/>
    </row>
    <row r="623" ht="15.75" customHeight="1">
      <c r="A623" s="156"/>
      <c r="B623" s="156"/>
      <c r="C623" s="156"/>
      <c r="D623" s="158"/>
      <c r="E623" s="158"/>
      <c r="F623" s="159"/>
      <c r="G623" s="157"/>
    </row>
    <row r="624" ht="15.75" customHeight="1">
      <c r="A624" s="156"/>
      <c r="B624" s="156"/>
      <c r="C624" s="156"/>
      <c r="D624" s="158"/>
      <c r="E624" s="158"/>
      <c r="F624" s="159"/>
      <c r="G624" s="157"/>
    </row>
    <row r="625" ht="15.75" customHeight="1">
      <c r="A625" s="156"/>
      <c r="B625" s="156"/>
      <c r="C625" s="156"/>
      <c r="D625" s="158"/>
      <c r="E625" s="158"/>
      <c r="F625" s="159"/>
      <c r="G625" s="157"/>
    </row>
    <row r="626" ht="15.75" customHeight="1">
      <c r="A626" s="156"/>
      <c r="B626" s="156"/>
      <c r="C626" s="156"/>
      <c r="D626" s="158"/>
      <c r="E626" s="158"/>
      <c r="F626" s="159"/>
      <c r="G626" s="157"/>
    </row>
    <row r="627" ht="15.75" customHeight="1">
      <c r="A627" s="156"/>
      <c r="B627" s="156"/>
      <c r="C627" s="156"/>
      <c r="D627" s="158"/>
      <c r="E627" s="158"/>
      <c r="F627" s="159"/>
      <c r="G627" s="157"/>
    </row>
    <row r="628" ht="15.75" customHeight="1">
      <c r="A628" s="156"/>
      <c r="B628" s="156"/>
      <c r="C628" s="156"/>
      <c r="D628" s="158"/>
      <c r="E628" s="158"/>
      <c r="F628" s="159"/>
      <c r="G628" s="157"/>
    </row>
    <row r="629" ht="15.75" customHeight="1">
      <c r="A629" s="156"/>
      <c r="B629" s="156"/>
      <c r="C629" s="156"/>
      <c r="D629" s="158"/>
      <c r="E629" s="158"/>
      <c r="F629" s="159"/>
      <c r="G629" s="157"/>
    </row>
    <row r="630" ht="15.75" customHeight="1">
      <c r="A630" s="156"/>
      <c r="B630" s="156"/>
      <c r="C630" s="156"/>
      <c r="D630" s="158"/>
      <c r="E630" s="158"/>
      <c r="F630" s="159"/>
      <c r="G630" s="157"/>
    </row>
    <row r="631" ht="15.75" customHeight="1">
      <c r="A631" s="156"/>
      <c r="B631" s="156"/>
      <c r="C631" s="156"/>
      <c r="D631" s="158"/>
      <c r="E631" s="158"/>
      <c r="F631" s="159"/>
      <c r="G631" s="157"/>
    </row>
    <row r="632" ht="15.75" customHeight="1">
      <c r="A632" s="156"/>
      <c r="B632" s="156"/>
      <c r="C632" s="156"/>
      <c r="D632" s="158"/>
      <c r="E632" s="158"/>
      <c r="F632" s="159"/>
      <c r="G632" s="157"/>
    </row>
    <row r="633" ht="15.75" customHeight="1">
      <c r="A633" s="156"/>
      <c r="B633" s="156"/>
      <c r="C633" s="156"/>
      <c r="D633" s="158"/>
      <c r="E633" s="158"/>
      <c r="F633" s="159"/>
      <c r="G633" s="157"/>
    </row>
    <row r="634" ht="15.75" customHeight="1">
      <c r="A634" s="156"/>
      <c r="B634" s="156"/>
      <c r="C634" s="156"/>
      <c r="D634" s="158"/>
      <c r="E634" s="158"/>
      <c r="F634" s="159"/>
      <c r="G634" s="157"/>
    </row>
    <row r="635" ht="15.75" customHeight="1">
      <c r="A635" s="156"/>
      <c r="B635" s="156"/>
      <c r="C635" s="156"/>
      <c r="D635" s="158"/>
      <c r="E635" s="158"/>
      <c r="F635" s="159"/>
      <c r="G635" s="157"/>
    </row>
    <row r="636" ht="15.75" customHeight="1">
      <c r="A636" s="156"/>
      <c r="B636" s="156"/>
      <c r="C636" s="156"/>
      <c r="D636" s="158"/>
      <c r="E636" s="158"/>
      <c r="F636" s="159"/>
      <c r="G636" s="157"/>
    </row>
    <row r="637" ht="15.75" customHeight="1">
      <c r="A637" s="156"/>
      <c r="B637" s="156"/>
      <c r="C637" s="156"/>
      <c r="D637" s="158"/>
      <c r="E637" s="158"/>
      <c r="F637" s="159"/>
      <c r="G637" s="157"/>
    </row>
    <row r="638" ht="15.75" customHeight="1">
      <c r="A638" s="156"/>
      <c r="B638" s="156"/>
      <c r="C638" s="156"/>
      <c r="D638" s="158"/>
      <c r="E638" s="158"/>
      <c r="F638" s="159"/>
      <c r="G638" s="157"/>
    </row>
    <row r="639" ht="15.75" customHeight="1">
      <c r="A639" s="156"/>
      <c r="B639" s="156"/>
      <c r="C639" s="156"/>
      <c r="D639" s="158"/>
      <c r="E639" s="158"/>
      <c r="F639" s="159"/>
      <c r="G639" s="157"/>
    </row>
    <row r="640" ht="15.75" customHeight="1">
      <c r="A640" s="156"/>
      <c r="B640" s="156"/>
      <c r="C640" s="156"/>
      <c r="D640" s="158"/>
      <c r="E640" s="158"/>
      <c r="F640" s="159"/>
      <c r="G640" s="157"/>
    </row>
    <row r="641" ht="15.75" customHeight="1">
      <c r="A641" s="156"/>
      <c r="B641" s="156"/>
      <c r="C641" s="156"/>
      <c r="D641" s="158"/>
      <c r="E641" s="158"/>
      <c r="F641" s="159"/>
      <c r="G641" s="157"/>
    </row>
    <row r="642" ht="15.75" customHeight="1">
      <c r="A642" s="156"/>
      <c r="B642" s="156"/>
      <c r="C642" s="156"/>
      <c r="D642" s="158"/>
      <c r="E642" s="158"/>
      <c r="F642" s="159"/>
      <c r="G642" s="157"/>
    </row>
    <row r="643" ht="15.75" customHeight="1">
      <c r="A643" s="156"/>
      <c r="B643" s="156"/>
      <c r="C643" s="156"/>
      <c r="D643" s="158"/>
      <c r="E643" s="158"/>
      <c r="F643" s="159"/>
      <c r="G643" s="157"/>
    </row>
    <row r="644" ht="15.75" customHeight="1">
      <c r="A644" s="156"/>
      <c r="B644" s="156"/>
      <c r="C644" s="156"/>
      <c r="D644" s="158"/>
      <c r="E644" s="158"/>
      <c r="F644" s="159"/>
      <c r="G644" s="157"/>
    </row>
    <row r="645" ht="15.75" customHeight="1">
      <c r="A645" s="156"/>
      <c r="B645" s="156"/>
      <c r="C645" s="156"/>
      <c r="D645" s="158"/>
      <c r="E645" s="158"/>
      <c r="F645" s="159"/>
      <c r="G645" s="157"/>
    </row>
    <row r="646" ht="15.75" customHeight="1">
      <c r="A646" s="156"/>
      <c r="B646" s="156"/>
      <c r="C646" s="156"/>
      <c r="D646" s="158"/>
      <c r="E646" s="158"/>
      <c r="F646" s="159"/>
      <c r="G646" s="157"/>
    </row>
    <row r="647" ht="15.75" customHeight="1">
      <c r="A647" s="156"/>
      <c r="B647" s="156"/>
      <c r="C647" s="156"/>
      <c r="D647" s="158"/>
      <c r="E647" s="158"/>
      <c r="F647" s="159"/>
      <c r="G647" s="157"/>
    </row>
    <row r="648" ht="15.75" customHeight="1">
      <c r="A648" s="156"/>
      <c r="B648" s="156"/>
      <c r="C648" s="156"/>
      <c r="D648" s="158"/>
      <c r="E648" s="158"/>
      <c r="F648" s="159"/>
      <c r="G648" s="157"/>
    </row>
    <row r="649" ht="15.75" customHeight="1">
      <c r="A649" s="156"/>
      <c r="B649" s="156"/>
      <c r="C649" s="156"/>
      <c r="D649" s="158"/>
      <c r="E649" s="158"/>
      <c r="F649" s="159"/>
      <c r="G649" s="157"/>
    </row>
    <row r="650" ht="15.75" customHeight="1">
      <c r="A650" s="156"/>
      <c r="B650" s="156"/>
      <c r="C650" s="156"/>
      <c r="D650" s="158"/>
      <c r="E650" s="158"/>
      <c r="F650" s="159"/>
      <c r="G650" s="157"/>
    </row>
    <row r="651" ht="15.75" customHeight="1">
      <c r="A651" s="156"/>
      <c r="B651" s="156"/>
      <c r="C651" s="156"/>
      <c r="D651" s="158"/>
      <c r="E651" s="158"/>
      <c r="F651" s="159"/>
      <c r="G651" s="157"/>
    </row>
    <row r="652" ht="15.75" customHeight="1">
      <c r="A652" s="156"/>
      <c r="B652" s="156"/>
      <c r="C652" s="156"/>
      <c r="D652" s="158"/>
      <c r="E652" s="158"/>
      <c r="F652" s="159"/>
      <c r="G652" s="157"/>
    </row>
    <row r="653" ht="15.75" customHeight="1">
      <c r="A653" s="156"/>
      <c r="B653" s="156"/>
      <c r="C653" s="156"/>
      <c r="D653" s="158"/>
      <c r="E653" s="158"/>
      <c r="F653" s="159"/>
      <c r="G653" s="157"/>
    </row>
    <row r="654" ht="15.75" customHeight="1">
      <c r="A654" s="156"/>
      <c r="B654" s="156"/>
      <c r="C654" s="156"/>
      <c r="D654" s="158"/>
      <c r="E654" s="158"/>
      <c r="F654" s="159"/>
      <c r="G654" s="157"/>
    </row>
    <row r="655" ht="15.75" customHeight="1">
      <c r="A655" s="156"/>
      <c r="B655" s="156"/>
      <c r="C655" s="156"/>
      <c r="D655" s="158"/>
      <c r="E655" s="158"/>
      <c r="F655" s="159"/>
      <c r="G655" s="157"/>
    </row>
    <row r="656" ht="15.75" customHeight="1">
      <c r="A656" s="156"/>
      <c r="B656" s="156"/>
      <c r="C656" s="156"/>
      <c r="D656" s="158"/>
      <c r="E656" s="158"/>
      <c r="F656" s="159"/>
      <c r="G656" s="157"/>
    </row>
    <row r="657" ht="15.75" customHeight="1">
      <c r="A657" s="156"/>
      <c r="B657" s="156"/>
      <c r="C657" s="156"/>
      <c r="D657" s="158"/>
      <c r="E657" s="158"/>
      <c r="F657" s="159"/>
      <c r="G657" s="157"/>
    </row>
    <row r="658" ht="15.75" customHeight="1">
      <c r="A658" s="156"/>
      <c r="B658" s="156"/>
      <c r="C658" s="156"/>
      <c r="D658" s="158"/>
      <c r="E658" s="158"/>
      <c r="F658" s="159"/>
      <c r="G658" s="157"/>
    </row>
    <row r="659" ht="15.75" customHeight="1">
      <c r="A659" s="156"/>
      <c r="B659" s="156"/>
      <c r="C659" s="156"/>
      <c r="D659" s="158"/>
      <c r="E659" s="158"/>
      <c r="F659" s="159"/>
      <c r="G659" s="157"/>
    </row>
    <row r="660" ht="15.75" customHeight="1">
      <c r="A660" s="156"/>
      <c r="B660" s="156"/>
      <c r="C660" s="156"/>
      <c r="D660" s="158"/>
      <c r="E660" s="158"/>
      <c r="F660" s="159"/>
      <c r="G660" s="157"/>
    </row>
    <row r="661" ht="15.75" customHeight="1">
      <c r="A661" s="156"/>
      <c r="B661" s="156"/>
      <c r="C661" s="156"/>
      <c r="D661" s="158"/>
      <c r="E661" s="158"/>
      <c r="F661" s="159"/>
      <c r="G661" s="157"/>
    </row>
    <row r="662" ht="15.75" customHeight="1">
      <c r="A662" s="156"/>
      <c r="B662" s="156"/>
      <c r="C662" s="156"/>
      <c r="D662" s="158"/>
      <c r="E662" s="158"/>
      <c r="F662" s="159"/>
      <c r="G662" s="157"/>
    </row>
    <row r="663" ht="15.75" customHeight="1">
      <c r="A663" s="156"/>
      <c r="B663" s="156"/>
      <c r="C663" s="156"/>
      <c r="D663" s="158"/>
      <c r="E663" s="158"/>
      <c r="F663" s="159"/>
      <c r="G663" s="157"/>
    </row>
    <row r="664" ht="15.75" customHeight="1">
      <c r="A664" s="156"/>
      <c r="B664" s="156"/>
      <c r="C664" s="156"/>
      <c r="D664" s="158"/>
      <c r="E664" s="158"/>
      <c r="F664" s="159"/>
      <c r="G664" s="157"/>
    </row>
    <row r="665" ht="15.75" customHeight="1">
      <c r="A665" s="156"/>
      <c r="B665" s="156"/>
      <c r="C665" s="156"/>
      <c r="D665" s="158"/>
      <c r="E665" s="158"/>
      <c r="F665" s="159"/>
      <c r="G665" s="157"/>
    </row>
    <row r="666" ht="15.75" customHeight="1">
      <c r="A666" s="156"/>
      <c r="B666" s="156"/>
      <c r="C666" s="156"/>
      <c r="D666" s="158"/>
      <c r="E666" s="158"/>
      <c r="F666" s="159"/>
      <c r="G666" s="157"/>
    </row>
    <row r="667" ht="15.75" customHeight="1">
      <c r="A667" s="156"/>
      <c r="B667" s="156"/>
      <c r="C667" s="156"/>
      <c r="D667" s="158"/>
      <c r="E667" s="158"/>
      <c r="F667" s="159"/>
      <c r="G667" s="157"/>
    </row>
    <row r="668" ht="15.75" customHeight="1">
      <c r="A668" s="156"/>
      <c r="B668" s="156"/>
      <c r="C668" s="156"/>
      <c r="D668" s="158"/>
      <c r="E668" s="158"/>
      <c r="F668" s="159"/>
      <c r="G668" s="157"/>
    </row>
    <row r="669" ht="15.75" customHeight="1">
      <c r="A669" s="156"/>
      <c r="B669" s="156"/>
      <c r="C669" s="156"/>
      <c r="D669" s="158"/>
      <c r="E669" s="158"/>
      <c r="F669" s="159"/>
      <c r="G669" s="157"/>
    </row>
    <row r="670" ht="15.75" customHeight="1">
      <c r="A670" s="156"/>
      <c r="B670" s="156"/>
      <c r="C670" s="156"/>
      <c r="D670" s="158"/>
      <c r="E670" s="158"/>
      <c r="F670" s="159"/>
      <c r="G670" s="157"/>
    </row>
    <row r="671" ht="15.75" customHeight="1">
      <c r="A671" s="156"/>
      <c r="B671" s="156"/>
      <c r="C671" s="156"/>
      <c r="D671" s="158"/>
      <c r="E671" s="158"/>
      <c r="F671" s="159"/>
      <c r="G671" s="157"/>
    </row>
    <row r="672" ht="15.75" customHeight="1">
      <c r="A672" s="156"/>
      <c r="B672" s="156"/>
      <c r="C672" s="156"/>
      <c r="D672" s="158"/>
      <c r="E672" s="158"/>
      <c r="F672" s="159"/>
      <c r="G672" s="157"/>
    </row>
    <row r="673" ht="15.75" customHeight="1">
      <c r="A673" s="156"/>
      <c r="B673" s="156"/>
      <c r="C673" s="156"/>
      <c r="D673" s="158"/>
      <c r="E673" s="158"/>
      <c r="F673" s="159"/>
      <c r="G673" s="157"/>
    </row>
    <row r="674" ht="15.75" customHeight="1">
      <c r="A674" s="156"/>
      <c r="B674" s="156"/>
      <c r="C674" s="156"/>
      <c r="D674" s="158"/>
      <c r="E674" s="158"/>
      <c r="F674" s="159"/>
      <c r="G674" s="157"/>
    </row>
    <row r="675" ht="15.75" customHeight="1">
      <c r="A675" s="156"/>
      <c r="B675" s="156"/>
      <c r="C675" s="156"/>
      <c r="D675" s="158"/>
      <c r="E675" s="158"/>
      <c r="F675" s="159"/>
      <c r="G675" s="157"/>
    </row>
    <row r="676" ht="15.75" customHeight="1">
      <c r="A676" s="156"/>
      <c r="B676" s="156"/>
      <c r="C676" s="156"/>
      <c r="D676" s="158"/>
      <c r="E676" s="158"/>
      <c r="F676" s="159"/>
      <c r="G676" s="157"/>
    </row>
    <row r="677" ht="15.75" customHeight="1">
      <c r="A677" s="156"/>
      <c r="B677" s="156"/>
      <c r="C677" s="156"/>
      <c r="D677" s="158"/>
      <c r="E677" s="158"/>
      <c r="F677" s="159"/>
      <c r="G677" s="157"/>
    </row>
    <row r="678" ht="15.75" customHeight="1">
      <c r="A678" s="156"/>
      <c r="B678" s="156"/>
      <c r="C678" s="156"/>
      <c r="D678" s="158"/>
      <c r="E678" s="158"/>
      <c r="F678" s="159"/>
      <c r="G678" s="157"/>
    </row>
    <row r="679" ht="15.75" customHeight="1">
      <c r="A679" s="156"/>
      <c r="B679" s="156"/>
      <c r="C679" s="156"/>
      <c r="D679" s="158"/>
      <c r="E679" s="158"/>
      <c r="F679" s="159"/>
      <c r="G679" s="157"/>
    </row>
    <row r="680" ht="15.75" customHeight="1">
      <c r="A680" s="156"/>
      <c r="B680" s="156"/>
      <c r="C680" s="156"/>
      <c r="D680" s="158"/>
      <c r="E680" s="158"/>
      <c r="F680" s="159"/>
      <c r="G680" s="157"/>
    </row>
    <row r="681" ht="15.75" customHeight="1">
      <c r="A681" s="156"/>
      <c r="B681" s="156"/>
      <c r="C681" s="156"/>
      <c r="D681" s="158"/>
      <c r="E681" s="158"/>
      <c r="F681" s="159"/>
      <c r="G681" s="157"/>
    </row>
    <row r="682" ht="15.75" customHeight="1">
      <c r="A682" s="156"/>
      <c r="B682" s="156"/>
      <c r="C682" s="156"/>
      <c r="D682" s="158"/>
      <c r="E682" s="158"/>
      <c r="F682" s="159"/>
      <c r="G682" s="157"/>
    </row>
    <row r="683" ht="15.75" customHeight="1">
      <c r="A683" s="156"/>
      <c r="B683" s="156"/>
      <c r="C683" s="156"/>
      <c r="D683" s="158"/>
      <c r="E683" s="158"/>
      <c r="F683" s="159"/>
      <c r="G683" s="157"/>
    </row>
    <row r="684" ht="15.75" customHeight="1">
      <c r="A684" s="156"/>
      <c r="B684" s="156"/>
      <c r="C684" s="156"/>
      <c r="D684" s="158"/>
      <c r="E684" s="158"/>
      <c r="F684" s="159"/>
      <c r="G684" s="157"/>
    </row>
    <row r="685" ht="15.75" customHeight="1">
      <c r="A685" s="156"/>
      <c r="B685" s="156"/>
      <c r="C685" s="156"/>
      <c r="D685" s="158"/>
      <c r="E685" s="158"/>
      <c r="F685" s="159"/>
      <c r="G685" s="157"/>
    </row>
    <row r="686" ht="15.75" customHeight="1">
      <c r="A686" s="156"/>
      <c r="B686" s="156"/>
      <c r="C686" s="156"/>
      <c r="D686" s="158"/>
      <c r="E686" s="158"/>
      <c r="F686" s="159"/>
      <c r="G686" s="157"/>
    </row>
    <row r="687" ht="15.75" customHeight="1">
      <c r="A687" s="156"/>
      <c r="B687" s="156"/>
      <c r="C687" s="156"/>
      <c r="D687" s="158"/>
      <c r="E687" s="158"/>
      <c r="F687" s="159"/>
      <c r="G687" s="157"/>
    </row>
    <row r="688" ht="15.75" customHeight="1">
      <c r="A688" s="156"/>
      <c r="B688" s="156"/>
      <c r="C688" s="156"/>
      <c r="D688" s="158"/>
      <c r="E688" s="158"/>
      <c r="F688" s="159"/>
      <c r="G688" s="157"/>
    </row>
    <row r="689" ht="15.75" customHeight="1">
      <c r="A689" s="156"/>
      <c r="B689" s="156"/>
      <c r="C689" s="156"/>
      <c r="D689" s="158"/>
      <c r="E689" s="158"/>
      <c r="F689" s="159"/>
      <c r="G689" s="157"/>
    </row>
    <row r="690" ht="15.75" customHeight="1">
      <c r="A690" s="156"/>
      <c r="B690" s="156"/>
      <c r="C690" s="156"/>
      <c r="D690" s="158"/>
      <c r="E690" s="158"/>
      <c r="F690" s="159"/>
      <c r="G690" s="157"/>
    </row>
    <row r="691" ht="15.75" customHeight="1">
      <c r="A691" s="156"/>
      <c r="B691" s="156"/>
      <c r="C691" s="156"/>
      <c r="D691" s="158"/>
      <c r="E691" s="158"/>
      <c r="F691" s="159"/>
      <c r="G691" s="157"/>
    </row>
    <row r="692" ht="15.75" customHeight="1">
      <c r="A692" s="156"/>
      <c r="B692" s="156"/>
      <c r="C692" s="156"/>
      <c r="D692" s="158"/>
      <c r="E692" s="158"/>
      <c r="F692" s="159"/>
      <c r="G692" s="157"/>
    </row>
    <row r="693" ht="15.75" customHeight="1">
      <c r="A693" s="156"/>
      <c r="B693" s="156"/>
      <c r="C693" s="156"/>
      <c r="D693" s="158"/>
      <c r="E693" s="158"/>
      <c r="F693" s="159"/>
      <c r="G693" s="157"/>
    </row>
    <row r="694" ht="15.75" customHeight="1">
      <c r="A694" s="156"/>
      <c r="B694" s="156"/>
      <c r="C694" s="156"/>
      <c r="D694" s="158"/>
      <c r="E694" s="158"/>
      <c r="F694" s="159"/>
      <c r="G694" s="157"/>
    </row>
    <row r="695" ht="15.75" customHeight="1">
      <c r="A695" s="156"/>
      <c r="B695" s="156"/>
      <c r="C695" s="156"/>
      <c r="D695" s="158"/>
      <c r="E695" s="158"/>
      <c r="F695" s="159"/>
      <c r="G695" s="157"/>
    </row>
    <row r="696" ht="15.75" customHeight="1">
      <c r="A696" s="156"/>
      <c r="B696" s="156"/>
      <c r="C696" s="156"/>
      <c r="D696" s="158"/>
      <c r="E696" s="158"/>
      <c r="F696" s="159"/>
      <c r="G696" s="157"/>
    </row>
    <row r="697" ht="15.75" customHeight="1">
      <c r="A697" s="156"/>
      <c r="B697" s="156"/>
      <c r="C697" s="156"/>
      <c r="D697" s="158"/>
      <c r="E697" s="158"/>
      <c r="F697" s="159"/>
      <c r="G697" s="157"/>
    </row>
    <row r="698" ht="15.75" customHeight="1">
      <c r="A698" s="156"/>
      <c r="B698" s="156"/>
      <c r="C698" s="156"/>
      <c r="D698" s="158"/>
      <c r="E698" s="158"/>
      <c r="F698" s="159"/>
      <c r="G698" s="157"/>
    </row>
    <row r="699" ht="15.75" customHeight="1">
      <c r="A699" s="156"/>
      <c r="B699" s="156"/>
      <c r="C699" s="156"/>
      <c r="D699" s="158"/>
      <c r="E699" s="158"/>
      <c r="F699" s="159"/>
      <c r="G699" s="157"/>
    </row>
    <row r="700" ht="15.75" customHeight="1">
      <c r="A700" s="156"/>
      <c r="B700" s="156"/>
      <c r="C700" s="156"/>
      <c r="D700" s="158"/>
      <c r="E700" s="158"/>
      <c r="F700" s="159"/>
      <c r="G700" s="157"/>
    </row>
    <row r="701" ht="15.75" customHeight="1">
      <c r="A701" s="156"/>
      <c r="B701" s="156"/>
      <c r="C701" s="156"/>
      <c r="D701" s="158"/>
      <c r="E701" s="158"/>
      <c r="F701" s="159"/>
      <c r="G701" s="157"/>
    </row>
    <row r="702" ht="15.75" customHeight="1">
      <c r="A702" s="156"/>
      <c r="B702" s="156"/>
      <c r="C702" s="156"/>
      <c r="D702" s="158"/>
      <c r="E702" s="158"/>
      <c r="F702" s="159"/>
      <c r="G702" s="157"/>
    </row>
    <row r="703" ht="15.75" customHeight="1">
      <c r="A703" s="156"/>
      <c r="B703" s="156"/>
      <c r="C703" s="156"/>
      <c r="D703" s="158"/>
      <c r="E703" s="158"/>
      <c r="F703" s="159"/>
      <c r="G703" s="157"/>
    </row>
    <row r="704" ht="15.75" customHeight="1">
      <c r="A704" s="156"/>
      <c r="B704" s="156"/>
      <c r="C704" s="156"/>
      <c r="D704" s="158"/>
      <c r="E704" s="158"/>
      <c r="F704" s="159"/>
      <c r="G704" s="157"/>
    </row>
    <row r="705" ht="15.75" customHeight="1">
      <c r="A705" s="156"/>
      <c r="B705" s="156"/>
      <c r="C705" s="156"/>
      <c r="D705" s="158"/>
      <c r="E705" s="158"/>
      <c r="F705" s="159"/>
      <c r="G705" s="157"/>
    </row>
    <row r="706" ht="15.75" customHeight="1">
      <c r="A706" s="156"/>
      <c r="B706" s="156"/>
      <c r="C706" s="156"/>
      <c r="D706" s="158"/>
      <c r="E706" s="158"/>
      <c r="F706" s="159"/>
      <c r="G706" s="157"/>
    </row>
    <row r="707" ht="15.75" customHeight="1">
      <c r="A707" s="156"/>
      <c r="B707" s="156"/>
      <c r="C707" s="156"/>
      <c r="D707" s="158"/>
      <c r="E707" s="158"/>
      <c r="F707" s="159"/>
      <c r="G707" s="157"/>
    </row>
    <row r="708" ht="15.75" customHeight="1">
      <c r="A708" s="156"/>
      <c r="B708" s="156"/>
      <c r="C708" s="156"/>
      <c r="D708" s="158"/>
      <c r="E708" s="158"/>
      <c r="F708" s="159"/>
      <c r="G708" s="157"/>
    </row>
    <row r="709" ht="15.75" customHeight="1">
      <c r="A709" s="156"/>
      <c r="B709" s="156"/>
      <c r="C709" s="156"/>
      <c r="D709" s="158"/>
      <c r="E709" s="158"/>
      <c r="F709" s="159"/>
      <c r="G709" s="157"/>
    </row>
    <row r="710" ht="15.75" customHeight="1">
      <c r="A710" s="156"/>
      <c r="B710" s="156"/>
      <c r="C710" s="156"/>
      <c r="D710" s="158"/>
      <c r="E710" s="158"/>
      <c r="F710" s="159"/>
      <c r="G710" s="157"/>
    </row>
    <row r="711" ht="15.75" customHeight="1">
      <c r="A711" s="156"/>
      <c r="B711" s="156"/>
      <c r="C711" s="156"/>
      <c r="D711" s="158"/>
      <c r="E711" s="158"/>
      <c r="F711" s="159"/>
      <c r="G711" s="157"/>
    </row>
    <row r="712" ht="15.75" customHeight="1">
      <c r="A712" s="156"/>
      <c r="B712" s="156"/>
      <c r="C712" s="156"/>
      <c r="D712" s="158"/>
      <c r="E712" s="158"/>
      <c r="F712" s="159"/>
      <c r="G712" s="157"/>
    </row>
    <row r="713" ht="15.75" customHeight="1">
      <c r="A713" s="156"/>
      <c r="B713" s="156"/>
      <c r="C713" s="156"/>
      <c r="D713" s="158"/>
      <c r="E713" s="158"/>
      <c r="F713" s="159"/>
      <c r="G713" s="157"/>
    </row>
    <row r="714" ht="15.75" customHeight="1">
      <c r="A714" s="156"/>
      <c r="B714" s="156"/>
      <c r="C714" s="156"/>
      <c r="D714" s="158"/>
      <c r="E714" s="158"/>
      <c r="F714" s="159"/>
      <c r="G714" s="157"/>
    </row>
    <row r="715" ht="15.75" customHeight="1">
      <c r="A715" s="156"/>
      <c r="B715" s="156"/>
      <c r="C715" s="156"/>
      <c r="D715" s="158"/>
      <c r="E715" s="158"/>
      <c r="F715" s="159"/>
      <c r="G715" s="157"/>
    </row>
    <row r="716" ht="15.75" customHeight="1">
      <c r="A716" s="156"/>
      <c r="B716" s="156"/>
      <c r="C716" s="156"/>
      <c r="D716" s="158"/>
      <c r="E716" s="158"/>
      <c r="F716" s="159"/>
      <c r="G716" s="157"/>
    </row>
    <row r="717" ht="15.75" customHeight="1">
      <c r="A717" s="156"/>
      <c r="B717" s="156"/>
      <c r="C717" s="156"/>
      <c r="D717" s="158"/>
      <c r="E717" s="158"/>
      <c r="F717" s="159"/>
      <c r="G717" s="157"/>
    </row>
    <row r="718" ht="15.75" customHeight="1">
      <c r="A718" s="156"/>
      <c r="B718" s="156"/>
      <c r="C718" s="156"/>
      <c r="D718" s="158"/>
      <c r="E718" s="158"/>
      <c r="F718" s="159"/>
      <c r="G718" s="157"/>
    </row>
    <row r="719" ht="15.75" customHeight="1">
      <c r="A719" s="156"/>
      <c r="B719" s="156"/>
      <c r="C719" s="156"/>
      <c r="D719" s="158"/>
      <c r="E719" s="158"/>
      <c r="F719" s="159"/>
      <c r="G719" s="157"/>
    </row>
    <row r="720" ht="15.75" customHeight="1">
      <c r="A720" s="156"/>
      <c r="B720" s="156"/>
      <c r="C720" s="156"/>
      <c r="D720" s="158"/>
      <c r="E720" s="158"/>
      <c r="F720" s="159"/>
      <c r="G720" s="157"/>
    </row>
    <row r="721" ht="15.75" customHeight="1">
      <c r="A721" s="156"/>
      <c r="B721" s="156"/>
      <c r="C721" s="156"/>
      <c r="D721" s="158"/>
      <c r="E721" s="158"/>
      <c r="F721" s="159"/>
      <c r="G721" s="157"/>
    </row>
    <row r="722" ht="15.75" customHeight="1">
      <c r="A722" s="156"/>
      <c r="B722" s="156"/>
      <c r="C722" s="156"/>
      <c r="D722" s="158"/>
      <c r="E722" s="158"/>
      <c r="F722" s="159"/>
      <c r="G722" s="157"/>
    </row>
    <row r="723" ht="15.75" customHeight="1">
      <c r="A723" s="156"/>
      <c r="B723" s="156"/>
      <c r="C723" s="156"/>
      <c r="D723" s="158"/>
      <c r="E723" s="158"/>
      <c r="F723" s="159"/>
      <c r="G723" s="157"/>
    </row>
    <row r="724" ht="15.75" customHeight="1">
      <c r="A724" s="156"/>
      <c r="B724" s="156"/>
      <c r="C724" s="156"/>
      <c r="D724" s="158"/>
      <c r="E724" s="158"/>
      <c r="F724" s="159"/>
      <c r="G724" s="157"/>
    </row>
    <row r="725" ht="15.75" customHeight="1">
      <c r="A725" s="156"/>
      <c r="B725" s="156"/>
      <c r="C725" s="156"/>
      <c r="D725" s="158"/>
      <c r="E725" s="158"/>
      <c r="F725" s="159"/>
      <c r="G725" s="157"/>
    </row>
    <row r="726" ht="15.75" customHeight="1">
      <c r="A726" s="156"/>
      <c r="B726" s="156"/>
      <c r="C726" s="156"/>
      <c r="D726" s="158"/>
      <c r="E726" s="158"/>
      <c r="F726" s="159"/>
      <c r="G726" s="157"/>
    </row>
    <row r="727" ht="15.75" customHeight="1">
      <c r="A727" s="156"/>
      <c r="B727" s="156"/>
      <c r="C727" s="156"/>
      <c r="D727" s="158"/>
      <c r="E727" s="158"/>
      <c r="F727" s="159"/>
      <c r="G727" s="157"/>
    </row>
    <row r="728" ht="15.75" customHeight="1">
      <c r="A728" s="156"/>
      <c r="B728" s="156"/>
      <c r="C728" s="156"/>
      <c r="D728" s="158"/>
      <c r="E728" s="158"/>
      <c r="F728" s="159"/>
      <c r="G728" s="157"/>
    </row>
    <row r="729" ht="15.75" customHeight="1">
      <c r="A729" s="156"/>
      <c r="B729" s="156"/>
      <c r="C729" s="156"/>
      <c r="D729" s="158"/>
      <c r="E729" s="158"/>
      <c r="F729" s="159"/>
      <c r="G729" s="157"/>
    </row>
    <row r="730" ht="15.75" customHeight="1">
      <c r="A730" s="156"/>
      <c r="B730" s="156"/>
      <c r="C730" s="156"/>
      <c r="D730" s="158"/>
      <c r="E730" s="158"/>
      <c r="F730" s="159"/>
      <c r="G730" s="157"/>
    </row>
    <row r="731" ht="15.75" customHeight="1">
      <c r="A731" s="156"/>
      <c r="B731" s="156"/>
      <c r="C731" s="156"/>
      <c r="D731" s="158"/>
      <c r="E731" s="158"/>
      <c r="F731" s="159"/>
      <c r="G731" s="157"/>
    </row>
    <row r="732" ht="15.75" customHeight="1">
      <c r="A732" s="156"/>
      <c r="B732" s="156"/>
      <c r="C732" s="156"/>
      <c r="D732" s="158"/>
      <c r="E732" s="158"/>
      <c r="F732" s="159"/>
      <c r="G732" s="157"/>
    </row>
    <row r="733" ht="15.75" customHeight="1">
      <c r="A733" s="156"/>
      <c r="B733" s="156"/>
      <c r="C733" s="156"/>
      <c r="D733" s="158"/>
      <c r="E733" s="158"/>
      <c r="F733" s="159"/>
      <c r="G733" s="157"/>
    </row>
    <row r="734" ht="15.75" customHeight="1">
      <c r="A734" s="156"/>
      <c r="B734" s="156"/>
      <c r="C734" s="156"/>
      <c r="D734" s="158"/>
      <c r="E734" s="158"/>
      <c r="F734" s="159"/>
      <c r="G734" s="157"/>
    </row>
    <row r="735" ht="15.75" customHeight="1">
      <c r="A735" s="156"/>
      <c r="B735" s="156"/>
      <c r="C735" s="156"/>
      <c r="D735" s="158"/>
      <c r="E735" s="158"/>
      <c r="F735" s="159"/>
      <c r="G735" s="157"/>
    </row>
    <row r="736" ht="15.75" customHeight="1">
      <c r="A736" s="41"/>
      <c r="B736" s="42"/>
      <c r="C736" s="160"/>
      <c r="D736" s="39"/>
      <c r="E736" s="39"/>
      <c r="F736" s="39"/>
      <c r="G736" s="39"/>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8" t="s">
        <v>29</v>
      </c>
    </row>
    <row r="2" ht="15.75" customHeight="1">
      <c r="A2" s="29" t="s">
        <v>3293</v>
      </c>
      <c r="C2" s="108"/>
      <c r="D2" s="55"/>
      <c r="E2" s="114"/>
      <c r="F2" s="133"/>
      <c r="G2" s="108"/>
    </row>
    <row r="3" ht="15.75" customHeight="1">
      <c r="A3" s="161" t="s">
        <v>3294</v>
      </c>
      <c r="B3" s="162" t="s">
        <v>3295</v>
      </c>
      <c r="C3" s="163" t="s">
        <v>3296</v>
      </c>
      <c r="D3" s="102" t="s">
        <v>3297</v>
      </c>
      <c r="E3" s="102" t="s">
        <v>3298</v>
      </c>
      <c r="F3" s="164">
        <v>0.21</v>
      </c>
      <c r="G3" s="165" t="str">
        <f>VLOOKUP("MIC-UASD-1",STOCK!$B$2:$Q$3668,3,FALSE)</f>
        <v>Menor a 5</v>
      </c>
    </row>
    <row r="4" ht="15.75" customHeight="1">
      <c r="A4" s="166" t="s">
        <v>3294</v>
      </c>
      <c r="B4" s="167" t="s">
        <v>3299</v>
      </c>
      <c r="C4" s="168" t="s">
        <v>3300</v>
      </c>
      <c r="D4" s="105" t="s">
        <v>3301</v>
      </c>
      <c r="E4" s="105" t="s">
        <v>3302</v>
      </c>
      <c r="F4" s="169">
        <v>0.21</v>
      </c>
      <c r="G4" s="53" t="str">
        <f>VLOOKUP("MIC-UASP-1",STOCK!$B$2:$Q$3668,3,FALSE)</f>
        <v>Menor a 5</v>
      </c>
    </row>
    <row r="5" ht="15.75" customHeight="1">
      <c r="A5" s="161" t="s">
        <v>3294</v>
      </c>
      <c r="B5" s="170" t="s">
        <v>3303</v>
      </c>
      <c r="C5" s="163" t="s">
        <v>3304</v>
      </c>
      <c r="D5" s="102" t="s">
        <v>3305</v>
      </c>
      <c r="E5" s="102" t="s">
        <v>3306</v>
      </c>
      <c r="F5" s="164">
        <v>0.21</v>
      </c>
      <c r="G5" s="50" t="str">
        <f>IFERROR(VLOOKUP("MIC-UASD-3",STOCK!B4:Q3670,3,FALSE),"SIN STOCK")</f>
        <v>SIN STOCK</v>
      </c>
    </row>
    <row r="6" ht="15.75" customHeight="1">
      <c r="A6" s="166" t="s">
        <v>3294</v>
      </c>
      <c r="B6" s="167" t="s">
        <v>3307</v>
      </c>
      <c r="C6" s="168" t="s">
        <v>3308</v>
      </c>
      <c r="D6" s="105" t="s">
        <v>3309</v>
      </c>
      <c r="E6" s="105" t="s">
        <v>3310</v>
      </c>
      <c r="F6" s="169">
        <v>0.21</v>
      </c>
      <c r="G6" s="53" t="str">
        <f>VLOOKUP("MIC-UASD-3X3",STOCK!$B$2:$Q$3668,3,FALSE)</f>
        <v>Menor a 5</v>
      </c>
    </row>
    <row r="7" ht="15.75" customHeight="1">
      <c r="A7" s="161" t="s">
        <v>3294</v>
      </c>
      <c r="B7" s="170" t="s">
        <v>3311</v>
      </c>
      <c r="C7" s="163" t="s">
        <v>3312</v>
      </c>
      <c r="D7" s="102" t="s">
        <v>3313</v>
      </c>
      <c r="E7" s="102" t="s">
        <v>3314</v>
      </c>
      <c r="F7" s="164">
        <v>0.21</v>
      </c>
      <c r="G7" s="53" t="str">
        <f>VLOOKUP("MIC-UASD-5",STOCK!$B$2:$Q$3668,3,FALSE)</f>
        <v>Menor a 5</v>
      </c>
    </row>
    <row r="8" ht="15.75" customHeight="1">
      <c r="A8" s="166" t="s">
        <v>3294</v>
      </c>
      <c r="B8" s="171" t="s">
        <v>3315</v>
      </c>
      <c r="C8" s="168" t="s">
        <v>3316</v>
      </c>
      <c r="D8" s="105" t="s">
        <v>3317</v>
      </c>
      <c r="E8" s="105" t="s">
        <v>3318</v>
      </c>
      <c r="F8" s="169">
        <v>0.21</v>
      </c>
      <c r="G8" s="53" t="str">
        <f>VLOOKUP("MIC-UASD-7",STOCK!$B$2:$Q$3668,3,FALSE)</f>
        <v>Menor a 5</v>
      </c>
    </row>
    <row r="9" ht="15.75" customHeight="1">
      <c r="A9" s="161" t="s">
        <v>3294</v>
      </c>
      <c r="B9" s="172" t="s">
        <v>3319</v>
      </c>
      <c r="C9" s="163" t="s">
        <v>3320</v>
      </c>
      <c r="D9" s="102" t="s">
        <v>3321</v>
      </c>
      <c r="E9" s="102" t="s">
        <v>3322</v>
      </c>
      <c r="F9" s="164">
        <v>0.21</v>
      </c>
      <c r="G9" s="50" t="str">
        <f>IFERROR(VLOOKUP("MIC-UA187",STOCK!B4:Q3670,3,FALSE),"SIN STOCK")</f>
        <v>SIN STOCK</v>
      </c>
    </row>
    <row r="10" ht="15.75" customHeight="1">
      <c r="A10" s="166" t="s">
        <v>3294</v>
      </c>
      <c r="B10" s="167" t="s">
        <v>3323</v>
      </c>
      <c r="C10" s="168" t="s">
        <v>3324</v>
      </c>
      <c r="D10" s="105" t="s">
        <v>3325</v>
      </c>
      <c r="E10" s="105" t="s">
        <v>3326</v>
      </c>
      <c r="F10" s="169">
        <v>0.21</v>
      </c>
      <c r="G10" s="50" t="str">
        <f>IFERROR(VLOOKUP("MIC-UA167",STOCK!B4:Q3670,3,FALSE),"SIN STOCK")</f>
        <v>SIN STOCK</v>
      </c>
    </row>
    <row r="11" ht="15.75" customHeight="1">
      <c r="A11" s="161" t="s">
        <v>3294</v>
      </c>
      <c r="B11" s="172" t="s">
        <v>3327</v>
      </c>
      <c r="C11" s="163" t="s">
        <v>3328</v>
      </c>
      <c r="D11" s="102" t="s">
        <v>3329</v>
      </c>
      <c r="E11" s="102" t="s">
        <v>3330</v>
      </c>
      <c r="F11" s="164">
        <v>0.21</v>
      </c>
      <c r="G11" s="50" t="str">
        <f>IFERROR(VLOOKUP("MIC-UA251",STOCK!B4:Q3670,3,FALSE),"SIN STOCK")</f>
        <v>SIN STOCK</v>
      </c>
    </row>
    <row r="12" ht="15.75" customHeight="1">
      <c r="A12" s="166" t="s">
        <v>3294</v>
      </c>
      <c r="B12" s="167" t="s">
        <v>3331</v>
      </c>
      <c r="C12" s="168" t="s">
        <v>3332</v>
      </c>
      <c r="D12" s="105" t="s">
        <v>3333</v>
      </c>
      <c r="E12" s="105" t="s">
        <v>3334</v>
      </c>
      <c r="F12" s="106">
        <v>0.105</v>
      </c>
      <c r="G12" s="85" t="str">
        <f>VLOOKUP("MIC-UALX",STOCK!$B$2:$Q$3668,3,FALSE)</f>
        <v>Menor a 5</v>
      </c>
    </row>
    <row r="13" ht="15.75" customHeight="1">
      <c r="A13" s="161" t="s">
        <v>3294</v>
      </c>
      <c r="B13" s="172" t="s">
        <v>3335</v>
      </c>
      <c r="C13" s="163" t="s">
        <v>3336</v>
      </c>
      <c r="D13" s="102" t="s">
        <v>3337</v>
      </c>
      <c r="E13" s="102" t="s">
        <v>3338</v>
      </c>
      <c r="F13" s="173">
        <v>0.105</v>
      </c>
      <c r="G13" s="85" t="str">
        <f>VLOOKUP("MIC-UADLX",STOCK!$B$2:$Q$3668,3,FALSE)</f>
        <v>Menor a 5</v>
      </c>
    </row>
    <row r="14" ht="15.75" customHeight="1">
      <c r="A14" s="166" t="s">
        <v>3294</v>
      </c>
      <c r="B14" s="171" t="s">
        <v>3339</v>
      </c>
      <c r="C14" s="168" t="s">
        <v>3340</v>
      </c>
      <c r="D14" s="105" t="s">
        <v>3341</v>
      </c>
      <c r="E14" s="105" t="s">
        <v>3342</v>
      </c>
      <c r="F14" s="106">
        <v>0.105</v>
      </c>
      <c r="G14" s="85" t="str">
        <f>VLOOKUP("MIC-TLL22",STOCK!$B$2:$Q$3668,3,FALSE)</f>
        <v>Menor a 5</v>
      </c>
    </row>
    <row r="15" ht="15.75" customHeight="1">
      <c r="A15" s="29" t="s">
        <v>3343</v>
      </c>
      <c r="C15" s="174"/>
      <c r="D15" s="55"/>
      <c r="E15" s="55"/>
      <c r="F15" s="133"/>
      <c r="G15" s="91"/>
    </row>
    <row r="16" ht="15.75" customHeight="1">
      <c r="A16" s="161" t="s">
        <v>3294</v>
      </c>
      <c r="B16" s="172" t="s">
        <v>3344</v>
      </c>
      <c r="C16" s="163" t="s">
        <v>3345</v>
      </c>
      <c r="D16" s="102" t="s">
        <v>3337</v>
      </c>
      <c r="E16" s="102" t="s">
        <v>3338</v>
      </c>
      <c r="F16" s="173">
        <v>0.105</v>
      </c>
      <c r="G16" s="50" t="str">
        <f>VLOOKUP("OX",STOCK!$B$2:$Q$3668,3,FALSE)</f>
        <v>SIN STOCK</v>
      </c>
    </row>
    <row r="17" ht="15.75" customHeight="1">
      <c r="A17" s="166" t="s">
        <v>3294</v>
      </c>
      <c r="B17" s="167" t="s">
        <v>3346</v>
      </c>
      <c r="C17" s="168" t="s">
        <v>3347</v>
      </c>
      <c r="D17" s="105" t="s">
        <v>3348</v>
      </c>
      <c r="E17" s="105" t="s">
        <v>3302</v>
      </c>
      <c r="F17" s="106">
        <v>0.105</v>
      </c>
      <c r="G17" s="175" t="str">
        <f>VLOOKUP("GPM-ASTRA",STOCK!$B$2:$Q$3668,3,FALSE)</f>
        <v>SIN STOCK</v>
      </c>
    </row>
    <row r="18" ht="15.75" customHeight="1">
      <c r="A18" s="161" t="s">
        <v>3294</v>
      </c>
      <c r="B18" s="172" t="s">
        <v>3349</v>
      </c>
      <c r="C18" s="161" t="s">
        <v>3350</v>
      </c>
      <c r="D18" s="102" t="s">
        <v>3351</v>
      </c>
      <c r="E18" s="102" t="s">
        <v>3310</v>
      </c>
      <c r="F18" s="173">
        <v>0.105</v>
      </c>
      <c r="G18" s="50" t="str">
        <f>IFERROR(VLOOKUP("GPM-DLVRB",STOCK!B4:Q3670,3,FALSE),"SIN STOCK")</f>
        <v>SIN STOCK</v>
      </c>
    </row>
    <row r="19" ht="15.75" customHeight="1">
      <c r="A19" s="166" t="s">
        <v>3294</v>
      </c>
      <c r="B19" s="167" t="s">
        <v>3352</v>
      </c>
      <c r="C19" s="168" t="s">
        <v>3353</v>
      </c>
      <c r="D19" s="105" t="s">
        <v>3348</v>
      </c>
      <c r="E19" s="105" t="s">
        <v>3302</v>
      </c>
      <c r="F19" s="106">
        <v>0.105</v>
      </c>
      <c r="G19" s="50" t="str">
        <f>VLOOKUP("GPM-DRM",STOCK!$B$2:$Q$3668,3,FALSE)</f>
        <v>SIN STOCK</v>
      </c>
    </row>
    <row r="20" ht="15.75" customHeight="1">
      <c r="A20" s="161" t="s">
        <v>3294</v>
      </c>
      <c r="B20" s="172" t="s">
        <v>3354</v>
      </c>
      <c r="C20" s="163" t="s">
        <v>3355</v>
      </c>
      <c r="D20" s="102" t="s">
        <v>3351</v>
      </c>
      <c r="E20" s="102" t="s">
        <v>3310</v>
      </c>
      <c r="F20" s="173">
        <v>0.105</v>
      </c>
      <c r="G20" s="50" t="str">
        <f>VLOOKUP("GPM-DRM",STOCK!$B$2:$Q$3668,3,FALSE)</f>
        <v>SIN STOCK</v>
      </c>
    </row>
    <row r="21" ht="15.75" customHeight="1">
      <c r="A21" s="166" t="s">
        <v>3294</v>
      </c>
      <c r="B21" s="167" t="s">
        <v>3356</v>
      </c>
      <c r="C21" s="168" t="s">
        <v>3357</v>
      </c>
      <c r="D21" s="105" t="s">
        <v>3348</v>
      </c>
      <c r="E21" s="105" t="s">
        <v>3302</v>
      </c>
      <c r="F21" s="106">
        <v>0.105</v>
      </c>
      <c r="G21" s="175" t="str">
        <f>VLOOKUP("GPM-GOLD",STOCK!$B$2:$Q$3668,3,FALSE)</f>
        <v>SIN STOCK</v>
      </c>
    </row>
    <row r="22" ht="15.75" customHeight="1">
      <c r="A22" s="161" t="s">
        <v>3294</v>
      </c>
      <c r="B22" s="172" t="s">
        <v>3358</v>
      </c>
      <c r="C22" s="163" t="s">
        <v>3359</v>
      </c>
      <c r="D22" s="102" t="s">
        <v>3351</v>
      </c>
      <c r="E22" s="102" t="s">
        <v>3310</v>
      </c>
      <c r="F22" s="173">
        <v>0.105</v>
      </c>
      <c r="G22" s="50" t="str">
        <f>IFERROR(VLOOKUP("GPM-MAX",STOCK!B4:Q3670,3,FALSE),"SIN STOCK")</f>
        <v>SIN STOCK</v>
      </c>
    </row>
    <row r="23" ht="15.75" customHeight="1">
      <c r="A23" s="166" t="s">
        <v>3294</v>
      </c>
      <c r="B23" s="167" t="s">
        <v>3360</v>
      </c>
      <c r="C23" s="166" t="s">
        <v>3361</v>
      </c>
      <c r="D23" s="105" t="s">
        <v>3348</v>
      </c>
      <c r="E23" s="105" t="s">
        <v>3302</v>
      </c>
      <c r="F23" s="106">
        <v>0.105</v>
      </c>
      <c r="G23" s="50" t="str">
        <f>VLOOKUP("GPM-RUBY",STOCK!$B$2:$Q$3668,3,FALSE)</f>
        <v>SIN STOCK</v>
      </c>
    </row>
    <row r="24" ht="15.75" customHeight="1">
      <c r="A24" s="161" t="s">
        <v>3294</v>
      </c>
      <c r="B24" s="172" t="s">
        <v>3362</v>
      </c>
      <c r="C24" s="163" t="s">
        <v>3363</v>
      </c>
      <c r="D24" s="102" t="s">
        <v>3348</v>
      </c>
      <c r="E24" s="102" t="s">
        <v>3302</v>
      </c>
      <c r="F24" s="173">
        <v>0.105</v>
      </c>
      <c r="G24" s="50" t="str">
        <f>IFERROR(VLOOKUP("GPM-STAR",STOCK!B4:Q3670,3,FALSE),"SIN STOCK")</f>
        <v>SIN STOCK</v>
      </c>
    </row>
    <row r="25" ht="15.75" customHeight="1">
      <c r="A25" s="166" t="s">
        <v>3294</v>
      </c>
      <c r="B25" s="167" t="s">
        <v>3364</v>
      </c>
      <c r="C25" s="168" t="s">
        <v>3365</v>
      </c>
      <c r="D25" s="105" t="s">
        <v>3348</v>
      </c>
      <c r="E25" s="105" t="s">
        <v>3302</v>
      </c>
      <c r="F25" s="106">
        <v>0.105</v>
      </c>
      <c r="G25" s="50" t="str">
        <f>VLOOKUP("GPM-WDR",STOCK!$B$2:$Q$3668,3,FALSE)</f>
        <v>SIN STOCK</v>
      </c>
    </row>
    <row r="26" ht="15.75" customHeight="1">
      <c r="A26" s="161" t="s">
        <v>3294</v>
      </c>
      <c r="B26" s="172" t="s">
        <v>3366</v>
      </c>
      <c r="C26" s="163" t="s">
        <v>3367</v>
      </c>
      <c r="D26" s="102" t="s">
        <v>3348</v>
      </c>
      <c r="E26" s="102" t="s">
        <v>3302</v>
      </c>
      <c r="F26" s="173">
        <v>0.105</v>
      </c>
      <c r="G26" s="50" t="str">
        <f>IFERROR(VLOOKUP("GPM-KNUC",STOCK!B4:Q3670,3,FALSE),"SIN STOCK")</f>
        <v>Menor a 5</v>
      </c>
    </row>
    <row r="27" ht="15.75" customHeight="1">
      <c r="A27" s="166" t="s">
        <v>3294</v>
      </c>
      <c r="B27" s="167" t="s">
        <v>3368</v>
      </c>
      <c r="C27" s="168" t="s">
        <v>3369</v>
      </c>
      <c r="D27" s="105" t="s">
        <v>3370</v>
      </c>
      <c r="E27" s="105" t="s">
        <v>3371</v>
      </c>
      <c r="F27" s="106">
        <v>0.105</v>
      </c>
      <c r="G27" s="50" t="str">
        <f>IFERROR(VLOOKUP("GPS-BRGD",STOCK!B4:Q3670,3,FALSE),"SIN STOCK")</f>
        <v>Menor a 5</v>
      </c>
    </row>
    <row r="28" ht="15.75" customHeight="1">
      <c r="A28" s="161" t="s">
        <v>3294</v>
      </c>
      <c r="B28" s="172" t="s">
        <v>3372</v>
      </c>
      <c r="C28" s="163" t="s">
        <v>3373</v>
      </c>
      <c r="D28" s="102" t="s">
        <v>3370</v>
      </c>
      <c r="E28" s="102" t="s">
        <v>3371</v>
      </c>
      <c r="F28" s="173">
        <v>0.105</v>
      </c>
      <c r="G28" s="50" t="str">
        <f>IFERROR(VLOOKUP("GPS-LA2A",STOCK!B4:Q3670,3,FALSE),"SIN STOCK")</f>
        <v>Menor a 5</v>
      </c>
    </row>
    <row r="29" ht="15.75" customHeight="1">
      <c r="A29" s="166" t="s">
        <v>3294</v>
      </c>
      <c r="B29" s="167" t="s">
        <v>3374</v>
      </c>
      <c r="C29" s="168" t="s">
        <v>3375</v>
      </c>
      <c r="D29" s="105" t="s">
        <v>3376</v>
      </c>
      <c r="E29" s="105" t="s">
        <v>3377</v>
      </c>
      <c r="F29" s="106">
        <v>0.105</v>
      </c>
      <c r="G29" s="50" t="str">
        <f>IFERROR(VLOOKUP("GPS-ORN",STOCK!B4:Q3670,3,FALSE),"SIN STOCK")</f>
        <v>SIN STOCK</v>
      </c>
    </row>
    <row r="30" ht="15.75" customHeight="1">
      <c r="A30" s="161" t="s">
        <v>3294</v>
      </c>
      <c r="B30" s="172" t="s">
        <v>3378</v>
      </c>
      <c r="C30" s="163" t="s">
        <v>3379</v>
      </c>
      <c r="D30" s="102" t="s">
        <v>3376</v>
      </c>
      <c r="E30" s="102" t="s">
        <v>3377</v>
      </c>
      <c r="F30" s="173">
        <v>0.105</v>
      </c>
      <c r="G30" s="50" t="str">
        <f>IFERROR(VLOOKUP("GPS-HVNLY",STOCK!B4:Q3670,3,FALSE),"SIN STOCK")</f>
        <v>SIN STOCK</v>
      </c>
    </row>
    <row r="31" ht="15.75" customHeight="1">
      <c r="A31" s="166" t="s">
        <v>3294</v>
      </c>
      <c r="B31" s="167" t="s">
        <v>3380</v>
      </c>
      <c r="C31" s="168" t="s">
        <v>3381</v>
      </c>
      <c r="D31" s="105" t="s">
        <v>3376</v>
      </c>
      <c r="E31" s="105" t="s">
        <v>3377</v>
      </c>
      <c r="F31" s="106">
        <v>0.105</v>
      </c>
      <c r="G31" s="50" t="str">
        <f>IFERROR(VLOOKUP("GPS-EVMR",STOCK!B4:Q3670,3,FALSE),"SIN STOCK")</f>
        <v>SIN STOCK</v>
      </c>
    </row>
    <row r="32" ht="15.75" customHeight="1">
      <c r="A32" s="161" t="s">
        <v>3294</v>
      </c>
      <c r="B32" s="162" t="s">
        <v>3382</v>
      </c>
      <c r="C32" s="163" t="s">
        <v>3383</v>
      </c>
      <c r="D32" s="102" t="s">
        <v>3384</v>
      </c>
      <c r="E32" s="102" t="s">
        <v>3314</v>
      </c>
      <c r="F32" s="173">
        <v>0.105</v>
      </c>
      <c r="G32" s="50" t="str">
        <f>IFERROR(VLOOKUP("GPS-1176",STOCK!B4:Q3670,3,FALSE),"SIN STOCK")</f>
        <v>SIN STOCK</v>
      </c>
    </row>
    <row r="33" ht="15.75" customHeight="1">
      <c r="A33" s="166" t="s">
        <v>3294</v>
      </c>
      <c r="B33" s="167" t="s">
        <v>3385</v>
      </c>
      <c r="C33" s="168" t="s">
        <v>3386</v>
      </c>
      <c r="D33" s="105" t="s">
        <v>3387</v>
      </c>
      <c r="E33" s="105" t="s">
        <v>3388</v>
      </c>
      <c r="F33" s="106">
        <v>0.105</v>
      </c>
      <c r="G33" s="176" t="str">
        <f>IFERROR(VLOOKUP("PSU-GP1-WW",STOCK!B4:Q3670,3,FALSE),"SIN STOCK")</f>
        <v>SIN STOCK</v>
      </c>
    </row>
    <row r="34" ht="15.75" customHeight="1">
      <c r="A34" s="29" t="s">
        <v>3389</v>
      </c>
      <c r="C34" s="174"/>
      <c r="D34" s="177"/>
      <c r="E34" s="177"/>
      <c r="F34" s="178"/>
      <c r="G34" s="178"/>
    </row>
    <row r="35" ht="15.75" customHeight="1">
      <c r="A35" s="161" t="s">
        <v>3294</v>
      </c>
      <c r="B35" s="162" t="s">
        <v>3390</v>
      </c>
      <c r="C35" s="163" t="s">
        <v>3391</v>
      </c>
      <c r="D35" s="102" t="s">
        <v>3392</v>
      </c>
      <c r="E35" s="102" t="s">
        <v>3326</v>
      </c>
      <c r="F35" s="173">
        <v>0.105</v>
      </c>
      <c r="G35" s="50" t="str">
        <f>IFERROR(VLOOKUP("APX16DG2-ESS",STOCK!B6:Q3672,3,FALSE),"SIN STOCK")</f>
        <v>Menor a 5</v>
      </c>
    </row>
    <row r="36" ht="15.75" customHeight="1">
      <c r="A36" s="166" t="s">
        <v>3294</v>
      </c>
      <c r="B36" s="167" t="s">
        <v>3393</v>
      </c>
      <c r="C36" s="168" t="s">
        <v>3394</v>
      </c>
      <c r="D36" s="105" t="s">
        <v>3395</v>
      </c>
      <c r="E36" s="105" t="s">
        <v>3396</v>
      </c>
      <c r="F36" s="106">
        <v>0.105</v>
      </c>
      <c r="G36" s="50" t="str">
        <f>IFERROR(VLOOKUP("APX16DG2-ULT",STOCK!B7:Q3673,3,FALSE),"SIN STOCK")</f>
        <v>Menor a 5</v>
      </c>
    </row>
    <row r="37" ht="15.75" customHeight="1">
      <c r="A37" s="161" t="s">
        <v>3294</v>
      </c>
      <c r="B37" s="170" t="s">
        <v>3397</v>
      </c>
      <c r="C37" s="163" t="s">
        <v>3398</v>
      </c>
      <c r="D37" s="102" t="s">
        <v>3348</v>
      </c>
      <c r="E37" s="102" t="s">
        <v>3302</v>
      </c>
      <c r="F37" s="173">
        <v>0.105</v>
      </c>
      <c r="G37" s="50" t="str">
        <f>IFERROR(VLOOKUP("APE1X",STOCK!B8:Q3674,3,FALSE),"SIN STOCK")</f>
        <v>Menor a 5</v>
      </c>
    </row>
    <row r="38" ht="15.75" customHeight="1">
      <c r="A38" s="166" t="s">
        <v>3294</v>
      </c>
      <c r="B38" s="179" t="s">
        <v>3399</v>
      </c>
      <c r="C38" s="168" t="s">
        <v>3400</v>
      </c>
      <c r="D38" s="105" t="s">
        <v>3401</v>
      </c>
      <c r="E38" s="105" t="s">
        <v>3402</v>
      </c>
      <c r="F38" s="106">
        <v>0.105</v>
      </c>
      <c r="G38" s="50" t="str">
        <f>IFERROR(VLOOKUP("APE1X",STOCK!B8:Q3674,3,FALSE),"SIN STOCK")</f>
        <v>Menor a 5</v>
      </c>
    </row>
    <row r="39" ht="15.75" customHeight="1">
      <c r="A39" s="29" t="s">
        <v>3403</v>
      </c>
      <c r="C39" s="174"/>
      <c r="D39" s="55"/>
      <c r="E39" s="55"/>
      <c r="F39" s="133"/>
      <c r="G39" s="108"/>
    </row>
    <row r="40" ht="15.75" customHeight="1">
      <c r="A40" s="161" t="s">
        <v>3294</v>
      </c>
      <c r="B40" s="172" t="s">
        <v>3404</v>
      </c>
      <c r="C40" s="163" t="s">
        <v>3405</v>
      </c>
      <c r="D40" s="102" t="s">
        <v>3406</v>
      </c>
      <c r="E40" s="102" t="s">
        <v>3407</v>
      </c>
      <c r="F40" s="173">
        <v>0.105</v>
      </c>
      <c r="G40" s="50" t="str">
        <f>IFERROR(VLOOKUP("APTXDG2-ESS",STOCK!B9:Q3675,3,FALSE),"SIN STOCK")</f>
        <v>Menor a 5</v>
      </c>
    </row>
    <row r="41" ht="15.75" customHeight="1">
      <c r="A41" s="166" t="s">
        <v>3294</v>
      </c>
      <c r="B41" s="167" t="s">
        <v>3408</v>
      </c>
      <c r="C41" s="168" t="s">
        <v>3409</v>
      </c>
      <c r="D41" s="105" t="s">
        <v>3337</v>
      </c>
      <c r="E41" s="105" t="s">
        <v>3338</v>
      </c>
      <c r="F41" s="106">
        <v>0.105</v>
      </c>
      <c r="G41" s="50" t="str">
        <f>IFERROR(VLOOKUP("APTXQG2-ESS",STOCK!B10:Q3676,3,FALSE),"SIN STOCK")</f>
        <v>Menor a 5</v>
      </c>
    </row>
    <row r="42" ht="15.75" customHeight="1">
      <c r="A42" s="161" t="s">
        <v>3294</v>
      </c>
      <c r="B42" s="172" t="s">
        <v>3410</v>
      </c>
      <c r="C42" s="163" t="s">
        <v>3411</v>
      </c>
      <c r="D42" s="102" t="s">
        <v>3412</v>
      </c>
      <c r="E42" s="102" t="s">
        <v>3413</v>
      </c>
      <c r="F42" s="173">
        <v>0.105</v>
      </c>
      <c r="G42" s="50" t="str">
        <f>IFERROR(VLOOKUP("APX6G2-ESS",STOCK!B11:Q3677,3,FALSE),"SIN STOCK")</f>
        <v>Menor a 5</v>
      </c>
    </row>
    <row r="43" ht="15.75" customHeight="1">
      <c r="A43" s="166" t="s">
        <v>3294</v>
      </c>
      <c r="B43" s="167" t="s">
        <v>3414</v>
      </c>
      <c r="C43" s="168" t="s">
        <v>3415</v>
      </c>
      <c r="D43" s="105" t="s">
        <v>3416</v>
      </c>
      <c r="E43" s="105" t="s">
        <v>3417</v>
      </c>
      <c r="F43" s="106">
        <v>0.105</v>
      </c>
      <c r="G43" s="50" t="str">
        <f>IFERROR(VLOOKUP("APX8G2-ESS",STOCK!B12:Q3678,3,FALSE),"SIN STOCK")</f>
        <v>SIN STOCK</v>
      </c>
    </row>
    <row r="44" ht="15.75" customHeight="1">
      <c r="A44" s="161" t="s">
        <v>3294</v>
      </c>
      <c r="B44" s="180" t="s">
        <v>3418</v>
      </c>
      <c r="C44" s="163" t="s">
        <v>3419</v>
      </c>
      <c r="D44" s="102" t="s">
        <v>3420</v>
      </c>
      <c r="E44" s="102" t="s">
        <v>3421</v>
      </c>
      <c r="F44" s="173">
        <v>0.105</v>
      </c>
      <c r="G44" s="50" t="str">
        <f>IFERROR(VLOOKUP("APX8PG2-ESS",STOCK!B13:Q3679,3,FALSE),"SIN STOCK")</f>
        <v>Menor a 5</v>
      </c>
    </row>
    <row r="45" ht="15.75" customHeight="1">
      <c r="A45" s="166" t="s">
        <v>3294</v>
      </c>
      <c r="B45" s="167" t="s">
        <v>3422</v>
      </c>
      <c r="C45" s="168" t="s">
        <v>3423</v>
      </c>
      <c r="D45" s="105" t="s">
        <v>3424</v>
      </c>
      <c r="E45" s="105" t="s">
        <v>3425</v>
      </c>
      <c r="F45" s="106">
        <v>0.105</v>
      </c>
      <c r="G45" s="50" t="str">
        <f>IFERROR(VLOOKUP("APX16G2-ESS",STOCK!B14:Q3680,3,FALSE),"SIN STOCK")</f>
        <v>Menor a 5</v>
      </c>
    </row>
    <row r="46" ht="15.75" customHeight="1">
      <c r="A46" s="29" t="s">
        <v>3426</v>
      </c>
      <c r="C46" s="174"/>
      <c r="D46" s="55"/>
      <c r="E46" s="55"/>
      <c r="F46" s="133"/>
      <c r="G46" s="108"/>
    </row>
    <row r="47" ht="15.75" customHeight="1">
      <c r="A47" s="161" t="s">
        <v>3294</v>
      </c>
      <c r="B47" s="172" t="s">
        <v>3427</v>
      </c>
      <c r="C47" s="163" t="s">
        <v>3428</v>
      </c>
      <c r="D47" s="102" t="s">
        <v>3429</v>
      </c>
      <c r="E47" s="102" t="s">
        <v>3430</v>
      </c>
      <c r="F47" s="173">
        <v>0.105</v>
      </c>
      <c r="G47" s="50" t="str">
        <f>VLOOKUP("APLTWDII-HE",STOCK!$B$2:$Q$3668,3,FALSE)</f>
        <v>SIN STOCK</v>
      </c>
    </row>
    <row r="48" ht="15.75" customHeight="1">
      <c r="A48" s="166" t="s">
        <v>3294</v>
      </c>
      <c r="B48" s="167" t="s">
        <v>3431</v>
      </c>
      <c r="C48" s="168" t="s">
        <v>3432</v>
      </c>
      <c r="D48" s="105" t="s">
        <v>3333</v>
      </c>
      <c r="E48" s="105" t="s">
        <v>3334</v>
      </c>
      <c r="F48" s="106">
        <v>0.105</v>
      </c>
      <c r="G48" s="50" t="str">
        <f>VLOOKUP("APLTWXD-HE",STOCK!$B$2:$Q$3668,3,FALSE)</f>
        <v>SIN STOCK</v>
      </c>
    </row>
    <row r="49" ht="15.75" customHeight="1">
      <c r="A49" s="161" t="s">
        <v>3294</v>
      </c>
      <c r="B49" s="162" t="s">
        <v>3433</v>
      </c>
      <c r="C49" s="163" t="s">
        <v>3434</v>
      </c>
      <c r="D49" s="102" t="s">
        <v>3337</v>
      </c>
      <c r="E49" s="102" t="s">
        <v>3338</v>
      </c>
      <c r="F49" s="173">
        <v>0.105</v>
      </c>
      <c r="G49" s="175" t="str">
        <f>VLOOKUP("APLTWXQ-HE",STOCK!$B$2:$Q$3668,3,FALSE)</f>
        <v>SIN STOCK</v>
      </c>
    </row>
    <row r="50" ht="15.75" customHeight="1">
      <c r="A50" s="166" t="s">
        <v>3294</v>
      </c>
      <c r="B50" s="167" t="s">
        <v>3435</v>
      </c>
      <c r="C50" s="168" t="s">
        <v>3436</v>
      </c>
      <c r="D50" s="105" t="s">
        <v>3437</v>
      </c>
      <c r="E50" s="105" t="s">
        <v>3438</v>
      </c>
      <c r="F50" s="106">
        <v>0.105</v>
      </c>
      <c r="G50" s="50" t="str">
        <f>VLOOKUP("APX4-HE",STOCK!$B$2:$Q$3668,3,FALSE)</f>
        <v>SIN STOCK</v>
      </c>
    </row>
    <row r="51" ht="15.75" customHeight="1">
      <c r="A51" s="161" t="s">
        <v>3294</v>
      </c>
      <c r="B51" s="172" t="s">
        <v>3439</v>
      </c>
      <c r="C51" s="163" t="s">
        <v>3440</v>
      </c>
      <c r="D51" s="102" t="s">
        <v>3441</v>
      </c>
      <c r="E51" s="102" t="s">
        <v>3442</v>
      </c>
      <c r="F51" s="173">
        <v>0.105</v>
      </c>
      <c r="G51" s="50" t="str">
        <f>VLOOKUP("APX6",STOCK!$B$2:$Q$3668,3,FALSE)</f>
        <v>SIN STOCK</v>
      </c>
    </row>
    <row r="52" ht="15.75" customHeight="1">
      <c r="A52" s="166" t="s">
        <v>3294</v>
      </c>
      <c r="B52" s="167" t="s">
        <v>3443</v>
      </c>
      <c r="C52" s="168" t="s">
        <v>3444</v>
      </c>
      <c r="D52" s="105" t="s">
        <v>3445</v>
      </c>
      <c r="E52" s="105" t="s">
        <v>3446</v>
      </c>
      <c r="F52" s="106">
        <v>0.105</v>
      </c>
      <c r="G52" s="50" t="str">
        <f>VLOOKUP("APX6-HE",STOCK!$B$2:$Q$3668,3,FALSE)</f>
        <v>SIN STOCK</v>
      </c>
    </row>
    <row r="53" ht="15.75" customHeight="1">
      <c r="A53" s="161" t="s">
        <v>3294</v>
      </c>
      <c r="B53" s="172" t="s">
        <v>3447</v>
      </c>
      <c r="C53" s="163" t="s">
        <v>3448</v>
      </c>
      <c r="D53" s="102" t="s">
        <v>3449</v>
      </c>
      <c r="E53" s="102" t="s">
        <v>3450</v>
      </c>
      <c r="F53" s="173">
        <v>0.105</v>
      </c>
      <c r="G53" s="175" t="str">
        <f>VLOOKUP("APX8",STOCK!$B$2:$Q$3668,3,FALSE)</f>
        <v>SIN STOCK</v>
      </c>
    </row>
    <row r="54" ht="15.75" customHeight="1">
      <c r="A54" s="166" t="s">
        <v>3294</v>
      </c>
      <c r="B54" s="181" t="s">
        <v>3451</v>
      </c>
      <c r="C54" s="168" t="s">
        <v>3452</v>
      </c>
      <c r="D54" s="105" t="s">
        <v>3453</v>
      </c>
      <c r="E54" s="105" t="s">
        <v>3454</v>
      </c>
      <c r="F54" s="106">
        <v>0.105</v>
      </c>
      <c r="G54" s="175" t="str">
        <f>VLOOKUP("APX8-HE",STOCK!$B$2:$Q$3668,3,FALSE)</f>
        <v>SIN STOCK</v>
      </c>
    </row>
    <row r="55" ht="15.75" customHeight="1">
      <c r="A55" s="161" t="s">
        <v>3294</v>
      </c>
      <c r="B55" s="172" t="s">
        <v>3455</v>
      </c>
      <c r="C55" s="163" t="s">
        <v>3456</v>
      </c>
      <c r="D55" s="102" t="s">
        <v>3457</v>
      </c>
      <c r="E55" s="102" t="s">
        <v>3458</v>
      </c>
      <c r="F55" s="173">
        <v>0.105</v>
      </c>
      <c r="G55" s="175" t="str">
        <f>VLOOKUP("APX8P",STOCK!$B$2:$Q$3668,3,FALSE)</f>
        <v>SIN STOCK</v>
      </c>
    </row>
    <row r="56" ht="15.75" customHeight="1">
      <c r="A56" s="166" t="s">
        <v>3294</v>
      </c>
      <c r="B56" s="167" t="s">
        <v>3459</v>
      </c>
      <c r="C56" s="168" t="s">
        <v>3460</v>
      </c>
      <c r="D56" s="105" t="s">
        <v>3461</v>
      </c>
      <c r="E56" s="105" t="s">
        <v>3462</v>
      </c>
      <c r="F56" s="106">
        <v>0.105</v>
      </c>
      <c r="G56" s="175" t="str">
        <f>VLOOKUP("APX8P-HE",STOCK!$B$2:$Q$3668,3,FALSE)</f>
        <v>SIN STOCK</v>
      </c>
    </row>
    <row r="57" ht="15.75" customHeight="1">
      <c r="A57" s="161" t="s">
        <v>3294</v>
      </c>
      <c r="B57" s="172" t="s">
        <v>3463</v>
      </c>
      <c r="C57" s="163" t="s">
        <v>3464</v>
      </c>
      <c r="D57" s="102" t="s">
        <v>3424</v>
      </c>
      <c r="E57" s="102" t="s">
        <v>3425</v>
      </c>
      <c r="F57" s="173">
        <v>0.105</v>
      </c>
      <c r="G57" s="175" t="str">
        <f>VLOOKUP("APX16-HE",STOCK!$B$2:$Q$3668,3,FALSE)</f>
        <v>SIN STOCK</v>
      </c>
    </row>
    <row r="58" ht="15.75" customHeight="1">
      <c r="A58" s="166" t="s">
        <v>3294</v>
      </c>
      <c r="B58" s="167" t="s">
        <v>3465</v>
      </c>
      <c r="C58" s="168" t="s">
        <v>3466</v>
      </c>
      <c r="D58" s="105" t="s">
        <v>3467</v>
      </c>
      <c r="E58" s="105" t="s">
        <v>3468</v>
      </c>
      <c r="F58" s="106">
        <v>0.105</v>
      </c>
      <c r="G58" s="175" t="str">
        <f>VLOOKUP("APLS-HE",STOCK!$B$2:$Q$3668,3,FALSE)</f>
        <v>SIN STOCK</v>
      </c>
    </row>
    <row r="59" ht="15.75" customHeight="1">
      <c r="A59" s="161" t="s">
        <v>3294</v>
      </c>
      <c r="B59" s="172" t="s">
        <v>3469</v>
      </c>
      <c r="C59" s="163" t="s">
        <v>3470</v>
      </c>
      <c r="D59" s="102" t="s">
        <v>3384</v>
      </c>
      <c r="E59" s="102" t="s">
        <v>3314</v>
      </c>
      <c r="F59" s="173">
        <v>0.105</v>
      </c>
      <c r="G59" s="182" t="str">
        <f>VLOOKUP("TBOC-3",STOCK!$B$2:$Q$3668,3,FALSE)</f>
        <v>Menor a 5</v>
      </c>
    </row>
    <row r="60" ht="15.75" customHeight="1">
      <c r="A60" s="29" t="s">
        <v>3471</v>
      </c>
      <c r="C60" s="174"/>
      <c r="D60" s="153"/>
      <c r="E60" s="177"/>
      <c r="F60" s="178"/>
      <c r="G60" s="178"/>
    </row>
    <row r="61" ht="15.75" customHeight="1">
      <c r="A61" s="161" t="s">
        <v>3294</v>
      </c>
      <c r="B61" s="180" t="s">
        <v>3472</v>
      </c>
      <c r="C61" s="163" t="s">
        <v>3473</v>
      </c>
      <c r="D61" s="102" t="s">
        <v>3333</v>
      </c>
      <c r="E61" s="102" t="s">
        <v>3334</v>
      </c>
      <c r="F61" s="173">
        <v>0.105</v>
      </c>
      <c r="G61" s="182" t="str">
        <f>IFERROR(VLOOKUP("APLTWXDU-HE",STOCK!$B$2:$Q$3668,3,FALSE),"SIN STOCK")</f>
        <v>SIN STOCK</v>
      </c>
    </row>
    <row r="62" ht="15.75" customHeight="1">
      <c r="A62" s="166" t="s">
        <v>3294</v>
      </c>
      <c r="B62" s="167" t="s">
        <v>3474</v>
      </c>
      <c r="C62" s="168" t="s">
        <v>3475</v>
      </c>
      <c r="D62" s="105" t="s">
        <v>3429</v>
      </c>
      <c r="E62" s="105" t="s">
        <v>3430</v>
      </c>
      <c r="F62" s="106">
        <v>0.105</v>
      </c>
      <c r="G62" s="175" t="str">
        <f>VLOOKUP("APLTWDU-HE",STOCK!$B$2:$Q$3668,3,FALSE)</f>
        <v>SIN STOCK</v>
      </c>
    </row>
    <row r="63" ht="15.75" customHeight="1">
      <c r="A63" s="161" t="s">
        <v>3294</v>
      </c>
      <c r="B63" s="172" t="s">
        <v>3476</v>
      </c>
      <c r="C63" s="163" t="s">
        <v>3477</v>
      </c>
      <c r="D63" s="102" t="s">
        <v>3467</v>
      </c>
      <c r="E63" s="102" t="s">
        <v>3468</v>
      </c>
      <c r="F63" s="173">
        <v>0.105</v>
      </c>
      <c r="G63" s="50" t="str">
        <f>VLOOKUP("APLSU-HE",STOCK!$B$2:$Q$3668,3,FALSE)</f>
        <v>SIN STOCK</v>
      </c>
    </row>
    <row r="64" ht="15.75" customHeight="1">
      <c r="A64" s="166" t="s">
        <v>3294</v>
      </c>
      <c r="B64" s="167" t="s">
        <v>3478</v>
      </c>
      <c r="C64" s="168" t="s">
        <v>3479</v>
      </c>
      <c r="D64" s="105" t="s">
        <v>3480</v>
      </c>
      <c r="E64" s="105" t="s">
        <v>3481</v>
      </c>
      <c r="F64" s="106">
        <v>0.105</v>
      </c>
      <c r="G64" s="39" t="str">
        <f>VLOOKUP("VOLT1",STOCK!$B$2:$Q$3668,3,FALSE)</f>
        <v>Menor a 5</v>
      </c>
    </row>
    <row r="65" ht="15.75" customHeight="1">
      <c r="A65" s="161" t="s">
        <v>3294</v>
      </c>
      <c r="B65" s="180" t="s">
        <v>3482</v>
      </c>
      <c r="C65" s="163" t="s">
        <v>3483</v>
      </c>
      <c r="D65" s="102" t="s">
        <v>3484</v>
      </c>
      <c r="E65" s="102" t="s">
        <v>3485</v>
      </c>
      <c r="F65" s="173">
        <v>0.105</v>
      </c>
      <c r="G65" s="39" t="str">
        <f>VLOOKUP("VOLT2",STOCK!$B$2:$Q$3668,3,FALSE)</f>
        <v>SIN STOCK</v>
      </c>
    </row>
    <row r="66" ht="15.75" customHeight="1">
      <c r="A66" s="166" t="s">
        <v>3294</v>
      </c>
      <c r="B66" s="167" t="s">
        <v>3486</v>
      </c>
      <c r="C66" s="168" t="s">
        <v>3487</v>
      </c>
      <c r="D66" s="105" t="s">
        <v>3488</v>
      </c>
      <c r="E66" s="105" t="s">
        <v>3489</v>
      </c>
      <c r="F66" s="106">
        <v>0.105</v>
      </c>
      <c r="G66" s="50" t="str">
        <f>IFERROR(VLOOKUP("VOLT4",STOCK!B4:Q3670,3,FALSE),"SIN STOCK")</f>
        <v>SIN STOCK</v>
      </c>
    </row>
    <row r="67" ht="15.75" customHeight="1">
      <c r="A67" s="161" t="s">
        <v>3294</v>
      </c>
      <c r="B67" s="172" t="s">
        <v>3490</v>
      </c>
      <c r="C67" s="163" t="s">
        <v>3491</v>
      </c>
      <c r="D67" s="102" t="s">
        <v>3384</v>
      </c>
      <c r="E67" s="102" t="s">
        <v>3314</v>
      </c>
      <c r="F67" s="173">
        <v>0.105</v>
      </c>
      <c r="G67" s="182" t="str">
        <f>VLOOKUP("VOLT176",STOCK!$B$2:$Q$3668,3,FALSE)</f>
        <v>SIN STOCK</v>
      </c>
    </row>
    <row r="68" ht="15.75" customHeight="1">
      <c r="A68" s="166" t="s">
        <v>3294</v>
      </c>
      <c r="B68" s="167" t="s">
        <v>3492</v>
      </c>
      <c r="C68" s="168" t="s">
        <v>3493</v>
      </c>
      <c r="D68" s="105" t="s">
        <v>3494</v>
      </c>
      <c r="E68" s="105" t="s">
        <v>3298</v>
      </c>
      <c r="F68" s="106">
        <v>0.105</v>
      </c>
      <c r="G68" s="39" t="str">
        <f>VLOOKUP("VOLT276",STOCK!$B$2:$Q$3668,3,FALSE)</f>
        <v>Mayor a 5</v>
      </c>
    </row>
    <row r="69" ht="15.75" customHeight="1">
      <c r="A69" s="161" t="s">
        <v>3294</v>
      </c>
      <c r="B69" s="172" t="s">
        <v>3495</v>
      </c>
      <c r="C69" s="163" t="s">
        <v>3496</v>
      </c>
      <c r="D69" s="102" t="s">
        <v>3497</v>
      </c>
      <c r="E69" s="102" t="s">
        <v>3498</v>
      </c>
      <c r="F69" s="173">
        <v>0.105</v>
      </c>
      <c r="G69" s="53" t="str">
        <f>VLOOKUP("VOLT476",STOCK!$B$2:$Q$3668,3,FALSE)</f>
        <v>Menor a 5</v>
      </c>
    </row>
    <row r="70" ht="15.75" customHeight="1">
      <c r="A70" s="166" t="s">
        <v>3294</v>
      </c>
      <c r="B70" s="167" t="s">
        <v>3499</v>
      </c>
      <c r="C70" s="168" t="s">
        <v>3500</v>
      </c>
      <c r="D70" s="105" t="s">
        <v>3501</v>
      </c>
      <c r="E70" s="105" t="s">
        <v>3502</v>
      </c>
      <c r="F70" s="106">
        <v>0.105</v>
      </c>
      <c r="G70" s="50" t="str">
        <f>IFERROR(VLOOKUP("VOLT476P",STOCK!B2:Q3668,3,FALSE),"SIN STOCK")</f>
        <v>Menor a 5</v>
      </c>
    </row>
    <row r="71" ht="15.75" customHeight="1">
      <c r="A71" s="161" t="s">
        <v>3294</v>
      </c>
      <c r="B71" s="172" t="s">
        <v>3503</v>
      </c>
      <c r="C71" s="163" t="s">
        <v>3504</v>
      </c>
      <c r="D71" s="102" t="s">
        <v>3505</v>
      </c>
      <c r="E71" s="102" t="s">
        <v>3506</v>
      </c>
      <c r="F71" s="173">
        <v>0.105</v>
      </c>
      <c r="G71" s="175" t="str">
        <f>VLOOKUP("VOLT-SB2",STOCK!$B$2:$Q$3668,3,FALSE)</f>
        <v>SIN STOCK</v>
      </c>
    </row>
    <row r="72" ht="15.75" customHeight="1">
      <c r="A72" s="166" t="s">
        <v>3294</v>
      </c>
      <c r="B72" s="167" t="s">
        <v>3507</v>
      </c>
      <c r="C72" s="168" t="s">
        <v>3508</v>
      </c>
      <c r="D72" s="105" t="s">
        <v>3497</v>
      </c>
      <c r="E72" s="105" t="s">
        <v>3498</v>
      </c>
      <c r="F72" s="106">
        <v>0.105</v>
      </c>
      <c r="G72" s="50" t="str">
        <f>VLOOKUP("VOLT-SB276",STOCK!$B$2:$Q$3668,3,FALSE)</f>
        <v>SIN STOCK</v>
      </c>
    </row>
    <row r="73" ht="15.75" customHeight="1">
      <c r="A73" s="29" t="s">
        <v>3509</v>
      </c>
      <c r="C73" s="174"/>
      <c r="D73" s="55"/>
      <c r="E73" s="55"/>
      <c r="F73" s="133"/>
      <c r="G73" s="108"/>
    </row>
    <row r="74" ht="15.75" customHeight="1">
      <c r="A74" s="161" t="s">
        <v>3294</v>
      </c>
      <c r="B74" s="172" t="s">
        <v>3510</v>
      </c>
      <c r="C74" s="163" t="s">
        <v>3511</v>
      </c>
      <c r="D74" s="102" t="s">
        <v>3333</v>
      </c>
      <c r="E74" s="102" t="s">
        <v>3334</v>
      </c>
      <c r="F74" s="173">
        <v>0.105</v>
      </c>
      <c r="G74" s="50" t="str">
        <f>VLOOKUP("TB3SATQ-C",STOCK!$B$2:$Q$3668,3,FALSE)</f>
        <v>SIN STOCK</v>
      </c>
    </row>
    <row r="75" ht="15.75" customHeight="1">
      <c r="A75" s="166" t="s">
        <v>3294</v>
      </c>
      <c r="B75" s="167" t="s">
        <v>3512</v>
      </c>
      <c r="C75" s="168" t="s">
        <v>3513</v>
      </c>
      <c r="D75" s="105" t="s">
        <v>3514</v>
      </c>
      <c r="E75" s="105" t="s">
        <v>3515</v>
      </c>
      <c r="F75" s="106">
        <v>0.105</v>
      </c>
      <c r="G75" s="50" t="str">
        <f>VLOOKUP("TB3SATO-C",STOCK!$B$2:$Q$3668,3,FALSE)</f>
        <v>SIN STOCK</v>
      </c>
    </row>
    <row r="76" ht="15.75" customHeight="1">
      <c r="A76" s="29" t="s">
        <v>3516</v>
      </c>
      <c r="C76" s="174"/>
      <c r="D76" s="55"/>
      <c r="E76" s="55"/>
      <c r="F76" s="133"/>
      <c r="G76" s="108"/>
    </row>
    <row r="77" ht="15.75" customHeight="1">
      <c r="A77" s="166" t="s">
        <v>3294</v>
      </c>
      <c r="B77" s="167" t="s">
        <v>3517</v>
      </c>
      <c r="C77" s="168" t="s">
        <v>3518</v>
      </c>
      <c r="D77" s="105" t="s">
        <v>3514</v>
      </c>
      <c r="E77" s="105" t="s">
        <v>3515</v>
      </c>
      <c r="F77" s="106">
        <v>0.105</v>
      </c>
      <c r="G77" s="50" t="str">
        <f>VLOOKUP("UAD-2U-OCORE",STOCK!$B$2:$Q$3668,3,FALSE)</f>
        <v>SIN STOCK</v>
      </c>
    </row>
    <row r="78" ht="15.75" customHeight="1">
      <c r="A78" s="29" t="s">
        <v>3519</v>
      </c>
      <c r="C78" s="174"/>
      <c r="D78" s="55"/>
      <c r="E78" s="55"/>
      <c r="F78" s="133"/>
      <c r="G78" s="108"/>
    </row>
    <row r="79" ht="15.75" customHeight="1">
      <c r="A79" s="166" t="s">
        <v>3294</v>
      </c>
      <c r="B79" s="171" t="s">
        <v>3520</v>
      </c>
      <c r="C79" s="168" t="s">
        <v>3521</v>
      </c>
      <c r="D79" s="105" t="s">
        <v>3467</v>
      </c>
      <c r="E79" s="105" t="s">
        <v>3468</v>
      </c>
      <c r="F79" s="106">
        <v>0.105</v>
      </c>
      <c r="G79" s="175" t="str">
        <f>VLOOKUP("SATQ-C**",STOCK!$B$2:$Q$3668,3,FALSE)</f>
        <v>SIN STOCK</v>
      </c>
    </row>
    <row r="80" ht="15.75" customHeight="1">
      <c r="A80" s="29" t="s">
        <v>3522</v>
      </c>
      <c r="C80" s="174"/>
      <c r="D80" s="55"/>
      <c r="E80" s="55"/>
      <c r="F80" s="133"/>
      <c r="G80" s="108"/>
    </row>
    <row r="81" ht="15.75" customHeight="1">
      <c r="A81" s="161" t="s">
        <v>3294</v>
      </c>
      <c r="B81" s="170" t="s">
        <v>3523</v>
      </c>
      <c r="C81" s="163" t="s">
        <v>3524</v>
      </c>
      <c r="D81" s="102" t="s">
        <v>3514</v>
      </c>
      <c r="E81" s="102" t="s">
        <v>3515</v>
      </c>
      <c r="F81" s="173">
        <v>0.105</v>
      </c>
      <c r="G81" s="50" t="str">
        <f>IFERROR(VLOOKUP("PCI2O-C",STOCK!B4:Q3670,3,FALSE),"SIN STOCK")</f>
        <v>SIN STOCK</v>
      </c>
    </row>
    <row r="82" ht="15.75" customHeight="1">
      <c r="A82" s="29" t="s">
        <v>3525</v>
      </c>
      <c r="C82" s="174"/>
      <c r="D82" s="55"/>
      <c r="E82" s="177"/>
      <c r="F82" s="178"/>
      <c r="G82" s="178"/>
    </row>
    <row r="83" ht="15.75" customHeight="1">
      <c r="A83" s="161" t="s">
        <v>3294</v>
      </c>
      <c r="B83" s="172" t="s">
        <v>3526</v>
      </c>
      <c r="C83" s="163" t="s">
        <v>3527</v>
      </c>
      <c r="D83" s="102" t="s">
        <v>3528</v>
      </c>
      <c r="E83" s="102" t="s">
        <v>3529</v>
      </c>
      <c r="F83" s="173">
        <v>0.105</v>
      </c>
      <c r="G83" s="175" t="str">
        <f>IFERROR(VLOOKUP("LA2A",STOCK!B4:Q3670,3,FALSE),"SIN STOCK")</f>
        <v>SIN STOCK</v>
      </c>
    </row>
    <row r="84" ht="15.75" customHeight="1">
      <c r="A84" s="166" t="s">
        <v>3294</v>
      </c>
      <c r="B84" s="167" t="s">
        <v>3530</v>
      </c>
      <c r="C84" s="168" t="s">
        <v>3531</v>
      </c>
      <c r="D84" s="105" t="s">
        <v>3532</v>
      </c>
      <c r="E84" s="105" t="s">
        <v>3533</v>
      </c>
      <c r="F84" s="106">
        <v>0.105</v>
      </c>
      <c r="G84" s="50" t="str">
        <f>IFERROR(VLOOKUP("1176LN",STOCK!B5:Q3671,3,FALSE),"SIN STOCK")</f>
        <v>SIN STOCK</v>
      </c>
    </row>
    <row r="85" ht="15.75" customHeight="1">
      <c r="A85" s="161" t="s">
        <v>3294</v>
      </c>
      <c r="B85" s="170" t="s">
        <v>3534</v>
      </c>
      <c r="C85" s="163" t="s">
        <v>3535</v>
      </c>
      <c r="D85" s="102" t="s">
        <v>3384</v>
      </c>
      <c r="E85" s="102" t="s">
        <v>3314</v>
      </c>
      <c r="F85" s="173">
        <v>0.105</v>
      </c>
      <c r="G85" s="50" t="str">
        <f>IFERROR(VLOOKUP("1176SA",STOCK!B5:Q3671,3,FALSE),"SIN STOCK")</f>
        <v>SIN STOCK</v>
      </c>
    </row>
    <row r="86" ht="15.75" customHeight="1">
      <c r="A86" s="166" t="s">
        <v>3294</v>
      </c>
      <c r="B86" s="183">
        <v>6176.0</v>
      </c>
      <c r="C86" s="168" t="s">
        <v>3536</v>
      </c>
      <c r="D86" s="105" t="s">
        <v>3416</v>
      </c>
      <c r="E86" s="105" t="s">
        <v>3417</v>
      </c>
      <c r="F86" s="106">
        <v>0.105</v>
      </c>
      <c r="G86" s="175" t="str">
        <f>IFERROR(VLOOKUP("6176",STOCK!B4:Q3670,3,FALSE),"SIN STOCK")</f>
        <v>SIN STOCK</v>
      </c>
    </row>
    <row r="87" ht="15.75" customHeight="1">
      <c r="A87" s="161" t="s">
        <v>3294</v>
      </c>
      <c r="B87" s="172" t="s">
        <v>3537</v>
      </c>
      <c r="C87" s="163" t="s">
        <v>3538</v>
      </c>
      <c r="D87" s="102" t="s">
        <v>3437</v>
      </c>
      <c r="E87" s="102" t="s">
        <v>3438</v>
      </c>
      <c r="F87" s="173">
        <v>0.105</v>
      </c>
      <c r="G87" s="85" t="str">
        <f>VLOOKUP("LA610",STOCK!$B$2:$Q$3668,3,FALSE)</f>
        <v>Menor a 5</v>
      </c>
    </row>
    <row r="88" ht="15.75" customHeight="1">
      <c r="A88" s="166" t="s">
        <v>3294</v>
      </c>
      <c r="B88" s="167" t="s">
        <v>3539</v>
      </c>
      <c r="C88" s="168" t="s">
        <v>3540</v>
      </c>
      <c r="D88" s="105" t="s">
        <v>3406</v>
      </c>
      <c r="E88" s="105" t="s">
        <v>3407</v>
      </c>
      <c r="F88" s="106">
        <v>0.105</v>
      </c>
      <c r="G88" s="85" t="str">
        <f>VLOOKUP("S610",STOCK!$B$2:$Q$3668,3,FALSE)</f>
        <v>Menor a 5</v>
      </c>
    </row>
    <row r="89" ht="15.75" customHeight="1">
      <c r="A89" s="161" t="s">
        <v>3294</v>
      </c>
      <c r="B89" s="172" t="s">
        <v>3541</v>
      </c>
      <c r="C89" s="163" t="s">
        <v>3542</v>
      </c>
      <c r="D89" s="102" t="s">
        <v>3437</v>
      </c>
      <c r="E89" s="102" t="s">
        <v>3438</v>
      </c>
      <c r="F89" s="173">
        <v>0.105</v>
      </c>
      <c r="G89" s="147" t="str">
        <f>VLOOKUP("4710D",STOCK!$B$2:$Q$3668,3,FALSE)</f>
        <v>SIN STOCK</v>
      </c>
    </row>
    <row r="90" ht="15.75" customHeight="1">
      <c r="A90" s="166" t="s">
        <v>3294</v>
      </c>
      <c r="B90" s="167" t="s">
        <v>3543</v>
      </c>
      <c r="C90" s="168" t="s">
        <v>3544</v>
      </c>
      <c r="D90" s="105" t="s">
        <v>3333</v>
      </c>
      <c r="E90" s="105" t="s">
        <v>3334</v>
      </c>
      <c r="F90" s="106">
        <v>0.105</v>
      </c>
      <c r="G90" s="182" t="str">
        <f>VLOOKUP("710TF",STOCK!$B$2:$Q$3668,3,FALSE)</f>
        <v>Menor a 5</v>
      </c>
    </row>
    <row r="91" ht="15.75" customHeight="1">
      <c r="A91" s="130"/>
      <c r="B91" s="130"/>
      <c r="C91" s="184"/>
      <c r="D91" s="185"/>
      <c r="E91" s="185"/>
      <c r="F91" s="185"/>
      <c r="G91" s="185"/>
    </row>
    <row r="92" ht="15.75" customHeight="1">
      <c r="A92" s="130"/>
      <c r="B92" s="130"/>
      <c r="C92" s="184"/>
      <c r="D92" s="186"/>
      <c r="E92" s="186"/>
      <c r="F92" s="187"/>
      <c r="G92" s="141"/>
    </row>
    <row r="93" ht="15.75" customHeight="1">
      <c r="A93" s="130"/>
      <c r="B93" s="130"/>
      <c r="C93" s="184"/>
      <c r="D93" s="186"/>
      <c r="E93" s="186"/>
      <c r="F93" s="187"/>
      <c r="G93" s="141"/>
    </row>
    <row r="94" ht="15.75" customHeight="1">
      <c r="A94" s="130"/>
      <c r="B94" s="130"/>
      <c r="C94" s="184"/>
      <c r="D94" s="186"/>
      <c r="E94" s="186"/>
      <c r="F94" s="187"/>
      <c r="G94" s="141"/>
    </row>
    <row r="95" ht="15.75" customHeight="1">
      <c r="A95" s="130"/>
      <c r="B95" s="130"/>
      <c r="C95" s="184"/>
      <c r="D95" s="186"/>
      <c r="E95" s="186"/>
      <c r="F95" s="187"/>
      <c r="G95" s="141"/>
    </row>
    <row r="96" ht="15.75" customHeight="1">
      <c r="A96" s="130"/>
      <c r="B96" s="130"/>
      <c r="C96" s="184"/>
      <c r="D96" s="185"/>
      <c r="E96" s="185"/>
      <c r="F96" s="185"/>
      <c r="G96" s="185"/>
    </row>
    <row r="97" ht="15.75" customHeight="1">
      <c r="A97" s="130"/>
      <c r="B97" s="130"/>
      <c r="C97" s="184"/>
      <c r="D97" s="186"/>
      <c r="E97" s="186"/>
      <c r="F97" s="187"/>
      <c r="G97" s="141"/>
    </row>
    <row r="98" ht="15.75" customHeight="1">
      <c r="A98" s="130"/>
      <c r="B98" s="130"/>
      <c r="C98" s="184"/>
      <c r="D98" s="186"/>
      <c r="E98" s="186"/>
      <c r="F98" s="187"/>
      <c r="G98" s="141"/>
    </row>
    <row r="99" ht="15.75" customHeight="1">
      <c r="A99" s="130"/>
      <c r="B99" s="130"/>
      <c r="C99" s="184"/>
      <c r="D99" s="186"/>
      <c r="E99" s="186"/>
      <c r="F99" s="187"/>
      <c r="G99" s="141"/>
    </row>
    <row r="100" ht="15.75" customHeight="1">
      <c r="A100" s="130"/>
      <c r="B100" s="130"/>
      <c r="C100" s="184"/>
      <c r="D100" s="186"/>
      <c r="E100" s="186"/>
      <c r="F100" s="187"/>
      <c r="G100" s="141"/>
    </row>
    <row r="101" ht="15.75" customHeight="1">
      <c r="A101" s="130"/>
      <c r="B101" s="130"/>
      <c r="C101" s="184"/>
      <c r="D101" s="186"/>
      <c r="E101" s="186"/>
      <c r="F101" s="187"/>
      <c r="G101" s="141"/>
    </row>
    <row r="102" ht="15.75" customHeight="1">
      <c r="A102" s="130"/>
      <c r="B102" s="130"/>
      <c r="C102" s="184"/>
      <c r="D102" s="186"/>
      <c r="E102" s="186"/>
      <c r="F102" s="187"/>
      <c r="G102" s="141"/>
    </row>
    <row r="103" ht="15.75" customHeight="1">
      <c r="A103" s="130"/>
      <c r="B103" s="130"/>
      <c r="C103" s="184"/>
      <c r="D103" s="186"/>
      <c r="E103" s="186"/>
      <c r="F103" s="187"/>
      <c r="G103" s="141"/>
    </row>
    <row r="104" ht="15.75" customHeight="1">
      <c r="A104" s="130"/>
      <c r="B104" s="130"/>
      <c r="C104" s="184"/>
      <c r="D104" s="186"/>
      <c r="E104" s="186"/>
      <c r="F104" s="187"/>
      <c r="G104" s="141"/>
    </row>
    <row r="105" ht="15.75" customHeight="1">
      <c r="A105" s="130"/>
      <c r="B105" s="130"/>
      <c r="C105" s="184"/>
      <c r="D105" s="186"/>
      <c r="E105" s="186"/>
      <c r="F105" s="187"/>
      <c r="G105" s="141"/>
    </row>
    <row r="106" ht="15.75" customHeight="1">
      <c r="A106" s="130"/>
      <c r="B106" s="130"/>
      <c r="C106" s="184"/>
      <c r="D106" s="186"/>
      <c r="E106" s="186"/>
      <c r="F106" s="187"/>
      <c r="G106" s="141"/>
    </row>
    <row r="107" ht="15.75" customHeight="1">
      <c r="A107" s="130"/>
      <c r="B107" s="130"/>
      <c r="C107" s="184"/>
      <c r="D107" s="186"/>
      <c r="E107" s="186"/>
      <c r="F107" s="187"/>
      <c r="G107" s="141"/>
    </row>
    <row r="108" ht="15.75" customHeight="1">
      <c r="A108" s="130"/>
      <c r="B108" s="130"/>
      <c r="C108" s="184"/>
      <c r="D108" s="186"/>
      <c r="E108" s="186"/>
      <c r="F108" s="187"/>
      <c r="G108" s="141"/>
    </row>
    <row r="109" ht="15.75" customHeight="1">
      <c r="A109" s="130"/>
      <c r="B109" s="130"/>
      <c r="C109" s="184"/>
      <c r="D109" s="186"/>
      <c r="E109" s="186"/>
      <c r="F109" s="187"/>
      <c r="G109" s="141"/>
    </row>
    <row r="110" ht="15.75" customHeight="1">
      <c r="A110" s="130"/>
      <c r="B110" s="130"/>
      <c r="C110" s="184"/>
      <c r="D110" s="186"/>
      <c r="E110" s="186"/>
      <c r="F110" s="187"/>
      <c r="G110" s="141"/>
    </row>
    <row r="111" ht="15.75" customHeight="1">
      <c r="A111" s="130"/>
      <c r="B111" s="130"/>
      <c r="C111" s="184"/>
      <c r="D111" s="186"/>
      <c r="E111" s="186"/>
      <c r="F111" s="187"/>
      <c r="G111" s="141"/>
    </row>
    <row r="112" ht="15.75" customHeight="1">
      <c r="A112" s="130"/>
      <c r="B112" s="130"/>
      <c r="C112" s="184"/>
      <c r="D112" s="186"/>
      <c r="E112" s="186"/>
      <c r="F112" s="187"/>
      <c r="G112" s="141"/>
    </row>
    <row r="113" ht="15.75" customHeight="1">
      <c r="A113" s="130"/>
      <c r="B113" s="130"/>
      <c r="C113" s="184"/>
      <c r="D113" s="186"/>
      <c r="E113" s="186"/>
      <c r="F113" s="187"/>
      <c r="G113" s="141"/>
    </row>
    <row r="114" ht="15.75" customHeight="1">
      <c r="A114" s="130"/>
      <c r="B114" s="130"/>
      <c r="C114" s="184"/>
      <c r="D114" s="186"/>
      <c r="E114" s="186"/>
      <c r="F114" s="187"/>
      <c r="G114" s="141"/>
    </row>
    <row r="115" ht="15.75" customHeight="1">
      <c r="A115" s="130"/>
      <c r="B115" s="130"/>
      <c r="C115" s="184"/>
      <c r="D115" s="186"/>
      <c r="E115" s="186"/>
      <c r="F115" s="187"/>
      <c r="G115" s="141"/>
    </row>
    <row r="116" ht="15.75" customHeight="1">
      <c r="A116" s="130"/>
      <c r="B116" s="130"/>
      <c r="C116" s="184"/>
      <c r="D116" s="186"/>
      <c r="E116" s="186"/>
      <c r="F116" s="187"/>
      <c r="G116" s="141"/>
    </row>
    <row r="117" ht="15.75" customHeight="1">
      <c r="A117" s="130"/>
      <c r="B117" s="130"/>
      <c r="C117" s="184"/>
      <c r="D117" s="186"/>
      <c r="E117" s="186"/>
      <c r="F117" s="187"/>
      <c r="G117" s="141"/>
    </row>
    <row r="118" ht="15.75" customHeight="1">
      <c r="A118" s="130"/>
      <c r="B118" s="130"/>
      <c r="C118" s="184"/>
      <c r="D118" s="186"/>
      <c r="E118" s="186"/>
      <c r="F118" s="187"/>
      <c r="G118" s="141"/>
    </row>
    <row r="119" ht="15.75" customHeight="1">
      <c r="A119" s="130"/>
      <c r="B119" s="130"/>
      <c r="C119" s="184"/>
      <c r="D119" s="186"/>
      <c r="E119" s="186"/>
      <c r="F119" s="187"/>
      <c r="G119" s="141"/>
    </row>
    <row r="120" ht="15.75" customHeight="1">
      <c r="A120" s="130"/>
      <c r="B120" s="130"/>
      <c r="C120" s="184"/>
      <c r="D120" s="186"/>
      <c r="E120" s="186"/>
      <c r="F120" s="187"/>
      <c r="G120" s="141"/>
    </row>
    <row r="121" ht="15.75" customHeight="1">
      <c r="A121" s="130"/>
      <c r="B121" s="130"/>
      <c r="C121" s="184"/>
      <c r="D121" s="186"/>
      <c r="E121" s="186"/>
      <c r="F121" s="187"/>
      <c r="G121" s="141"/>
    </row>
    <row r="122" ht="15.75" customHeight="1">
      <c r="A122" s="130"/>
      <c r="B122" s="130"/>
      <c r="C122" s="184"/>
      <c r="D122" s="186"/>
      <c r="E122" s="186"/>
      <c r="F122" s="187"/>
      <c r="G122" s="141"/>
    </row>
    <row r="123" ht="15.75" customHeight="1">
      <c r="A123" s="130"/>
      <c r="B123" s="130"/>
      <c r="C123" s="184"/>
      <c r="D123" s="186"/>
      <c r="E123" s="186"/>
      <c r="F123" s="187"/>
      <c r="G123" s="141"/>
    </row>
    <row r="124" ht="15.75" customHeight="1">
      <c r="A124" s="130"/>
      <c r="B124" s="130"/>
      <c r="C124" s="184"/>
      <c r="D124" s="186"/>
      <c r="E124" s="186"/>
      <c r="F124" s="187"/>
      <c r="G124" s="141"/>
    </row>
    <row r="125" ht="15.75" customHeight="1">
      <c r="A125" s="130"/>
      <c r="B125" s="130"/>
      <c r="C125" s="184"/>
      <c r="D125" s="186"/>
      <c r="E125" s="186"/>
      <c r="F125" s="187"/>
      <c r="G125" s="141"/>
    </row>
    <row r="126" ht="15.75" customHeight="1">
      <c r="A126" s="130"/>
      <c r="B126" s="130"/>
      <c r="C126" s="184"/>
      <c r="D126" s="186"/>
      <c r="E126" s="186"/>
      <c r="F126" s="187"/>
      <c r="G126" s="141"/>
    </row>
    <row r="127" ht="15.75" customHeight="1">
      <c r="A127" s="130"/>
      <c r="B127" s="130"/>
      <c r="C127" s="184"/>
      <c r="D127" s="186"/>
      <c r="E127" s="186"/>
      <c r="F127" s="187"/>
      <c r="G127" s="141"/>
    </row>
    <row r="128" ht="15.75" customHeight="1">
      <c r="A128" s="130"/>
      <c r="B128" s="130"/>
      <c r="C128" s="184"/>
      <c r="D128" s="186"/>
      <c r="E128" s="186"/>
      <c r="F128" s="187"/>
      <c r="G128" s="141"/>
    </row>
    <row r="129" ht="15.75" customHeight="1">
      <c r="A129" s="130"/>
      <c r="B129" s="130"/>
      <c r="C129" s="184"/>
      <c r="D129" s="186"/>
      <c r="E129" s="186"/>
      <c r="F129" s="187"/>
      <c r="G129" s="141"/>
    </row>
    <row r="130" ht="15.75" customHeight="1">
      <c r="A130" s="130"/>
      <c r="B130" s="130"/>
      <c r="C130" s="184"/>
      <c r="D130" s="186"/>
      <c r="E130" s="186"/>
      <c r="F130" s="187"/>
      <c r="G130" s="141"/>
    </row>
    <row r="131" ht="15.75" customHeight="1">
      <c r="A131" s="130"/>
      <c r="B131" s="130"/>
      <c r="C131" s="184"/>
      <c r="D131" s="186"/>
      <c r="E131" s="186"/>
      <c r="F131" s="187"/>
      <c r="G131" s="141"/>
    </row>
    <row r="132" ht="15.75" customHeight="1">
      <c r="A132" s="130"/>
      <c r="B132" s="130"/>
      <c r="C132" s="184"/>
      <c r="D132" s="186"/>
      <c r="E132" s="186"/>
      <c r="F132" s="187"/>
      <c r="G132" s="141"/>
    </row>
    <row r="133" ht="15.75" customHeight="1">
      <c r="A133" s="130"/>
      <c r="B133" s="130"/>
      <c r="C133" s="184"/>
      <c r="D133" s="186"/>
      <c r="E133" s="186"/>
      <c r="F133" s="187"/>
      <c r="G133" s="141"/>
    </row>
    <row r="134" ht="15.75" customHeight="1">
      <c r="A134" s="130"/>
      <c r="B134" s="130"/>
      <c r="C134" s="184"/>
      <c r="D134" s="186"/>
      <c r="E134" s="186"/>
      <c r="F134" s="187"/>
      <c r="G134" s="141"/>
    </row>
    <row r="135" ht="15.75" customHeight="1">
      <c r="A135" s="130"/>
      <c r="B135" s="130"/>
      <c r="C135" s="184"/>
      <c r="D135" s="186"/>
      <c r="E135" s="186"/>
      <c r="F135" s="187"/>
      <c r="G135" s="141"/>
    </row>
    <row r="136" ht="15.75" customHeight="1">
      <c r="A136" s="130"/>
      <c r="B136" s="130"/>
      <c r="C136" s="184"/>
      <c r="D136" s="186"/>
      <c r="E136" s="186"/>
      <c r="F136" s="187"/>
      <c r="G136" s="141"/>
    </row>
    <row r="137" ht="15.75" customHeight="1">
      <c r="A137" s="130"/>
      <c r="B137" s="130"/>
      <c r="C137" s="184"/>
      <c r="D137" s="186"/>
      <c r="E137" s="186"/>
      <c r="F137" s="187"/>
      <c r="G137" s="141"/>
    </row>
    <row r="138" ht="15.75" customHeight="1">
      <c r="A138" s="130"/>
      <c r="B138" s="130"/>
      <c r="C138" s="184"/>
      <c r="D138" s="186"/>
      <c r="E138" s="186"/>
      <c r="F138" s="187"/>
      <c r="G138" s="141"/>
    </row>
    <row r="139" ht="15.75" customHeight="1">
      <c r="A139" s="130"/>
      <c r="B139" s="130"/>
      <c r="C139" s="184"/>
      <c r="D139" s="186"/>
      <c r="E139" s="186"/>
      <c r="F139" s="187"/>
      <c r="G139" s="141"/>
    </row>
    <row r="140" ht="15.75" customHeight="1">
      <c r="A140" s="130"/>
      <c r="B140" s="130"/>
      <c r="C140" s="184"/>
      <c r="D140" s="186"/>
      <c r="E140" s="186"/>
      <c r="F140" s="187"/>
      <c r="G140" s="141"/>
    </row>
    <row r="141" ht="15.75" customHeight="1">
      <c r="A141" s="130"/>
      <c r="B141" s="130"/>
      <c r="C141" s="184"/>
      <c r="D141" s="186"/>
      <c r="E141" s="186"/>
      <c r="F141" s="187"/>
      <c r="G141" s="141"/>
    </row>
    <row r="142" ht="15.75" customHeight="1">
      <c r="A142" s="130"/>
      <c r="B142" s="130"/>
      <c r="C142" s="184"/>
      <c r="D142" s="186"/>
      <c r="E142" s="186"/>
      <c r="F142" s="187"/>
      <c r="G142" s="141"/>
    </row>
    <row r="143" ht="15.75" customHeight="1">
      <c r="A143" s="130"/>
      <c r="B143" s="130"/>
      <c r="C143" s="184"/>
      <c r="D143" s="186"/>
      <c r="E143" s="186"/>
      <c r="F143" s="187"/>
      <c r="G143" s="141"/>
    </row>
    <row r="144" ht="15.75" customHeight="1">
      <c r="A144" s="130"/>
      <c r="B144" s="130"/>
      <c r="C144" s="184"/>
      <c r="D144" s="186"/>
      <c r="E144" s="186"/>
      <c r="F144" s="187"/>
      <c r="G144" s="141"/>
    </row>
    <row r="145" ht="15.75" customHeight="1">
      <c r="A145" s="130"/>
      <c r="B145" s="130"/>
      <c r="C145" s="184"/>
      <c r="D145" s="186"/>
      <c r="E145" s="186"/>
      <c r="F145" s="187"/>
      <c r="G145" s="141"/>
    </row>
    <row r="146" ht="15.75" customHeight="1">
      <c r="A146" s="130"/>
      <c r="B146" s="130"/>
      <c r="C146" s="184"/>
      <c r="D146" s="186"/>
      <c r="E146" s="186"/>
      <c r="F146" s="187"/>
      <c r="G146" s="141"/>
    </row>
    <row r="147" ht="15.75" customHeight="1">
      <c r="A147" s="130"/>
      <c r="B147" s="130"/>
      <c r="C147" s="184"/>
      <c r="D147" s="186"/>
      <c r="E147" s="186"/>
      <c r="F147" s="187"/>
      <c r="G147" s="141"/>
    </row>
    <row r="148" ht="15.75" customHeight="1">
      <c r="A148" s="130"/>
      <c r="B148" s="130"/>
      <c r="C148" s="184"/>
      <c r="D148" s="186"/>
      <c r="E148" s="186"/>
      <c r="F148" s="187"/>
      <c r="G148" s="141"/>
    </row>
    <row r="149" ht="15.75" customHeight="1">
      <c r="A149" s="130"/>
      <c r="B149" s="130"/>
      <c r="C149" s="184"/>
      <c r="D149" s="186"/>
      <c r="E149" s="186"/>
      <c r="F149" s="187"/>
      <c r="G149" s="141"/>
    </row>
    <row r="150" ht="15.75" customHeight="1">
      <c r="A150" s="130"/>
      <c r="B150" s="130"/>
      <c r="C150" s="184"/>
      <c r="D150" s="186"/>
      <c r="E150" s="186"/>
      <c r="F150" s="187"/>
      <c r="G150" s="141"/>
    </row>
    <row r="151" ht="15.75" customHeight="1">
      <c r="A151" s="130"/>
      <c r="B151" s="130"/>
      <c r="C151" s="184"/>
      <c r="D151" s="186"/>
      <c r="E151" s="186"/>
      <c r="F151" s="187"/>
      <c r="G151" s="141"/>
    </row>
    <row r="152" ht="15.75" customHeight="1">
      <c r="A152" s="130"/>
      <c r="B152" s="130"/>
      <c r="C152" s="184"/>
      <c r="D152" s="186"/>
      <c r="E152" s="186"/>
      <c r="F152" s="187"/>
      <c r="G152" s="141"/>
    </row>
    <row r="153" ht="15.75" customHeight="1">
      <c r="A153" s="130"/>
      <c r="B153" s="130"/>
      <c r="C153" s="184"/>
      <c r="D153" s="186"/>
      <c r="E153" s="186"/>
      <c r="F153" s="187"/>
      <c r="G153" s="141"/>
    </row>
    <row r="154" ht="15.75" customHeight="1">
      <c r="A154" s="130"/>
      <c r="B154" s="130"/>
      <c r="C154" s="184"/>
      <c r="D154" s="186"/>
      <c r="E154" s="186"/>
      <c r="F154" s="187"/>
      <c r="G154" s="141"/>
    </row>
    <row r="155" ht="15.75" customHeight="1">
      <c r="A155" s="130"/>
      <c r="B155" s="130"/>
      <c r="C155" s="184"/>
      <c r="D155" s="186"/>
      <c r="E155" s="186"/>
      <c r="F155" s="187"/>
      <c r="G155" s="141"/>
    </row>
    <row r="156" ht="15.75" customHeight="1">
      <c r="A156" s="130"/>
      <c r="B156" s="130"/>
      <c r="C156" s="184"/>
      <c r="D156" s="186"/>
      <c r="E156" s="186"/>
      <c r="F156" s="187"/>
      <c r="G156" s="141"/>
    </row>
    <row r="157" ht="15.75" customHeight="1">
      <c r="A157" s="130"/>
      <c r="B157" s="130"/>
      <c r="C157" s="184"/>
      <c r="D157" s="186"/>
      <c r="E157" s="186"/>
      <c r="F157" s="187"/>
      <c r="G157" s="141"/>
    </row>
    <row r="158" ht="15.75" customHeight="1">
      <c r="A158" s="130"/>
      <c r="B158" s="130"/>
      <c r="C158" s="184"/>
      <c r="D158" s="186"/>
      <c r="E158" s="186"/>
      <c r="F158" s="187"/>
      <c r="G158" s="141"/>
    </row>
    <row r="159" ht="15.75" customHeight="1">
      <c r="A159" s="130"/>
      <c r="B159" s="130"/>
      <c r="C159" s="184"/>
      <c r="D159" s="186"/>
      <c r="E159" s="186"/>
      <c r="F159" s="187"/>
      <c r="G159" s="141"/>
    </row>
    <row r="160" ht="15.75" customHeight="1">
      <c r="A160" s="130"/>
      <c r="B160" s="130"/>
      <c r="C160" s="184"/>
      <c r="D160" s="186"/>
      <c r="E160" s="186"/>
      <c r="F160" s="187"/>
      <c r="G160" s="141"/>
    </row>
    <row r="161" ht="15.75" customHeight="1">
      <c r="A161" s="130"/>
      <c r="B161" s="130"/>
      <c r="C161" s="184"/>
      <c r="D161" s="186"/>
      <c r="E161" s="186"/>
      <c r="F161" s="187"/>
      <c r="G161" s="141"/>
    </row>
    <row r="162" ht="15.75" customHeight="1">
      <c r="A162" s="130"/>
      <c r="B162" s="130"/>
      <c r="C162" s="184"/>
      <c r="D162" s="186"/>
      <c r="E162" s="186"/>
      <c r="F162" s="187"/>
      <c r="G162" s="141"/>
    </row>
    <row r="163" ht="15.75" customHeight="1">
      <c r="A163" s="130"/>
      <c r="B163" s="130"/>
      <c r="C163" s="184"/>
      <c r="D163" s="186"/>
      <c r="E163" s="186"/>
      <c r="F163" s="187"/>
      <c r="G163" s="141"/>
    </row>
    <row r="164" ht="15.75" customHeight="1">
      <c r="A164" s="130"/>
      <c r="B164" s="130"/>
      <c r="C164" s="184"/>
      <c r="D164" s="186"/>
      <c r="E164" s="186"/>
      <c r="F164" s="187"/>
      <c r="G164" s="141"/>
    </row>
    <row r="165" ht="15.75" customHeight="1">
      <c r="A165" s="130"/>
      <c r="B165" s="130"/>
      <c r="C165" s="184"/>
      <c r="D165" s="186"/>
      <c r="E165" s="186"/>
      <c r="F165" s="187"/>
      <c r="G165" s="141"/>
    </row>
    <row r="166" ht="15.75" customHeight="1">
      <c r="A166" s="130"/>
      <c r="B166" s="130"/>
      <c r="C166" s="184"/>
      <c r="D166" s="186"/>
      <c r="E166" s="186"/>
      <c r="F166" s="187"/>
      <c r="G166" s="141"/>
    </row>
    <row r="167" ht="15.75" customHeight="1">
      <c r="A167" s="130"/>
      <c r="B167" s="130"/>
      <c r="C167" s="184"/>
      <c r="D167" s="186"/>
      <c r="E167" s="186"/>
      <c r="F167" s="187"/>
      <c r="G167" s="141"/>
    </row>
    <row r="168" ht="15.75" customHeight="1">
      <c r="A168" s="130"/>
      <c r="B168" s="130"/>
      <c r="C168" s="184"/>
      <c r="D168" s="186"/>
      <c r="E168" s="186"/>
      <c r="F168" s="187"/>
      <c r="G168" s="141"/>
    </row>
    <row r="169" ht="15.75" customHeight="1">
      <c r="A169" s="130"/>
      <c r="B169" s="130"/>
      <c r="C169" s="184"/>
      <c r="D169" s="186"/>
      <c r="E169" s="186"/>
      <c r="F169" s="187"/>
      <c r="G169" s="141"/>
    </row>
    <row r="170" ht="15.75" customHeight="1">
      <c r="A170" s="130"/>
      <c r="B170" s="130"/>
      <c r="C170" s="184"/>
      <c r="D170" s="186"/>
      <c r="E170" s="186"/>
      <c r="F170" s="187"/>
      <c r="G170" s="141"/>
    </row>
    <row r="171" ht="15.75" customHeight="1">
      <c r="A171" s="130"/>
      <c r="B171" s="130"/>
      <c r="C171" s="184"/>
      <c r="D171" s="186"/>
      <c r="E171" s="186"/>
      <c r="F171" s="187"/>
      <c r="G171" s="141"/>
    </row>
    <row r="172" ht="15.75" customHeight="1">
      <c r="A172" s="130"/>
      <c r="B172" s="130"/>
      <c r="C172" s="184"/>
      <c r="D172" s="186"/>
      <c r="E172" s="186"/>
      <c r="F172" s="187"/>
      <c r="G172" s="141"/>
    </row>
    <row r="173" ht="15.75" customHeight="1">
      <c r="A173" s="130"/>
      <c r="B173" s="130"/>
      <c r="C173" s="184"/>
      <c r="D173" s="186"/>
      <c r="E173" s="186"/>
      <c r="F173" s="187"/>
      <c r="G173" s="141"/>
    </row>
    <row r="174" ht="15.75" customHeight="1">
      <c r="A174" s="130"/>
      <c r="B174" s="130"/>
      <c r="C174" s="184"/>
      <c r="D174" s="186"/>
      <c r="E174" s="186"/>
      <c r="F174" s="187"/>
      <c r="G174" s="141"/>
    </row>
    <row r="175" ht="15.75" customHeight="1">
      <c r="A175" s="130"/>
      <c r="B175" s="130"/>
      <c r="C175" s="184"/>
      <c r="D175" s="186"/>
      <c r="E175" s="186"/>
      <c r="F175" s="187"/>
      <c r="G175" s="141"/>
    </row>
    <row r="176" ht="15.75" customHeight="1">
      <c r="A176" s="130"/>
      <c r="B176" s="130"/>
      <c r="C176" s="184"/>
      <c r="D176" s="186"/>
      <c r="E176" s="186"/>
      <c r="F176" s="187"/>
      <c r="G176" s="141"/>
    </row>
    <row r="177" ht="15.75" customHeight="1">
      <c r="A177" s="130"/>
      <c r="B177" s="130"/>
      <c r="C177" s="184"/>
      <c r="D177" s="186"/>
      <c r="E177" s="186"/>
      <c r="F177" s="187"/>
      <c r="G177" s="141"/>
    </row>
    <row r="178" ht="15.75" customHeight="1">
      <c r="A178" s="130"/>
      <c r="B178" s="130"/>
      <c r="C178" s="184"/>
      <c r="D178" s="186"/>
      <c r="E178" s="186"/>
      <c r="F178" s="187"/>
      <c r="G178" s="141"/>
    </row>
    <row r="179" ht="15.75" customHeight="1">
      <c r="A179" s="130"/>
      <c r="B179" s="130"/>
      <c r="C179" s="184"/>
      <c r="D179" s="186"/>
      <c r="E179" s="186"/>
      <c r="F179" s="187"/>
      <c r="G179" s="141"/>
    </row>
    <row r="180" ht="15.75" customHeight="1">
      <c r="A180" s="130"/>
      <c r="B180" s="130"/>
      <c r="C180" s="184"/>
      <c r="D180" s="186"/>
      <c r="E180" s="186"/>
      <c r="F180" s="187"/>
      <c r="G180" s="141"/>
    </row>
    <row r="181" ht="15.75" customHeight="1">
      <c r="A181" s="130"/>
      <c r="B181" s="130"/>
      <c r="C181" s="184"/>
      <c r="D181" s="186"/>
      <c r="E181" s="186"/>
      <c r="F181" s="187"/>
      <c r="G181" s="141"/>
    </row>
    <row r="182" ht="15.75" customHeight="1">
      <c r="A182" s="130"/>
      <c r="B182" s="130"/>
      <c r="C182" s="184"/>
      <c r="D182" s="186"/>
      <c r="E182" s="186"/>
      <c r="F182" s="187"/>
      <c r="G182" s="141"/>
    </row>
    <row r="183" ht="15.75" customHeight="1">
      <c r="A183" s="130"/>
      <c r="B183" s="130"/>
      <c r="C183" s="184"/>
      <c r="D183" s="186"/>
      <c r="E183" s="186"/>
      <c r="F183" s="187"/>
      <c r="G183" s="141"/>
    </row>
    <row r="184" ht="15.75" customHeight="1">
      <c r="A184" s="130"/>
      <c r="B184" s="130"/>
      <c r="C184" s="184"/>
      <c r="D184" s="186"/>
      <c r="E184" s="186"/>
      <c r="F184" s="187"/>
      <c r="G184" s="141"/>
    </row>
    <row r="185" ht="15.75" customHeight="1">
      <c r="A185" s="130"/>
      <c r="B185" s="130"/>
      <c r="C185" s="184"/>
      <c r="D185" s="186"/>
      <c r="E185" s="186"/>
      <c r="F185" s="187"/>
      <c r="G185" s="141"/>
    </row>
    <row r="186" ht="15.75" customHeight="1">
      <c r="A186" s="130"/>
      <c r="B186" s="130"/>
      <c r="C186" s="184"/>
      <c r="D186" s="186"/>
      <c r="E186" s="186"/>
      <c r="F186" s="187"/>
      <c r="G186" s="141"/>
    </row>
    <row r="187" ht="15.75" customHeight="1">
      <c r="A187" s="130"/>
      <c r="B187" s="130"/>
      <c r="C187" s="184"/>
      <c r="D187" s="186"/>
      <c r="E187" s="186"/>
      <c r="F187" s="187"/>
      <c r="G187" s="141"/>
    </row>
    <row r="188" ht="15.75" customHeight="1">
      <c r="A188" s="130"/>
      <c r="B188" s="130"/>
      <c r="C188" s="184"/>
      <c r="D188" s="186"/>
      <c r="E188" s="186"/>
      <c r="F188" s="187"/>
      <c r="G188" s="141"/>
    </row>
    <row r="189" ht="15.75" customHeight="1">
      <c r="A189" s="130"/>
      <c r="B189" s="130"/>
      <c r="C189" s="184"/>
      <c r="D189" s="186"/>
      <c r="E189" s="186"/>
      <c r="F189" s="187"/>
      <c r="G189" s="141"/>
    </row>
    <row r="190" ht="15.75" customHeight="1">
      <c r="A190" s="130"/>
      <c r="B190" s="130"/>
      <c r="C190" s="184"/>
      <c r="D190" s="186"/>
      <c r="E190" s="186"/>
      <c r="F190" s="187"/>
      <c r="G190" s="141"/>
    </row>
    <row r="191" ht="15.75" customHeight="1">
      <c r="A191" s="130"/>
      <c r="B191" s="130"/>
      <c r="C191" s="184"/>
      <c r="D191" s="186"/>
      <c r="E191" s="186"/>
      <c r="F191" s="187"/>
      <c r="G191" s="141"/>
    </row>
    <row r="192" ht="15.75" customHeight="1">
      <c r="A192" s="130"/>
      <c r="B192" s="130"/>
      <c r="C192" s="184"/>
      <c r="D192" s="186"/>
      <c r="E192" s="186"/>
      <c r="F192" s="187"/>
      <c r="G192" s="141"/>
    </row>
    <row r="193" ht="15.75" customHeight="1">
      <c r="A193" s="130"/>
      <c r="B193" s="130"/>
      <c r="C193" s="184"/>
      <c r="D193" s="186"/>
      <c r="E193" s="186"/>
      <c r="F193" s="187"/>
      <c r="G193" s="141"/>
    </row>
    <row r="194" ht="15.75" customHeight="1">
      <c r="A194" s="130"/>
      <c r="B194" s="130"/>
      <c r="C194" s="184"/>
      <c r="D194" s="186"/>
      <c r="E194" s="186"/>
      <c r="F194" s="187"/>
      <c r="G194" s="141"/>
    </row>
    <row r="195" ht="15.75" customHeight="1">
      <c r="A195" s="130"/>
      <c r="B195" s="130"/>
      <c r="C195" s="184"/>
      <c r="D195" s="186"/>
      <c r="E195" s="186"/>
      <c r="F195" s="187"/>
      <c r="G195" s="141"/>
    </row>
    <row r="196" ht="15.75" customHeight="1">
      <c r="A196" s="130"/>
      <c r="B196" s="130"/>
      <c r="C196" s="184"/>
      <c r="D196" s="186"/>
      <c r="E196" s="186"/>
      <c r="F196" s="187"/>
      <c r="G196" s="141"/>
    </row>
    <row r="197" ht="15.75" customHeight="1">
      <c r="A197" s="130"/>
      <c r="B197" s="130"/>
      <c r="C197" s="184"/>
      <c r="D197" s="186"/>
      <c r="E197" s="186"/>
      <c r="F197" s="187"/>
      <c r="G197" s="141"/>
    </row>
    <row r="198" ht="15.75" customHeight="1">
      <c r="A198" s="130"/>
      <c r="B198" s="130"/>
      <c r="C198" s="184"/>
      <c r="D198" s="186"/>
      <c r="E198" s="186"/>
      <c r="F198" s="187"/>
      <c r="G198" s="141"/>
    </row>
    <row r="199" ht="15.75" customHeight="1">
      <c r="A199" s="130"/>
      <c r="B199" s="130"/>
      <c r="C199" s="184"/>
      <c r="D199" s="186"/>
      <c r="E199" s="186"/>
      <c r="F199" s="187"/>
      <c r="G199" s="141"/>
    </row>
    <row r="200" ht="15.75" customHeight="1">
      <c r="A200" s="130"/>
      <c r="B200" s="130"/>
      <c r="C200" s="184"/>
      <c r="D200" s="186"/>
      <c r="E200" s="186"/>
      <c r="F200" s="187"/>
      <c r="G200" s="141"/>
    </row>
    <row r="201" ht="15.75" customHeight="1">
      <c r="A201" s="130"/>
      <c r="B201" s="130"/>
      <c r="C201" s="184"/>
      <c r="D201" s="186"/>
      <c r="E201" s="186"/>
      <c r="F201" s="187"/>
      <c r="G201" s="141"/>
    </row>
    <row r="202" ht="15.75" customHeight="1">
      <c r="A202" s="130"/>
      <c r="B202" s="130"/>
      <c r="C202" s="184"/>
      <c r="D202" s="186"/>
      <c r="E202" s="186"/>
      <c r="F202" s="187"/>
      <c r="G202" s="141"/>
    </row>
    <row r="203" ht="15.75" customHeight="1">
      <c r="A203" s="130"/>
      <c r="B203" s="130"/>
      <c r="C203" s="184"/>
      <c r="D203" s="186"/>
      <c r="E203" s="186"/>
      <c r="F203" s="187"/>
      <c r="G203" s="141"/>
    </row>
    <row r="204" ht="15.75" customHeight="1">
      <c r="A204" s="130"/>
      <c r="B204" s="130"/>
      <c r="C204" s="184"/>
      <c r="D204" s="186"/>
      <c r="E204" s="186"/>
      <c r="F204" s="187"/>
      <c r="G204" s="141"/>
    </row>
    <row r="205" ht="15.75" customHeight="1">
      <c r="A205" s="130"/>
      <c r="B205" s="130"/>
      <c r="C205" s="184"/>
      <c r="D205" s="186"/>
      <c r="E205" s="186"/>
      <c r="F205" s="187"/>
      <c r="G205" s="141"/>
    </row>
    <row r="206" ht="15.75" customHeight="1">
      <c r="A206" s="130"/>
      <c r="B206" s="130"/>
      <c r="C206" s="184"/>
      <c r="D206" s="186"/>
      <c r="E206" s="186"/>
      <c r="F206" s="187"/>
      <c r="G206" s="141"/>
    </row>
    <row r="207" ht="15.75" customHeight="1">
      <c r="A207" s="130"/>
      <c r="B207" s="130"/>
      <c r="C207" s="184"/>
      <c r="D207" s="186"/>
      <c r="E207" s="186"/>
      <c r="F207" s="187"/>
      <c r="G207" s="141"/>
    </row>
    <row r="208" ht="15.75" customHeight="1">
      <c r="A208" s="130"/>
      <c r="B208" s="130"/>
      <c r="C208" s="184"/>
      <c r="D208" s="186"/>
      <c r="E208" s="186"/>
      <c r="F208" s="187"/>
      <c r="G208" s="141"/>
    </row>
    <row r="209" ht="15.75" customHeight="1">
      <c r="A209" s="130"/>
      <c r="B209" s="130"/>
      <c r="C209" s="184"/>
      <c r="D209" s="186"/>
      <c r="E209" s="186"/>
      <c r="F209" s="187"/>
      <c r="G209" s="141"/>
    </row>
    <row r="210" ht="15.75" customHeight="1">
      <c r="A210" s="130"/>
      <c r="B210" s="130"/>
      <c r="C210" s="184"/>
      <c r="D210" s="186"/>
      <c r="E210" s="186"/>
      <c r="F210" s="187"/>
      <c r="G210" s="141"/>
    </row>
    <row r="211" ht="15.75" customHeight="1">
      <c r="A211" s="130"/>
      <c r="B211" s="130"/>
      <c r="C211" s="184"/>
      <c r="D211" s="186"/>
      <c r="E211" s="186"/>
      <c r="F211" s="187"/>
      <c r="G211" s="141"/>
    </row>
    <row r="212" ht="15.75" customHeight="1">
      <c r="A212" s="130"/>
      <c r="B212" s="130"/>
      <c r="C212" s="184"/>
      <c r="D212" s="186"/>
      <c r="E212" s="186"/>
      <c r="F212" s="187"/>
      <c r="G212" s="141"/>
    </row>
    <row r="213" ht="15.75" customHeight="1">
      <c r="A213" s="130"/>
      <c r="B213" s="130"/>
      <c r="C213" s="184"/>
      <c r="D213" s="186"/>
      <c r="E213" s="186"/>
      <c r="F213" s="187"/>
      <c r="G213" s="141"/>
    </row>
    <row r="214" ht="15.75" customHeight="1">
      <c r="A214" s="130"/>
      <c r="B214" s="130"/>
      <c r="C214" s="184"/>
      <c r="D214" s="186"/>
      <c r="E214" s="186"/>
      <c r="F214" s="187"/>
      <c r="G214" s="141"/>
    </row>
    <row r="215" ht="15.75" customHeight="1">
      <c r="A215" s="130"/>
      <c r="B215" s="130"/>
      <c r="C215" s="184"/>
      <c r="D215" s="186"/>
      <c r="E215" s="186"/>
      <c r="F215" s="187"/>
      <c r="G215" s="141"/>
    </row>
    <row r="216" ht="15.75" customHeight="1">
      <c r="A216" s="130"/>
      <c r="B216" s="130"/>
      <c r="C216" s="184"/>
      <c r="D216" s="186"/>
      <c r="E216" s="186"/>
      <c r="F216" s="187"/>
      <c r="G216" s="141"/>
    </row>
    <row r="217" ht="15.75" customHeight="1">
      <c r="A217" s="130"/>
      <c r="B217" s="130"/>
      <c r="C217" s="184"/>
      <c r="D217" s="186"/>
      <c r="E217" s="186"/>
      <c r="F217" s="187"/>
      <c r="G217" s="141"/>
    </row>
    <row r="218" ht="15.75" customHeight="1">
      <c r="A218" s="130"/>
      <c r="B218" s="130"/>
      <c r="C218" s="184"/>
      <c r="D218" s="186"/>
      <c r="E218" s="186"/>
      <c r="F218" s="187"/>
      <c r="G218" s="141"/>
    </row>
    <row r="219" ht="15.75" customHeight="1">
      <c r="A219" s="130"/>
      <c r="B219" s="130"/>
      <c r="C219" s="184"/>
      <c r="D219" s="186"/>
      <c r="E219" s="186"/>
      <c r="F219" s="187"/>
      <c r="G219" s="141"/>
    </row>
    <row r="220" ht="15.75" customHeight="1">
      <c r="A220" s="130"/>
      <c r="B220" s="130"/>
      <c r="C220" s="184"/>
      <c r="D220" s="186"/>
      <c r="E220" s="186"/>
      <c r="F220" s="187"/>
      <c r="G220" s="141"/>
    </row>
    <row r="221" ht="15.75" customHeight="1">
      <c r="A221" s="130"/>
      <c r="B221" s="130"/>
      <c r="C221" s="184"/>
      <c r="D221" s="186"/>
      <c r="E221" s="186"/>
      <c r="F221" s="187"/>
      <c r="G221" s="141"/>
    </row>
    <row r="222" ht="15.75" customHeight="1">
      <c r="A222" s="130"/>
      <c r="B222" s="130"/>
      <c r="C222" s="184"/>
      <c r="D222" s="186"/>
      <c r="E222" s="186"/>
      <c r="F222" s="187"/>
      <c r="G222" s="141"/>
    </row>
    <row r="223" ht="15.75" customHeight="1">
      <c r="A223" s="130"/>
      <c r="B223" s="130"/>
      <c r="C223" s="184"/>
      <c r="D223" s="186"/>
      <c r="E223" s="186"/>
      <c r="F223" s="187"/>
      <c r="G223" s="141"/>
    </row>
    <row r="224" ht="15.75" customHeight="1">
      <c r="A224" s="130"/>
      <c r="B224" s="130"/>
      <c r="C224" s="184"/>
      <c r="D224" s="186"/>
      <c r="E224" s="186"/>
      <c r="F224" s="187"/>
      <c r="G224" s="141"/>
    </row>
    <row r="225" ht="15.75" customHeight="1">
      <c r="A225" s="130"/>
      <c r="B225" s="130"/>
      <c r="C225" s="184"/>
      <c r="D225" s="186"/>
      <c r="E225" s="186"/>
      <c r="F225" s="187"/>
      <c r="G225" s="141"/>
    </row>
    <row r="226" ht="15.75" customHeight="1">
      <c r="A226" s="130"/>
      <c r="B226" s="130"/>
      <c r="C226" s="184"/>
      <c r="D226" s="186"/>
      <c r="E226" s="186"/>
      <c r="F226" s="187"/>
      <c r="G226" s="141"/>
    </row>
    <row r="227" ht="15.75" customHeight="1">
      <c r="A227" s="130"/>
      <c r="B227" s="130"/>
      <c r="C227" s="184"/>
      <c r="D227" s="186"/>
      <c r="E227" s="186"/>
      <c r="F227" s="187"/>
      <c r="G227" s="141"/>
    </row>
    <row r="228" ht="15.75" customHeight="1">
      <c r="A228" s="130"/>
      <c r="B228" s="130"/>
      <c r="C228" s="184"/>
      <c r="D228" s="186"/>
      <c r="E228" s="186"/>
      <c r="F228" s="187"/>
      <c r="G228" s="141"/>
    </row>
    <row r="229" ht="15.75" customHeight="1">
      <c r="A229" s="130"/>
      <c r="B229" s="130"/>
      <c r="C229" s="184"/>
      <c r="D229" s="186"/>
      <c r="E229" s="186"/>
      <c r="F229" s="187"/>
      <c r="G229" s="141"/>
    </row>
    <row r="230" ht="15.75" customHeight="1">
      <c r="A230" s="130"/>
      <c r="B230" s="130"/>
      <c r="C230" s="184"/>
      <c r="D230" s="186"/>
      <c r="E230" s="186"/>
      <c r="F230" s="187"/>
      <c r="G230" s="141"/>
    </row>
    <row r="231" ht="15.75" customHeight="1">
      <c r="A231" s="130"/>
      <c r="B231" s="130"/>
      <c r="C231" s="184"/>
      <c r="D231" s="186"/>
      <c r="E231" s="186"/>
      <c r="F231" s="187"/>
      <c r="G231" s="141"/>
    </row>
    <row r="232" ht="15.75" customHeight="1">
      <c r="A232" s="130"/>
      <c r="B232" s="130"/>
      <c r="C232" s="184"/>
      <c r="D232" s="186"/>
      <c r="E232" s="186"/>
      <c r="F232" s="187"/>
      <c r="G232" s="141"/>
    </row>
    <row r="233" ht="15.75" customHeight="1">
      <c r="A233" s="130"/>
      <c r="B233" s="130"/>
      <c r="C233" s="184"/>
      <c r="D233" s="186"/>
      <c r="E233" s="186"/>
      <c r="F233" s="187"/>
      <c r="G233" s="141"/>
    </row>
    <row r="234" ht="15.75" customHeight="1">
      <c r="A234" s="130"/>
      <c r="B234" s="130"/>
      <c r="C234" s="184"/>
      <c r="D234" s="186"/>
      <c r="E234" s="186"/>
      <c r="F234" s="187"/>
      <c r="G234" s="141"/>
    </row>
    <row r="235" ht="15.75" customHeight="1">
      <c r="A235" s="130"/>
      <c r="B235" s="130"/>
      <c r="C235" s="184"/>
      <c r="D235" s="186"/>
      <c r="E235" s="186"/>
      <c r="F235" s="187"/>
      <c r="G235" s="141"/>
    </row>
    <row r="236" ht="15.75" customHeight="1">
      <c r="A236" s="130"/>
      <c r="B236" s="130"/>
      <c r="C236" s="184"/>
      <c r="D236" s="186"/>
      <c r="E236" s="186"/>
      <c r="F236" s="187"/>
      <c r="G236" s="141"/>
    </row>
    <row r="237" ht="15.75" customHeight="1">
      <c r="A237" s="130"/>
      <c r="B237" s="130"/>
      <c r="C237" s="184"/>
      <c r="D237" s="186"/>
      <c r="E237" s="186"/>
      <c r="F237" s="187"/>
      <c r="G237" s="141"/>
    </row>
    <row r="238" ht="15.75" customHeight="1">
      <c r="A238" s="130"/>
      <c r="B238" s="130"/>
      <c r="C238" s="184"/>
      <c r="D238" s="186"/>
      <c r="E238" s="186"/>
      <c r="F238" s="187"/>
      <c r="G238" s="141"/>
    </row>
    <row r="239" ht="15.75" customHeight="1">
      <c r="A239" s="130"/>
      <c r="B239" s="130"/>
      <c r="C239" s="184"/>
      <c r="D239" s="186"/>
      <c r="E239" s="186"/>
      <c r="F239" s="187"/>
      <c r="G239" s="141"/>
    </row>
    <row r="240" ht="15.75" customHeight="1">
      <c r="A240" s="130"/>
      <c r="B240" s="130"/>
      <c r="C240" s="184"/>
      <c r="D240" s="186"/>
      <c r="E240" s="186"/>
      <c r="F240" s="187"/>
      <c r="G240" s="141"/>
    </row>
    <row r="241" ht="15.75" customHeight="1">
      <c r="A241" s="130"/>
      <c r="B241" s="130"/>
      <c r="C241" s="184"/>
      <c r="D241" s="186"/>
      <c r="E241" s="186"/>
      <c r="F241" s="187"/>
      <c r="G241" s="141"/>
    </row>
    <row r="242" ht="15.75" customHeight="1">
      <c r="A242" s="130"/>
      <c r="B242" s="130"/>
      <c r="C242" s="184"/>
      <c r="D242" s="186"/>
      <c r="E242" s="186"/>
      <c r="F242" s="187"/>
      <c r="G242" s="141"/>
    </row>
    <row r="243" ht="15.75" customHeight="1">
      <c r="A243" s="130"/>
      <c r="B243" s="130"/>
      <c r="C243" s="184"/>
      <c r="D243" s="186"/>
      <c r="E243" s="186"/>
      <c r="F243" s="187"/>
      <c r="G243" s="141"/>
    </row>
    <row r="244" ht="15.75" customHeight="1">
      <c r="A244" s="130"/>
      <c r="B244" s="130"/>
      <c r="C244" s="184"/>
      <c r="D244" s="186"/>
      <c r="E244" s="186"/>
      <c r="F244" s="187"/>
      <c r="G244" s="141"/>
    </row>
    <row r="245" ht="15.75" customHeight="1">
      <c r="A245" s="130"/>
      <c r="B245" s="130"/>
      <c r="C245" s="184"/>
      <c r="D245" s="186"/>
      <c r="E245" s="186"/>
      <c r="F245" s="187"/>
      <c r="G245" s="141"/>
    </row>
    <row r="246" ht="15.75" customHeight="1">
      <c r="A246" s="130"/>
      <c r="B246" s="130"/>
      <c r="C246" s="184"/>
      <c r="D246" s="186"/>
      <c r="E246" s="186"/>
      <c r="F246" s="187"/>
      <c r="G246" s="141"/>
    </row>
    <row r="247" ht="15.75" customHeight="1">
      <c r="A247" s="130"/>
      <c r="B247" s="130"/>
      <c r="C247" s="184"/>
      <c r="D247" s="186"/>
      <c r="E247" s="186"/>
      <c r="F247" s="187"/>
      <c r="G247" s="141"/>
    </row>
    <row r="248" ht="15.75" customHeight="1">
      <c r="A248" s="130"/>
      <c r="B248" s="130"/>
      <c r="C248" s="184"/>
      <c r="D248" s="186"/>
      <c r="E248" s="186"/>
      <c r="F248" s="187"/>
      <c r="G248" s="141"/>
    </row>
    <row r="249" ht="15.75" customHeight="1">
      <c r="A249" s="130"/>
      <c r="B249" s="130"/>
      <c r="C249" s="184"/>
      <c r="D249" s="186"/>
      <c r="E249" s="186"/>
      <c r="F249" s="187"/>
      <c r="G249" s="141"/>
    </row>
    <row r="250" ht="15.75" customHeight="1">
      <c r="A250" s="130"/>
      <c r="B250" s="130"/>
      <c r="C250" s="184"/>
      <c r="D250" s="186"/>
      <c r="E250" s="186"/>
      <c r="F250" s="187"/>
      <c r="G250" s="141"/>
    </row>
    <row r="251" ht="15.75" customHeight="1">
      <c r="A251" s="130"/>
      <c r="B251" s="130"/>
      <c r="C251" s="184"/>
      <c r="D251" s="186"/>
      <c r="E251" s="186"/>
      <c r="F251" s="187"/>
      <c r="G251" s="141"/>
    </row>
    <row r="252" ht="15.75" customHeight="1">
      <c r="A252" s="130"/>
      <c r="B252" s="130"/>
      <c r="C252" s="184"/>
      <c r="D252" s="186"/>
      <c r="E252" s="186"/>
      <c r="F252" s="187"/>
      <c r="G252" s="141"/>
    </row>
    <row r="253" ht="15.75" customHeight="1">
      <c r="A253" s="130"/>
      <c r="B253" s="130"/>
      <c r="C253" s="184"/>
      <c r="D253" s="186"/>
      <c r="E253" s="186"/>
      <c r="F253" s="187"/>
      <c r="G253" s="141"/>
    </row>
    <row r="254" ht="15.75" customHeight="1">
      <c r="A254" s="130"/>
      <c r="B254" s="130"/>
      <c r="C254" s="184"/>
      <c r="D254" s="186"/>
      <c r="E254" s="186"/>
      <c r="F254" s="187"/>
      <c r="G254" s="141"/>
    </row>
    <row r="255" ht="15.75" customHeight="1">
      <c r="A255" s="130"/>
      <c r="B255" s="130"/>
      <c r="C255" s="184"/>
      <c r="D255" s="186"/>
      <c r="E255" s="186"/>
      <c r="F255" s="187"/>
      <c r="G255" s="141"/>
    </row>
    <row r="256" ht="15.75" customHeight="1">
      <c r="A256" s="130"/>
      <c r="B256" s="130"/>
      <c r="C256" s="184"/>
      <c r="D256" s="186"/>
      <c r="E256" s="186"/>
      <c r="F256" s="187"/>
      <c r="G256" s="141"/>
    </row>
    <row r="257" ht="15.75" customHeight="1">
      <c r="A257" s="130"/>
      <c r="B257" s="130"/>
      <c r="C257" s="184"/>
      <c r="D257" s="186"/>
      <c r="E257" s="186"/>
      <c r="F257" s="187"/>
      <c r="G257" s="141"/>
    </row>
    <row r="258" ht="15.75" customHeight="1">
      <c r="A258" s="130"/>
      <c r="B258" s="130"/>
      <c r="C258" s="184"/>
      <c r="D258" s="186"/>
      <c r="E258" s="186"/>
      <c r="F258" s="187"/>
      <c r="G258" s="141"/>
    </row>
    <row r="259" ht="15.75" customHeight="1">
      <c r="A259" s="130"/>
      <c r="B259" s="130"/>
      <c r="C259" s="184"/>
      <c r="D259" s="186"/>
      <c r="E259" s="186"/>
      <c r="F259" s="187"/>
      <c r="G259" s="141"/>
    </row>
    <row r="260" ht="15.75" customHeight="1">
      <c r="A260" s="130"/>
      <c r="B260" s="130"/>
      <c r="C260" s="184"/>
      <c r="D260" s="186"/>
      <c r="E260" s="186"/>
      <c r="F260" s="187"/>
      <c r="G260" s="141"/>
    </row>
    <row r="261" ht="15.75" customHeight="1">
      <c r="A261" s="130"/>
      <c r="B261" s="130"/>
      <c r="C261" s="184"/>
      <c r="D261" s="186"/>
      <c r="E261" s="186"/>
      <c r="F261" s="187"/>
      <c r="G261" s="141"/>
    </row>
    <row r="262" ht="15.75" customHeight="1">
      <c r="A262" s="130"/>
      <c r="B262" s="130"/>
      <c r="C262" s="184"/>
      <c r="D262" s="186"/>
      <c r="E262" s="186"/>
      <c r="F262" s="187"/>
      <c r="G262" s="141"/>
    </row>
    <row r="263" ht="15.75" customHeight="1">
      <c r="A263" s="130"/>
      <c r="B263" s="130"/>
      <c r="C263" s="184"/>
      <c r="D263" s="186"/>
      <c r="E263" s="186"/>
      <c r="F263" s="187"/>
      <c r="G263" s="141"/>
    </row>
    <row r="264" ht="15.75" customHeight="1">
      <c r="A264" s="130"/>
      <c r="B264" s="130"/>
      <c r="C264" s="184"/>
      <c r="D264" s="186"/>
      <c r="E264" s="186"/>
      <c r="F264" s="187"/>
      <c r="G264" s="141"/>
    </row>
    <row r="265" ht="15.75" customHeight="1">
      <c r="A265" s="130"/>
      <c r="B265" s="130"/>
      <c r="C265" s="184"/>
      <c r="D265" s="186"/>
      <c r="E265" s="186"/>
      <c r="F265" s="187"/>
      <c r="G265" s="141"/>
    </row>
    <row r="266" ht="15.75" customHeight="1">
      <c r="A266" s="130"/>
      <c r="B266" s="130"/>
      <c r="C266" s="184"/>
      <c r="D266" s="186"/>
      <c r="E266" s="186"/>
      <c r="F266" s="187"/>
      <c r="G266" s="141"/>
    </row>
    <row r="267" ht="15.75" customHeight="1">
      <c r="A267" s="130"/>
      <c r="B267" s="130"/>
      <c r="C267" s="184"/>
      <c r="D267" s="186"/>
      <c r="E267" s="186"/>
      <c r="F267" s="187"/>
      <c r="G267" s="141"/>
    </row>
    <row r="268" ht="15.75" customHeight="1">
      <c r="A268" s="130"/>
      <c r="B268" s="130"/>
      <c r="C268" s="184"/>
      <c r="D268" s="186"/>
      <c r="E268" s="186"/>
      <c r="F268" s="187"/>
      <c r="G268" s="141"/>
    </row>
    <row r="269" ht="15.75" customHeight="1">
      <c r="A269" s="130"/>
      <c r="B269" s="130"/>
      <c r="C269" s="184"/>
      <c r="D269" s="186"/>
      <c r="E269" s="186"/>
      <c r="F269" s="187"/>
      <c r="G269" s="141"/>
    </row>
    <row r="270" ht="15.75" customHeight="1">
      <c r="A270" s="130"/>
      <c r="B270" s="130"/>
      <c r="C270" s="184"/>
      <c r="D270" s="186"/>
      <c r="E270" s="186"/>
      <c r="F270" s="187"/>
      <c r="G270" s="141"/>
    </row>
    <row r="271" ht="15.75" customHeight="1">
      <c r="A271" s="130"/>
      <c r="B271" s="130"/>
      <c r="C271" s="184"/>
      <c r="D271" s="186"/>
      <c r="E271" s="186"/>
      <c r="F271" s="187"/>
      <c r="G271" s="141"/>
    </row>
    <row r="272" ht="15.75" customHeight="1">
      <c r="A272" s="130"/>
      <c r="B272" s="130"/>
      <c r="C272" s="184"/>
      <c r="D272" s="186"/>
      <c r="E272" s="186"/>
      <c r="F272" s="187"/>
      <c r="G272" s="141"/>
    </row>
    <row r="273" ht="15.75" customHeight="1">
      <c r="A273" s="130"/>
      <c r="B273" s="130"/>
      <c r="C273" s="184"/>
      <c r="D273" s="186"/>
      <c r="E273" s="186"/>
      <c r="F273" s="187"/>
      <c r="G273" s="141"/>
    </row>
    <row r="274" ht="15.75" customHeight="1">
      <c r="A274" s="130"/>
      <c r="B274" s="130"/>
      <c r="C274" s="184"/>
      <c r="D274" s="186"/>
      <c r="E274" s="186"/>
      <c r="F274" s="187"/>
      <c r="G274" s="141"/>
    </row>
    <row r="275" ht="15.75" customHeight="1">
      <c r="A275" s="130"/>
      <c r="B275" s="130"/>
      <c r="C275" s="184"/>
      <c r="D275" s="186"/>
      <c r="E275" s="186"/>
      <c r="F275" s="187"/>
      <c r="G275" s="141"/>
    </row>
    <row r="276" ht="15.75" customHeight="1">
      <c r="A276" s="130"/>
      <c r="B276" s="130"/>
      <c r="C276" s="184"/>
      <c r="D276" s="186"/>
      <c r="E276" s="186"/>
      <c r="F276" s="187"/>
      <c r="G276" s="141"/>
    </row>
    <row r="277" ht="15.75" customHeight="1">
      <c r="A277" s="130"/>
      <c r="B277" s="130"/>
      <c r="C277" s="184"/>
      <c r="D277" s="186"/>
      <c r="E277" s="186"/>
      <c r="F277" s="187"/>
      <c r="G277" s="141"/>
    </row>
    <row r="278" ht="15.75" customHeight="1">
      <c r="A278" s="130"/>
      <c r="B278" s="130"/>
      <c r="C278" s="184"/>
      <c r="D278" s="186"/>
      <c r="E278" s="186"/>
      <c r="F278" s="187"/>
      <c r="G278" s="141"/>
    </row>
    <row r="279" ht="15.75" customHeight="1">
      <c r="A279" s="130"/>
      <c r="B279" s="130"/>
      <c r="C279" s="184"/>
      <c r="D279" s="186"/>
      <c r="E279" s="186"/>
      <c r="F279" s="187"/>
      <c r="G279" s="141"/>
    </row>
    <row r="280" ht="15.75" customHeight="1">
      <c r="A280" s="130"/>
      <c r="B280" s="130"/>
      <c r="C280" s="184"/>
      <c r="D280" s="186"/>
      <c r="E280" s="186"/>
      <c r="F280" s="187"/>
      <c r="G280" s="141"/>
    </row>
    <row r="281" ht="15.75" customHeight="1">
      <c r="A281" s="130"/>
      <c r="B281" s="130"/>
      <c r="C281" s="184"/>
      <c r="D281" s="186"/>
      <c r="E281" s="186"/>
      <c r="F281" s="187"/>
      <c r="G281" s="141"/>
    </row>
    <row r="282" ht="15.75" customHeight="1">
      <c r="A282" s="130"/>
      <c r="B282" s="130"/>
      <c r="C282" s="184"/>
      <c r="D282" s="186"/>
      <c r="E282" s="186"/>
      <c r="F282" s="187"/>
      <c r="G282" s="141"/>
    </row>
    <row r="283" ht="15.75" customHeight="1">
      <c r="A283" s="130"/>
      <c r="B283" s="130"/>
      <c r="C283" s="184"/>
      <c r="D283" s="186"/>
      <c r="E283" s="186"/>
      <c r="F283" s="187"/>
      <c r="G283" s="141"/>
    </row>
    <row r="284" ht="15.75" customHeight="1">
      <c r="A284" s="130"/>
      <c r="B284" s="130"/>
      <c r="C284" s="184"/>
      <c r="D284" s="186"/>
      <c r="E284" s="186"/>
      <c r="F284" s="187"/>
      <c r="G284" s="141"/>
    </row>
    <row r="285" ht="15.75" customHeight="1">
      <c r="A285" s="130"/>
      <c r="B285" s="130"/>
      <c r="C285" s="184"/>
      <c r="D285" s="186"/>
      <c r="E285" s="186"/>
      <c r="F285" s="187"/>
      <c r="G285" s="141"/>
    </row>
    <row r="286" ht="15.75" customHeight="1">
      <c r="A286" s="130"/>
      <c r="B286" s="130"/>
      <c r="C286" s="184"/>
      <c r="D286" s="186"/>
      <c r="E286" s="186"/>
      <c r="F286" s="187"/>
      <c r="G286" s="141"/>
    </row>
    <row r="287" ht="15.75" customHeight="1">
      <c r="A287" s="130"/>
      <c r="B287" s="130"/>
      <c r="C287" s="184"/>
      <c r="D287" s="186"/>
      <c r="E287" s="186"/>
      <c r="F287" s="187"/>
      <c r="G287" s="141"/>
    </row>
    <row r="288" ht="15.75" customHeight="1">
      <c r="A288" s="130"/>
      <c r="B288" s="130"/>
      <c r="C288" s="184"/>
      <c r="D288" s="186"/>
      <c r="E288" s="186"/>
      <c r="F288" s="187"/>
      <c r="G288" s="141"/>
    </row>
    <row r="289" ht="15.75" customHeight="1">
      <c r="A289" s="130"/>
      <c r="B289" s="130"/>
      <c r="C289" s="184"/>
      <c r="D289" s="186"/>
      <c r="E289" s="186"/>
      <c r="F289" s="187"/>
      <c r="G289" s="141"/>
    </row>
    <row r="290" ht="15.75" customHeight="1">
      <c r="A290" s="130"/>
      <c r="B290" s="130"/>
      <c r="C290" s="184"/>
      <c r="D290" s="186"/>
      <c r="E290" s="186"/>
      <c r="F290" s="187"/>
      <c r="G290" s="141"/>
    </row>
    <row r="291" ht="15.75" customHeight="1">
      <c r="A291" s="130"/>
      <c r="B291" s="130"/>
      <c r="C291" s="184"/>
      <c r="D291" s="186"/>
      <c r="E291" s="186"/>
      <c r="F291" s="187"/>
      <c r="G291" s="141"/>
    </row>
    <row r="292" ht="15.75" customHeight="1">
      <c r="A292" s="130"/>
      <c r="B292" s="130"/>
      <c r="C292" s="184"/>
      <c r="D292" s="186"/>
      <c r="E292" s="186"/>
      <c r="F292" s="187"/>
      <c r="G292" s="141"/>
    </row>
    <row r="293" ht="15.75" customHeight="1">
      <c r="A293" s="130"/>
      <c r="B293" s="130"/>
      <c r="C293" s="184"/>
      <c r="D293" s="186"/>
      <c r="E293" s="186"/>
      <c r="F293" s="187"/>
      <c r="G293" s="141"/>
    </row>
    <row r="294" ht="15.75" customHeight="1">
      <c r="A294" s="130"/>
      <c r="B294" s="130"/>
      <c r="C294" s="184"/>
      <c r="D294" s="186"/>
      <c r="E294" s="186"/>
      <c r="F294" s="187"/>
      <c r="G294" s="141"/>
    </row>
    <row r="295" ht="15.75" customHeight="1">
      <c r="A295" s="130"/>
      <c r="B295" s="130"/>
      <c r="C295" s="184"/>
      <c r="D295" s="186"/>
      <c r="E295" s="186"/>
      <c r="F295" s="187"/>
      <c r="G295" s="141"/>
    </row>
    <row r="296" ht="15.75" customHeight="1">
      <c r="A296" s="130"/>
      <c r="B296" s="130"/>
      <c r="C296" s="184"/>
      <c r="D296" s="186"/>
      <c r="E296" s="186"/>
      <c r="F296" s="187"/>
      <c r="G296" s="141"/>
    </row>
    <row r="297" ht="15.75" customHeight="1">
      <c r="A297" s="130"/>
      <c r="B297" s="130"/>
      <c r="C297" s="184"/>
      <c r="D297" s="186"/>
      <c r="E297" s="186"/>
      <c r="F297" s="187"/>
      <c r="G297" s="141"/>
    </row>
    <row r="298" ht="15.75" customHeight="1">
      <c r="A298" s="130"/>
      <c r="B298" s="130"/>
      <c r="C298" s="184"/>
      <c r="D298" s="186"/>
      <c r="E298" s="186"/>
      <c r="F298" s="187"/>
      <c r="G298" s="141"/>
    </row>
    <row r="299" ht="15.75" customHeight="1">
      <c r="A299" s="130"/>
      <c r="B299" s="130"/>
      <c r="C299" s="184"/>
      <c r="D299" s="186"/>
      <c r="E299" s="186"/>
      <c r="F299" s="187"/>
      <c r="G299" s="141"/>
    </row>
    <row r="300" ht="15.75" customHeight="1">
      <c r="A300" s="130"/>
      <c r="B300" s="130"/>
      <c r="C300" s="184"/>
      <c r="D300" s="186"/>
      <c r="E300" s="186"/>
      <c r="F300" s="187"/>
      <c r="G300" s="141"/>
    </row>
    <row r="301" ht="15.75" customHeight="1">
      <c r="A301" s="130"/>
      <c r="B301" s="130"/>
      <c r="C301" s="184"/>
      <c r="D301" s="186"/>
      <c r="E301" s="186"/>
      <c r="F301" s="187"/>
      <c r="G301" s="141"/>
    </row>
    <row r="302" ht="15.75" customHeight="1">
      <c r="A302" s="130"/>
      <c r="B302" s="130"/>
      <c r="C302" s="184"/>
      <c r="D302" s="186"/>
      <c r="E302" s="186"/>
      <c r="F302" s="187"/>
      <c r="G302" s="141"/>
    </row>
    <row r="303" ht="15.75" customHeight="1">
      <c r="A303" s="130"/>
      <c r="B303" s="130"/>
      <c r="C303" s="184"/>
      <c r="D303" s="186"/>
      <c r="E303" s="186"/>
      <c r="F303" s="187"/>
      <c r="G303" s="141"/>
    </row>
    <row r="304" ht="15.75" customHeight="1">
      <c r="A304" s="130"/>
      <c r="B304" s="130"/>
      <c r="C304" s="184"/>
      <c r="D304" s="186"/>
      <c r="E304" s="186"/>
      <c r="F304" s="187"/>
      <c r="G304" s="141"/>
    </row>
    <row r="305" ht="15.75" customHeight="1">
      <c r="A305" s="130"/>
      <c r="B305" s="130"/>
      <c r="C305" s="184"/>
      <c r="D305" s="186"/>
      <c r="E305" s="186"/>
      <c r="F305" s="187"/>
      <c r="G305" s="141"/>
    </row>
    <row r="306" ht="15.75" customHeight="1">
      <c r="A306" s="130"/>
      <c r="B306" s="130"/>
      <c r="C306" s="184"/>
      <c r="D306" s="186"/>
      <c r="E306" s="186"/>
      <c r="F306" s="187"/>
      <c r="G306" s="141"/>
    </row>
    <row r="307" ht="15.75" customHeight="1">
      <c r="A307" s="130"/>
      <c r="B307" s="130"/>
      <c r="C307" s="184"/>
      <c r="D307" s="186"/>
      <c r="E307" s="186"/>
      <c r="F307" s="187"/>
      <c r="G307" s="141"/>
    </row>
    <row r="308" ht="15.75" customHeight="1">
      <c r="A308" s="130"/>
      <c r="B308" s="130"/>
      <c r="C308" s="184"/>
      <c r="D308" s="186"/>
      <c r="E308" s="186"/>
      <c r="F308" s="187"/>
      <c r="G308" s="141"/>
    </row>
    <row r="309" ht="15.75" customHeight="1">
      <c r="A309" s="130"/>
      <c r="B309" s="130"/>
      <c r="C309" s="184"/>
      <c r="D309" s="186"/>
      <c r="E309" s="186"/>
      <c r="F309" s="187"/>
      <c r="G309" s="141"/>
    </row>
    <row r="310" ht="15.75" customHeight="1">
      <c r="A310" s="130"/>
      <c r="B310" s="130"/>
      <c r="C310" s="184"/>
      <c r="D310" s="186"/>
      <c r="E310" s="186"/>
      <c r="F310" s="187"/>
      <c r="G310" s="141"/>
    </row>
    <row r="311" ht="15.75" customHeight="1">
      <c r="A311" s="130"/>
      <c r="B311" s="130"/>
      <c r="C311" s="184"/>
      <c r="D311" s="186"/>
      <c r="E311" s="186"/>
      <c r="F311" s="187"/>
      <c r="G311" s="141"/>
    </row>
    <row r="312" ht="15.75" customHeight="1">
      <c r="A312" s="130"/>
      <c r="B312" s="130"/>
      <c r="C312" s="184"/>
      <c r="D312" s="186"/>
      <c r="E312" s="186"/>
      <c r="F312" s="187"/>
      <c r="G312" s="141"/>
    </row>
    <row r="313" ht="15.75" customHeight="1">
      <c r="A313" s="130"/>
      <c r="B313" s="130"/>
      <c r="C313" s="184"/>
      <c r="D313" s="186"/>
      <c r="E313" s="186"/>
      <c r="F313" s="187"/>
      <c r="G313" s="141"/>
    </row>
    <row r="314" ht="15.75" customHeight="1">
      <c r="A314" s="130"/>
      <c r="B314" s="130"/>
      <c r="C314" s="184"/>
      <c r="D314" s="186"/>
      <c r="E314" s="186"/>
      <c r="F314" s="187"/>
      <c r="G314" s="141"/>
    </row>
    <row r="315" ht="15.75" customHeight="1">
      <c r="A315" s="130"/>
      <c r="B315" s="130"/>
      <c r="C315" s="184"/>
      <c r="D315" s="186"/>
      <c r="E315" s="186"/>
      <c r="F315" s="187"/>
      <c r="G315" s="141"/>
    </row>
    <row r="316" ht="15.75" customHeight="1">
      <c r="A316" s="130"/>
      <c r="B316" s="130"/>
      <c r="C316" s="184"/>
      <c r="D316" s="186"/>
      <c r="E316" s="186"/>
      <c r="F316" s="187"/>
      <c r="G316" s="141"/>
    </row>
    <row r="317" ht="15.75" customHeight="1">
      <c r="A317" s="130"/>
      <c r="B317" s="130"/>
      <c r="C317" s="184"/>
      <c r="D317" s="186"/>
      <c r="E317" s="186"/>
      <c r="F317" s="187"/>
      <c r="G317" s="141"/>
    </row>
    <row r="318" ht="15.75" customHeight="1">
      <c r="A318" s="130"/>
      <c r="B318" s="130"/>
      <c r="C318" s="184"/>
      <c r="D318" s="186"/>
      <c r="E318" s="186"/>
      <c r="F318" s="187"/>
      <c r="G318" s="141"/>
    </row>
    <row r="319" ht="15.75" customHeight="1">
      <c r="A319" s="130"/>
      <c r="B319" s="130"/>
      <c r="C319" s="184"/>
      <c r="D319" s="186"/>
      <c r="E319" s="186"/>
      <c r="F319" s="187"/>
      <c r="G319" s="141"/>
    </row>
    <row r="320" ht="15.75" customHeight="1">
      <c r="A320" s="130"/>
      <c r="B320" s="130"/>
      <c r="C320" s="184"/>
      <c r="D320" s="186"/>
      <c r="E320" s="186"/>
      <c r="F320" s="187"/>
      <c r="G320" s="141"/>
    </row>
    <row r="321" ht="15.75" customHeight="1">
      <c r="A321" s="130"/>
      <c r="B321" s="130"/>
      <c r="C321" s="184"/>
      <c r="D321" s="186"/>
      <c r="E321" s="186"/>
      <c r="F321" s="187"/>
      <c r="G321" s="141"/>
    </row>
    <row r="322" ht="15.75" customHeight="1">
      <c r="A322" s="130"/>
      <c r="B322" s="130"/>
      <c r="C322" s="184"/>
      <c r="D322" s="186"/>
      <c r="E322" s="186"/>
      <c r="F322" s="187"/>
      <c r="G322" s="141"/>
    </row>
    <row r="323" ht="15.75" customHeight="1">
      <c r="A323" s="130"/>
      <c r="B323" s="130"/>
      <c r="C323" s="184"/>
      <c r="D323" s="186"/>
      <c r="E323" s="186"/>
      <c r="F323" s="187"/>
      <c r="G323" s="141"/>
    </row>
    <row r="324" ht="15.75" customHeight="1">
      <c r="A324" s="130"/>
      <c r="B324" s="130"/>
      <c r="C324" s="184"/>
      <c r="D324" s="186"/>
      <c r="E324" s="186"/>
      <c r="F324" s="187"/>
      <c r="G324" s="141"/>
    </row>
    <row r="325" ht="15.75" customHeight="1">
      <c r="A325" s="130"/>
      <c r="B325" s="130"/>
      <c r="C325" s="184"/>
      <c r="D325" s="186"/>
      <c r="E325" s="186"/>
      <c r="F325" s="187"/>
      <c r="G325" s="141"/>
    </row>
    <row r="326" ht="15.75" customHeight="1">
      <c r="A326" s="130"/>
      <c r="B326" s="130"/>
      <c r="C326" s="184"/>
      <c r="D326" s="186"/>
      <c r="E326" s="186"/>
      <c r="F326" s="187"/>
      <c r="G326" s="141"/>
    </row>
    <row r="327" ht="15.75" customHeight="1">
      <c r="A327" s="130"/>
      <c r="B327" s="130"/>
      <c r="C327" s="184"/>
      <c r="D327" s="186"/>
      <c r="E327" s="186"/>
      <c r="F327" s="187"/>
      <c r="G327" s="141"/>
    </row>
    <row r="328" ht="15.75" customHeight="1">
      <c r="A328" s="130"/>
      <c r="B328" s="130"/>
      <c r="C328" s="184"/>
      <c r="D328" s="186"/>
      <c r="E328" s="186"/>
      <c r="F328" s="187"/>
      <c r="G328" s="141"/>
    </row>
    <row r="329" ht="15.75" customHeight="1">
      <c r="A329" s="130"/>
      <c r="B329" s="130"/>
      <c r="C329" s="184"/>
      <c r="D329" s="186"/>
      <c r="E329" s="186"/>
      <c r="F329" s="187"/>
      <c r="G329" s="141"/>
    </row>
    <row r="330" ht="15.75" customHeight="1">
      <c r="A330" s="130"/>
      <c r="B330" s="130"/>
      <c r="C330" s="184"/>
      <c r="D330" s="186"/>
      <c r="E330" s="186"/>
      <c r="F330" s="187"/>
      <c r="G330" s="141"/>
    </row>
    <row r="331" ht="15.75" customHeight="1">
      <c r="A331" s="130"/>
      <c r="B331" s="130"/>
      <c r="C331" s="184"/>
      <c r="D331" s="186"/>
      <c r="E331" s="186"/>
      <c r="F331" s="187"/>
      <c r="G331" s="141"/>
    </row>
    <row r="332" ht="15.75" customHeight="1">
      <c r="A332" s="130"/>
      <c r="B332" s="130"/>
      <c r="C332" s="184"/>
      <c r="D332" s="186"/>
      <c r="E332" s="186"/>
      <c r="F332" s="187"/>
      <c r="G332" s="141"/>
    </row>
    <row r="333" ht="15.75" customHeight="1">
      <c r="A333" s="130"/>
      <c r="B333" s="130"/>
      <c r="C333" s="184"/>
      <c r="D333" s="186"/>
      <c r="E333" s="186"/>
      <c r="F333" s="187"/>
      <c r="G333" s="141"/>
    </row>
    <row r="334" ht="15.75" customHeight="1">
      <c r="A334" s="130"/>
      <c r="B334" s="130"/>
      <c r="C334" s="184"/>
      <c r="D334" s="186"/>
      <c r="E334" s="186"/>
      <c r="F334" s="187"/>
      <c r="G334" s="141"/>
    </row>
    <row r="335" ht="15.75" customHeight="1">
      <c r="A335" s="130"/>
      <c r="B335" s="130"/>
      <c r="C335" s="184"/>
      <c r="D335" s="186"/>
      <c r="E335" s="186"/>
      <c r="F335" s="187"/>
      <c r="G335" s="141"/>
    </row>
    <row r="336" ht="15.75" customHeight="1">
      <c r="A336" s="130"/>
      <c r="B336" s="130"/>
      <c r="C336" s="184"/>
      <c r="D336" s="186"/>
      <c r="E336" s="186"/>
      <c r="F336" s="187"/>
      <c r="G336" s="141"/>
    </row>
    <row r="337" ht="15.75" customHeight="1">
      <c r="A337" s="130"/>
      <c r="B337" s="130"/>
      <c r="C337" s="184"/>
      <c r="D337" s="186"/>
      <c r="E337" s="186"/>
      <c r="F337" s="187"/>
      <c r="G337" s="141"/>
    </row>
    <row r="338" ht="15.75" customHeight="1">
      <c r="A338" s="130"/>
      <c r="B338" s="130"/>
      <c r="C338" s="184"/>
      <c r="D338" s="186"/>
      <c r="E338" s="186"/>
      <c r="F338" s="187"/>
      <c r="G338" s="141"/>
    </row>
    <row r="339" ht="15.75" customHeight="1">
      <c r="A339" s="130"/>
      <c r="B339" s="130"/>
      <c r="C339" s="184"/>
      <c r="D339" s="186"/>
      <c r="E339" s="186"/>
      <c r="F339" s="187"/>
      <c r="G339" s="141"/>
    </row>
    <row r="340" ht="15.75" customHeight="1">
      <c r="A340" s="130"/>
      <c r="B340" s="130"/>
      <c r="C340" s="184"/>
      <c r="D340" s="186"/>
      <c r="E340" s="186"/>
      <c r="F340" s="187"/>
      <c r="G340" s="141"/>
    </row>
    <row r="341" ht="15.75" customHeight="1">
      <c r="A341" s="130"/>
      <c r="B341" s="130"/>
      <c r="C341" s="184"/>
      <c r="D341" s="186"/>
      <c r="E341" s="186"/>
      <c r="F341" s="187"/>
      <c r="G341" s="141"/>
    </row>
    <row r="342" ht="15.75" customHeight="1">
      <c r="A342" s="130"/>
      <c r="B342" s="130"/>
      <c r="C342" s="184"/>
      <c r="D342" s="186"/>
      <c r="E342" s="186"/>
      <c r="F342" s="187"/>
      <c r="G342" s="141"/>
    </row>
    <row r="343" ht="15.75" customHeight="1">
      <c r="A343" s="130"/>
      <c r="B343" s="130"/>
      <c r="C343" s="184"/>
      <c r="D343" s="186"/>
      <c r="E343" s="186"/>
      <c r="F343" s="187"/>
      <c r="G343" s="141"/>
    </row>
    <row r="344" ht="15.75" customHeight="1">
      <c r="A344" s="130"/>
      <c r="B344" s="130"/>
      <c r="C344" s="184"/>
      <c r="D344" s="186"/>
      <c r="E344" s="186"/>
      <c r="F344" s="187"/>
      <c r="G344" s="141"/>
    </row>
    <row r="345" ht="15.75" customHeight="1">
      <c r="A345" s="130"/>
      <c r="B345" s="130"/>
      <c r="C345" s="184"/>
      <c r="D345" s="186"/>
      <c r="E345" s="186"/>
      <c r="F345" s="187"/>
      <c r="G345" s="141"/>
    </row>
    <row r="346" ht="15.75" customHeight="1">
      <c r="A346" s="130"/>
      <c r="B346" s="130"/>
      <c r="C346" s="184"/>
      <c r="D346" s="186"/>
      <c r="E346" s="186"/>
      <c r="F346" s="187"/>
      <c r="G346" s="141"/>
    </row>
    <row r="347" ht="15.75" customHeight="1">
      <c r="A347" s="130"/>
      <c r="B347" s="130"/>
      <c r="C347" s="184"/>
      <c r="D347" s="186"/>
      <c r="E347" s="186"/>
      <c r="F347" s="187"/>
      <c r="G347" s="141"/>
    </row>
    <row r="348" ht="15.75" customHeight="1">
      <c r="A348" s="130"/>
      <c r="B348" s="130"/>
      <c r="C348" s="184"/>
      <c r="D348" s="186"/>
      <c r="E348" s="186"/>
      <c r="F348" s="187"/>
      <c r="G348" s="141"/>
    </row>
    <row r="349" ht="15.75" customHeight="1">
      <c r="A349" s="130"/>
      <c r="B349" s="130"/>
      <c r="C349" s="184"/>
      <c r="D349" s="186"/>
      <c r="E349" s="186"/>
      <c r="F349" s="187"/>
      <c r="G349" s="141"/>
    </row>
    <row r="350" ht="15.75" customHeight="1">
      <c r="A350" s="130"/>
      <c r="B350" s="130"/>
      <c r="C350" s="184"/>
      <c r="D350" s="186"/>
      <c r="E350" s="186"/>
      <c r="F350" s="187"/>
      <c r="G350" s="141"/>
    </row>
    <row r="351" ht="15.75" customHeight="1">
      <c r="A351" s="130"/>
      <c r="B351" s="130"/>
      <c r="C351" s="184"/>
      <c r="D351" s="186"/>
      <c r="E351" s="186"/>
      <c r="F351" s="187"/>
      <c r="G351" s="141"/>
    </row>
    <row r="352" ht="15.75" customHeight="1">
      <c r="A352" s="130"/>
      <c r="B352" s="130"/>
      <c r="C352" s="184"/>
      <c r="D352" s="186"/>
      <c r="E352" s="186"/>
      <c r="F352" s="187"/>
      <c r="G352" s="141"/>
    </row>
    <row r="353" ht="15.75" customHeight="1">
      <c r="A353" s="130"/>
      <c r="B353" s="130"/>
      <c r="C353" s="184"/>
      <c r="D353" s="186"/>
      <c r="E353" s="186"/>
      <c r="F353" s="187"/>
      <c r="G353" s="141"/>
    </row>
    <row r="354" ht="15.75" customHeight="1">
      <c r="A354" s="130"/>
      <c r="B354" s="130"/>
      <c r="C354" s="184"/>
      <c r="D354" s="186"/>
      <c r="E354" s="186"/>
      <c r="F354" s="187"/>
      <c r="G354" s="141"/>
    </row>
    <row r="355" ht="15.75" customHeight="1">
      <c r="A355" s="130"/>
      <c r="B355" s="130"/>
      <c r="C355" s="184"/>
      <c r="D355" s="186"/>
      <c r="E355" s="186"/>
      <c r="F355" s="187"/>
      <c r="G355" s="141"/>
    </row>
    <row r="356" ht="15.75" customHeight="1">
      <c r="A356" s="130"/>
      <c r="B356" s="130"/>
      <c r="C356" s="184"/>
      <c r="D356" s="186"/>
      <c r="E356" s="186"/>
      <c r="F356" s="187"/>
      <c r="G356" s="141"/>
    </row>
    <row r="357" ht="15.75" customHeight="1">
      <c r="A357" s="130"/>
      <c r="B357" s="130"/>
      <c r="C357" s="184"/>
      <c r="D357" s="186"/>
      <c r="E357" s="186"/>
      <c r="F357" s="187"/>
      <c r="G357" s="141"/>
    </row>
    <row r="358" ht="15.75" customHeight="1">
      <c r="A358" s="130"/>
      <c r="B358" s="130"/>
      <c r="C358" s="184"/>
      <c r="D358" s="186"/>
      <c r="E358" s="186"/>
      <c r="F358" s="187"/>
      <c r="G358" s="141"/>
    </row>
    <row r="359" ht="15.75" customHeight="1">
      <c r="A359" s="130"/>
      <c r="B359" s="130"/>
      <c r="C359" s="184"/>
      <c r="D359" s="186"/>
      <c r="E359" s="186"/>
      <c r="F359" s="187"/>
      <c r="G359" s="141"/>
    </row>
    <row r="360" ht="15.75" customHeight="1">
      <c r="A360" s="130"/>
      <c r="B360" s="130"/>
      <c r="C360" s="184"/>
      <c r="D360" s="186"/>
      <c r="E360" s="186"/>
      <c r="F360" s="187"/>
      <c r="G360" s="141"/>
    </row>
    <row r="361" ht="15.75" customHeight="1">
      <c r="A361" s="130"/>
      <c r="B361" s="130"/>
      <c r="C361" s="184"/>
      <c r="D361" s="186"/>
      <c r="E361" s="186"/>
      <c r="F361" s="187"/>
      <c r="G361" s="141"/>
    </row>
    <row r="362" ht="15.75" customHeight="1">
      <c r="A362" s="130"/>
      <c r="B362" s="130"/>
      <c r="C362" s="184"/>
      <c r="D362" s="186"/>
      <c r="E362" s="186"/>
      <c r="F362" s="187"/>
      <c r="G362" s="141"/>
    </row>
    <row r="363" ht="15.75" customHeight="1">
      <c r="A363" s="130"/>
      <c r="B363" s="130"/>
      <c r="C363" s="184"/>
      <c r="D363" s="186"/>
      <c r="E363" s="186"/>
      <c r="F363" s="187"/>
      <c r="G363" s="141"/>
    </row>
    <row r="364" ht="15.75" customHeight="1">
      <c r="A364" s="130"/>
      <c r="B364" s="130"/>
      <c r="C364" s="184"/>
      <c r="D364" s="186"/>
      <c r="E364" s="186"/>
      <c r="F364" s="187"/>
      <c r="G364" s="141"/>
    </row>
    <row r="365" ht="15.75" customHeight="1">
      <c r="A365" s="130"/>
      <c r="B365" s="130"/>
      <c r="C365" s="184"/>
      <c r="D365" s="186"/>
      <c r="E365" s="186"/>
      <c r="F365" s="187"/>
      <c r="G365" s="141"/>
    </row>
    <row r="366" ht="15.75" customHeight="1">
      <c r="A366" s="130"/>
      <c r="B366" s="130"/>
      <c r="C366" s="184"/>
      <c r="D366" s="186"/>
      <c r="E366" s="186"/>
      <c r="F366" s="187"/>
      <c r="G366" s="141"/>
    </row>
    <row r="367" ht="15.75" customHeight="1">
      <c r="A367" s="130"/>
      <c r="B367" s="130"/>
      <c r="C367" s="184"/>
      <c r="D367" s="186"/>
      <c r="E367" s="186"/>
      <c r="F367" s="187"/>
      <c r="G367" s="141"/>
    </row>
    <row r="368" ht="15.75" customHeight="1">
      <c r="A368" s="130"/>
      <c r="B368" s="130"/>
      <c r="C368" s="184"/>
      <c r="D368" s="186"/>
      <c r="E368" s="186"/>
      <c r="F368" s="187"/>
      <c r="G368" s="141"/>
    </row>
    <row r="369" ht="15.75" customHeight="1">
      <c r="A369" s="130"/>
      <c r="B369" s="130"/>
      <c r="C369" s="184"/>
      <c r="D369" s="186"/>
      <c r="E369" s="186"/>
      <c r="F369" s="187"/>
      <c r="G369" s="141"/>
    </row>
    <row r="370" ht="15.75" customHeight="1">
      <c r="A370" s="130"/>
      <c r="B370" s="130"/>
      <c r="C370" s="184"/>
      <c r="D370" s="186"/>
      <c r="E370" s="186"/>
      <c r="F370" s="187"/>
      <c r="G370" s="141"/>
    </row>
    <row r="371" ht="15.75" customHeight="1">
      <c r="A371" s="130"/>
      <c r="B371" s="130"/>
      <c r="C371" s="184"/>
      <c r="D371" s="186"/>
      <c r="E371" s="186"/>
      <c r="F371" s="187"/>
      <c r="G371" s="141"/>
    </row>
    <row r="372" ht="15.75" customHeight="1">
      <c r="A372" s="130"/>
      <c r="B372" s="130"/>
      <c r="C372" s="184"/>
      <c r="D372" s="186"/>
      <c r="E372" s="186"/>
      <c r="F372" s="187"/>
      <c r="G372" s="141"/>
    </row>
    <row r="373" ht="15.75" customHeight="1">
      <c r="A373" s="130"/>
      <c r="B373" s="130"/>
      <c r="C373" s="184"/>
      <c r="D373" s="186"/>
      <c r="E373" s="186"/>
      <c r="F373" s="187"/>
      <c r="G373" s="141"/>
    </row>
    <row r="374" ht="15.75" customHeight="1">
      <c r="A374" s="130"/>
      <c r="B374" s="130"/>
      <c r="C374" s="184"/>
      <c r="D374" s="186"/>
      <c r="E374" s="186"/>
      <c r="F374" s="187"/>
      <c r="G374" s="141"/>
    </row>
    <row r="375" ht="15.75" customHeight="1">
      <c r="A375" s="130"/>
      <c r="B375" s="130"/>
      <c r="C375" s="184"/>
      <c r="D375" s="186"/>
      <c r="E375" s="186"/>
      <c r="F375" s="187"/>
      <c r="G375" s="141"/>
    </row>
    <row r="376" ht="15.75" customHeight="1">
      <c r="A376" s="130"/>
      <c r="B376" s="130"/>
      <c r="C376" s="184"/>
      <c r="D376" s="186"/>
      <c r="E376" s="186"/>
      <c r="F376" s="187"/>
      <c r="G376" s="141"/>
    </row>
    <row r="377" ht="15.75" customHeight="1">
      <c r="A377" s="130"/>
      <c r="B377" s="130"/>
      <c r="C377" s="184"/>
      <c r="D377" s="186"/>
      <c r="E377" s="186"/>
      <c r="F377" s="187"/>
      <c r="G377" s="141"/>
    </row>
    <row r="378" ht="15.75" customHeight="1">
      <c r="A378" s="130"/>
      <c r="B378" s="130"/>
      <c r="C378" s="184"/>
      <c r="D378" s="186"/>
      <c r="E378" s="186"/>
      <c r="F378" s="187"/>
      <c r="G378" s="141"/>
    </row>
    <row r="379" ht="15.75" customHeight="1">
      <c r="A379" s="130"/>
      <c r="B379" s="130"/>
      <c r="C379" s="184"/>
      <c r="D379" s="186"/>
      <c r="E379" s="186"/>
      <c r="F379" s="187"/>
      <c r="G379" s="141"/>
    </row>
    <row r="380" ht="15.75" customHeight="1">
      <c r="A380" s="130"/>
      <c r="B380" s="130"/>
      <c r="C380" s="184"/>
      <c r="D380" s="186"/>
      <c r="E380" s="186"/>
      <c r="F380" s="187"/>
      <c r="G380" s="141"/>
    </row>
    <row r="381" ht="15.75" customHeight="1">
      <c r="A381" s="130"/>
      <c r="B381" s="130"/>
      <c r="C381" s="184"/>
      <c r="D381" s="186"/>
      <c r="E381" s="186"/>
      <c r="F381" s="187"/>
      <c r="G381" s="141"/>
    </row>
    <row r="382" ht="15.75" customHeight="1">
      <c r="A382" s="130"/>
      <c r="B382" s="130"/>
      <c r="C382" s="184"/>
      <c r="D382" s="186"/>
      <c r="E382" s="186"/>
      <c r="F382" s="187"/>
      <c r="G382" s="141"/>
    </row>
    <row r="383" ht="15.75" customHeight="1">
      <c r="A383" s="130"/>
      <c r="B383" s="130"/>
      <c r="C383" s="184"/>
      <c r="D383" s="186"/>
      <c r="E383" s="186"/>
      <c r="F383" s="187"/>
      <c r="G383" s="141"/>
    </row>
    <row r="384" ht="15.75" customHeight="1">
      <c r="A384" s="130"/>
      <c r="B384" s="130"/>
      <c r="C384" s="184"/>
      <c r="D384" s="186"/>
      <c r="E384" s="186"/>
      <c r="F384" s="187"/>
      <c r="G384" s="141"/>
    </row>
    <row r="385" ht="15.75" customHeight="1">
      <c r="A385" s="130"/>
      <c r="B385" s="130"/>
      <c r="C385" s="184"/>
      <c r="D385" s="186"/>
      <c r="E385" s="186"/>
      <c r="F385" s="187"/>
      <c r="G385" s="141"/>
    </row>
    <row r="386" ht="15.75" customHeight="1">
      <c r="A386" s="130"/>
      <c r="B386" s="130"/>
      <c r="C386" s="184"/>
      <c r="D386" s="186"/>
      <c r="E386" s="186"/>
      <c r="F386" s="187"/>
      <c r="G386" s="141"/>
    </row>
    <row r="387" ht="15.75" customHeight="1">
      <c r="A387" s="130"/>
      <c r="B387" s="130"/>
      <c r="C387" s="184"/>
      <c r="D387" s="186"/>
      <c r="E387" s="186"/>
      <c r="F387" s="187"/>
      <c r="G387" s="141"/>
    </row>
    <row r="388" ht="15.75" customHeight="1">
      <c r="A388" s="130"/>
      <c r="B388" s="130"/>
      <c r="C388" s="184"/>
      <c r="D388" s="186"/>
      <c r="E388" s="186"/>
      <c r="F388" s="187"/>
      <c r="G388" s="141"/>
    </row>
    <row r="389" ht="15.75" customHeight="1">
      <c r="A389" s="130"/>
      <c r="B389" s="130"/>
      <c r="C389" s="184"/>
      <c r="D389" s="186"/>
      <c r="E389" s="186"/>
      <c r="F389" s="187"/>
      <c r="G389" s="141"/>
    </row>
    <row r="390" ht="15.75" customHeight="1">
      <c r="A390" s="130"/>
      <c r="B390" s="130"/>
      <c r="C390" s="184"/>
      <c r="D390" s="186"/>
      <c r="E390" s="186"/>
      <c r="F390" s="187"/>
      <c r="G390" s="141"/>
    </row>
    <row r="391" ht="15.75" customHeight="1">
      <c r="A391" s="130"/>
      <c r="B391" s="130"/>
      <c r="C391" s="184"/>
      <c r="D391" s="186"/>
      <c r="E391" s="186"/>
      <c r="F391" s="187"/>
      <c r="G391" s="141"/>
    </row>
    <row r="392" ht="15.75" customHeight="1">
      <c r="A392" s="130"/>
      <c r="B392" s="130"/>
      <c r="C392" s="184"/>
      <c r="D392" s="186"/>
      <c r="E392" s="186"/>
      <c r="F392" s="187"/>
      <c r="G392" s="141"/>
    </row>
    <row r="393" ht="15.75" customHeight="1">
      <c r="A393" s="130"/>
      <c r="B393" s="130"/>
      <c r="C393" s="184"/>
      <c r="D393" s="186"/>
      <c r="E393" s="186"/>
      <c r="F393" s="187"/>
      <c r="G393" s="141"/>
    </row>
    <row r="394" ht="15.75" customHeight="1">
      <c r="A394" s="130"/>
      <c r="B394" s="130"/>
      <c r="C394" s="184"/>
      <c r="D394" s="186"/>
      <c r="E394" s="186"/>
      <c r="F394" s="187"/>
      <c r="G394" s="141"/>
    </row>
    <row r="395" ht="15.75" customHeight="1">
      <c r="A395" s="130"/>
      <c r="B395" s="130"/>
      <c r="C395" s="184"/>
      <c r="D395" s="186"/>
      <c r="E395" s="186"/>
      <c r="F395" s="187"/>
      <c r="G395" s="141"/>
    </row>
    <row r="396" ht="15.75" customHeight="1">
      <c r="A396" s="130"/>
      <c r="B396" s="130"/>
      <c r="C396" s="184"/>
      <c r="D396" s="186"/>
      <c r="E396" s="186"/>
      <c r="F396" s="187"/>
      <c r="G396" s="141"/>
    </row>
    <row r="397" ht="15.75" customHeight="1">
      <c r="A397" s="130"/>
      <c r="B397" s="130"/>
      <c r="C397" s="184"/>
      <c r="D397" s="186"/>
      <c r="E397" s="186"/>
      <c r="F397" s="187"/>
      <c r="G397" s="141"/>
    </row>
    <row r="398" ht="15.75" customHeight="1">
      <c r="A398" s="130"/>
      <c r="B398" s="130"/>
      <c r="C398" s="184"/>
      <c r="D398" s="186"/>
      <c r="E398" s="186"/>
      <c r="F398" s="187"/>
      <c r="G398" s="141"/>
    </row>
    <row r="399" ht="15.75" customHeight="1">
      <c r="A399" s="130"/>
      <c r="B399" s="130"/>
      <c r="C399" s="184"/>
      <c r="D399" s="186"/>
      <c r="E399" s="186"/>
      <c r="F399" s="187"/>
      <c r="G399" s="141"/>
    </row>
    <row r="400" ht="15.75" customHeight="1">
      <c r="A400" s="130"/>
      <c r="B400" s="130"/>
      <c r="C400" s="184"/>
      <c r="D400" s="186"/>
      <c r="E400" s="186"/>
      <c r="F400" s="187"/>
      <c r="G400" s="141"/>
    </row>
    <row r="401" ht="15.75" customHeight="1">
      <c r="A401" s="130"/>
      <c r="B401" s="130"/>
      <c r="C401" s="184"/>
      <c r="D401" s="186"/>
      <c r="E401" s="186"/>
      <c r="F401" s="187"/>
      <c r="G401" s="141"/>
    </row>
    <row r="402" ht="15.75" customHeight="1">
      <c r="A402" s="130"/>
      <c r="B402" s="130"/>
      <c r="C402" s="184"/>
      <c r="D402" s="186"/>
      <c r="E402" s="186"/>
      <c r="F402" s="187"/>
      <c r="G402" s="141"/>
    </row>
    <row r="403" ht="15.75" customHeight="1">
      <c r="A403" s="130"/>
      <c r="B403" s="130"/>
      <c r="C403" s="184"/>
      <c r="D403" s="186"/>
      <c r="E403" s="186"/>
      <c r="F403" s="187"/>
      <c r="G403" s="141"/>
    </row>
    <row r="404" ht="15.75" customHeight="1">
      <c r="A404" s="130"/>
      <c r="B404" s="130"/>
      <c r="C404" s="184"/>
      <c r="D404" s="186"/>
      <c r="E404" s="186"/>
      <c r="F404" s="187"/>
      <c r="G404" s="141"/>
    </row>
    <row r="405" ht="15.75" customHeight="1">
      <c r="A405" s="130"/>
      <c r="B405" s="130"/>
      <c r="C405" s="184"/>
      <c r="D405" s="186"/>
      <c r="E405" s="186"/>
      <c r="F405" s="187"/>
      <c r="G405" s="141"/>
    </row>
    <row r="406" ht="15.75" customHeight="1">
      <c r="A406" s="130"/>
      <c r="B406" s="130"/>
      <c r="C406" s="184"/>
      <c r="D406" s="186"/>
      <c r="E406" s="186"/>
      <c r="F406" s="187"/>
      <c r="G406" s="141"/>
    </row>
    <row r="407" ht="15.75" customHeight="1">
      <c r="A407" s="130"/>
      <c r="B407" s="130"/>
      <c r="C407" s="184"/>
      <c r="D407" s="186"/>
      <c r="E407" s="186"/>
      <c r="F407" s="187"/>
      <c r="G407" s="141"/>
    </row>
    <row r="408" ht="15.75" customHeight="1">
      <c r="A408" s="130"/>
      <c r="B408" s="130"/>
      <c r="C408" s="184"/>
      <c r="D408" s="186"/>
      <c r="E408" s="186"/>
      <c r="F408" s="187"/>
      <c r="G408" s="141"/>
    </row>
    <row r="409" ht="15.75" customHeight="1">
      <c r="A409" s="130"/>
      <c r="B409" s="130"/>
      <c r="C409" s="184"/>
      <c r="D409" s="186"/>
      <c r="E409" s="186"/>
      <c r="F409" s="187"/>
      <c r="G409" s="141"/>
    </row>
    <row r="410" ht="15.75" customHeight="1">
      <c r="A410" s="130"/>
      <c r="B410" s="130"/>
      <c r="C410" s="184"/>
      <c r="D410" s="186"/>
      <c r="E410" s="186"/>
      <c r="F410" s="187"/>
      <c r="G410" s="141"/>
    </row>
    <row r="411" ht="15.75" customHeight="1">
      <c r="A411" s="130"/>
      <c r="B411" s="130"/>
      <c r="C411" s="184"/>
      <c r="D411" s="186"/>
      <c r="E411" s="186"/>
      <c r="F411" s="187"/>
      <c r="G411" s="141"/>
    </row>
    <row r="412" ht="15.75" customHeight="1">
      <c r="A412" s="130"/>
      <c r="B412" s="130"/>
      <c r="C412" s="184"/>
      <c r="D412" s="186"/>
      <c r="E412" s="186"/>
      <c r="F412" s="187"/>
      <c r="G412" s="141"/>
    </row>
    <row r="413" ht="15.75" customHeight="1">
      <c r="A413" s="130"/>
      <c r="B413" s="130"/>
      <c r="C413" s="184"/>
      <c r="D413" s="186"/>
      <c r="E413" s="186"/>
      <c r="F413" s="187"/>
      <c r="G413" s="141"/>
    </row>
    <row r="414" ht="15.75" customHeight="1">
      <c r="A414" s="130"/>
      <c r="B414" s="130"/>
      <c r="C414" s="184"/>
      <c r="D414" s="186"/>
      <c r="E414" s="186"/>
      <c r="F414" s="187"/>
      <c r="G414" s="141"/>
    </row>
    <row r="415" ht="15.75" customHeight="1">
      <c r="A415" s="130"/>
      <c r="B415" s="130"/>
      <c r="C415" s="184"/>
      <c r="D415" s="186"/>
      <c r="E415" s="186"/>
      <c r="F415" s="187"/>
      <c r="G415" s="141"/>
    </row>
    <row r="416" ht="15.75" customHeight="1">
      <c r="A416" s="130"/>
      <c r="B416" s="130"/>
      <c r="C416" s="184"/>
      <c r="D416" s="186"/>
      <c r="E416" s="186"/>
      <c r="F416" s="187"/>
      <c r="G416" s="141"/>
    </row>
    <row r="417" ht="15.75" customHeight="1">
      <c r="A417" s="130"/>
      <c r="B417" s="130"/>
      <c r="C417" s="184"/>
      <c r="D417" s="186"/>
      <c r="E417" s="186"/>
      <c r="F417" s="187"/>
      <c r="G417" s="141"/>
    </row>
    <row r="418" ht="15.75" customHeight="1">
      <c r="A418" s="130"/>
      <c r="B418" s="130"/>
      <c r="C418" s="184"/>
      <c r="D418" s="186"/>
      <c r="E418" s="186"/>
      <c r="F418" s="187"/>
      <c r="G418" s="141"/>
    </row>
    <row r="419" ht="15.75" customHeight="1">
      <c r="A419" s="130"/>
      <c r="B419" s="130"/>
      <c r="C419" s="184"/>
      <c r="D419" s="186"/>
      <c r="E419" s="186"/>
      <c r="F419" s="187"/>
      <c r="G419" s="141"/>
    </row>
    <row r="420" ht="15.75" customHeight="1">
      <c r="A420" s="130"/>
      <c r="B420" s="130"/>
      <c r="C420" s="184"/>
      <c r="D420" s="186"/>
      <c r="E420" s="186"/>
      <c r="F420" s="187"/>
      <c r="G420" s="141"/>
    </row>
    <row r="421" ht="15.75" customHeight="1">
      <c r="A421" s="130"/>
      <c r="B421" s="130"/>
      <c r="C421" s="184"/>
      <c r="D421" s="186"/>
      <c r="E421" s="186"/>
      <c r="F421" s="187"/>
      <c r="G421" s="141"/>
    </row>
    <row r="422" ht="15.75" customHeight="1">
      <c r="A422" s="130"/>
      <c r="B422" s="130"/>
      <c r="C422" s="184"/>
      <c r="D422" s="186"/>
      <c r="E422" s="186"/>
      <c r="F422" s="187"/>
      <c r="G422" s="141"/>
    </row>
    <row r="423" ht="15.75" customHeight="1">
      <c r="A423" s="130"/>
      <c r="B423" s="130"/>
      <c r="C423" s="184"/>
      <c r="D423" s="186"/>
      <c r="E423" s="186"/>
      <c r="F423" s="187"/>
      <c r="G423" s="141"/>
    </row>
    <row r="424" ht="15.75" customHeight="1">
      <c r="A424" s="130"/>
      <c r="B424" s="130"/>
      <c r="C424" s="184"/>
      <c r="D424" s="186"/>
      <c r="E424" s="186"/>
      <c r="F424" s="187"/>
      <c r="G424" s="141"/>
    </row>
    <row r="425" ht="15.75" customHeight="1">
      <c r="A425" s="130"/>
      <c r="B425" s="130"/>
      <c r="C425" s="184"/>
      <c r="D425" s="186"/>
      <c r="E425" s="186"/>
      <c r="F425" s="187"/>
      <c r="G425" s="141"/>
    </row>
    <row r="426" ht="15.75" customHeight="1">
      <c r="A426" s="130"/>
      <c r="B426" s="130"/>
      <c r="C426" s="184"/>
      <c r="D426" s="186"/>
      <c r="E426" s="186"/>
      <c r="F426" s="187"/>
      <c r="G426" s="141"/>
    </row>
    <row r="427" ht="15.75" customHeight="1">
      <c r="A427" s="130"/>
      <c r="B427" s="130"/>
      <c r="C427" s="184"/>
      <c r="D427" s="186"/>
      <c r="E427" s="186"/>
      <c r="F427" s="187"/>
      <c r="G427" s="141"/>
    </row>
    <row r="428" ht="15.75" customHeight="1">
      <c r="A428" s="130"/>
      <c r="B428" s="130"/>
      <c r="C428" s="184"/>
      <c r="D428" s="186"/>
      <c r="E428" s="186"/>
      <c r="F428" s="187"/>
      <c r="G428" s="141"/>
    </row>
    <row r="429" ht="15.75" customHeight="1">
      <c r="A429" s="130"/>
      <c r="B429" s="130"/>
      <c r="C429" s="184"/>
      <c r="D429" s="186"/>
      <c r="E429" s="186"/>
      <c r="F429" s="187"/>
      <c r="G429" s="141"/>
    </row>
    <row r="430" ht="15.75" customHeight="1">
      <c r="A430" s="130"/>
      <c r="B430" s="130"/>
      <c r="C430" s="184"/>
      <c r="D430" s="186"/>
      <c r="E430" s="186"/>
      <c r="F430" s="187"/>
      <c r="G430" s="141"/>
    </row>
    <row r="431" ht="15.75" customHeight="1">
      <c r="A431" s="130"/>
      <c r="B431" s="130"/>
      <c r="C431" s="184"/>
      <c r="D431" s="186"/>
      <c r="E431" s="186"/>
      <c r="F431" s="187"/>
      <c r="G431" s="141"/>
    </row>
    <row r="432" ht="15.75" customHeight="1">
      <c r="A432" s="130"/>
      <c r="B432" s="130"/>
      <c r="C432" s="184"/>
      <c r="D432" s="186"/>
      <c r="E432" s="186"/>
      <c r="F432" s="187"/>
      <c r="G432" s="141"/>
    </row>
    <row r="433" ht="15.75" customHeight="1">
      <c r="A433" s="130"/>
      <c r="B433" s="130"/>
      <c r="C433" s="184"/>
      <c r="D433" s="186"/>
      <c r="E433" s="186"/>
      <c r="F433" s="187"/>
      <c r="G433" s="141"/>
    </row>
    <row r="434" ht="15.75" customHeight="1">
      <c r="A434" s="130"/>
      <c r="B434" s="130"/>
      <c r="C434" s="184"/>
      <c r="D434" s="186"/>
      <c r="E434" s="186"/>
      <c r="F434" s="187"/>
      <c r="G434" s="141"/>
    </row>
    <row r="435" ht="15.75" customHeight="1">
      <c r="A435" s="130"/>
      <c r="B435" s="130"/>
      <c r="C435" s="184"/>
      <c r="D435" s="186"/>
      <c r="E435" s="186"/>
      <c r="F435" s="187"/>
      <c r="G435" s="141"/>
    </row>
    <row r="436" ht="15.75" customHeight="1">
      <c r="A436" s="130"/>
      <c r="B436" s="130"/>
      <c r="C436" s="184"/>
      <c r="D436" s="186"/>
      <c r="E436" s="186"/>
      <c r="F436" s="187"/>
      <c r="G436" s="141"/>
    </row>
    <row r="437" ht="15.75" customHeight="1">
      <c r="A437" s="130"/>
      <c r="B437" s="130"/>
      <c r="C437" s="184"/>
      <c r="D437" s="186"/>
      <c r="E437" s="186"/>
      <c r="F437" s="187"/>
      <c r="G437" s="141"/>
    </row>
    <row r="438" ht="15.75" customHeight="1">
      <c r="A438" s="130"/>
      <c r="B438" s="130"/>
      <c r="C438" s="184"/>
      <c r="D438" s="186"/>
      <c r="E438" s="186"/>
      <c r="F438" s="187"/>
      <c r="G438" s="141"/>
    </row>
    <row r="439" ht="15.75" customHeight="1">
      <c r="A439" s="130"/>
      <c r="B439" s="130"/>
      <c r="C439" s="184"/>
      <c r="D439" s="186"/>
      <c r="E439" s="186"/>
      <c r="F439" s="187"/>
      <c r="G439" s="141"/>
    </row>
    <row r="440" ht="15.75" customHeight="1">
      <c r="A440" s="130"/>
      <c r="B440" s="130"/>
      <c r="C440" s="184"/>
      <c r="D440" s="186"/>
      <c r="E440" s="186"/>
      <c r="F440" s="187"/>
      <c r="G440" s="141"/>
    </row>
    <row r="441" ht="15.75" customHeight="1">
      <c r="A441" s="130"/>
      <c r="B441" s="130"/>
      <c r="C441" s="184"/>
      <c r="D441" s="186"/>
      <c r="E441" s="186"/>
      <c r="F441" s="187"/>
      <c r="G441" s="141"/>
    </row>
    <row r="442" ht="15.75" customHeight="1">
      <c r="A442" s="130"/>
      <c r="B442" s="130"/>
      <c r="C442" s="184"/>
      <c r="D442" s="186"/>
      <c r="E442" s="186"/>
      <c r="F442" s="187"/>
      <c r="G442" s="141"/>
    </row>
    <row r="443" ht="15.75" customHeight="1">
      <c r="A443" s="130"/>
      <c r="B443" s="130"/>
      <c r="C443" s="184"/>
      <c r="D443" s="186"/>
      <c r="E443" s="186"/>
      <c r="F443" s="187"/>
      <c r="G443" s="141"/>
    </row>
    <row r="444" ht="15.75" customHeight="1">
      <c r="A444" s="130"/>
      <c r="B444" s="130"/>
      <c r="C444" s="184"/>
      <c r="D444" s="186"/>
      <c r="E444" s="186"/>
      <c r="F444" s="187"/>
      <c r="G444" s="141"/>
    </row>
    <row r="445" ht="15.75" customHeight="1">
      <c r="A445" s="130"/>
      <c r="B445" s="130"/>
      <c r="C445" s="184"/>
      <c r="D445" s="186"/>
      <c r="E445" s="186"/>
      <c r="F445" s="187"/>
      <c r="G445" s="141"/>
    </row>
    <row r="446" ht="15.75" customHeight="1">
      <c r="A446" s="130"/>
      <c r="B446" s="130"/>
      <c r="C446" s="184"/>
      <c r="D446" s="186"/>
      <c r="E446" s="186"/>
      <c r="F446" s="187"/>
      <c r="G446" s="141"/>
    </row>
    <row r="447" ht="15.75" customHeight="1">
      <c r="A447" s="130"/>
      <c r="B447" s="130"/>
      <c r="C447" s="184"/>
      <c r="D447" s="186"/>
      <c r="E447" s="186"/>
      <c r="F447" s="187"/>
      <c r="G447" s="141"/>
    </row>
    <row r="448" ht="15.75" customHeight="1">
      <c r="A448" s="130"/>
      <c r="B448" s="130"/>
      <c r="C448" s="184"/>
      <c r="D448" s="186"/>
      <c r="E448" s="186"/>
      <c r="F448" s="187"/>
      <c r="G448" s="141"/>
    </row>
    <row r="449" ht="15.75" customHeight="1">
      <c r="A449" s="130"/>
      <c r="B449" s="130"/>
      <c r="C449" s="184"/>
      <c r="D449" s="186"/>
      <c r="E449" s="186"/>
      <c r="F449" s="187"/>
      <c r="G449" s="141"/>
    </row>
    <row r="450" ht="15.75" customHeight="1">
      <c r="A450" s="130"/>
      <c r="B450" s="130"/>
      <c r="C450" s="184"/>
      <c r="D450" s="186"/>
      <c r="E450" s="186"/>
      <c r="F450" s="187"/>
      <c r="G450" s="141"/>
    </row>
    <row r="451" ht="15.75" customHeight="1">
      <c r="A451" s="130"/>
      <c r="B451" s="130"/>
      <c r="C451" s="184"/>
      <c r="D451" s="186"/>
      <c r="E451" s="186"/>
      <c r="F451" s="187"/>
      <c r="G451" s="141"/>
    </row>
    <row r="452" ht="15.75" customHeight="1">
      <c r="A452" s="130"/>
      <c r="B452" s="130"/>
      <c r="C452" s="184"/>
      <c r="D452" s="186"/>
      <c r="E452" s="186"/>
      <c r="F452" s="187"/>
      <c r="G452" s="141"/>
    </row>
    <row r="453" ht="15.75" customHeight="1">
      <c r="A453" s="130"/>
      <c r="B453" s="130"/>
      <c r="C453" s="184"/>
      <c r="D453" s="186"/>
      <c r="E453" s="186"/>
      <c r="F453" s="187"/>
      <c r="G453" s="141"/>
    </row>
    <row r="454" ht="15.75" customHeight="1">
      <c r="A454" s="130"/>
      <c r="B454" s="130"/>
      <c r="C454" s="184"/>
      <c r="D454" s="186"/>
      <c r="E454" s="186"/>
      <c r="F454" s="187"/>
      <c r="G454" s="141"/>
    </row>
    <row r="455" ht="15.75" customHeight="1">
      <c r="A455" s="130"/>
      <c r="B455" s="130"/>
      <c r="C455" s="184"/>
      <c r="D455" s="186"/>
      <c r="E455" s="186"/>
      <c r="F455" s="187"/>
      <c r="G455" s="141"/>
    </row>
    <row r="456" ht="15.75" customHeight="1">
      <c r="A456" s="130"/>
      <c r="B456" s="130"/>
      <c r="C456" s="184"/>
      <c r="D456" s="186"/>
      <c r="E456" s="186"/>
      <c r="F456" s="187"/>
      <c r="G456" s="141"/>
    </row>
    <row r="457" ht="15.75" customHeight="1">
      <c r="A457" s="130"/>
      <c r="B457" s="130"/>
      <c r="C457" s="184"/>
      <c r="D457" s="186"/>
      <c r="E457" s="186"/>
      <c r="F457" s="187"/>
      <c r="G457" s="141"/>
    </row>
    <row r="458" ht="15.75" customHeight="1">
      <c r="A458" s="130"/>
      <c r="B458" s="130"/>
      <c r="C458" s="184"/>
      <c r="D458" s="186"/>
      <c r="E458" s="186"/>
      <c r="F458" s="187"/>
      <c r="G458" s="141"/>
    </row>
    <row r="459" ht="15.75" customHeight="1">
      <c r="A459" s="130"/>
      <c r="B459" s="130"/>
      <c r="C459" s="184"/>
      <c r="D459" s="186"/>
      <c r="E459" s="186"/>
      <c r="F459" s="187"/>
      <c r="G459" s="141"/>
    </row>
    <row r="460" ht="15.75" customHeight="1">
      <c r="A460" s="130"/>
      <c r="B460" s="130"/>
      <c r="C460" s="184"/>
      <c r="D460" s="186"/>
      <c r="E460" s="186"/>
      <c r="F460" s="187"/>
      <c r="G460" s="141"/>
    </row>
    <row r="461" ht="15.75" customHeight="1">
      <c r="A461" s="130"/>
      <c r="B461" s="130"/>
      <c r="C461" s="184"/>
      <c r="D461" s="186"/>
      <c r="E461" s="186"/>
      <c r="F461" s="187"/>
      <c r="G461" s="141"/>
    </row>
    <row r="462" ht="15.75" customHeight="1">
      <c r="A462" s="130"/>
      <c r="B462" s="130"/>
      <c r="C462" s="184"/>
      <c r="D462" s="186"/>
      <c r="E462" s="186"/>
      <c r="F462" s="187"/>
      <c r="G462" s="141"/>
    </row>
    <row r="463" ht="15.75" customHeight="1">
      <c r="A463" s="130"/>
      <c r="B463" s="130"/>
      <c r="C463" s="184"/>
      <c r="D463" s="186"/>
      <c r="E463" s="186"/>
      <c r="F463" s="187"/>
      <c r="G463" s="141"/>
    </row>
    <row r="464" ht="15.75" customHeight="1">
      <c r="A464" s="130"/>
      <c r="B464" s="130"/>
      <c r="C464" s="184"/>
      <c r="D464" s="186"/>
      <c r="E464" s="186"/>
      <c r="F464" s="187"/>
      <c r="G464" s="141"/>
    </row>
    <row r="465" ht="15.75" customHeight="1">
      <c r="A465" s="130"/>
      <c r="B465" s="130"/>
      <c r="C465" s="184"/>
      <c r="D465" s="186"/>
      <c r="E465" s="186"/>
      <c r="F465" s="187"/>
      <c r="G465" s="141"/>
    </row>
    <row r="466" ht="15.75" customHeight="1">
      <c r="A466" s="130"/>
      <c r="B466" s="130"/>
      <c r="C466" s="184"/>
      <c r="D466" s="186"/>
      <c r="E466" s="186"/>
      <c r="F466" s="187"/>
      <c r="G466" s="141"/>
    </row>
    <row r="467" ht="15.75" customHeight="1">
      <c r="A467" s="130"/>
      <c r="B467" s="130"/>
      <c r="C467" s="184"/>
      <c r="D467" s="186"/>
      <c r="E467" s="186"/>
      <c r="F467" s="187"/>
      <c r="G467" s="141"/>
    </row>
    <row r="468" ht="15.75" customHeight="1">
      <c r="A468" s="130"/>
      <c r="B468" s="130"/>
      <c r="C468" s="184"/>
      <c r="D468" s="186"/>
      <c r="E468" s="186"/>
      <c r="F468" s="187"/>
      <c r="G468" s="141"/>
    </row>
    <row r="469" ht="15.75" customHeight="1">
      <c r="A469" s="130"/>
      <c r="B469" s="130"/>
      <c r="C469" s="184"/>
      <c r="D469" s="186"/>
      <c r="E469" s="186"/>
      <c r="F469" s="187"/>
      <c r="G469" s="141"/>
    </row>
    <row r="470" ht="15.75" customHeight="1">
      <c r="A470" s="130"/>
      <c r="B470" s="130"/>
      <c r="C470" s="184"/>
      <c r="D470" s="186"/>
      <c r="E470" s="186"/>
      <c r="F470" s="187"/>
      <c r="G470" s="141"/>
    </row>
    <row r="471" ht="15.75" customHeight="1">
      <c r="A471" s="130"/>
      <c r="B471" s="130"/>
      <c r="C471" s="184"/>
      <c r="D471" s="186"/>
      <c r="E471" s="186"/>
      <c r="F471" s="187"/>
      <c r="G471" s="141"/>
    </row>
    <row r="472" ht="15.75" customHeight="1">
      <c r="A472" s="130"/>
      <c r="B472" s="130"/>
      <c r="C472" s="184"/>
      <c r="D472" s="186"/>
      <c r="E472" s="186"/>
      <c r="F472" s="187"/>
      <c r="G472" s="141"/>
    </row>
    <row r="473" ht="15.75" customHeight="1">
      <c r="A473" s="130"/>
      <c r="B473" s="130"/>
      <c r="C473" s="184"/>
      <c r="D473" s="186"/>
      <c r="E473" s="186"/>
      <c r="F473" s="187"/>
      <c r="G473" s="141"/>
    </row>
    <row r="474" ht="15.75" customHeight="1">
      <c r="A474" s="130"/>
      <c r="B474" s="130"/>
      <c r="C474" s="184"/>
      <c r="D474" s="186"/>
      <c r="E474" s="186"/>
      <c r="F474" s="187"/>
      <c r="G474" s="141"/>
    </row>
    <row r="475" ht="15.75" customHeight="1">
      <c r="A475" s="130"/>
      <c r="B475" s="130"/>
      <c r="C475" s="184"/>
      <c r="D475" s="186"/>
      <c r="E475" s="186"/>
      <c r="F475" s="187"/>
      <c r="G475" s="141"/>
    </row>
    <row r="476" ht="15.75" customHeight="1">
      <c r="A476" s="130"/>
      <c r="B476" s="130"/>
      <c r="C476" s="184"/>
      <c r="D476" s="186"/>
      <c r="E476" s="186"/>
      <c r="F476" s="187"/>
      <c r="G476" s="141"/>
    </row>
    <row r="477" ht="15.75" customHeight="1">
      <c r="A477" s="130"/>
      <c r="B477" s="130"/>
      <c r="C477" s="184"/>
      <c r="D477" s="186"/>
      <c r="E477" s="186"/>
      <c r="F477" s="187"/>
      <c r="G477" s="141"/>
    </row>
    <row r="478" ht="15.75" customHeight="1">
      <c r="A478" s="130"/>
      <c r="B478" s="130"/>
      <c r="C478" s="184"/>
      <c r="D478" s="186"/>
      <c r="E478" s="186"/>
      <c r="F478" s="187"/>
      <c r="G478" s="141"/>
    </row>
    <row r="479" ht="15.75" customHeight="1">
      <c r="A479" s="130"/>
      <c r="B479" s="130"/>
      <c r="C479" s="184"/>
      <c r="D479" s="186"/>
      <c r="E479" s="186"/>
      <c r="F479" s="187"/>
      <c r="G479" s="141"/>
    </row>
    <row r="480" ht="15.75" customHeight="1">
      <c r="A480" s="130"/>
      <c r="B480" s="130"/>
      <c r="C480" s="184"/>
      <c r="D480" s="186"/>
      <c r="E480" s="186"/>
      <c r="F480" s="187"/>
      <c r="G480" s="141"/>
    </row>
    <row r="481" ht="15.75" customHeight="1">
      <c r="A481" s="130"/>
      <c r="B481" s="130"/>
      <c r="C481" s="184"/>
      <c r="D481" s="186"/>
      <c r="E481" s="186"/>
      <c r="F481" s="187"/>
      <c r="G481" s="141"/>
    </row>
    <row r="482" ht="15.75" customHeight="1">
      <c r="A482" s="130"/>
      <c r="B482" s="130"/>
      <c r="C482" s="184"/>
      <c r="D482" s="186"/>
      <c r="E482" s="186"/>
      <c r="F482" s="187"/>
      <c r="G482" s="141"/>
    </row>
    <row r="483" ht="15.75" customHeight="1">
      <c r="A483" s="130"/>
      <c r="B483" s="130"/>
      <c r="C483" s="184"/>
      <c r="D483" s="186"/>
      <c r="E483" s="186"/>
      <c r="F483" s="187"/>
      <c r="G483" s="141"/>
    </row>
    <row r="484" ht="15.75" customHeight="1">
      <c r="A484" s="130"/>
      <c r="B484" s="130"/>
      <c r="C484" s="184"/>
      <c r="D484" s="186"/>
      <c r="E484" s="186"/>
      <c r="F484" s="187"/>
      <c r="G484" s="141"/>
    </row>
    <row r="485" ht="15.75" customHeight="1">
      <c r="A485" s="130"/>
      <c r="B485" s="130"/>
      <c r="C485" s="184"/>
      <c r="D485" s="186"/>
      <c r="E485" s="186"/>
      <c r="F485" s="187"/>
      <c r="G485" s="141"/>
    </row>
    <row r="486" ht="15.75" customHeight="1">
      <c r="A486" s="130"/>
      <c r="B486" s="130"/>
      <c r="C486" s="184"/>
      <c r="D486" s="186"/>
      <c r="E486" s="186"/>
      <c r="F486" s="187"/>
      <c r="G486" s="141"/>
    </row>
    <row r="487" ht="15.75" customHeight="1">
      <c r="A487" s="130"/>
      <c r="B487" s="130"/>
      <c r="C487" s="184"/>
      <c r="D487" s="186"/>
      <c r="E487" s="186"/>
      <c r="F487" s="187"/>
      <c r="G487" s="141"/>
    </row>
    <row r="488" ht="15.75" customHeight="1">
      <c r="A488" s="130"/>
      <c r="B488" s="130"/>
      <c r="C488" s="184"/>
      <c r="D488" s="186"/>
      <c r="E488" s="186"/>
      <c r="F488" s="187"/>
      <c r="G488" s="141"/>
    </row>
    <row r="489" ht="15.75" customHeight="1">
      <c r="A489" s="130"/>
      <c r="B489" s="130"/>
      <c r="C489" s="184"/>
      <c r="D489" s="186"/>
      <c r="E489" s="186"/>
      <c r="F489" s="187"/>
      <c r="G489" s="141"/>
    </row>
    <row r="490" ht="15.75" customHeight="1">
      <c r="A490" s="130"/>
      <c r="B490" s="130"/>
      <c r="C490" s="184"/>
      <c r="D490" s="186"/>
      <c r="E490" s="186"/>
      <c r="F490" s="187"/>
      <c r="G490" s="141"/>
    </row>
    <row r="491" ht="15.75" customHeight="1">
      <c r="A491" s="130"/>
      <c r="B491" s="130"/>
      <c r="C491" s="184"/>
      <c r="D491" s="186"/>
      <c r="E491" s="186"/>
      <c r="F491" s="187"/>
      <c r="G491" s="141"/>
    </row>
    <row r="492" ht="15.75" customHeight="1">
      <c r="A492" s="130"/>
      <c r="B492" s="130"/>
      <c r="C492" s="184"/>
      <c r="D492" s="186"/>
      <c r="E492" s="186"/>
      <c r="F492" s="187"/>
      <c r="G492" s="141"/>
    </row>
    <row r="493" ht="15.75" customHeight="1">
      <c r="A493" s="130"/>
      <c r="B493" s="130"/>
      <c r="C493" s="184"/>
      <c r="D493" s="186"/>
      <c r="E493" s="186"/>
      <c r="F493" s="187"/>
      <c r="G493" s="141"/>
    </row>
    <row r="494" ht="15.75" customHeight="1">
      <c r="A494" s="130"/>
      <c r="B494" s="130"/>
      <c r="C494" s="184"/>
      <c r="D494" s="186"/>
      <c r="E494" s="186"/>
      <c r="F494" s="187"/>
      <c r="G494" s="141"/>
    </row>
    <row r="495" ht="15.75" customHeight="1">
      <c r="A495" s="130"/>
      <c r="B495" s="130"/>
      <c r="C495" s="184"/>
      <c r="D495" s="186"/>
      <c r="E495" s="186"/>
      <c r="F495" s="187"/>
      <c r="G495" s="141"/>
    </row>
    <row r="496" ht="15.75" customHeight="1">
      <c r="A496" s="130"/>
      <c r="B496" s="130"/>
      <c r="C496" s="184"/>
      <c r="D496" s="186"/>
      <c r="E496" s="186"/>
      <c r="F496" s="187"/>
      <c r="G496" s="141"/>
    </row>
    <row r="497" ht="15.75" customHeight="1">
      <c r="A497" s="130"/>
      <c r="B497" s="130"/>
      <c r="C497" s="184"/>
      <c r="D497" s="186"/>
      <c r="E497" s="186"/>
      <c r="F497" s="187"/>
      <c r="G497" s="141"/>
    </row>
    <row r="498" ht="15.75" customHeight="1">
      <c r="A498" s="130"/>
      <c r="B498" s="130"/>
      <c r="C498" s="184"/>
      <c r="D498" s="186"/>
      <c r="E498" s="186"/>
      <c r="F498" s="187"/>
      <c r="G498" s="141"/>
    </row>
    <row r="499" ht="15.75" customHeight="1">
      <c r="A499" s="130"/>
      <c r="B499" s="130"/>
      <c r="C499" s="184"/>
      <c r="D499" s="186"/>
      <c r="E499" s="186"/>
      <c r="F499" s="187"/>
      <c r="G499" s="141"/>
    </row>
    <row r="500" ht="15.75" customHeight="1">
      <c r="A500" s="130"/>
      <c r="B500" s="130"/>
      <c r="C500" s="184"/>
      <c r="D500" s="186"/>
      <c r="E500" s="186"/>
      <c r="F500" s="187"/>
      <c r="G500" s="141"/>
    </row>
    <row r="501" ht="15.75" customHeight="1">
      <c r="A501" s="130"/>
      <c r="B501" s="130"/>
      <c r="C501" s="184"/>
      <c r="D501" s="186"/>
      <c r="E501" s="186"/>
      <c r="F501" s="187"/>
      <c r="G501" s="141"/>
    </row>
    <row r="502" ht="15.75" customHeight="1">
      <c r="A502" s="130"/>
      <c r="B502" s="130"/>
      <c r="C502" s="184"/>
      <c r="D502" s="186"/>
      <c r="E502" s="186"/>
      <c r="F502" s="187"/>
      <c r="G502" s="141"/>
    </row>
    <row r="503" ht="15.75" customHeight="1">
      <c r="A503" s="130"/>
      <c r="B503" s="130"/>
      <c r="C503" s="184"/>
      <c r="D503" s="186"/>
      <c r="E503" s="186"/>
      <c r="F503" s="187"/>
      <c r="G503" s="141"/>
    </row>
    <row r="504" ht="15.75" customHeight="1">
      <c r="A504" s="130"/>
      <c r="B504" s="130"/>
      <c r="C504" s="184"/>
      <c r="D504" s="186"/>
      <c r="E504" s="186"/>
      <c r="F504" s="187"/>
      <c r="G504" s="141"/>
    </row>
    <row r="505" ht="15.75" customHeight="1">
      <c r="A505" s="130"/>
      <c r="B505" s="130"/>
      <c r="C505" s="184"/>
      <c r="D505" s="186"/>
      <c r="E505" s="186"/>
      <c r="F505" s="187"/>
      <c r="G505" s="141"/>
    </row>
    <row r="506" ht="15.75" customHeight="1">
      <c r="A506" s="130"/>
      <c r="B506" s="130"/>
      <c r="C506" s="184"/>
      <c r="D506" s="186"/>
      <c r="E506" s="186"/>
      <c r="F506" s="187"/>
      <c r="G506" s="141"/>
    </row>
    <row r="507" ht="15.75" customHeight="1">
      <c r="A507" s="130"/>
      <c r="B507" s="130"/>
      <c r="C507" s="184"/>
      <c r="D507" s="186"/>
      <c r="E507" s="186"/>
      <c r="F507" s="187"/>
      <c r="G507" s="141"/>
    </row>
    <row r="508" ht="15.75" customHeight="1">
      <c r="A508" s="130"/>
      <c r="B508" s="130"/>
      <c r="C508" s="184"/>
      <c r="D508" s="186"/>
      <c r="E508" s="186"/>
      <c r="F508" s="187"/>
      <c r="G508" s="141"/>
    </row>
    <row r="509" ht="15.75" customHeight="1">
      <c r="A509" s="130"/>
      <c r="B509" s="130"/>
      <c r="C509" s="184"/>
      <c r="D509" s="186"/>
      <c r="E509" s="186"/>
      <c r="F509" s="187"/>
      <c r="G509" s="141"/>
    </row>
    <row r="510" ht="15.75" customHeight="1">
      <c r="A510" s="130"/>
      <c r="B510" s="130"/>
      <c r="C510" s="184"/>
      <c r="D510" s="186"/>
      <c r="E510" s="186"/>
      <c r="F510" s="187"/>
      <c r="G510" s="141"/>
    </row>
    <row r="511" ht="15.75" customHeight="1">
      <c r="A511" s="130"/>
      <c r="B511" s="130"/>
      <c r="C511" s="184"/>
      <c r="D511" s="186"/>
      <c r="E511" s="186"/>
      <c r="F511" s="187"/>
      <c r="G511" s="141"/>
    </row>
    <row r="512" ht="15.75" customHeight="1">
      <c r="A512" s="130"/>
      <c r="B512" s="130"/>
      <c r="C512" s="184"/>
      <c r="D512" s="186"/>
      <c r="E512" s="186"/>
      <c r="F512" s="187"/>
      <c r="G512" s="141"/>
    </row>
    <row r="513" ht="15.75" customHeight="1">
      <c r="A513" s="130"/>
      <c r="B513" s="130"/>
      <c r="C513" s="184"/>
      <c r="D513" s="186"/>
      <c r="E513" s="186"/>
      <c r="F513" s="187"/>
      <c r="G513" s="141"/>
    </row>
    <row r="514" ht="15.75" customHeight="1">
      <c r="A514" s="130"/>
      <c r="B514" s="130"/>
      <c r="C514" s="184"/>
      <c r="D514" s="186"/>
      <c r="E514" s="186"/>
      <c r="F514" s="187"/>
      <c r="G514" s="141"/>
    </row>
    <row r="515" ht="15.75" customHeight="1">
      <c r="A515" s="130"/>
      <c r="B515" s="130"/>
      <c r="C515" s="184"/>
      <c r="D515" s="186"/>
      <c r="E515" s="186"/>
      <c r="F515" s="187"/>
      <c r="G515" s="141"/>
    </row>
    <row r="516" ht="15.75" customHeight="1">
      <c r="A516" s="130"/>
      <c r="B516" s="130"/>
      <c r="C516" s="184"/>
      <c r="D516" s="186"/>
      <c r="E516" s="186"/>
      <c r="F516" s="187"/>
      <c r="G516" s="141"/>
    </row>
    <row r="517" ht="15.75" customHeight="1">
      <c r="A517" s="130"/>
      <c r="B517" s="130"/>
      <c r="C517" s="184"/>
      <c r="D517" s="186"/>
      <c r="E517" s="186"/>
      <c r="F517" s="187"/>
      <c r="G517" s="141"/>
    </row>
    <row r="518" ht="15.75" customHeight="1">
      <c r="A518" s="130"/>
      <c r="B518" s="130"/>
      <c r="C518" s="184"/>
      <c r="D518" s="186"/>
      <c r="E518" s="186"/>
      <c r="F518" s="187"/>
      <c r="G518" s="141"/>
    </row>
    <row r="519" ht="15.75" customHeight="1">
      <c r="A519" s="130"/>
      <c r="B519" s="130"/>
      <c r="C519" s="184"/>
      <c r="D519" s="186"/>
      <c r="E519" s="186"/>
      <c r="F519" s="187"/>
      <c r="G519" s="141"/>
    </row>
    <row r="520" ht="15.75" customHeight="1">
      <c r="A520" s="130"/>
      <c r="B520" s="130"/>
      <c r="C520" s="184"/>
      <c r="D520" s="186"/>
      <c r="E520" s="186"/>
      <c r="F520" s="187"/>
      <c r="G520" s="141"/>
    </row>
    <row r="521" ht="15.75" customHeight="1">
      <c r="A521" s="130"/>
      <c r="B521" s="130"/>
      <c r="C521" s="184"/>
      <c r="D521" s="186"/>
      <c r="E521" s="186"/>
      <c r="F521" s="187"/>
      <c r="G521" s="141"/>
    </row>
    <row r="522" ht="15.75" customHeight="1">
      <c r="A522" s="130"/>
      <c r="B522" s="130"/>
      <c r="C522" s="184"/>
      <c r="D522" s="186"/>
      <c r="E522" s="186"/>
      <c r="F522" s="187"/>
      <c r="G522" s="141"/>
    </row>
    <row r="523" ht="15.75" customHeight="1">
      <c r="A523" s="130"/>
      <c r="B523" s="130"/>
      <c r="C523" s="184"/>
      <c r="D523" s="186"/>
      <c r="E523" s="186"/>
      <c r="F523" s="187"/>
      <c r="G523" s="141"/>
    </row>
    <row r="524" ht="15.75" customHeight="1">
      <c r="A524" s="130"/>
      <c r="B524" s="130"/>
      <c r="C524" s="184"/>
      <c r="D524" s="186"/>
      <c r="E524" s="186"/>
      <c r="F524" s="187"/>
      <c r="G524" s="141"/>
    </row>
    <row r="525" ht="15.75" customHeight="1">
      <c r="A525" s="130"/>
      <c r="B525" s="130"/>
      <c r="C525" s="184"/>
      <c r="D525" s="186"/>
      <c r="E525" s="186"/>
      <c r="F525" s="187"/>
      <c r="G525" s="141"/>
    </row>
    <row r="526" ht="15.75" customHeight="1">
      <c r="A526" s="130"/>
      <c r="B526" s="130"/>
      <c r="C526" s="184"/>
      <c r="D526" s="186"/>
      <c r="E526" s="186"/>
      <c r="F526" s="187"/>
      <c r="G526" s="141"/>
    </row>
    <row r="527" ht="15.75" customHeight="1">
      <c r="A527" s="130"/>
      <c r="B527" s="130"/>
      <c r="C527" s="184"/>
      <c r="D527" s="186"/>
      <c r="E527" s="186"/>
      <c r="F527" s="187"/>
      <c r="G527" s="141"/>
    </row>
    <row r="528" ht="15.75" customHeight="1">
      <c r="A528" s="130"/>
      <c r="B528" s="130"/>
      <c r="C528" s="184"/>
      <c r="D528" s="186"/>
      <c r="E528" s="186"/>
      <c r="F528" s="187"/>
      <c r="G528" s="141"/>
    </row>
    <row r="529" ht="15.75" customHeight="1">
      <c r="A529" s="130"/>
      <c r="B529" s="130"/>
      <c r="C529" s="184"/>
      <c r="D529" s="186"/>
      <c r="E529" s="186"/>
      <c r="F529" s="187"/>
      <c r="G529" s="141"/>
    </row>
    <row r="530" ht="15.75" customHeight="1">
      <c r="A530" s="130"/>
      <c r="B530" s="130"/>
      <c r="C530" s="184"/>
      <c r="D530" s="186"/>
      <c r="E530" s="186"/>
      <c r="F530" s="187"/>
      <c r="G530" s="141"/>
    </row>
    <row r="531" ht="15.75" customHeight="1">
      <c r="A531" s="130"/>
      <c r="B531" s="130"/>
      <c r="C531" s="184"/>
      <c r="D531" s="186"/>
      <c r="E531" s="186"/>
      <c r="F531" s="187"/>
      <c r="G531" s="141"/>
    </row>
    <row r="532" ht="15.75" customHeight="1">
      <c r="A532" s="130"/>
      <c r="B532" s="130"/>
      <c r="C532" s="184"/>
      <c r="D532" s="186"/>
      <c r="E532" s="186"/>
      <c r="F532" s="187"/>
      <c r="G532" s="141"/>
    </row>
    <row r="533" ht="15.75" customHeight="1">
      <c r="A533" s="130"/>
      <c r="B533" s="130"/>
      <c r="C533" s="184"/>
      <c r="D533" s="186"/>
      <c r="E533" s="186"/>
      <c r="F533" s="187"/>
      <c r="G533" s="141"/>
    </row>
    <row r="534" ht="15.75" customHeight="1">
      <c r="A534" s="130"/>
      <c r="B534" s="130"/>
      <c r="C534" s="184"/>
      <c r="D534" s="186"/>
      <c r="E534" s="186"/>
      <c r="F534" s="187"/>
      <c r="G534" s="141"/>
    </row>
    <row r="535" ht="15.75" customHeight="1">
      <c r="A535" s="130"/>
      <c r="B535" s="130"/>
      <c r="C535" s="184"/>
      <c r="D535" s="186"/>
      <c r="E535" s="186"/>
      <c r="F535" s="187"/>
      <c r="G535" s="141"/>
    </row>
    <row r="536" ht="15.75" customHeight="1">
      <c r="A536" s="130"/>
      <c r="B536" s="130"/>
      <c r="C536" s="184"/>
      <c r="D536" s="186"/>
      <c r="E536" s="186"/>
      <c r="F536" s="187"/>
      <c r="G536" s="141"/>
    </row>
    <row r="537" ht="15.75" customHeight="1">
      <c r="A537" s="130"/>
      <c r="B537" s="130"/>
      <c r="C537" s="184"/>
      <c r="D537" s="186"/>
      <c r="E537" s="186"/>
      <c r="F537" s="187"/>
      <c r="G537" s="141"/>
    </row>
    <row r="538" ht="15.75" customHeight="1">
      <c r="A538" s="130"/>
      <c r="B538" s="130"/>
      <c r="C538" s="184"/>
      <c r="D538" s="186"/>
      <c r="E538" s="186"/>
      <c r="F538" s="187"/>
      <c r="G538" s="141"/>
    </row>
    <row r="539" ht="15.75" customHeight="1">
      <c r="A539" s="130"/>
      <c r="B539" s="130"/>
      <c r="C539" s="184"/>
      <c r="D539" s="186"/>
      <c r="E539" s="186"/>
      <c r="F539" s="187"/>
      <c r="G539" s="141"/>
    </row>
    <row r="540" ht="15.75" customHeight="1">
      <c r="A540" s="130"/>
      <c r="B540" s="130"/>
      <c r="C540" s="184"/>
      <c r="D540" s="186"/>
      <c r="E540" s="186"/>
      <c r="F540" s="187"/>
      <c r="G540" s="141"/>
    </row>
    <row r="541" ht="15.75" customHeight="1">
      <c r="A541" s="130"/>
      <c r="B541" s="130"/>
      <c r="C541" s="184"/>
      <c r="D541" s="186"/>
      <c r="E541" s="186"/>
      <c r="F541" s="187"/>
      <c r="G541" s="141"/>
    </row>
    <row r="542" ht="15.75" customHeight="1">
      <c r="A542" s="130"/>
      <c r="B542" s="130"/>
      <c r="C542" s="184"/>
      <c r="D542" s="186"/>
      <c r="E542" s="186"/>
      <c r="F542" s="187"/>
      <c r="G542" s="141"/>
    </row>
    <row r="543" ht="15.75" customHeight="1">
      <c r="A543" s="130"/>
      <c r="B543" s="130"/>
      <c r="C543" s="184"/>
      <c r="D543" s="186"/>
      <c r="E543" s="186"/>
      <c r="F543" s="187"/>
      <c r="G543" s="141"/>
    </row>
    <row r="544" ht="15.75" customHeight="1">
      <c r="A544" s="130"/>
      <c r="B544" s="130"/>
      <c r="C544" s="184"/>
      <c r="D544" s="186"/>
      <c r="E544" s="186"/>
      <c r="F544" s="187"/>
      <c r="G544" s="141"/>
    </row>
    <row r="545" ht="15.75" customHeight="1">
      <c r="A545" s="130"/>
      <c r="B545" s="130"/>
      <c r="C545" s="184"/>
      <c r="D545" s="186"/>
      <c r="E545" s="186"/>
      <c r="F545" s="187"/>
      <c r="G545" s="141"/>
    </row>
    <row r="546" ht="15.75" customHeight="1">
      <c r="A546" s="130"/>
      <c r="B546" s="130"/>
      <c r="C546" s="184"/>
      <c r="D546" s="186"/>
      <c r="E546" s="186"/>
      <c r="F546" s="187"/>
      <c r="G546" s="141"/>
    </row>
    <row r="547" ht="15.75" customHeight="1">
      <c r="A547" s="130"/>
      <c r="B547" s="130"/>
      <c r="C547" s="184"/>
      <c r="D547" s="186"/>
      <c r="E547" s="186"/>
      <c r="F547" s="187"/>
      <c r="G547" s="141"/>
    </row>
    <row r="548" ht="15.75" customHeight="1">
      <c r="A548" s="130"/>
      <c r="B548" s="130"/>
      <c r="C548" s="184"/>
      <c r="D548" s="186"/>
      <c r="E548" s="186"/>
      <c r="F548" s="187"/>
      <c r="G548" s="141"/>
    </row>
    <row r="549" ht="15.75" customHeight="1">
      <c r="A549" s="130"/>
      <c r="B549" s="130"/>
      <c r="C549" s="184"/>
      <c r="D549" s="186"/>
      <c r="E549" s="186"/>
      <c r="F549" s="187"/>
      <c r="G549" s="141"/>
    </row>
    <row r="550" ht="15.75" customHeight="1">
      <c r="A550" s="130"/>
      <c r="B550" s="130"/>
      <c r="C550" s="184"/>
      <c r="D550" s="186"/>
      <c r="E550" s="186"/>
      <c r="F550" s="187"/>
      <c r="G550" s="141"/>
    </row>
    <row r="551" ht="15.75" customHeight="1">
      <c r="A551" s="130"/>
      <c r="B551" s="130"/>
      <c r="C551" s="184"/>
      <c r="D551" s="186"/>
      <c r="E551" s="186"/>
      <c r="F551" s="187"/>
      <c r="G551" s="141"/>
    </row>
    <row r="552" ht="15.75" customHeight="1">
      <c r="A552" s="130"/>
      <c r="B552" s="130"/>
      <c r="C552" s="184"/>
      <c r="D552" s="186"/>
      <c r="E552" s="186"/>
      <c r="F552" s="187"/>
      <c r="G552" s="141"/>
    </row>
    <row r="553" ht="15.75" customHeight="1">
      <c r="A553" s="130"/>
      <c r="B553" s="130"/>
      <c r="C553" s="184"/>
      <c r="D553" s="186"/>
      <c r="E553" s="186"/>
      <c r="F553" s="187"/>
      <c r="G553" s="141"/>
    </row>
    <row r="554" ht="15.75" customHeight="1">
      <c r="A554" s="130"/>
      <c r="B554" s="130"/>
      <c r="C554" s="184"/>
      <c r="D554" s="186"/>
      <c r="E554" s="186"/>
      <c r="F554" s="187"/>
      <c r="G554" s="141"/>
    </row>
    <row r="555" ht="15.75" customHeight="1">
      <c r="A555" s="130"/>
      <c r="B555" s="130"/>
      <c r="C555" s="184"/>
      <c r="D555" s="186"/>
      <c r="E555" s="186"/>
      <c r="F555" s="187"/>
      <c r="G555" s="141"/>
    </row>
    <row r="556" ht="15.75" customHeight="1">
      <c r="A556" s="130"/>
      <c r="B556" s="130"/>
      <c r="C556" s="184"/>
      <c r="D556" s="186"/>
      <c r="E556" s="186"/>
      <c r="F556" s="187"/>
      <c r="G556" s="141"/>
    </row>
    <row r="557" ht="15.75" customHeight="1">
      <c r="A557" s="130"/>
      <c r="B557" s="130"/>
      <c r="C557" s="184"/>
      <c r="D557" s="186"/>
      <c r="E557" s="186"/>
      <c r="F557" s="187"/>
      <c r="G557" s="141"/>
    </row>
    <row r="558" ht="15.75" customHeight="1">
      <c r="A558" s="130"/>
      <c r="B558" s="130"/>
      <c r="C558" s="184"/>
      <c r="D558" s="186"/>
      <c r="E558" s="186"/>
      <c r="F558" s="187"/>
      <c r="G558" s="141"/>
    </row>
    <row r="559" ht="15.75" customHeight="1">
      <c r="A559" s="130"/>
      <c r="B559" s="130"/>
      <c r="C559" s="184"/>
      <c r="D559" s="186"/>
      <c r="E559" s="186"/>
      <c r="F559" s="187"/>
      <c r="G559" s="141"/>
    </row>
    <row r="560" ht="15.75" customHeight="1">
      <c r="A560" s="130"/>
      <c r="B560" s="130"/>
      <c r="C560" s="184"/>
      <c r="D560" s="186"/>
      <c r="E560" s="186"/>
      <c r="F560" s="187"/>
      <c r="G560" s="141"/>
    </row>
    <row r="561" ht="15.75" customHeight="1">
      <c r="A561" s="130"/>
      <c r="B561" s="130"/>
      <c r="C561" s="184"/>
      <c r="D561" s="186"/>
      <c r="E561" s="186"/>
      <c r="F561" s="187"/>
      <c r="G561" s="141"/>
    </row>
    <row r="562" ht="15.75" customHeight="1">
      <c r="A562" s="130"/>
      <c r="B562" s="130"/>
      <c r="C562" s="184"/>
      <c r="D562" s="186"/>
      <c r="E562" s="186"/>
      <c r="F562" s="187"/>
      <c r="G562" s="141"/>
    </row>
    <row r="563" ht="15.75" customHeight="1">
      <c r="A563" s="130"/>
      <c r="B563" s="130"/>
      <c r="C563" s="184"/>
      <c r="D563" s="186"/>
      <c r="E563" s="186"/>
      <c r="F563" s="187"/>
      <c r="G563" s="141"/>
    </row>
    <row r="564" ht="15.75" customHeight="1">
      <c r="A564" s="130"/>
      <c r="B564" s="130"/>
      <c r="C564" s="184"/>
      <c r="D564" s="186"/>
      <c r="E564" s="186"/>
      <c r="F564" s="187"/>
      <c r="G564" s="141"/>
    </row>
    <row r="565" ht="15.75" customHeight="1">
      <c r="A565" s="130"/>
      <c r="B565" s="130"/>
      <c r="C565" s="184"/>
      <c r="D565" s="186"/>
      <c r="E565" s="186"/>
      <c r="F565" s="187"/>
      <c r="G565" s="141"/>
    </row>
    <row r="566" ht="15.75" customHeight="1">
      <c r="A566" s="130"/>
      <c r="B566" s="130"/>
      <c r="C566" s="184"/>
      <c r="D566" s="186"/>
      <c r="E566" s="186"/>
      <c r="F566" s="187"/>
      <c r="G566" s="141"/>
    </row>
    <row r="567" ht="15.75" customHeight="1">
      <c r="A567" s="130"/>
      <c r="B567" s="130"/>
      <c r="C567" s="184"/>
      <c r="D567" s="186"/>
      <c r="E567" s="186"/>
      <c r="F567" s="187"/>
      <c r="G567" s="141"/>
    </row>
    <row r="568" ht="15.75" customHeight="1">
      <c r="A568" s="130"/>
      <c r="B568" s="130"/>
      <c r="C568" s="184"/>
      <c r="D568" s="186"/>
      <c r="E568" s="186"/>
      <c r="F568" s="187"/>
      <c r="G568" s="141"/>
    </row>
    <row r="569" ht="15.75" customHeight="1">
      <c r="A569" s="130"/>
      <c r="B569" s="130"/>
      <c r="C569" s="184"/>
      <c r="D569" s="186"/>
      <c r="E569" s="186"/>
      <c r="F569" s="187"/>
      <c r="G569" s="141"/>
    </row>
    <row r="570" ht="15.75" customHeight="1">
      <c r="A570" s="130"/>
      <c r="B570" s="130"/>
      <c r="C570" s="184"/>
      <c r="D570" s="186"/>
      <c r="E570" s="186"/>
      <c r="F570" s="187"/>
      <c r="G570" s="141"/>
    </row>
    <row r="571" ht="15.75" customHeight="1">
      <c r="A571" s="130"/>
      <c r="B571" s="130"/>
      <c r="C571" s="184"/>
      <c r="D571" s="186"/>
      <c r="E571" s="186"/>
      <c r="F571" s="187"/>
      <c r="G571" s="141"/>
    </row>
    <row r="572" ht="15.75" customHeight="1">
      <c r="A572" s="130"/>
      <c r="B572" s="130"/>
      <c r="C572" s="184"/>
      <c r="D572" s="186"/>
      <c r="E572" s="186"/>
      <c r="F572" s="187"/>
      <c r="G572" s="141"/>
    </row>
    <row r="573" ht="15.75" customHeight="1">
      <c r="A573" s="130"/>
      <c r="B573" s="130"/>
      <c r="C573" s="184"/>
      <c r="D573" s="186"/>
      <c r="E573" s="186"/>
      <c r="F573" s="187"/>
      <c r="G573" s="141"/>
    </row>
    <row r="574" ht="15.75" customHeight="1">
      <c r="A574" s="130"/>
      <c r="B574" s="130"/>
      <c r="C574" s="184"/>
      <c r="D574" s="186"/>
      <c r="E574" s="186"/>
      <c r="F574" s="187"/>
      <c r="G574" s="141"/>
    </row>
    <row r="575" ht="15.75" customHeight="1">
      <c r="A575" s="130"/>
      <c r="B575" s="130"/>
      <c r="C575" s="184"/>
      <c r="D575" s="186"/>
      <c r="E575" s="186"/>
      <c r="F575" s="187"/>
      <c r="G575" s="141"/>
    </row>
    <row r="576" ht="15.75" customHeight="1">
      <c r="A576" s="130"/>
      <c r="B576" s="130"/>
      <c r="C576" s="184"/>
      <c r="D576" s="186"/>
      <c r="E576" s="186"/>
      <c r="F576" s="187"/>
      <c r="G576" s="141"/>
    </row>
    <row r="577" ht="15.75" customHeight="1">
      <c r="A577" s="130"/>
      <c r="B577" s="130"/>
      <c r="C577" s="184"/>
      <c r="D577" s="186"/>
      <c r="E577" s="186"/>
      <c r="F577" s="187"/>
      <c r="G577" s="141"/>
    </row>
    <row r="578" ht="15.75" customHeight="1">
      <c r="A578" s="130"/>
      <c r="B578" s="130"/>
      <c r="C578" s="184"/>
      <c r="D578" s="186"/>
      <c r="E578" s="186"/>
      <c r="F578" s="187"/>
      <c r="G578" s="141"/>
    </row>
    <row r="579" ht="15.75" customHeight="1">
      <c r="A579" s="130"/>
      <c r="B579" s="130"/>
      <c r="C579" s="184"/>
      <c r="D579" s="186"/>
      <c r="E579" s="186"/>
      <c r="F579" s="187"/>
      <c r="G579" s="141"/>
    </row>
    <row r="580" ht="15.75" customHeight="1">
      <c r="A580" s="130"/>
      <c r="B580" s="130"/>
      <c r="C580" s="184"/>
      <c r="D580" s="186"/>
      <c r="E580" s="186"/>
      <c r="F580" s="187"/>
      <c r="G580" s="141"/>
    </row>
    <row r="581" ht="15.75" customHeight="1">
      <c r="A581" s="130"/>
      <c r="B581" s="130"/>
      <c r="C581" s="184"/>
      <c r="D581" s="186"/>
      <c r="E581" s="186"/>
      <c r="F581" s="187"/>
      <c r="G581" s="141"/>
    </row>
    <row r="582" ht="15.75" customHeight="1">
      <c r="A582" s="130"/>
      <c r="B582" s="130"/>
      <c r="C582" s="184"/>
      <c r="D582" s="186"/>
      <c r="E582" s="186"/>
      <c r="F582" s="187"/>
      <c r="G582" s="141"/>
    </row>
    <row r="583" ht="15.75" customHeight="1">
      <c r="A583" s="130"/>
      <c r="B583" s="130"/>
      <c r="C583" s="184"/>
      <c r="D583" s="186"/>
      <c r="E583" s="186"/>
      <c r="F583" s="187"/>
      <c r="G583" s="141"/>
    </row>
    <row r="584" ht="15.75" customHeight="1">
      <c r="A584" s="130"/>
      <c r="B584" s="130"/>
      <c r="C584" s="184"/>
      <c r="D584" s="186"/>
      <c r="E584" s="186"/>
      <c r="F584" s="187"/>
      <c r="G584" s="141"/>
    </row>
    <row r="585" ht="15.75" customHeight="1">
      <c r="A585" s="130"/>
      <c r="B585" s="130"/>
      <c r="C585" s="184"/>
      <c r="D585" s="186"/>
      <c r="E585" s="186"/>
      <c r="F585" s="187"/>
      <c r="G585" s="141"/>
    </row>
    <row r="586" ht="15.75" customHeight="1">
      <c r="A586" s="130"/>
      <c r="B586" s="130"/>
      <c r="C586" s="184"/>
      <c r="D586" s="186"/>
      <c r="E586" s="186"/>
      <c r="F586" s="187"/>
      <c r="G586" s="141"/>
    </row>
    <row r="587" ht="15.75" customHeight="1">
      <c r="A587" s="130"/>
      <c r="B587" s="130"/>
      <c r="C587" s="184"/>
      <c r="D587" s="186"/>
      <c r="E587" s="186"/>
      <c r="F587" s="187"/>
      <c r="G587" s="141"/>
    </row>
    <row r="588" ht="15.75" customHeight="1">
      <c r="A588" s="130"/>
      <c r="B588" s="130"/>
      <c r="C588" s="184"/>
      <c r="D588" s="186"/>
      <c r="E588" s="186"/>
      <c r="F588" s="187"/>
      <c r="G588" s="141"/>
    </row>
    <row r="589" ht="15.75" customHeight="1">
      <c r="A589" s="130"/>
      <c r="B589" s="130"/>
      <c r="C589" s="184"/>
      <c r="D589" s="186"/>
      <c r="E589" s="186"/>
      <c r="F589" s="187"/>
      <c r="G589" s="141"/>
    </row>
    <row r="590" ht="15.75" customHeight="1">
      <c r="A590" s="130"/>
      <c r="B590" s="130"/>
      <c r="C590" s="184"/>
      <c r="D590" s="186"/>
      <c r="E590" s="186"/>
      <c r="F590" s="187"/>
      <c r="G590" s="141"/>
    </row>
    <row r="591" ht="15.75" customHeight="1">
      <c r="A591" s="130"/>
      <c r="B591" s="130"/>
      <c r="C591" s="184"/>
      <c r="D591" s="186"/>
      <c r="E591" s="186"/>
      <c r="F591" s="187"/>
      <c r="G591" s="141"/>
    </row>
    <row r="592" ht="15.75" customHeight="1">
      <c r="A592" s="130"/>
      <c r="B592" s="130"/>
      <c r="C592" s="184"/>
      <c r="D592" s="186"/>
      <c r="E592" s="186"/>
      <c r="F592" s="187"/>
      <c r="G592" s="141"/>
    </row>
    <row r="593" ht="15.75" customHeight="1">
      <c r="A593" s="130"/>
      <c r="B593" s="130"/>
      <c r="C593" s="184"/>
      <c r="D593" s="186"/>
      <c r="E593" s="186"/>
      <c r="F593" s="187"/>
      <c r="G593" s="141"/>
    </row>
    <row r="594" ht="15.75" customHeight="1">
      <c r="A594" s="130"/>
      <c r="B594" s="130"/>
      <c r="C594" s="184"/>
      <c r="D594" s="186"/>
      <c r="E594" s="186"/>
      <c r="F594" s="187"/>
      <c r="G594" s="141"/>
    </row>
    <row r="595" ht="15.75" customHeight="1">
      <c r="A595" s="130"/>
      <c r="B595" s="130"/>
      <c r="C595" s="184"/>
      <c r="D595" s="186"/>
      <c r="E595" s="186"/>
      <c r="F595" s="187"/>
      <c r="G595" s="141"/>
    </row>
    <row r="596" ht="15.75" customHeight="1">
      <c r="A596" s="130"/>
      <c r="B596" s="130"/>
      <c r="C596" s="184"/>
      <c r="D596" s="186"/>
      <c r="E596" s="186"/>
      <c r="F596" s="187"/>
      <c r="G596" s="141"/>
    </row>
    <row r="597" ht="15.75" customHeight="1">
      <c r="A597" s="130"/>
      <c r="B597" s="130"/>
      <c r="C597" s="184"/>
      <c r="D597" s="186"/>
      <c r="E597" s="186"/>
      <c r="F597" s="187"/>
      <c r="G597" s="141"/>
    </row>
    <row r="598" ht="15.75" customHeight="1">
      <c r="A598" s="130"/>
      <c r="B598" s="130"/>
      <c r="C598" s="184"/>
      <c r="D598" s="186"/>
      <c r="E598" s="186"/>
      <c r="F598" s="187"/>
      <c r="G598" s="141"/>
    </row>
    <row r="599" ht="15.75" customHeight="1">
      <c r="A599" s="130"/>
      <c r="B599" s="130"/>
      <c r="C599" s="184"/>
      <c r="D599" s="186"/>
      <c r="E599" s="186"/>
      <c r="F599" s="187"/>
      <c r="G599" s="141"/>
    </row>
    <row r="600" ht="15.75" customHeight="1">
      <c r="A600" s="130"/>
      <c r="B600" s="130"/>
      <c r="C600" s="184"/>
      <c r="D600" s="186"/>
      <c r="E600" s="186"/>
      <c r="F600" s="187"/>
      <c r="G600" s="141"/>
    </row>
    <row r="601" ht="15.75" customHeight="1">
      <c r="A601" s="130"/>
      <c r="B601" s="130"/>
      <c r="C601" s="184"/>
      <c r="D601" s="186"/>
      <c r="E601" s="186"/>
      <c r="F601" s="187"/>
      <c r="G601" s="141"/>
    </row>
    <row r="602" ht="15.75" customHeight="1">
      <c r="A602" s="130"/>
      <c r="B602" s="130"/>
      <c r="C602" s="184"/>
      <c r="D602" s="186"/>
      <c r="E602" s="186"/>
      <c r="F602" s="187"/>
      <c r="G602" s="141"/>
    </row>
    <row r="603" ht="15.75" customHeight="1">
      <c r="A603" s="130"/>
      <c r="B603" s="130"/>
      <c r="C603" s="184"/>
      <c r="D603" s="186"/>
      <c r="E603" s="186"/>
      <c r="F603" s="187"/>
      <c r="G603" s="141"/>
    </row>
    <row r="604" ht="15.75" customHeight="1">
      <c r="A604" s="130"/>
      <c r="B604" s="130"/>
      <c r="C604" s="184"/>
      <c r="D604" s="186"/>
      <c r="E604" s="186"/>
      <c r="F604" s="187"/>
      <c r="G604" s="141"/>
    </row>
    <row r="605" ht="15.75" customHeight="1">
      <c r="A605" s="130"/>
      <c r="B605" s="130"/>
      <c r="C605" s="184"/>
      <c r="D605" s="186"/>
      <c r="E605" s="186"/>
      <c r="F605" s="187"/>
      <c r="G605" s="141"/>
    </row>
    <row r="606" ht="15.75" customHeight="1">
      <c r="A606" s="130"/>
      <c r="B606" s="130"/>
      <c r="C606" s="184"/>
      <c r="D606" s="186"/>
      <c r="E606" s="186"/>
      <c r="F606" s="187"/>
      <c r="G606" s="141"/>
    </row>
    <row r="607" ht="15.75" customHeight="1">
      <c r="A607" s="130"/>
      <c r="B607" s="130"/>
      <c r="C607" s="184"/>
      <c r="D607" s="186"/>
      <c r="E607" s="186"/>
      <c r="F607" s="187"/>
      <c r="G607" s="141"/>
    </row>
    <row r="608" ht="15.75" customHeight="1">
      <c r="A608" s="130"/>
      <c r="B608" s="130"/>
      <c r="C608" s="184"/>
      <c r="D608" s="186"/>
      <c r="E608" s="186"/>
      <c r="F608" s="187"/>
      <c r="G608" s="141"/>
    </row>
    <row r="609" ht="15.75" customHeight="1">
      <c r="A609" s="130"/>
      <c r="B609" s="130"/>
      <c r="C609" s="184"/>
      <c r="D609" s="186"/>
      <c r="E609" s="186"/>
      <c r="F609" s="187"/>
      <c r="G609" s="141"/>
    </row>
    <row r="610" ht="15.75" customHeight="1">
      <c r="A610" s="130"/>
      <c r="B610" s="130"/>
      <c r="C610" s="184"/>
      <c r="D610" s="186"/>
      <c r="E610" s="186"/>
      <c r="F610" s="187"/>
      <c r="G610" s="141"/>
    </row>
    <row r="611" ht="15.75" customHeight="1">
      <c r="A611" s="130"/>
      <c r="B611" s="130"/>
      <c r="C611" s="184"/>
      <c r="D611" s="186"/>
      <c r="E611" s="186"/>
      <c r="F611" s="187"/>
      <c r="G611" s="141"/>
    </row>
    <row r="612" ht="15.75" customHeight="1">
      <c r="A612" s="130"/>
      <c r="B612" s="130"/>
      <c r="C612" s="184"/>
      <c r="D612" s="186"/>
      <c r="E612" s="186"/>
      <c r="F612" s="187"/>
      <c r="G612" s="141"/>
    </row>
    <row r="613" ht="15.75" customHeight="1">
      <c r="A613" s="130"/>
      <c r="B613" s="130"/>
      <c r="C613" s="184"/>
      <c r="D613" s="186"/>
      <c r="E613" s="186"/>
      <c r="F613" s="187"/>
      <c r="G613" s="141"/>
    </row>
    <row r="614" ht="15.75" customHeight="1">
      <c r="A614" s="130"/>
      <c r="B614" s="130"/>
      <c r="C614" s="184"/>
      <c r="D614" s="186"/>
      <c r="E614" s="186"/>
      <c r="F614" s="187"/>
      <c r="G614" s="141"/>
    </row>
    <row r="615" ht="15.75" customHeight="1">
      <c r="A615" s="130"/>
      <c r="B615" s="130"/>
      <c r="C615" s="184"/>
      <c r="D615" s="186"/>
      <c r="E615" s="186"/>
      <c r="F615" s="187"/>
      <c r="G615" s="141"/>
    </row>
    <row r="616" ht="15.75" customHeight="1">
      <c r="A616" s="130"/>
      <c r="B616" s="130"/>
      <c r="C616" s="184"/>
      <c r="D616" s="186"/>
      <c r="E616" s="186"/>
      <c r="F616" s="187"/>
      <c r="G616" s="141"/>
    </row>
    <row r="617" ht="15.75" customHeight="1">
      <c r="A617" s="130"/>
      <c r="B617" s="130"/>
      <c r="C617" s="184"/>
      <c r="D617" s="186"/>
      <c r="E617" s="186"/>
      <c r="F617" s="187"/>
      <c r="G617" s="141"/>
    </row>
    <row r="618" ht="15.75" customHeight="1">
      <c r="A618" s="130"/>
      <c r="B618" s="130"/>
      <c r="C618" s="184"/>
      <c r="D618" s="186"/>
      <c r="E618" s="186"/>
      <c r="F618" s="187"/>
      <c r="G618" s="141"/>
    </row>
    <row r="619" ht="15.75" customHeight="1">
      <c r="A619" s="130"/>
      <c r="B619" s="130"/>
      <c r="C619" s="184"/>
      <c r="D619" s="186"/>
      <c r="E619" s="186"/>
      <c r="F619" s="187"/>
      <c r="G619" s="141"/>
    </row>
    <row r="620" ht="15.75" customHeight="1">
      <c r="A620" s="130"/>
      <c r="B620" s="130"/>
      <c r="C620" s="184"/>
      <c r="D620" s="186"/>
      <c r="E620" s="186"/>
      <c r="F620" s="187"/>
      <c r="G620" s="141"/>
    </row>
    <row r="621" ht="15.75" customHeight="1">
      <c r="A621" s="130"/>
      <c r="B621" s="130"/>
      <c r="C621" s="184"/>
      <c r="D621" s="186"/>
      <c r="E621" s="186"/>
      <c r="F621" s="187"/>
      <c r="G621" s="141"/>
    </row>
    <row r="622" ht="15.75" customHeight="1">
      <c r="A622" s="130"/>
      <c r="B622" s="130"/>
      <c r="C622" s="184"/>
      <c r="D622" s="186"/>
      <c r="E622" s="186"/>
      <c r="F622" s="187"/>
      <c r="G622" s="141"/>
    </row>
    <row r="623" ht="15.75" customHeight="1">
      <c r="A623" s="130"/>
      <c r="B623" s="130"/>
      <c r="C623" s="184"/>
      <c r="D623" s="186"/>
      <c r="E623" s="186"/>
      <c r="F623" s="187"/>
      <c r="G623" s="141"/>
    </row>
    <row r="624" ht="15.75" customHeight="1">
      <c r="A624" s="130"/>
      <c r="B624" s="130"/>
      <c r="C624" s="184"/>
      <c r="D624" s="186"/>
      <c r="E624" s="186"/>
      <c r="F624" s="187"/>
      <c r="G624" s="141"/>
    </row>
    <row r="625" ht="15.75" customHeight="1">
      <c r="A625" s="130"/>
      <c r="B625" s="130"/>
      <c r="C625" s="184"/>
      <c r="D625" s="186"/>
      <c r="E625" s="186"/>
      <c r="F625" s="187"/>
      <c r="G625" s="141"/>
    </row>
    <row r="626" ht="15.75" customHeight="1">
      <c r="A626" s="130"/>
      <c r="B626" s="130"/>
      <c r="C626" s="184"/>
      <c r="D626" s="186"/>
      <c r="E626" s="186"/>
      <c r="F626" s="187"/>
      <c r="G626" s="141"/>
    </row>
    <row r="627" ht="15.75" customHeight="1">
      <c r="A627" s="130"/>
      <c r="B627" s="130"/>
      <c r="C627" s="184"/>
      <c r="D627" s="186"/>
      <c r="E627" s="186"/>
      <c r="F627" s="187"/>
      <c r="G627" s="141"/>
    </row>
    <row r="628" ht="15.75" customHeight="1">
      <c r="A628" s="130"/>
      <c r="B628" s="130"/>
      <c r="C628" s="184"/>
      <c r="D628" s="186"/>
      <c r="E628" s="186"/>
      <c r="F628" s="187"/>
      <c r="G628" s="141"/>
    </row>
    <row r="629" ht="15.75" customHeight="1">
      <c r="A629" s="130"/>
      <c r="B629" s="130"/>
      <c r="C629" s="184"/>
      <c r="D629" s="186"/>
      <c r="E629" s="186"/>
      <c r="F629" s="187"/>
      <c r="G629" s="141"/>
    </row>
    <row r="630" ht="15.75" customHeight="1">
      <c r="A630" s="130"/>
      <c r="B630" s="130"/>
      <c r="C630" s="184"/>
      <c r="D630" s="186"/>
      <c r="E630" s="186"/>
      <c r="F630" s="187"/>
      <c r="G630" s="141"/>
    </row>
    <row r="631" ht="15.75" customHeight="1">
      <c r="A631" s="130"/>
      <c r="B631" s="130"/>
      <c r="C631" s="184"/>
      <c r="D631" s="186"/>
      <c r="E631" s="186"/>
      <c r="F631" s="187"/>
      <c r="G631" s="141"/>
    </row>
    <row r="632" ht="15.75" customHeight="1">
      <c r="A632" s="130"/>
      <c r="B632" s="130"/>
      <c r="C632" s="184"/>
      <c r="D632" s="186"/>
      <c r="E632" s="186"/>
      <c r="F632" s="187"/>
      <c r="G632" s="141"/>
    </row>
    <row r="633" ht="15.75" customHeight="1">
      <c r="A633" s="130"/>
      <c r="B633" s="130"/>
      <c r="C633" s="184"/>
      <c r="D633" s="186"/>
      <c r="E633" s="186"/>
      <c r="F633" s="187"/>
      <c r="G633" s="141"/>
    </row>
    <row r="634" ht="15.75" customHeight="1">
      <c r="A634" s="130"/>
      <c r="B634" s="130"/>
      <c r="C634" s="184"/>
      <c r="D634" s="186"/>
      <c r="E634" s="186"/>
      <c r="F634" s="187"/>
      <c r="G634" s="141"/>
    </row>
    <row r="635" ht="15.75" customHeight="1">
      <c r="A635" s="130"/>
      <c r="B635" s="130"/>
      <c r="C635" s="184"/>
      <c r="D635" s="186"/>
      <c r="E635" s="186"/>
      <c r="F635" s="187"/>
      <c r="G635" s="141"/>
    </row>
    <row r="636" ht="15.75" customHeight="1">
      <c r="A636" s="130"/>
      <c r="B636" s="130"/>
      <c r="C636" s="184"/>
      <c r="D636" s="186"/>
      <c r="E636" s="186"/>
      <c r="F636" s="187"/>
      <c r="G636" s="141"/>
    </row>
    <row r="637" ht="15.75" customHeight="1">
      <c r="A637" s="130"/>
      <c r="B637" s="130"/>
      <c r="C637" s="184"/>
      <c r="D637" s="186"/>
      <c r="E637" s="186"/>
      <c r="F637" s="187"/>
      <c r="G637" s="141"/>
    </row>
    <row r="638" ht="15.75" customHeight="1">
      <c r="A638" s="130"/>
      <c r="B638" s="130"/>
      <c r="C638" s="184"/>
      <c r="D638" s="186"/>
      <c r="E638" s="186"/>
      <c r="F638" s="187"/>
      <c r="G638" s="141"/>
    </row>
    <row r="639" ht="15.75" customHeight="1">
      <c r="A639" s="130"/>
      <c r="B639" s="130"/>
      <c r="C639" s="184"/>
      <c r="D639" s="186"/>
      <c r="E639" s="186"/>
      <c r="F639" s="187"/>
      <c r="G639" s="141"/>
    </row>
    <row r="640" ht="15.75" customHeight="1">
      <c r="A640" s="130"/>
      <c r="B640" s="130"/>
      <c r="C640" s="184"/>
      <c r="D640" s="186"/>
      <c r="E640" s="186"/>
      <c r="F640" s="187"/>
      <c r="G640" s="141"/>
    </row>
    <row r="641" ht="15.75" customHeight="1">
      <c r="A641" s="130"/>
      <c r="B641" s="130"/>
      <c r="C641" s="184"/>
      <c r="D641" s="186"/>
      <c r="E641" s="186"/>
      <c r="F641" s="187"/>
      <c r="G641" s="141"/>
    </row>
    <row r="642" ht="15.75" customHeight="1">
      <c r="A642" s="130"/>
      <c r="B642" s="130"/>
      <c r="C642" s="184"/>
      <c r="D642" s="186"/>
      <c r="E642" s="186"/>
      <c r="F642" s="187"/>
      <c r="G642" s="141"/>
    </row>
    <row r="643" ht="15.75" customHeight="1">
      <c r="A643" s="130"/>
      <c r="B643" s="130"/>
      <c r="C643" s="184"/>
      <c r="D643" s="186"/>
      <c r="E643" s="186"/>
      <c r="F643" s="187"/>
      <c r="G643" s="141"/>
    </row>
    <row r="644" ht="15.75" customHeight="1">
      <c r="A644" s="130"/>
      <c r="B644" s="130"/>
      <c r="C644" s="184"/>
      <c r="D644" s="186"/>
      <c r="E644" s="186"/>
      <c r="F644" s="187"/>
      <c r="G644" s="141"/>
    </row>
    <row r="645" ht="15.75" customHeight="1">
      <c r="A645" s="130"/>
      <c r="B645" s="130"/>
      <c r="C645" s="184"/>
      <c r="D645" s="186"/>
      <c r="E645" s="186"/>
      <c r="F645" s="187"/>
      <c r="G645" s="141"/>
    </row>
    <row r="646" ht="15.75" customHeight="1">
      <c r="A646" s="130"/>
      <c r="B646" s="130"/>
      <c r="C646" s="184"/>
      <c r="D646" s="186"/>
      <c r="E646" s="186"/>
      <c r="F646" s="187"/>
      <c r="G646" s="141"/>
    </row>
    <row r="647" ht="15.75" customHeight="1">
      <c r="A647" s="130"/>
      <c r="B647" s="130"/>
      <c r="C647" s="184"/>
      <c r="D647" s="186"/>
      <c r="E647" s="186"/>
      <c r="F647" s="187"/>
      <c r="G647" s="141"/>
    </row>
    <row r="648" ht="15.75" customHeight="1">
      <c r="A648" s="130"/>
      <c r="B648" s="130"/>
      <c r="C648" s="184"/>
      <c r="D648" s="186"/>
      <c r="E648" s="186"/>
      <c r="F648" s="187"/>
      <c r="G648" s="141"/>
    </row>
    <row r="649" ht="15.75" customHeight="1">
      <c r="A649" s="130"/>
      <c r="B649" s="130"/>
      <c r="C649" s="184"/>
      <c r="D649" s="186"/>
      <c r="E649" s="186"/>
      <c r="F649" s="187"/>
      <c r="G649" s="141"/>
    </row>
    <row r="650" ht="15.75" customHeight="1">
      <c r="A650" s="130"/>
      <c r="B650" s="130"/>
      <c r="C650" s="184"/>
      <c r="D650" s="186"/>
      <c r="E650" s="186"/>
      <c r="F650" s="187"/>
      <c r="G650" s="141"/>
    </row>
    <row r="651" ht="15.75" customHeight="1">
      <c r="A651" s="130"/>
      <c r="B651" s="130"/>
      <c r="C651" s="184"/>
      <c r="D651" s="186"/>
      <c r="E651" s="186"/>
      <c r="F651" s="187"/>
      <c r="G651" s="141"/>
    </row>
    <row r="652" ht="15.75" customHeight="1">
      <c r="A652" s="130"/>
      <c r="B652" s="130"/>
      <c r="C652" s="184"/>
      <c r="D652" s="186"/>
      <c r="E652" s="186"/>
      <c r="F652" s="187"/>
      <c r="G652" s="141"/>
    </row>
    <row r="653" ht="15.75" customHeight="1">
      <c r="A653" s="130"/>
      <c r="B653" s="130"/>
      <c r="C653" s="184"/>
      <c r="D653" s="186"/>
      <c r="E653" s="186"/>
      <c r="F653" s="187"/>
      <c r="G653" s="141"/>
    </row>
    <row r="654" ht="15.75" customHeight="1">
      <c r="A654" s="130"/>
      <c r="B654" s="130"/>
      <c r="C654" s="184"/>
      <c r="D654" s="186"/>
      <c r="E654" s="186"/>
      <c r="F654" s="187"/>
      <c r="G654" s="141"/>
    </row>
    <row r="655" ht="15.75" customHeight="1">
      <c r="A655" s="130"/>
      <c r="B655" s="130"/>
      <c r="C655" s="184"/>
      <c r="D655" s="186"/>
      <c r="E655" s="186"/>
      <c r="F655" s="187"/>
      <c r="G655" s="141"/>
    </row>
    <row r="656" ht="15.75" customHeight="1">
      <c r="A656" s="130"/>
      <c r="B656" s="130"/>
      <c r="C656" s="184"/>
      <c r="D656" s="186"/>
      <c r="E656" s="186"/>
      <c r="F656" s="187"/>
      <c r="G656" s="141"/>
    </row>
    <row r="657" ht="15.75" customHeight="1">
      <c r="A657" s="130"/>
      <c r="B657" s="130"/>
      <c r="C657" s="184"/>
      <c r="D657" s="186"/>
      <c r="E657" s="186"/>
      <c r="F657" s="187"/>
      <c r="G657" s="141"/>
    </row>
    <row r="658" ht="15.75" customHeight="1">
      <c r="A658" s="130"/>
      <c r="B658" s="130"/>
      <c r="C658" s="184"/>
      <c r="D658" s="186"/>
      <c r="E658" s="186"/>
      <c r="F658" s="187"/>
      <c r="G658" s="141"/>
    </row>
    <row r="659" ht="15.75" customHeight="1">
      <c r="A659" s="130"/>
      <c r="B659" s="130"/>
      <c r="C659" s="184"/>
      <c r="D659" s="186"/>
      <c r="E659" s="186"/>
      <c r="F659" s="187"/>
      <c r="G659" s="141"/>
    </row>
    <row r="660" ht="15.75" customHeight="1">
      <c r="A660" s="130"/>
      <c r="B660" s="130"/>
      <c r="C660" s="184"/>
      <c r="D660" s="186"/>
      <c r="E660" s="186"/>
      <c r="F660" s="187"/>
      <c r="G660" s="141"/>
    </row>
    <row r="661" ht="15.75" customHeight="1">
      <c r="A661" s="130"/>
      <c r="B661" s="130"/>
      <c r="C661" s="184"/>
      <c r="D661" s="186"/>
      <c r="E661" s="186"/>
      <c r="F661" s="187"/>
      <c r="G661" s="141"/>
    </row>
    <row r="662" ht="15.75" customHeight="1">
      <c r="A662" s="130"/>
      <c r="B662" s="130"/>
      <c r="C662" s="184"/>
      <c r="D662" s="186"/>
      <c r="E662" s="186"/>
      <c r="F662" s="187"/>
      <c r="G662" s="141"/>
    </row>
    <row r="663" ht="15.75" customHeight="1">
      <c r="A663" s="130"/>
      <c r="B663" s="130"/>
      <c r="C663" s="184"/>
      <c r="D663" s="186"/>
      <c r="E663" s="186"/>
      <c r="F663" s="187"/>
      <c r="G663" s="141"/>
    </row>
    <row r="664" ht="15.75" customHeight="1">
      <c r="A664" s="130"/>
      <c r="B664" s="130"/>
      <c r="C664" s="184"/>
      <c r="D664" s="186"/>
      <c r="E664" s="186"/>
      <c r="F664" s="187"/>
      <c r="G664" s="141"/>
    </row>
    <row r="665" ht="15.75" customHeight="1">
      <c r="A665" s="130"/>
      <c r="B665" s="130"/>
      <c r="C665" s="184"/>
      <c r="D665" s="186"/>
      <c r="E665" s="186"/>
      <c r="F665" s="187"/>
      <c r="G665" s="141"/>
    </row>
    <row r="666" ht="15.75" customHeight="1">
      <c r="A666" s="130"/>
      <c r="B666" s="130"/>
      <c r="C666" s="184"/>
      <c r="D666" s="186"/>
      <c r="E666" s="186"/>
      <c r="F666" s="187"/>
      <c r="G666" s="141"/>
    </row>
    <row r="667" ht="15.75" customHeight="1">
      <c r="A667" s="130"/>
      <c r="B667" s="130"/>
      <c r="C667" s="184"/>
      <c r="D667" s="186"/>
      <c r="E667" s="186"/>
      <c r="F667" s="187"/>
      <c r="G667" s="141"/>
    </row>
    <row r="668" ht="15.75" customHeight="1">
      <c r="A668" s="130"/>
      <c r="B668" s="130"/>
      <c r="C668" s="184"/>
      <c r="D668" s="186"/>
      <c r="E668" s="186"/>
      <c r="F668" s="187"/>
      <c r="G668" s="141"/>
    </row>
    <row r="669" ht="15.75" customHeight="1">
      <c r="A669" s="130"/>
      <c r="B669" s="130"/>
      <c r="C669" s="184"/>
      <c r="D669" s="186"/>
      <c r="E669" s="186"/>
      <c r="F669" s="187"/>
      <c r="G669" s="141"/>
    </row>
    <row r="670" ht="15.75" customHeight="1">
      <c r="A670" s="130"/>
      <c r="B670" s="130"/>
      <c r="C670" s="184"/>
      <c r="D670" s="186"/>
      <c r="E670" s="186"/>
      <c r="F670" s="187"/>
      <c r="G670" s="141"/>
    </row>
    <row r="671" ht="15.75" customHeight="1">
      <c r="A671" s="130"/>
      <c r="B671" s="130"/>
      <c r="C671" s="184"/>
      <c r="D671" s="186"/>
      <c r="E671" s="186"/>
      <c r="F671" s="187"/>
      <c r="G671" s="141"/>
    </row>
    <row r="672" ht="15.75" customHeight="1">
      <c r="A672" s="130"/>
      <c r="B672" s="130"/>
      <c r="C672" s="184"/>
      <c r="D672" s="186"/>
      <c r="E672" s="186"/>
      <c r="F672" s="187"/>
      <c r="G672" s="141"/>
    </row>
    <row r="673" ht="15.75" customHeight="1">
      <c r="A673" s="130"/>
      <c r="B673" s="130"/>
      <c r="C673" s="184"/>
      <c r="D673" s="186"/>
      <c r="E673" s="186"/>
      <c r="F673" s="187"/>
      <c r="G673" s="141"/>
    </row>
    <row r="674" ht="15.75" customHeight="1">
      <c r="A674" s="130"/>
      <c r="B674" s="130"/>
      <c r="C674" s="184"/>
      <c r="D674" s="186"/>
      <c r="E674" s="186"/>
      <c r="F674" s="187"/>
      <c r="G674" s="141"/>
    </row>
    <row r="675" ht="15.75" customHeight="1">
      <c r="A675" s="130"/>
      <c r="B675" s="130"/>
      <c r="C675" s="184"/>
      <c r="D675" s="186"/>
      <c r="E675" s="186"/>
      <c r="F675" s="187"/>
      <c r="G675" s="141"/>
    </row>
    <row r="676" ht="15.75" customHeight="1">
      <c r="A676" s="130"/>
      <c r="B676" s="130"/>
      <c r="C676" s="184"/>
      <c r="D676" s="186"/>
      <c r="E676" s="186"/>
      <c r="F676" s="187"/>
      <c r="G676" s="141"/>
    </row>
    <row r="677" ht="15.75" customHeight="1">
      <c r="A677" s="130"/>
      <c r="B677" s="130"/>
      <c r="C677" s="184"/>
      <c r="D677" s="186"/>
      <c r="E677" s="186"/>
      <c r="F677" s="187"/>
      <c r="G677" s="141"/>
    </row>
    <row r="678" ht="15.75" customHeight="1">
      <c r="A678" s="130"/>
      <c r="B678" s="130"/>
      <c r="C678" s="184"/>
      <c r="D678" s="186"/>
      <c r="E678" s="186"/>
      <c r="F678" s="187"/>
      <c r="G678" s="141"/>
    </row>
    <row r="679" ht="15.75" customHeight="1">
      <c r="A679" s="130"/>
      <c r="B679" s="130"/>
      <c r="C679" s="184"/>
      <c r="D679" s="186"/>
      <c r="E679" s="186"/>
      <c r="F679" s="187"/>
      <c r="G679" s="141"/>
    </row>
    <row r="680" ht="15.75" customHeight="1">
      <c r="A680" s="130"/>
      <c r="B680" s="130"/>
      <c r="C680" s="184"/>
      <c r="D680" s="186"/>
      <c r="E680" s="186"/>
      <c r="F680" s="187"/>
      <c r="G680" s="141"/>
    </row>
    <row r="681" ht="15.75" customHeight="1">
      <c r="A681" s="130"/>
      <c r="B681" s="130"/>
      <c r="C681" s="184"/>
      <c r="D681" s="186"/>
      <c r="E681" s="186"/>
      <c r="F681" s="187"/>
      <c r="G681" s="141"/>
    </row>
    <row r="682" ht="15.75" customHeight="1">
      <c r="A682" s="130"/>
      <c r="B682" s="130"/>
      <c r="C682" s="184"/>
      <c r="D682" s="186"/>
      <c r="E682" s="186"/>
      <c r="F682" s="187"/>
      <c r="G682" s="141"/>
    </row>
    <row r="683" ht="15.75" customHeight="1">
      <c r="A683" s="130"/>
      <c r="B683" s="130"/>
      <c r="C683" s="184"/>
      <c r="D683" s="186"/>
      <c r="E683" s="186"/>
      <c r="F683" s="187"/>
      <c r="G683" s="141"/>
    </row>
    <row r="684" ht="15.75" customHeight="1">
      <c r="A684" s="130"/>
      <c r="B684" s="130"/>
      <c r="C684" s="184"/>
      <c r="D684" s="186"/>
      <c r="E684" s="186"/>
      <c r="F684" s="187"/>
      <c r="G684" s="141"/>
    </row>
    <row r="685" ht="15.75" customHeight="1">
      <c r="A685" s="130"/>
      <c r="B685" s="130"/>
      <c r="C685" s="184"/>
      <c r="D685" s="186"/>
      <c r="E685" s="186"/>
      <c r="F685" s="187"/>
      <c r="G685" s="141"/>
    </row>
    <row r="686" ht="15.75" customHeight="1">
      <c r="A686" s="130"/>
      <c r="B686" s="130"/>
      <c r="C686" s="184"/>
      <c r="D686" s="186"/>
      <c r="E686" s="186"/>
      <c r="F686" s="187"/>
      <c r="G686" s="141"/>
    </row>
    <row r="687" ht="15.75" customHeight="1">
      <c r="A687" s="130"/>
      <c r="B687" s="130"/>
      <c r="C687" s="184"/>
      <c r="D687" s="186"/>
      <c r="E687" s="186"/>
      <c r="F687" s="187"/>
      <c r="G687" s="141"/>
    </row>
    <row r="688" ht="15.75" customHeight="1">
      <c r="A688" s="130"/>
      <c r="B688" s="130"/>
      <c r="C688" s="184"/>
      <c r="D688" s="186"/>
      <c r="E688" s="186"/>
      <c r="F688" s="187"/>
      <c r="G688" s="141"/>
    </row>
    <row r="689" ht="15.75" customHeight="1">
      <c r="A689" s="130"/>
      <c r="B689" s="130"/>
      <c r="C689" s="184"/>
      <c r="D689" s="186"/>
      <c r="E689" s="186"/>
      <c r="F689" s="187"/>
      <c r="G689" s="141"/>
    </row>
    <row r="690" ht="15.75" customHeight="1">
      <c r="A690" s="130"/>
      <c r="B690" s="130"/>
      <c r="C690" s="184"/>
      <c r="D690" s="186"/>
      <c r="E690" s="186"/>
      <c r="F690" s="187"/>
      <c r="G690" s="141"/>
    </row>
    <row r="691" ht="15.75" customHeight="1">
      <c r="A691" s="130"/>
      <c r="B691" s="130"/>
      <c r="C691" s="184"/>
      <c r="D691" s="186"/>
      <c r="E691" s="186"/>
      <c r="F691" s="187"/>
      <c r="G691" s="141"/>
    </row>
    <row r="692" ht="15.75" customHeight="1">
      <c r="A692" s="130"/>
      <c r="B692" s="130"/>
      <c r="C692" s="184"/>
      <c r="D692" s="186"/>
      <c r="E692" s="186"/>
      <c r="F692" s="187"/>
      <c r="G692" s="141"/>
    </row>
    <row r="693" ht="15.75" customHeight="1">
      <c r="A693" s="130"/>
      <c r="B693" s="130"/>
      <c r="C693" s="184"/>
      <c r="D693" s="186"/>
      <c r="E693" s="186"/>
      <c r="F693" s="187"/>
      <c r="G693" s="141"/>
    </row>
    <row r="694" ht="15.75" customHeight="1">
      <c r="A694" s="130"/>
      <c r="B694" s="130"/>
      <c r="C694" s="184"/>
      <c r="D694" s="186"/>
      <c r="E694" s="186"/>
      <c r="F694" s="187"/>
      <c r="G694" s="141"/>
    </row>
    <row r="695" ht="15.75" customHeight="1">
      <c r="A695" s="130"/>
      <c r="B695" s="130"/>
      <c r="C695" s="184"/>
      <c r="D695" s="186"/>
      <c r="E695" s="186"/>
      <c r="F695" s="187"/>
      <c r="G695" s="141"/>
    </row>
    <row r="696" ht="15.75" customHeight="1">
      <c r="A696" s="130"/>
      <c r="B696" s="130"/>
      <c r="C696" s="184"/>
      <c r="D696" s="186"/>
      <c r="E696" s="186"/>
      <c r="F696" s="187"/>
      <c r="G696" s="141"/>
    </row>
    <row r="697" ht="15.75" customHeight="1">
      <c r="A697" s="130"/>
      <c r="B697" s="130"/>
      <c r="C697" s="184"/>
      <c r="D697" s="186"/>
      <c r="E697" s="186"/>
      <c r="F697" s="187"/>
      <c r="G697" s="141"/>
    </row>
    <row r="698" ht="15.75" customHeight="1">
      <c r="A698" s="130"/>
      <c r="B698" s="130"/>
      <c r="C698" s="184"/>
      <c r="D698" s="186"/>
      <c r="E698" s="186"/>
      <c r="F698" s="187"/>
      <c r="G698" s="141"/>
    </row>
    <row r="699" ht="15.75" customHeight="1">
      <c r="A699" s="130"/>
      <c r="B699" s="130"/>
      <c r="C699" s="184"/>
      <c r="D699" s="186"/>
      <c r="E699" s="186"/>
      <c r="F699" s="187"/>
      <c r="G699" s="141"/>
    </row>
    <row r="700" ht="15.75" customHeight="1">
      <c r="A700" s="130"/>
      <c r="B700" s="130"/>
      <c r="C700" s="184"/>
      <c r="D700" s="186"/>
      <c r="E700" s="186"/>
      <c r="F700" s="187"/>
      <c r="G700" s="141"/>
    </row>
    <row r="701" ht="15.75" customHeight="1">
      <c r="A701" s="130"/>
      <c r="B701" s="130"/>
      <c r="C701" s="184"/>
      <c r="D701" s="186"/>
      <c r="E701" s="186"/>
      <c r="F701" s="187"/>
      <c r="G701" s="141"/>
    </row>
    <row r="702" ht="15.75" customHeight="1">
      <c r="A702" s="130"/>
      <c r="B702" s="130"/>
      <c r="C702" s="184"/>
      <c r="D702" s="186"/>
      <c r="E702" s="186"/>
      <c r="F702" s="187"/>
      <c r="G702" s="141"/>
    </row>
    <row r="703" ht="15.75" customHeight="1">
      <c r="A703" s="130"/>
      <c r="B703" s="130"/>
      <c r="C703" s="184"/>
      <c r="D703" s="186"/>
      <c r="E703" s="186"/>
      <c r="F703" s="187"/>
      <c r="G703" s="141"/>
    </row>
    <row r="704" ht="15.75" customHeight="1">
      <c r="A704" s="130"/>
      <c r="B704" s="130"/>
      <c r="C704" s="184"/>
      <c r="D704" s="186"/>
      <c r="E704" s="186"/>
      <c r="F704" s="187"/>
      <c r="G704" s="141"/>
    </row>
    <row r="705" ht="15.75" customHeight="1">
      <c r="A705" s="130"/>
      <c r="B705" s="130"/>
      <c r="C705" s="184"/>
      <c r="D705" s="186"/>
      <c r="E705" s="186"/>
      <c r="F705" s="187"/>
      <c r="G705" s="141"/>
    </row>
    <row r="706" ht="15.75" customHeight="1">
      <c r="A706" s="130"/>
      <c r="B706" s="130"/>
      <c r="C706" s="184"/>
      <c r="D706" s="186"/>
      <c r="E706" s="186"/>
      <c r="F706" s="187"/>
      <c r="G706" s="141"/>
    </row>
    <row r="707" ht="15.75" customHeight="1">
      <c r="A707" s="130"/>
      <c r="B707" s="130"/>
      <c r="C707" s="184"/>
      <c r="D707" s="186"/>
      <c r="E707" s="186"/>
      <c r="F707" s="187"/>
      <c r="G707" s="141"/>
    </row>
    <row r="708" ht="15.75" customHeight="1">
      <c r="A708" s="130"/>
      <c r="B708" s="130"/>
      <c r="C708" s="184"/>
      <c r="D708" s="186"/>
      <c r="E708" s="186"/>
      <c r="F708" s="187"/>
      <c r="G708" s="141"/>
    </row>
    <row r="709" ht="15.75" customHeight="1">
      <c r="A709" s="130"/>
      <c r="B709" s="130"/>
      <c r="C709" s="184"/>
      <c r="D709" s="186"/>
      <c r="E709" s="186"/>
      <c r="F709" s="187"/>
      <c r="G709" s="141"/>
    </row>
    <row r="710" ht="15.75" customHeight="1">
      <c r="A710" s="130"/>
      <c r="B710" s="130"/>
      <c r="C710" s="184"/>
      <c r="D710" s="186"/>
      <c r="E710" s="186"/>
      <c r="F710" s="187"/>
      <c r="G710" s="141"/>
    </row>
    <row r="711" ht="15.75" customHeight="1">
      <c r="A711" s="130"/>
      <c r="B711" s="130"/>
      <c r="C711" s="184"/>
      <c r="D711" s="186"/>
      <c r="E711" s="186"/>
      <c r="F711" s="187"/>
      <c r="G711" s="141"/>
    </row>
    <row r="712" ht="15.75" customHeight="1">
      <c r="A712" s="130"/>
      <c r="B712" s="130"/>
      <c r="C712" s="184"/>
      <c r="D712" s="186"/>
      <c r="E712" s="186"/>
      <c r="F712" s="187"/>
      <c r="G712" s="141"/>
    </row>
    <row r="713" ht="15.75" customHeight="1">
      <c r="A713" s="130"/>
      <c r="B713" s="130"/>
      <c r="C713" s="184"/>
      <c r="D713" s="186"/>
      <c r="E713" s="186"/>
      <c r="F713" s="187"/>
      <c r="G713" s="141"/>
    </row>
    <row r="714" ht="15.75" customHeight="1">
      <c r="A714" s="130"/>
      <c r="B714" s="130"/>
      <c r="C714" s="184"/>
      <c r="D714" s="186"/>
      <c r="E714" s="186"/>
      <c r="F714" s="187"/>
      <c r="G714" s="141"/>
    </row>
    <row r="715" ht="15.75" customHeight="1">
      <c r="A715" s="130"/>
      <c r="B715" s="130"/>
      <c r="C715" s="184"/>
      <c r="D715" s="186"/>
      <c r="E715" s="186"/>
      <c r="F715" s="187"/>
      <c r="G715" s="141"/>
    </row>
    <row r="716" ht="15.75" customHeight="1">
      <c r="A716" s="130"/>
      <c r="B716" s="130"/>
      <c r="C716" s="184"/>
      <c r="D716" s="186"/>
      <c r="E716" s="186"/>
      <c r="F716" s="187"/>
      <c r="G716" s="141"/>
    </row>
    <row r="717" ht="15.75" customHeight="1">
      <c r="A717" s="130"/>
      <c r="B717" s="130"/>
      <c r="C717" s="184"/>
      <c r="D717" s="186"/>
      <c r="E717" s="186"/>
      <c r="F717" s="187"/>
      <c r="G717" s="141"/>
    </row>
    <row r="718" ht="15.75" customHeight="1">
      <c r="A718" s="130"/>
      <c r="B718" s="130"/>
      <c r="C718" s="184"/>
      <c r="D718" s="186"/>
      <c r="E718" s="186"/>
      <c r="F718" s="187"/>
      <c r="G718" s="141"/>
    </row>
    <row r="719" ht="15.75" customHeight="1">
      <c r="A719" s="130"/>
      <c r="B719" s="130"/>
      <c r="C719" s="184"/>
      <c r="D719" s="186"/>
      <c r="E719" s="186"/>
      <c r="F719" s="187"/>
      <c r="G719" s="141"/>
    </row>
    <row r="720" ht="15.75" customHeight="1">
      <c r="A720" s="130"/>
      <c r="B720" s="130"/>
      <c r="C720" s="184"/>
      <c r="D720" s="186"/>
      <c r="E720" s="186"/>
      <c r="F720" s="187"/>
      <c r="G720" s="141"/>
    </row>
    <row r="721" ht="15.75" customHeight="1">
      <c r="A721" s="130"/>
      <c r="B721" s="130"/>
      <c r="C721" s="184"/>
      <c r="D721" s="186"/>
      <c r="E721" s="186"/>
      <c r="F721" s="187"/>
      <c r="G721" s="141"/>
    </row>
    <row r="722" ht="15.75" customHeight="1">
      <c r="A722" s="130"/>
      <c r="B722" s="130"/>
      <c r="C722" s="184"/>
      <c r="D722" s="186"/>
      <c r="E722" s="186"/>
      <c r="F722" s="187"/>
      <c r="G722" s="141"/>
    </row>
    <row r="723" ht="15.75" customHeight="1">
      <c r="A723" s="130"/>
      <c r="B723" s="130"/>
      <c r="C723" s="184"/>
      <c r="D723" s="186"/>
      <c r="E723" s="186"/>
      <c r="F723" s="187"/>
      <c r="G723" s="141"/>
    </row>
    <row r="724" ht="15.75" customHeight="1">
      <c r="A724" s="130"/>
      <c r="B724" s="130"/>
      <c r="C724" s="184"/>
      <c r="D724" s="186"/>
      <c r="E724" s="186"/>
      <c r="F724" s="187"/>
      <c r="G724" s="141"/>
    </row>
    <row r="725" ht="15.75" customHeight="1">
      <c r="A725" s="130"/>
      <c r="B725" s="130"/>
      <c r="C725" s="184"/>
      <c r="D725" s="186"/>
      <c r="E725" s="186"/>
      <c r="F725" s="187"/>
      <c r="G725" s="141"/>
    </row>
    <row r="726" ht="15.75" customHeight="1">
      <c r="A726" s="130"/>
      <c r="B726" s="130"/>
      <c r="C726" s="184"/>
      <c r="D726" s="186"/>
      <c r="E726" s="186"/>
      <c r="F726" s="187"/>
      <c r="G726" s="141"/>
    </row>
    <row r="727" ht="15.75" customHeight="1">
      <c r="A727" s="130"/>
      <c r="B727" s="130"/>
      <c r="C727" s="184"/>
      <c r="D727" s="186"/>
      <c r="E727" s="186"/>
      <c r="F727" s="187"/>
      <c r="G727" s="141"/>
    </row>
    <row r="728" ht="15.75" customHeight="1">
      <c r="A728" s="130"/>
      <c r="B728" s="130"/>
      <c r="C728" s="184"/>
      <c r="D728" s="186"/>
      <c r="E728" s="186"/>
      <c r="F728" s="187"/>
      <c r="G728" s="141"/>
    </row>
    <row r="729" ht="15.75" customHeight="1">
      <c r="A729" s="130"/>
      <c r="B729" s="130"/>
      <c r="C729" s="184"/>
      <c r="D729" s="186"/>
      <c r="E729" s="186"/>
      <c r="F729" s="187"/>
      <c r="G729" s="141"/>
    </row>
    <row r="730" ht="15.75" customHeight="1">
      <c r="A730" s="130"/>
      <c r="B730" s="130"/>
      <c r="C730" s="184"/>
      <c r="D730" s="186"/>
      <c r="E730" s="186"/>
      <c r="F730" s="187"/>
      <c r="G730" s="141"/>
    </row>
    <row r="731" ht="15.75" customHeight="1">
      <c r="A731" s="130"/>
      <c r="B731" s="130"/>
      <c r="C731" s="184"/>
      <c r="D731" s="186"/>
      <c r="E731" s="186"/>
      <c r="F731" s="187"/>
      <c r="G731" s="141"/>
    </row>
    <row r="732" ht="15.75" customHeight="1">
      <c r="A732" s="130"/>
      <c r="B732" s="130"/>
      <c r="C732" s="184"/>
      <c r="D732" s="186"/>
      <c r="E732" s="186"/>
      <c r="F732" s="187"/>
      <c r="G732" s="141"/>
    </row>
    <row r="733" ht="15.75" customHeight="1">
      <c r="A733" s="130"/>
      <c r="B733" s="130"/>
      <c r="C733" s="184"/>
      <c r="D733" s="186"/>
      <c r="E733" s="186"/>
      <c r="F733" s="187"/>
      <c r="G733" s="141"/>
    </row>
    <row r="734" ht="15.75" customHeight="1">
      <c r="A734" s="130"/>
      <c r="B734" s="130"/>
      <c r="C734" s="184"/>
      <c r="D734" s="186"/>
      <c r="E734" s="186"/>
      <c r="F734" s="187"/>
      <c r="G734" s="141"/>
    </row>
    <row r="735" ht="15.75" customHeight="1">
      <c r="A735" s="130"/>
      <c r="B735" s="130"/>
      <c r="C735" s="184"/>
      <c r="D735" s="186"/>
      <c r="E735" s="186"/>
      <c r="F735" s="187"/>
      <c r="G735" s="141"/>
    </row>
    <row r="736" ht="15.75" customHeight="1">
      <c r="A736" s="130"/>
      <c r="B736" s="130"/>
      <c r="C736" s="184"/>
      <c r="D736" s="186"/>
      <c r="E736" s="186"/>
      <c r="F736" s="187"/>
      <c r="G736" s="141"/>
    </row>
    <row r="737" ht="15.75" customHeight="1">
      <c r="A737" s="130"/>
      <c r="B737" s="130"/>
      <c r="C737" s="184"/>
      <c r="D737" s="186"/>
      <c r="E737" s="186"/>
      <c r="F737" s="187"/>
      <c r="G737" s="141"/>
    </row>
    <row r="738" ht="15.75" customHeight="1">
      <c r="A738" s="130"/>
      <c r="B738" s="130"/>
      <c r="C738" s="184"/>
      <c r="D738" s="186"/>
      <c r="E738" s="186"/>
      <c r="F738" s="187"/>
      <c r="G738" s="141"/>
    </row>
    <row r="739" ht="15.75" customHeight="1">
      <c r="A739" s="130"/>
      <c r="B739" s="130"/>
      <c r="C739" s="184"/>
      <c r="D739" s="186"/>
      <c r="E739" s="186"/>
      <c r="F739" s="187"/>
      <c r="G739" s="141"/>
    </row>
    <row r="740" ht="15.75" customHeight="1">
      <c r="A740" s="130"/>
      <c r="B740" s="130"/>
      <c r="C740" s="184"/>
      <c r="D740" s="186"/>
      <c r="E740" s="186"/>
      <c r="F740" s="187"/>
      <c r="G740" s="141"/>
    </row>
    <row r="741" ht="15.75" customHeight="1">
      <c r="A741" s="130"/>
      <c r="B741" s="130"/>
      <c r="C741" s="184"/>
      <c r="D741" s="186"/>
      <c r="E741" s="186"/>
      <c r="F741" s="187"/>
      <c r="G741" s="141"/>
    </row>
    <row r="742" ht="15.75" customHeight="1">
      <c r="A742" s="130"/>
      <c r="B742" s="130"/>
      <c r="C742" s="184"/>
      <c r="D742" s="186"/>
      <c r="E742" s="186"/>
      <c r="F742" s="187"/>
      <c r="G742" s="141"/>
    </row>
    <row r="743" ht="15.75" customHeight="1">
      <c r="A743" s="130"/>
      <c r="B743" s="130"/>
      <c r="C743" s="184"/>
      <c r="D743" s="186"/>
      <c r="E743" s="186"/>
      <c r="F743" s="187"/>
      <c r="G743" s="141"/>
    </row>
    <row r="744" ht="15.75" customHeight="1">
      <c r="A744" s="130"/>
      <c r="B744" s="130"/>
      <c r="C744" s="184"/>
      <c r="D744" s="186"/>
      <c r="E744" s="186"/>
      <c r="F744" s="187"/>
      <c r="G744" s="141"/>
    </row>
    <row r="745" ht="15.75" customHeight="1">
      <c r="A745" s="130"/>
      <c r="B745" s="130"/>
      <c r="C745" s="184"/>
      <c r="D745" s="186"/>
      <c r="E745" s="186"/>
      <c r="F745" s="187"/>
      <c r="G745" s="141"/>
    </row>
    <row r="746" ht="15.75" customHeight="1">
      <c r="A746" s="130"/>
      <c r="B746" s="130"/>
      <c r="C746" s="184"/>
      <c r="D746" s="186"/>
      <c r="E746" s="186"/>
      <c r="F746" s="187"/>
      <c r="G746" s="141"/>
    </row>
    <row r="747" ht="15.75" customHeight="1">
      <c r="A747" s="130"/>
      <c r="B747" s="130"/>
      <c r="C747" s="184"/>
      <c r="D747" s="186"/>
      <c r="E747" s="186"/>
      <c r="F747" s="187"/>
      <c r="G747" s="141"/>
    </row>
    <row r="748" ht="15.75" customHeight="1">
      <c r="A748" s="130"/>
      <c r="B748" s="130"/>
      <c r="C748" s="184"/>
      <c r="D748" s="186"/>
      <c r="E748" s="186"/>
      <c r="F748" s="187"/>
      <c r="G748" s="141"/>
    </row>
    <row r="749" ht="15.75" customHeight="1">
      <c r="A749" s="130"/>
      <c r="B749" s="130"/>
      <c r="C749" s="184"/>
      <c r="D749" s="186"/>
      <c r="E749" s="186"/>
      <c r="F749" s="187"/>
      <c r="G749" s="141"/>
    </row>
    <row r="750" ht="15.75" customHeight="1">
      <c r="A750" s="130"/>
      <c r="B750" s="130"/>
      <c r="C750" s="184"/>
      <c r="D750" s="186"/>
      <c r="E750" s="186"/>
      <c r="F750" s="187"/>
      <c r="G750" s="141"/>
    </row>
    <row r="751" ht="15.75" customHeight="1">
      <c r="A751" s="130"/>
      <c r="B751" s="130"/>
      <c r="C751" s="184"/>
      <c r="D751" s="186"/>
      <c r="E751" s="186"/>
      <c r="F751" s="187"/>
      <c r="G751" s="141"/>
    </row>
    <row r="752" ht="15.75" customHeight="1">
      <c r="A752" s="130"/>
      <c r="B752" s="130"/>
      <c r="C752" s="184"/>
      <c r="D752" s="186"/>
      <c r="E752" s="186"/>
      <c r="F752" s="187"/>
      <c r="G752" s="141"/>
    </row>
    <row r="753" ht="15.75" customHeight="1">
      <c r="A753" s="130"/>
      <c r="B753" s="130"/>
      <c r="C753" s="184"/>
      <c r="D753" s="186"/>
      <c r="E753" s="186"/>
      <c r="F753" s="187"/>
      <c r="G753" s="141"/>
    </row>
    <row r="754" ht="15.75" customHeight="1">
      <c r="A754" s="130"/>
      <c r="B754" s="130"/>
      <c r="C754" s="184"/>
      <c r="D754" s="186"/>
      <c r="E754" s="186"/>
      <c r="F754" s="187"/>
      <c r="G754" s="141"/>
    </row>
    <row r="755" ht="15.75" customHeight="1">
      <c r="A755" s="130"/>
      <c r="B755" s="130"/>
      <c r="C755" s="184"/>
      <c r="D755" s="186"/>
      <c r="E755" s="186"/>
      <c r="F755" s="187"/>
      <c r="G755" s="141"/>
    </row>
    <row r="756" ht="15.75" customHeight="1">
      <c r="A756" s="130"/>
      <c r="B756" s="130"/>
      <c r="C756" s="184"/>
      <c r="D756" s="186"/>
      <c r="E756" s="186"/>
      <c r="F756" s="187"/>
      <c r="G756" s="141"/>
    </row>
    <row r="757" ht="15.75" customHeight="1">
      <c r="A757" s="130"/>
      <c r="B757" s="130"/>
      <c r="C757" s="184"/>
      <c r="D757" s="186"/>
      <c r="E757" s="186"/>
      <c r="F757" s="187"/>
      <c r="G757" s="141"/>
    </row>
    <row r="758" ht="15.75" customHeight="1">
      <c r="A758" s="130"/>
      <c r="B758" s="130"/>
      <c r="C758" s="184"/>
      <c r="D758" s="186"/>
      <c r="E758" s="186"/>
      <c r="F758" s="187"/>
      <c r="G758" s="141"/>
    </row>
    <row r="759" ht="15.75" customHeight="1">
      <c r="A759" s="130"/>
      <c r="B759" s="130"/>
      <c r="C759" s="184"/>
      <c r="D759" s="186"/>
      <c r="E759" s="186"/>
      <c r="F759" s="187"/>
      <c r="G759" s="141"/>
    </row>
    <row r="760" ht="15.75" customHeight="1">
      <c r="A760" s="130"/>
      <c r="B760" s="130"/>
      <c r="C760" s="184"/>
      <c r="D760" s="186"/>
      <c r="E760" s="186"/>
      <c r="F760" s="187"/>
      <c r="G760" s="141"/>
    </row>
    <row r="761" ht="15.75" customHeight="1">
      <c r="A761" s="130"/>
      <c r="B761" s="130"/>
      <c r="C761" s="184"/>
      <c r="D761" s="186"/>
      <c r="E761" s="186"/>
      <c r="F761" s="187"/>
      <c r="G761" s="141"/>
    </row>
    <row r="762" ht="15.75" customHeight="1">
      <c r="A762" s="130"/>
      <c r="B762" s="130"/>
      <c r="C762" s="184"/>
      <c r="D762" s="186"/>
      <c r="E762" s="186"/>
      <c r="F762" s="187"/>
      <c r="G762" s="141"/>
    </row>
    <row r="763" ht="15.75" customHeight="1">
      <c r="A763" s="130"/>
      <c r="B763" s="130"/>
      <c r="C763" s="184"/>
      <c r="D763" s="186"/>
      <c r="E763" s="186"/>
      <c r="F763" s="187"/>
      <c r="G763" s="141"/>
    </row>
    <row r="764" ht="15.75" customHeight="1">
      <c r="A764" s="130"/>
      <c r="B764" s="130"/>
      <c r="C764" s="184"/>
      <c r="D764" s="186"/>
      <c r="E764" s="186"/>
      <c r="F764" s="187"/>
      <c r="G764" s="141"/>
    </row>
    <row r="765" ht="15.75" customHeight="1">
      <c r="A765" s="130"/>
      <c r="B765" s="130"/>
      <c r="C765" s="184"/>
      <c r="D765" s="186"/>
      <c r="E765" s="186"/>
      <c r="F765" s="187"/>
      <c r="G765" s="141"/>
    </row>
    <row r="766" ht="15.75" customHeight="1">
      <c r="A766" s="130"/>
      <c r="B766" s="130"/>
      <c r="C766" s="184"/>
      <c r="D766" s="186"/>
      <c r="E766" s="186"/>
      <c r="F766" s="187"/>
      <c r="G766" s="141"/>
    </row>
    <row r="767" ht="15.75" customHeight="1">
      <c r="A767" s="130"/>
      <c r="B767" s="130"/>
      <c r="C767" s="184"/>
      <c r="D767" s="186"/>
      <c r="E767" s="186"/>
      <c r="F767" s="187"/>
      <c r="G767" s="141"/>
    </row>
    <row r="768" ht="15.75" customHeight="1">
      <c r="A768" s="130"/>
      <c r="B768" s="130"/>
      <c r="C768" s="184"/>
      <c r="D768" s="186"/>
      <c r="E768" s="186"/>
      <c r="F768" s="187"/>
      <c r="G768" s="141"/>
    </row>
    <row r="769" ht="15.75" customHeight="1">
      <c r="A769" s="130"/>
      <c r="B769" s="130"/>
      <c r="C769" s="184"/>
      <c r="D769" s="186"/>
      <c r="E769" s="186"/>
      <c r="F769" s="187"/>
      <c r="G769" s="141"/>
    </row>
    <row r="770" ht="15.75" customHeight="1">
      <c r="A770" s="130"/>
      <c r="B770" s="130"/>
      <c r="C770" s="184"/>
      <c r="D770" s="186"/>
      <c r="E770" s="186"/>
      <c r="F770" s="187"/>
      <c r="G770" s="141"/>
    </row>
    <row r="771" ht="15.75" customHeight="1">
      <c r="A771" s="130"/>
      <c r="B771" s="130"/>
      <c r="C771" s="184"/>
      <c r="D771" s="186"/>
      <c r="E771" s="186"/>
      <c r="F771" s="187"/>
      <c r="G771" s="141"/>
    </row>
    <row r="772" ht="15.75" customHeight="1">
      <c r="A772" s="130"/>
      <c r="B772" s="130"/>
      <c r="C772" s="184"/>
      <c r="D772" s="186"/>
      <c r="E772" s="186"/>
      <c r="F772" s="187"/>
      <c r="G772" s="141"/>
    </row>
    <row r="773" ht="15.75" customHeight="1">
      <c r="A773" s="130"/>
      <c r="B773" s="130"/>
      <c r="C773" s="184"/>
      <c r="D773" s="186"/>
      <c r="E773" s="186"/>
      <c r="F773" s="187"/>
      <c r="G773" s="141"/>
    </row>
    <row r="774" ht="15.75" customHeight="1">
      <c r="A774" s="130"/>
      <c r="B774" s="130"/>
      <c r="C774" s="184"/>
      <c r="D774" s="186"/>
      <c r="E774" s="186"/>
      <c r="F774" s="187"/>
      <c r="G774" s="141"/>
    </row>
    <row r="775" ht="15.75" customHeight="1">
      <c r="A775" s="130"/>
      <c r="B775" s="130"/>
      <c r="C775" s="184"/>
      <c r="D775" s="186"/>
      <c r="E775" s="186"/>
      <c r="F775" s="187"/>
      <c r="G775" s="141"/>
    </row>
    <row r="776" ht="15.75" customHeight="1">
      <c r="A776" s="130"/>
      <c r="B776" s="130"/>
      <c r="C776" s="184"/>
      <c r="D776" s="186"/>
      <c r="E776" s="186"/>
      <c r="F776" s="187"/>
      <c r="G776" s="141"/>
    </row>
    <row r="777" ht="15.75" customHeight="1">
      <c r="A777" s="130"/>
      <c r="B777" s="130"/>
      <c r="C777" s="184"/>
      <c r="D777" s="186"/>
      <c r="E777" s="186"/>
      <c r="F777" s="187"/>
      <c r="G777" s="141"/>
    </row>
    <row r="778" ht="15.75" customHeight="1">
      <c r="A778" s="130"/>
      <c r="B778" s="130"/>
      <c r="C778" s="184"/>
      <c r="D778" s="186"/>
      <c r="E778" s="186"/>
      <c r="F778" s="187"/>
      <c r="G778" s="141"/>
    </row>
    <row r="779" ht="15.75" customHeight="1">
      <c r="A779" s="130"/>
      <c r="B779" s="130"/>
      <c r="C779" s="184"/>
      <c r="D779" s="186"/>
      <c r="E779" s="186"/>
      <c r="F779" s="187"/>
      <c r="G779" s="141"/>
    </row>
    <row r="780" ht="15.75" customHeight="1">
      <c r="A780" s="130"/>
      <c r="B780" s="130"/>
      <c r="C780" s="184"/>
      <c r="D780" s="186"/>
      <c r="E780" s="186"/>
      <c r="F780" s="187"/>
      <c r="G780" s="141"/>
    </row>
    <row r="781" ht="15.75" customHeight="1">
      <c r="A781" s="130"/>
      <c r="B781" s="130"/>
      <c r="C781" s="184"/>
      <c r="D781" s="186"/>
      <c r="E781" s="186"/>
      <c r="F781" s="187"/>
      <c r="G781" s="141"/>
    </row>
    <row r="782" ht="15.75" customHeight="1">
      <c r="A782" s="130"/>
      <c r="B782" s="130"/>
      <c r="C782" s="184"/>
      <c r="D782" s="186"/>
      <c r="E782" s="186"/>
      <c r="F782" s="187"/>
      <c r="G782" s="141"/>
    </row>
    <row r="783" ht="15.75" customHeight="1">
      <c r="A783" s="130"/>
      <c r="B783" s="130"/>
      <c r="C783" s="184"/>
      <c r="D783" s="186"/>
      <c r="E783" s="186"/>
      <c r="F783" s="187"/>
      <c r="G783" s="141"/>
    </row>
    <row r="784" ht="15.75" customHeight="1">
      <c r="A784" s="130"/>
      <c r="B784" s="130"/>
      <c r="C784" s="184"/>
      <c r="D784" s="186"/>
      <c r="E784" s="186"/>
      <c r="F784" s="187"/>
      <c r="G784" s="141"/>
    </row>
    <row r="785" ht="15.75" customHeight="1">
      <c r="A785" s="130"/>
      <c r="B785" s="130"/>
      <c r="C785" s="184"/>
      <c r="D785" s="186"/>
      <c r="E785" s="186"/>
      <c r="F785" s="187"/>
      <c r="G785" s="141"/>
    </row>
    <row r="786" ht="15.75" customHeight="1">
      <c r="A786" s="130"/>
      <c r="B786" s="130"/>
      <c r="C786" s="184"/>
      <c r="D786" s="186"/>
      <c r="E786" s="186"/>
      <c r="F786" s="187"/>
      <c r="G786" s="141"/>
    </row>
    <row r="787" ht="15.75" customHeight="1">
      <c r="A787" s="130"/>
      <c r="B787" s="130"/>
      <c r="C787" s="184"/>
      <c r="D787" s="186"/>
      <c r="E787" s="186"/>
      <c r="F787" s="187"/>
      <c r="G787" s="141"/>
    </row>
    <row r="788" ht="15.75" customHeight="1">
      <c r="A788" s="130"/>
      <c r="B788" s="130"/>
      <c r="C788" s="184"/>
      <c r="D788" s="186"/>
      <c r="E788" s="186"/>
      <c r="F788" s="187"/>
      <c r="G788" s="141"/>
    </row>
    <row r="789" ht="15.75" customHeight="1">
      <c r="A789" s="130"/>
      <c r="B789" s="130"/>
      <c r="C789" s="184"/>
      <c r="D789" s="186"/>
      <c r="E789" s="186"/>
      <c r="F789" s="187"/>
      <c r="G789" s="141"/>
    </row>
    <row r="790" ht="15.75" customHeight="1">
      <c r="A790" s="130"/>
      <c r="B790" s="130"/>
      <c r="C790" s="184"/>
      <c r="D790" s="186"/>
      <c r="E790" s="186"/>
      <c r="F790" s="187"/>
      <c r="G790" s="141"/>
    </row>
    <row r="791" ht="15.75" customHeight="1">
      <c r="A791" s="130"/>
      <c r="B791" s="130"/>
      <c r="C791" s="184"/>
      <c r="D791" s="186"/>
      <c r="E791" s="186"/>
      <c r="F791" s="187"/>
      <c r="G791" s="141"/>
    </row>
    <row r="792" ht="15.75" customHeight="1">
      <c r="A792" s="130"/>
      <c r="B792" s="130"/>
      <c r="C792" s="184"/>
      <c r="D792" s="186"/>
      <c r="E792" s="186"/>
      <c r="F792" s="187"/>
      <c r="G792" s="141"/>
    </row>
    <row r="793" ht="15.75" customHeight="1">
      <c r="A793" s="130"/>
      <c r="B793" s="130"/>
      <c r="C793" s="184"/>
      <c r="D793" s="186"/>
      <c r="E793" s="186"/>
      <c r="F793" s="187"/>
      <c r="G793" s="141"/>
    </row>
    <row r="794" ht="15.75" customHeight="1">
      <c r="A794" s="130"/>
      <c r="B794" s="130"/>
      <c r="C794" s="184"/>
      <c r="D794" s="186"/>
      <c r="E794" s="186"/>
      <c r="F794" s="187"/>
      <c r="G794" s="141"/>
    </row>
    <row r="795" ht="15.75" customHeight="1">
      <c r="A795" s="130"/>
      <c r="B795" s="130"/>
      <c r="C795" s="184"/>
      <c r="D795" s="186"/>
      <c r="E795" s="186"/>
      <c r="F795" s="187"/>
      <c r="G795" s="141"/>
    </row>
    <row r="796" ht="15.75" customHeight="1">
      <c r="A796" s="130"/>
      <c r="B796" s="130"/>
      <c r="C796" s="184"/>
      <c r="D796" s="186"/>
      <c r="E796" s="186"/>
      <c r="F796" s="187"/>
      <c r="G796" s="141"/>
    </row>
    <row r="797" ht="15.75" customHeight="1">
      <c r="A797" s="130"/>
      <c r="B797" s="130"/>
      <c r="C797" s="184"/>
      <c r="D797" s="186"/>
      <c r="E797" s="186"/>
      <c r="F797" s="187"/>
      <c r="G797" s="141"/>
    </row>
    <row r="798" ht="15.75" customHeight="1">
      <c r="A798" s="130"/>
      <c r="B798" s="130"/>
      <c r="C798" s="184"/>
      <c r="D798" s="186"/>
      <c r="E798" s="186"/>
      <c r="F798" s="187"/>
      <c r="G798" s="141"/>
    </row>
    <row r="799" ht="15.75" customHeight="1">
      <c r="A799" s="130"/>
      <c r="B799" s="130"/>
      <c r="C799" s="184"/>
      <c r="D799" s="186"/>
      <c r="E799" s="186"/>
      <c r="F799" s="187"/>
      <c r="G799" s="141"/>
    </row>
    <row r="800" ht="15.75" customHeight="1">
      <c r="A800" s="130"/>
      <c r="B800" s="130"/>
      <c r="C800" s="184"/>
      <c r="D800" s="186"/>
      <c r="E800" s="186"/>
      <c r="F800" s="187"/>
      <c r="G800" s="141"/>
    </row>
    <row r="801" ht="15.75" customHeight="1">
      <c r="A801" s="130"/>
      <c r="B801" s="130"/>
      <c r="C801" s="184"/>
      <c r="D801" s="186"/>
      <c r="E801" s="186"/>
      <c r="F801" s="187"/>
      <c r="G801" s="141"/>
    </row>
    <row r="802" ht="15.75" customHeight="1">
      <c r="A802" s="130"/>
      <c r="B802" s="130"/>
      <c r="C802" s="184"/>
      <c r="D802" s="186"/>
      <c r="E802" s="186"/>
      <c r="F802" s="187"/>
      <c r="G802" s="141"/>
    </row>
    <row r="803" ht="15.75" customHeight="1">
      <c r="A803" s="130"/>
      <c r="B803" s="130"/>
      <c r="C803" s="184"/>
      <c r="D803" s="186"/>
      <c r="E803" s="186"/>
      <c r="F803" s="187"/>
      <c r="G803" s="141"/>
    </row>
    <row r="804" ht="15.75" customHeight="1">
      <c r="A804" s="130"/>
      <c r="B804" s="130"/>
      <c r="C804" s="184"/>
      <c r="D804" s="186"/>
      <c r="E804" s="186"/>
      <c r="F804" s="187"/>
      <c r="G804" s="141"/>
    </row>
    <row r="805" ht="15.75" customHeight="1">
      <c r="A805" s="130"/>
      <c r="B805" s="130"/>
      <c r="C805" s="184"/>
      <c r="D805" s="186"/>
      <c r="E805" s="186"/>
      <c r="F805" s="187"/>
      <c r="G805" s="141"/>
    </row>
    <row r="806" ht="15.75" customHeight="1">
      <c r="A806" s="130"/>
      <c r="B806" s="130"/>
      <c r="C806" s="184"/>
      <c r="D806" s="186"/>
      <c r="E806" s="186"/>
      <c r="F806" s="187"/>
      <c r="G806" s="141"/>
    </row>
    <row r="807" ht="15.75" customHeight="1">
      <c r="A807" s="130"/>
      <c r="B807" s="130"/>
      <c r="C807" s="184"/>
      <c r="D807" s="186"/>
      <c r="E807" s="186"/>
      <c r="F807" s="187"/>
      <c r="G807" s="141"/>
    </row>
    <row r="808" ht="15.75" customHeight="1">
      <c r="A808" s="130"/>
      <c r="B808" s="130"/>
      <c r="C808" s="184"/>
      <c r="D808" s="186"/>
      <c r="E808" s="186"/>
      <c r="F808" s="187"/>
      <c r="G808" s="141"/>
    </row>
    <row r="809" ht="15.75" customHeight="1">
      <c r="A809" s="130"/>
      <c r="B809" s="130"/>
      <c r="C809" s="184"/>
      <c r="D809" s="186"/>
      <c r="E809" s="186"/>
      <c r="F809" s="187"/>
      <c r="G809" s="141"/>
    </row>
    <row r="810" ht="15.75" customHeight="1">
      <c r="A810" s="130"/>
      <c r="B810" s="130"/>
      <c r="C810" s="184"/>
      <c r="D810" s="186"/>
      <c r="E810" s="186"/>
      <c r="F810" s="187"/>
      <c r="G810" s="141"/>
    </row>
    <row r="811" ht="15.75" customHeight="1">
      <c r="A811" s="130"/>
      <c r="B811" s="130"/>
      <c r="C811" s="184"/>
      <c r="D811" s="186"/>
      <c r="E811" s="186"/>
      <c r="F811" s="187"/>
      <c r="G811" s="141"/>
    </row>
    <row r="812" ht="15.75" customHeight="1">
      <c r="A812" s="130"/>
      <c r="B812" s="130"/>
      <c r="C812" s="184"/>
      <c r="D812" s="186"/>
      <c r="E812" s="186"/>
      <c r="F812" s="187"/>
      <c r="G812" s="141"/>
    </row>
    <row r="813" ht="15.75" customHeight="1">
      <c r="A813" s="130"/>
      <c r="B813" s="130"/>
      <c r="C813" s="184"/>
      <c r="D813" s="186"/>
      <c r="E813" s="186"/>
      <c r="F813" s="187"/>
      <c r="G813" s="141"/>
    </row>
    <row r="814" ht="15.75" customHeight="1">
      <c r="A814" s="130"/>
      <c r="B814" s="130"/>
      <c r="C814" s="184"/>
      <c r="D814" s="186"/>
      <c r="E814" s="186"/>
      <c r="F814" s="187"/>
      <c r="G814" s="141"/>
    </row>
    <row r="815" ht="15.75" customHeight="1">
      <c r="A815" s="130"/>
      <c r="B815" s="130"/>
      <c r="C815" s="184"/>
      <c r="D815" s="186"/>
      <c r="E815" s="186"/>
      <c r="F815" s="187"/>
      <c r="G815" s="141"/>
    </row>
    <row r="816" ht="15.75" customHeight="1">
      <c r="A816" s="130"/>
      <c r="B816" s="130"/>
      <c r="C816" s="184"/>
      <c r="D816" s="186"/>
      <c r="E816" s="186"/>
      <c r="F816" s="187"/>
      <c r="G816" s="141"/>
    </row>
    <row r="817" ht="15.75" customHeight="1">
      <c r="A817" s="130"/>
      <c r="B817" s="130"/>
      <c r="C817" s="184"/>
      <c r="D817" s="186"/>
      <c r="E817" s="186"/>
      <c r="F817" s="187"/>
      <c r="G817" s="141"/>
    </row>
    <row r="818" ht="15.75" customHeight="1">
      <c r="A818" s="130"/>
      <c r="B818" s="130"/>
      <c r="C818" s="184"/>
      <c r="D818" s="186"/>
      <c r="E818" s="186"/>
      <c r="F818" s="187"/>
      <c r="G818" s="141"/>
    </row>
    <row r="819" ht="15.75" customHeight="1">
      <c r="A819" s="130"/>
      <c r="B819" s="130"/>
      <c r="C819" s="184"/>
      <c r="D819" s="186"/>
      <c r="E819" s="186"/>
      <c r="F819" s="187"/>
      <c r="G819" s="141"/>
    </row>
    <row r="820" ht="15.75" customHeight="1">
      <c r="A820" s="130"/>
      <c r="B820" s="130"/>
      <c r="C820" s="184"/>
      <c r="D820" s="186"/>
      <c r="E820" s="186"/>
      <c r="F820" s="187"/>
      <c r="G820" s="141"/>
    </row>
    <row r="821" ht="15.75" customHeight="1">
      <c r="A821" s="130"/>
      <c r="B821" s="130"/>
      <c r="C821" s="184"/>
      <c r="D821" s="186"/>
      <c r="E821" s="186"/>
      <c r="F821" s="187"/>
      <c r="G821" s="141"/>
    </row>
    <row r="822" ht="15.75" customHeight="1">
      <c r="A822" s="130"/>
      <c r="B822" s="130"/>
      <c r="C822" s="184"/>
      <c r="D822" s="186"/>
      <c r="E822" s="186"/>
      <c r="F822" s="187"/>
      <c r="G822" s="141"/>
    </row>
    <row r="823" ht="15.75" customHeight="1">
      <c r="A823" s="130"/>
      <c r="B823" s="130"/>
      <c r="C823" s="184"/>
      <c r="D823" s="186"/>
      <c r="E823" s="186"/>
      <c r="F823" s="187"/>
      <c r="G823" s="141"/>
    </row>
    <row r="824" ht="15.75" customHeight="1">
      <c r="A824" s="130"/>
      <c r="B824" s="130"/>
      <c r="C824" s="184"/>
      <c r="D824" s="186"/>
      <c r="E824" s="186"/>
      <c r="F824" s="187"/>
      <c r="G824" s="141"/>
    </row>
    <row r="825" ht="15.75" customHeight="1">
      <c r="A825" s="130"/>
      <c r="B825" s="130"/>
      <c r="C825" s="184"/>
      <c r="D825" s="186"/>
      <c r="E825" s="186"/>
      <c r="F825" s="187"/>
      <c r="G825" s="141"/>
    </row>
    <row r="826" ht="15.75" customHeight="1">
      <c r="A826" s="130"/>
      <c r="B826" s="130"/>
      <c r="C826" s="184"/>
      <c r="D826" s="186"/>
      <c r="E826" s="186"/>
      <c r="F826" s="187"/>
      <c r="G826" s="141"/>
    </row>
    <row r="827" ht="15.75" customHeight="1">
      <c r="A827" s="130"/>
      <c r="B827" s="130"/>
      <c r="C827" s="184"/>
      <c r="D827" s="186"/>
      <c r="E827" s="186"/>
      <c r="F827" s="187"/>
      <c r="G827" s="141"/>
    </row>
    <row r="828" ht="15.75" customHeight="1">
      <c r="A828" s="130"/>
      <c r="B828" s="130"/>
      <c r="C828" s="184"/>
      <c r="D828" s="186"/>
      <c r="E828" s="186"/>
      <c r="F828" s="187"/>
      <c r="G828" s="141"/>
    </row>
    <row r="829" ht="15.75" customHeight="1">
      <c r="A829" s="130"/>
      <c r="B829" s="130"/>
      <c r="C829" s="184"/>
      <c r="D829" s="186"/>
      <c r="E829" s="186"/>
      <c r="F829" s="187"/>
      <c r="G829" s="141"/>
    </row>
    <row r="830" ht="15.75" customHeight="1">
      <c r="A830" s="130"/>
      <c r="B830" s="130"/>
      <c r="C830" s="184"/>
      <c r="D830" s="186"/>
      <c r="E830" s="186"/>
      <c r="F830" s="187"/>
      <c r="G830" s="141"/>
    </row>
    <row r="831" ht="15.75" customHeight="1">
      <c r="A831" s="130"/>
      <c r="B831" s="130"/>
      <c r="C831" s="184"/>
      <c r="D831" s="186"/>
      <c r="E831" s="186"/>
      <c r="F831" s="187"/>
      <c r="G831" s="141"/>
    </row>
    <row r="832" ht="15.75" customHeight="1">
      <c r="A832" s="130"/>
      <c r="B832" s="130"/>
      <c r="C832" s="184"/>
      <c r="D832" s="186"/>
      <c r="E832" s="186"/>
      <c r="F832" s="187"/>
      <c r="G832" s="141"/>
    </row>
    <row r="833" ht="15.75" customHeight="1">
      <c r="A833" s="130"/>
      <c r="B833" s="130"/>
      <c r="C833" s="184"/>
      <c r="D833" s="186"/>
      <c r="E833" s="186"/>
      <c r="F833" s="187"/>
      <c r="G833" s="141"/>
    </row>
    <row r="834" ht="15.75" customHeight="1">
      <c r="A834" s="130"/>
      <c r="B834" s="130"/>
      <c r="C834" s="184"/>
      <c r="D834" s="186"/>
      <c r="E834" s="186"/>
      <c r="F834" s="187"/>
      <c r="G834" s="141"/>
    </row>
    <row r="835" ht="15.75" customHeight="1">
      <c r="A835" s="130"/>
      <c r="B835" s="130"/>
      <c r="C835" s="184"/>
      <c r="D835" s="186"/>
      <c r="E835" s="186"/>
      <c r="F835" s="187"/>
      <c r="G835" s="141"/>
    </row>
    <row r="836" ht="15.75" customHeight="1">
      <c r="A836" s="130"/>
      <c r="B836" s="130"/>
      <c r="C836" s="184"/>
      <c r="D836" s="186"/>
      <c r="E836" s="186"/>
      <c r="F836" s="187"/>
      <c r="G836" s="141"/>
    </row>
    <row r="837" ht="15.75" customHeight="1">
      <c r="A837" s="130"/>
      <c r="B837" s="130"/>
      <c r="C837" s="184"/>
      <c r="D837" s="186"/>
      <c r="E837" s="186"/>
      <c r="F837" s="187"/>
      <c r="G837" s="141"/>
    </row>
    <row r="838" ht="15.75" customHeight="1">
      <c r="A838" s="130"/>
      <c r="B838" s="130"/>
      <c r="C838" s="184"/>
      <c r="D838" s="186"/>
      <c r="E838" s="186"/>
      <c r="F838" s="187"/>
      <c r="G838" s="141"/>
    </row>
    <row r="839" ht="15.75" customHeight="1">
      <c r="A839" s="130"/>
      <c r="B839" s="130"/>
      <c r="C839" s="184"/>
      <c r="D839" s="186"/>
      <c r="E839" s="186"/>
      <c r="F839" s="187"/>
      <c r="G839" s="141"/>
    </row>
    <row r="840" ht="15.75" customHeight="1">
      <c r="A840" s="130"/>
      <c r="B840" s="130"/>
      <c r="C840" s="184"/>
      <c r="D840" s="186"/>
      <c r="E840" s="186"/>
      <c r="F840" s="187"/>
      <c r="G840" s="141"/>
    </row>
    <row r="841" ht="15.75" customHeight="1">
      <c r="A841" s="130"/>
      <c r="B841" s="130"/>
      <c r="C841" s="184"/>
      <c r="D841" s="186"/>
      <c r="E841" s="186"/>
      <c r="F841" s="187"/>
      <c r="G841" s="141"/>
    </row>
    <row r="842" ht="15.75" customHeight="1">
      <c r="A842" s="130"/>
      <c r="B842" s="130"/>
      <c r="C842" s="184"/>
      <c r="D842" s="186"/>
      <c r="E842" s="186"/>
      <c r="F842" s="187"/>
      <c r="G842" s="141"/>
    </row>
    <row r="843" ht="15.75" customHeight="1">
      <c r="A843" s="130"/>
      <c r="B843" s="130"/>
      <c r="C843" s="184"/>
      <c r="D843" s="186"/>
      <c r="E843" s="186"/>
      <c r="F843" s="187"/>
      <c r="G843" s="141"/>
    </row>
    <row r="844" ht="15.75" customHeight="1">
      <c r="A844" s="130"/>
      <c r="B844" s="130"/>
      <c r="C844" s="184"/>
      <c r="D844" s="186"/>
      <c r="E844" s="186"/>
      <c r="F844" s="187"/>
      <c r="G844" s="141"/>
    </row>
    <row r="845" ht="15.75" customHeight="1">
      <c r="A845" s="130"/>
      <c r="B845" s="130"/>
      <c r="C845" s="184"/>
      <c r="D845" s="186"/>
      <c r="E845" s="186"/>
      <c r="F845" s="187"/>
      <c r="G845" s="141"/>
    </row>
    <row r="846" ht="15.75" customHeight="1">
      <c r="A846" s="130"/>
      <c r="B846" s="130"/>
      <c r="C846" s="184"/>
      <c r="D846" s="186"/>
      <c r="E846" s="186"/>
      <c r="F846" s="187"/>
      <c r="G846" s="141"/>
    </row>
    <row r="847" ht="15.75" customHeight="1">
      <c r="A847" s="130"/>
      <c r="B847" s="130"/>
      <c r="C847" s="184"/>
      <c r="D847" s="186"/>
      <c r="E847" s="186"/>
      <c r="F847" s="187"/>
      <c r="G847" s="141"/>
    </row>
    <row r="848" ht="15.75" customHeight="1">
      <c r="A848" s="130"/>
      <c r="B848" s="130"/>
      <c r="C848" s="184"/>
      <c r="D848" s="186"/>
      <c r="E848" s="186"/>
      <c r="F848" s="187"/>
      <c r="G848" s="141"/>
    </row>
    <row r="849" ht="15.75" customHeight="1">
      <c r="A849" s="130"/>
      <c r="B849" s="130"/>
      <c r="C849" s="184"/>
      <c r="D849" s="186"/>
      <c r="E849" s="186"/>
      <c r="F849" s="187"/>
      <c r="G849" s="141"/>
    </row>
    <row r="850" ht="15.75" customHeight="1">
      <c r="A850" s="130"/>
      <c r="B850" s="130"/>
      <c r="C850" s="184"/>
      <c r="D850" s="186"/>
      <c r="E850" s="186"/>
      <c r="F850" s="187"/>
      <c r="G850" s="141"/>
    </row>
    <row r="851" ht="15.75" customHeight="1">
      <c r="A851" s="130"/>
      <c r="B851" s="130"/>
      <c r="C851" s="184"/>
      <c r="D851" s="186"/>
      <c r="E851" s="186"/>
      <c r="F851" s="187"/>
      <c r="G851" s="141"/>
    </row>
    <row r="852" ht="15.75" customHeight="1">
      <c r="A852" s="130"/>
      <c r="B852" s="130"/>
      <c r="C852" s="184"/>
      <c r="D852" s="186"/>
      <c r="E852" s="186"/>
      <c r="F852" s="187"/>
      <c r="G852" s="141"/>
    </row>
    <row r="853" ht="15.75" customHeight="1">
      <c r="A853" s="130"/>
      <c r="B853" s="130"/>
      <c r="C853" s="184"/>
      <c r="D853" s="186"/>
      <c r="E853" s="186"/>
      <c r="F853" s="187"/>
      <c r="G853" s="141"/>
    </row>
    <row r="854" ht="15.75" customHeight="1">
      <c r="A854" s="130"/>
      <c r="B854" s="130"/>
      <c r="C854" s="184"/>
      <c r="D854" s="186"/>
      <c r="E854" s="186"/>
      <c r="F854" s="187"/>
      <c r="G854" s="141"/>
    </row>
    <row r="855" ht="15.75" customHeight="1">
      <c r="A855" s="130"/>
      <c r="B855" s="130"/>
      <c r="C855" s="184"/>
      <c r="D855" s="186"/>
      <c r="E855" s="186"/>
      <c r="F855" s="187"/>
      <c r="G855" s="141"/>
    </row>
    <row r="856" ht="15.75" customHeight="1">
      <c r="A856" s="130"/>
      <c r="B856" s="130"/>
      <c r="C856" s="184"/>
      <c r="D856" s="186"/>
      <c r="E856" s="186"/>
      <c r="F856" s="187"/>
      <c r="G856" s="141"/>
    </row>
    <row r="857" ht="15.75" customHeight="1">
      <c r="A857" s="130"/>
      <c r="B857" s="130"/>
      <c r="C857" s="184"/>
      <c r="D857" s="186"/>
      <c r="E857" s="186"/>
      <c r="F857" s="187"/>
      <c r="G857" s="141"/>
    </row>
    <row r="858" ht="15.75" customHeight="1">
      <c r="A858" s="130"/>
      <c r="B858" s="130"/>
      <c r="C858" s="184"/>
      <c r="D858" s="186"/>
      <c r="E858" s="186"/>
      <c r="F858" s="187"/>
      <c r="G858" s="141"/>
    </row>
    <row r="859" ht="15.75" customHeight="1">
      <c r="A859" s="130"/>
      <c r="B859" s="130"/>
      <c r="C859" s="184"/>
      <c r="D859" s="186"/>
      <c r="E859" s="186"/>
      <c r="F859" s="187"/>
      <c r="G859" s="141"/>
    </row>
    <row r="860" ht="15.75" customHeight="1">
      <c r="A860" s="130"/>
      <c r="B860" s="130"/>
      <c r="C860" s="184"/>
      <c r="D860" s="186"/>
      <c r="E860" s="186"/>
      <c r="F860" s="187"/>
      <c r="G860" s="141"/>
    </row>
    <row r="861" ht="15.75" customHeight="1">
      <c r="A861" s="130"/>
      <c r="B861" s="130"/>
      <c r="C861" s="184"/>
      <c r="D861" s="186"/>
      <c r="E861" s="186"/>
      <c r="F861" s="187"/>
      <c r="G861" s="141"/>
    </row>
    <row r="862" ht="15.75" customHeight="1">
      <c r="A862" s="130"/>
      <c r="B862" s="130"/>
      <c r="C862" s="184"/>
      <c r="D862" s="186"/>
      <c r="E862" s="186"/>
      <c r="F862" s="187"/>
      <c r="G862" s="141"/>
    </row>
    <row r="863" ht="15.75" customHeight="1">
      <c r="A863" s="130"/>
      <c r="B863" s="130"/>
      <c r="C863" s="184"/>
      <c r="D863" s="186"/>
      <c r="E863" s="186"/>
      <c r="F863" s="187"/>
      <c r="G863" s="141"/>
    </row>
    <row r="864" ht="15.75" customHeight="1">
      <c r="A864" s="130"/>
      <c r="B864" s="130"/>
      <c r="C864" s="184"/>
      <c r="D864" s="186"/>
      <c r="E864" s="186"/>
      <c r="F864" s="187"/>
      <c r="G864" s="141"/>
    </row>
    <row r="865" ht="15.75" customHeight="1">
      <c r="A865" s="130"/>
      <c r="B865" s="130"/>
      <c r="C865" s="184"/>
      <c r="D865" s="186"/>
      <c r="E865" s="186"/>
      <c r="F865" s="187"/>
      <c r="G865" s="141"/>
    </row>
    <row r="866" ht="15.75" customHeight="1">
      <c r="A866" s="130"/>
      <c r="B866" s="130"/>
      <c r="C866" s="184"/>
      <c r="D866" s="186"/>
      <c r="E866" s="186"/>
      <c r="F866" s="187"/>
      <c r="G866" s="141"/>
    </row>
    <row r="867" ht="15.75" customHeight="1">
      <c r="A867" s="130"/>
      <c r="B867" s="130"/>
      <c r="C867" s="184"/>
      <c r="D867" s="186"/>
      <c r="E867" s="186"/>
      <c r="F867" s="187"/>
      <c r="G867" s="141"/>
    </row>
    <row r="868" ht="15.75" customHeight="1">
      <c r="A868" s="130"/>
      <c r="B868" s="130"/>
      <c r="C868" s="184"/>
      <c r="D868" s="186"/>
      <c r="E868" s="186"/>
      <c r="F868" s="187"/>
      <c r="G868" s="141"/>
    </row>
    <row r="869" ht="15.75" customHeight="1">
      <c r="A869" s="130"/>
      <c r="B869" s="130"/>
      <c r="C869" s="184"/>
      <c r="D869" s="186"/>
      <c r="E869" s="186"/>
      <c r="F869" s="187"/>
      <c r="G869" s="141"/>
    </row>
    <row r="870" ht="15.75" customHeight="1">
      <c r="A870" s="130"/>
      <c r="B870" s="130"/>
      <c r="C870" s="184"/>
      <c r="D870" s="186"/>
      <c r="E870" s="186"/>
      <c r="F870" s="187"/>
      <c r="G870" s="141"/>
    </row>
    <row r="871" ht="15.75" customHeight="1">
      <c r="A871" s="130"/>
      <c r="B871" s="130"/>
      <c r="C871" s="184"/>
      <c r="D871" s="186"/>
      <c r="E871" s="186"/>
      <c r="F871" s="187"/>
      <c r="G871" s="141"/>
    </row>
    <row r="872" ht="15.75" customHeight="1">
      <c r="A872" s="130"/>
      <c r="B872" s="130"/>
      <c r="C872" s="184"/>
      <c r="D872" s="186"/>
      <c r="E872" s="186"/>
      <c r="F872" s="187"/>
      <c r="G872" s="141"/>
    </row>
    <row r="873" ht="15.75" customHeight="1">
      <c r="A873" s="130"/>
      <c r="B873" s="130"/>
      <c r="C873" s="184"/>
      <c r="D873" s="186"/>
      <c r="E873" s="186"/>
      <c r="F873" s="187"/>
      <c r="G873" s="141"/>
    </row>
    <row r="874" ht="15.75" customHeight="1">
      <c r="A874" s="130"/>
      <c r="B874" s="130"/>
      <c r="C874" s="184"/>
      <c r="D874" s="186"/>
      <c r="E874" s="186"/>
      <c r="F874" s="187"/>
      <c r="G874" s="141"/>
    </row>
    <row r="875" ht="15.75" customHeight="1">
      <c r="A875" s="130"/>
      <c r="B875" s="130"/>
      <c r="C875" s="184"/>
      <c r="D875" s="186"/>
      <c r="E875" s="186"/>
      <c r="F875" s="187"/>
      <c r="G875" s="141"/>
    </row>
    <row r="876" ht="15.75" customHeight="1">
      <c r="A876" s="130"/>
      <c r="B876" s="130"/>
      <c r="C876" s="184"/>
      <c r="D876" s="186"/>
      <c r="E876" s="186"/>
      <c r="F876" s="187"/>
      <c r="G876" s="141"/>
    </row>
    <row r="877" ht="15.75" customHeight="1">
      <c r="A877" s="130"/>
      <c r="B877" s="130"/>
      <c r="C877" s="184"/>
      <c r="D877" s="186"/>
      <c r="E877" s="186"/>
      <c r="F877" s="187"/>
      <c r="G877" s="141"/>
    </row>
    <row r="878" ht="15.75" customHeight="1">
      <c r="A878" s="130"/>
      <c r="B878" s="130"/>
      <c r="C878" s="184"/>
      <c r="D878" s="186"/>
      <c r="E878" s="186"/>
      <c r="F878" s="187"/>
      <c r="G878" s="141"/>
    </row>
    <row r="879" ht="15.75" customHeight="1">
      <c r="A879" s="130"/>
      <c r="B879" s="130"/>
      <c r="C879" s="184"/>
      <c r="D879" s="186"/>
      <c r="E879" s="186"/>
      <c r="F879" s="187"/>
      <c r="G879" s="141"/>
    </row>
    <row r="880" ht="15.75" customHeight="1">
      <c r="A880" s="130"/>
      <c r="B880" s="130"/>
      <c r="C880" s="184"/>
      <c r="D880" s="186"/>
      <c r="E880" s="186"/>
      <c r="F880" s="187"/>
      <c r="G880" s="141"/>
    </row>
    <row r="881" ht="15.75" customHeight="1">
      <c r="A881" s="130"/>
      <c r="B881" s="130"/>
      <c r="C881" s="184"/>
      <c r="D881" s="186"/>
      <c r="E881" s="186"/>
      <c r="F881" s="187"/>
      <c r="G881" s="141"/>
    </row>
    <row r="882" ht="15.75" customHeight="1">
      <c r="A882" s="130"/>
      <c r="B882" s="130"/>
      <c r="C882" s="184"/>
      <c r="D882" s="186"/>
      <c r="E882" s="186"/>
      <c r="F882" s="187"/>
      <c r="G882" s="141"/>
    </row>
    <row r="883" ht="15.75" customHeight="1">
      <c r="A883" s="130"/>
      <c r="B883" s="130"/>
      <c r="C883" s="184"/>
      <c r="D883" s="186"/>
      <c r="E883" s="186"/>
      <c r="F883" s="187"/>
      <c r="G883" s="141"/>
    </row>
    <row r="884" ht="15.75" customHeight="1">
      <c r="A884" s="130"/>
      <c r="B884" s="130"/>
      <c r="C884" s="184"/>
      <c r="D884" s="186"/>
      <c r="E884" s="186"/>
      <c r="F884" s="187"/>
      <c r="G884" s="141"/>
    </row>
    <row r="885" ht="15.75" customHeight="1">
      <c r="A885" s="130"/>
      <c r="B885" s="130"/>
      <c r="C885" s="184"/>
      <c r="D885" s="186"/>
      <c r="E885" s="186"/>
      <c r="F885" s="187"/>
      <c r="G885" s="141"/>
    </row>
    <row r="886" ht="15.75" customHeight="1">
      <c r="A886" s="130"/>
      <c r="B886" s="130"/>
      <c r="C886" s="184"/>
      <c r="D886" s="186"/>
      <c r="E886" s="186"/>
      <c r="F886" s="187"/>
      <c r="G886" s="141"/>
    </row>
    <row r="887" ht="15.75" customHeight="1">
      <c r="A887" s="130"/>
      <c r="B887" s="130"/>
      <c r="C887" s="184"/>
      <c r="D887" s="186"/>
      <c r="E887" s="186"/>
      <c r="F887" s="187"/>
      <c r="G887" s="141"/>
    </row>
    <row r="888" ht="15.75" customHeight="1">
      <c r="A888" s="130"/>
      <c r="B888" s="130"/>
      <c r="C888" s="184"/>
      <c r="D888" s="186"/>
      <c r="E888" s="186"/>
      <c r="F888" s="187"/>
      <c r="G888" s="141"/>
    </row>
    <row r="889" ht="15.75" customHeight="1">
      <c r="A889" s="130"/>
      <c r="B889" s="130"/>
      <c r="C889" s="184"/>
      <c r="D889" s="186"/>
      <c r="E889" s="186"/>
      <c r="F889" s="187"/>
      <c r="G889" s="141"/>
    </row>
    <row r="890" ht="15.75" customHeight="1">
      <c r="A890" s="130"/>
      <c r="B890" s="130"/>
      <c r="C890" s="184"/>
      <c r="D890" s="186"/>
      <c r="E890" s="186"/>
      <c r="F890" s="187"/>
      <c r="G890" s="141"/>
    </row>
    <row r="891" ht="15.75" customHeight="1">
      <c r="A891" s="130"/>
      <c r="B891" s="130"/>
      <c r="C891" s="184"/>
      <c r="D891" s="186"/>
      <c r="E891" s="186"/>
      <c r="F891" s="187"/>
      <c r="G891" s="141"/>
    </row>
    <row r="892" ht="15.75" customHeight="1">
      <c r="A892" s="130"/>
      <c r="B892" s="130"/>
      <c r="C892" s="184"/>
      <c r="D892" s="186"/>
      <c r="E892" s="186"/>
      <c r="F892" s="187"/>
      <c r="G892" s="141"/>
    </row>
    <row r="893" ht="15.75" customHeight="1">
      <c r="A893" s="130"/>
      <c r="B893" s="130"/>
      <c r="C893" s="184"/>
      <c r="D893" s="186"/>
      <c r="E893" s="186"/>
      <c r="F893" s="187"/>
      <c r="G893" s="141"/>
    </row>
    <row r="894" ht="15.75" customHeight="1">
      <c r="A894" s="130"/>
      <c r="B894" s="130"/>
      <c r="C894" s="184"/>
      <c r="D894" s="186"/>
      <c r="E894" s="186"/>
      <c r="F894" s="187"/>
      <c r="G894" s="141"/>
    </row>
    <row r="895" ht="15.75" customHeight="1">
      <c r="A895" s="130"/>
      <c r="B895" s="130"/>
      <c r="C895" s="184"/>
      <c r="D895" s="186"/>
      <c r="E895" s="186"/>
      <c r="F895" s="187"/>
      <c r="G895" s="141"/>
    </row>
    <row r="896" ht="15.75" customHeight="1">
      <c r="A896" s="130"/>
      <c r="B896" s="130"/>
      <c r="C896" s="184"/>
      <c r="D896" s="186"/>
      <c r="E896" s="186"/>
      <c r="F896" s="187"/>
      <c r="G896" s="141"/>
    </row>
    <row r="897" ht="15.75" customHeight="1">
      <c r="A897" s="130"/>
      <c r="B897" s="130"/>
      <c r="C897" s="184"/>
      <c r="D897" s="186"/>
      <c r="E897" s="186"/>
      <c r="F897" s="187"/>
      <c r="G897" s="141"/>
    </row>
    <row r="898" ht="15.75" customHeight="1">
      <c r="A898" s="130"/>
      <c r="B898" s="130"/>
      <c r="C898" s="184"/>
      <c r="D898" s="186"/>
      <c r="E898" s="186"/>
      <c r="F898" s="187"/>
      <c r="G898" s="141"/>
    </row>
    <row r="899" ht="15.75" customHeight="1">
      <c r="A899" s="130"/>
      <c r="B899" s="130"/>
      <c r="C899" s="184"/>
      <c r="D899" s="186"/>
      <c r="E899" s="186"/>
      <c r="F899" s="187"/>
      <c r="G899" s="141"/>
    </row>
    <row r="900" ht="15.75" customHeight="1">
      <c r="A900" s="130"/>
      <c r="B900" s="130"/>
      <c r="C900" s="184"/>
      <c r="D900" s="186"/>
      <c r="E900" s="186"/>
      <c r="F900" s="187"/>
      <c r="G900" s="141"/>
    </row>
    <row r="901" ht="15.75" customHeight="1">
      <c r="A901" s="130"/>
      <c r="B901" s="130"/>
      <c r="C901" s="184"/>
      <c r="D901" s="186"/>
      <c r="E901" s="186"/>
      <c r="F901" s="187"/>
      <c r="G901" s="141"/>
    </row>
    <row r="902" ht="15.75" customHeight="1">
      <c r="A902" s="130"/>
      <c r="B902" s="130"/>
      <c r="C902" s="184"/>
      <c r="D902" s="186"/>
      <c r="E902" s="186"/>
      <c r="F902" s="187"/>
      <c r="G902" s="141"/>
    </row>
    <row r="903" ht="15.75" customHeight="1">
      <c r="A903" s="130"/>
      <c r="B903" s="130"/>
      <c r="C903" s="184"/>
      <c r="D903" s="186"/>
      <c r="E903" s="186"/>
      <c r="F903" s="187"/>
      <c r="G903" s="141"/>
    </row>
    <row r="904" ht="15.75" customHeight="1">
      <c r="A904" s="130"/>
      <c r="B904" s="130"/>
      <c r="C904" s="184"/>
      <c r="D904" s="186"/>
      <c r="E904" s="186"/>
      <c r="F904" s="187"/>
      <c r="G904" s="141"/>
    </row>
    <row r="905" ht="15.75" customHeight="1">
      <c r="A905" s="130"/>
      <c r="B905" s="130"/>
      <c r="C905" s="184"/>
      <c r="D905" s="186"/>
      <c r="E905" s="186"/>
      <c r="F905" s="187"/>
      <c r="G905" s="141"/>
    </row>
    <row r="906" ht="15.75" customHeight="1">
      <c r="A906" s="130"/>
      <c r="B906" s="130"/>
      <c r="C906" s="184"/>
      <c r="D906" s="186"/>
      <c r="E906" s="186"/>
      <c r="F906" s="187"/>
      <c r="G906" s="141"/>
    </row>
    <row r="907" ht="15.75" customHeight="1">
      <c r="A907" s="130"/>
      <c r="B907" s="130"/>
      <c r="C907" s="184"/>
      <c r="D907" s="186"/>
      <c r="E907" s="186"/>
      <c r="F907" s="187"/>
      <c r="G907" s="141"/>
    </row>
    <row r="908" ht="15.75" customHeight="1">
      <c r="A908" s="130"/>
      <c r="B908" s="130"/>
      <c r="C908" s="184"/>
      <c r="D908" s="186"/>
      <c r="E908" s="186"/>
      <c r="F908" s="187"/>
      <c r="G908" s="141"/>
    </row>
    <row r="909" ht="15.75" customHeight="1">
      <c r="A909" s="130"/>
      <c r="B909" s="130"/>
      <c r="C909" s="184"/>
      <c r="D909" s="186"/>
      <c r="E909" s="186"/>
      <c r="F909" s="187"/>
      <c r="G909" s="141"/>
    </row>
    <row r="910" ht="15.75" customHeight="1">
      <c r="A910" s="130"/>
      <c r="B910" s="130"/>
      <c r="C910" s="184"/>
      <c r="D910" s="186"/>
      <c r="E910" s="186"/>
      <c r="F910" s="187"/>
      <c r="G910" s="141"/>
    </row>
    <row r="911" ht="15.75" customHeight="1">
      <c r="A911" s="130"/>
      <c r="B911" s="130"/>
      <c r="C911" s="184"/>
      <c r="D911" s="186"/>
      <c r="E911" s="186"/>
      <c r="F911" s="187"/>
      <c r="G911" s="141"/>
    </row>
    <row r="912" ht="15.75" customHeight="1">
      <c r="A912" s="130"/>
      <c r="B912" s="130"/>
      <c r="C912" s="184"/>
      <c r="D912" s="186"/>
      <c r="E912" s="186"/>
      <c r="F912" s="187"/>
      <c r="G912" s="141"/>
    </row>
    <row r="913" ht="15.75" customHeight="1">
      <c r="A913" s="130"/>
      <c r="B913" s="130"/>
      <c r="C913" s="184"/>
      <c r="D913" s="186"/>
      <c r="E913" s="186"/>
      <c r="F913" s="187"/>
      <c r="G913" s="141"/>
    </row>
    <row r="914" ht="15.75" customHeight="1">
      <c r="A914" s="130"/>
      <c r="B914" s="130"/>
      <c r="C914" s="184"/>
      <c r="D914" s="186"/>
      <c r="E914" s="186"/>
      <c r="F914" s="187"/>
      <c r="G914" s="141"/>
    </row>
    <row r="915" ht="15.75" customHeight="1">
      <c r="A915" s="130"/>
      <c r="B915" s="130"/>
      <c r="C915" s="184"/>
      <c r="D915" s="186"/>
      <c r="E915" s="186"/>
      <c r="F915" s="187"/>
      <c r="G915" s="141"/>
    </row>
    <row r="916" ht="15.75" customHeight="1">
      <c r="A916" s="130"/>
      <c r="B916" s="130"/>
      <c r="C916" s="184"/>
      <c r="D916" s="186"/>
      <c r="E916" s="186"/>
      <c r="F916" s="187"/>
      <c r="G916" s="141"/>
    </row>
    <row r="917" ht="15.75" customHeight="1">
      <c r="A917" s="130"/>
      <c r="B917" s="130"/>
      <c r="C917" s="184"/>
      <c r="D917" s="186"/>
      <c r="E917" s="186"/>
      <c r="F917" s="187"/>
      <c r="G917" s="141"/>
    </row>
    <row r="918" ht="15.75" customHeight="1">
      <c r="A918" s="130"/>
      <c r="B918" s="130"/>
      <c r="C918" s="184"/>
      <c r="D918" s="186"/>
      <c r="E918" s="186"/>
      <c r="F918" s="187"/>
      <c r="G918" s="141"/>
    </row>
    <row r="919" ht="15.75" customHeight="1">
      <c r="A919" s="130"/>
      <c r="B919" s="130"/>
      <c r="C919" s="184"/>
      <c r="D919" s="186"/>
      <c r="E919" s="186"/>
      <c r="F919" s="187"/>
      <c r="G919" s="141"/>
    </row>
    <row r="920" ht="15.75" customHeight="1">
      <c r="A920" s="130"/>
      <c r="B920" s="130"/>
      <c r="C920" s="184"/>
      <c r="D920" s="186"/>
      <c r="E920" s="186"/>
      <c r="F920" s="187"/>
      <c r="G920" s="141"/>
    </row>
    <row r="921" ht="15.75" customHeight="1">
      <c r="A921" s="130"/>
      <c r="B921" s="130"/>
      <c r="C921" s="184"/>
      <c r="D921" s="186"/>
      <c r="E921" s="186"/>
      <c r="F921" s="187"/>
      <c r="G921" s="141"/>
    </row>
    <row r="922" ht="15.75" customHeight="1">
      <c r="A922" s="130"/>
      <c r="B922" s="130"/>
      <c r="C922" s="184"/>
      <c r="D922" s="186"/>
      <c r="E922" s="186"/>
      <c r="F922" s="187"/>
      <c r="G922" s="141"/>
    </row>
    <row r="923" ht="15.75" customHeight="1">
      <c r="A923" s="130"/>
      <c r="B923" s="130"/>
      <c r="C923" s="184"/>
      <c r="D923" s="186"/>
      <c r="E923" s="186"/>
      <c r="F923" s="187"/>
      <c r="G923" s="141"/>
    </row>
    <row r="924" ht="15.75" customHeight="1">
      <c r="A924" s="130"/>
      <c r="B924" s="130"/>
      <c r="C924" s="184"/>
      <c r="D924" s="186"/>
      <c r="E924" s="186"/>
      <c r="F924" s="187"/>
      <c r="G924" s="141"/>
    </row>
    <row r="925" ht="15.75" customHeight="1">
      <c r="A925" s="130"/>
      <c r="B925" s="130"/>
      <c r="C925" s="184"/>
      <c r="D925" s="186"/>
      <c r="E925" s="186"/>
      <c r="F925" s="187"/>
      <c r="G925" s="141"/>
    </row>
    <row r="926" ht="15.75" customHeight="1">
      <c r="A926" s="130"/>
      <c r="B926" s="130"/>
      <c r="C926" s="184"/>
      <c r="D926" s="186"/>
      <c r="E926" s="186"/>
      <c r="F926" s="187"/>
      <c r="G926" s="141"/>
    </row>
    <row r="927" ht="15.75" customHeight="1">
      <c r="A927" s="130"/>
      <c r="B927" s="130"/>
      <c r="C927" s="184"/>
      <c r="D927" s="186"/>
      <c r="E927" s="186"/>
      <c r="F927" s="187"/>
      <c r="G927" s="141"/>
    </row>
    <row r="928" ht="15.75" customHeight="1">
      <c r="A928" s="130"/>
      <c r="B928" s="130"/>
      <c r="C928" s="184"/>
      <c r="D928" s="186"/>
      <c r="E928" s="186"/>
      <c r="F928" s="187"/>
      <c r="G928" s="141"/>
    </row>
    <row r="929" ht="15.75" customHeight="1">
      <c r="A929" s="130"/>
      <c r="B929" s="130"/>
      <c r="C929" s="184"/>
      <c r="D929" s="186"/>
      <c r="E929" s="186"/>
      <c r="F929" s="187"/>
      <c r="G929" s="141"/>
    </row>
    <row r="930" ht="15.75" customHeight="1">
      <c r="A930" s="130"/>
      <c r="B930" s="130"/>
      <c r="C930" s="184"/>
      <c r="D930" s="186"/>
      <c r="E930" s="186"/>
      <c r="F930" s="187"/>
      <c r="G930" s="141"/>
    </row>
    <row r="931" ht="15.75" customHeight="1">
      <c r="A931" s="130"/>
      <c r="B931" s="130"/>
      <c r="C931" s="184"/>
      <c r="D931" s="186"/>
      <c r="E931" s="186"/>
      <c r="F931" s="187"/>
      <c r="G931" s="141"/>
    </row>
    <row r="932" ht="15.75" customHeight="1">
      <c r="A932" s="130"/>
      <c r="B932" s="130"/>
      <c r="C932" s="184"/>
      <c r="D932" s="186"/>
      <c r="E932" s="186"/>
      <c r="F932" s="187"/>
      <c r="G932" s="141"/>
    </row>
    <row r="933" ht="15.75" customHeight="1">
      <c r="A933" s="130"/>
      <c r="B933" s="130"/>
      <c r="C933" s="184"/>
      <c r="D933" s="186"/>
      <c r="E933" s="186"/>
      <c r="F933" s="187"/>
      <c r="G933" s="141"/>
    </row>
    <row r="934" ht="15.75" customHeight="1">
      <c r="A934" s="130"/>
      <c r="B934" s="130"/>
      <c r="C934" s="184"/>
      <c r="D934" s="186"/>
      <c r="E934" s="186"/>
      <c r="F934" s="187"/>
      <c r="G934" s="141"/>
    </row>
    <row r="935" ht="15.75" customHeight="1">
      <c r="A935" s="130"/>
      <c r="B935" s="130"/>
      <c r="C935" s="184"/>
      <c r="D935" s="186"/>
      <c r="E935" s="186"/>
      <c r="F935" s="187"/>
      <c r="G935" s="141"/>
    </row>
    <row r="936" ht="15.75" customHeight="1">
      <c r="A936" s="130"/>
      <c r="B936" s="130"/>
      <c r="C936" s="184"/>
      <c r="D936" s="186"/>
      <c r="E936" s="186"/>
      <c r="F936" s="187"/>
      <c r="G936" s="141"/>
    </row>
    <row r="937" ht="15.75" customHeight="1">
      <c r="A937" s="130"/>
      <c r="B937" s="130"/>
      <c r="C937" s="184"/>
      <c r="D937" s="186"/>
      <c r="E937" s="186"/>
      <c r="F937" s="187"/>
      <c r="G937" s="141"/>
    </row>
    <row r="938" ht="15.75" customHeight="1">
      <c r="A938" s="130"/>
      <c r="B938" s="130"/>
      <c r="C938" s="184"/>
      <c r="D938" s="186"/>
      <c r="E938" s="186"/>
      <c r="F938" s="187"/>
      <c r="G938" s="141"/>
    </row>
    <row r="939" ht="15.75" customHeight="1">
      <c r="A939" s="130"/>
      <c r="B939" s="130"/>
      <c r="C939" s="184"/>
      <c r="D939" s="186"/>
      <c r="E939" s="186"/>
      <c r="F939" s="187"/>
      <c r="G939" s="141"/>
    </row>
    <row r="940" ht="15.75" customHeight="1">
      <c r="A940" s="130"/>
      <c r="B940" s="130"/>
      <c r="C940" s="184"/>
      <c r="D940" s="186"/>
      <c r="E940" s="186"/>
      <c r="F940" s="187"/>
      <c r="G940" s="141"/>
    </row>
    <row r="941" ht="15.75" customHeight="1">
      <c r="A941" s="130"/>
      <c r="B941" s="130"/>
      <c r="C941" s="184"/>
      <c r="D941" s="186"/>
      <c r="E941" s="186"/>
      <c r="F941" s="187"/>
      <c r="G941" s="141"/>
    </row>
    <row r="942" ht="15.75" customHeight="1">
      <c r="A942" s="130"/>
      <c r="B942" s="130"/>
      <c r="C942" s="184"/>
      <c r="D942" s="186"/>
      <c r="E942" s="186"/>
      <c r="F942" s="187"/>
      <c r="G942" s="141"/>
    </row>
    <row r="943" ht="15.75" customHeight="1">
      <c r="A943" s="130"/>
      <c r="B943" s="130"/>
      <c r="C943" s="184"/>
      <c r="D943" s="186"/>
      <c r="E943" s="186"/>
      <c r="F943" s="187"/>
      <c r="G943" s="141"/>
    </row>
    <row r="944" ht="15.75" customHeight="1">
      <c r="A944" s="130"/>
      <c r="B944" s="130"/>
      <c r="C944" s="184"/>
      <c r="D944" s="186"/>
      <c r="E944" s="186"/>
      <c r="F944" s="187"/>
      <c r="G944" s="141"/>
    </row>
    <row r="945" ht="15.75" customHeight="1">
      <c r="A945" s="130"/>
      <c r="B945" s="130"/>
      <c r="C945" s="184"/>
      <c r="D945" s="186"/>
      <c r="E945" s="186"/>
      <c r="F945" s="187"/>
      <c r="G945" s="141"/>
    </row>
    <row r="946" ht="15.75" customHeight="1">
      <c r="A946" s="130"/>
      <c r="B946" s="130"/>
      <c r="C946" s="184"/>
      <c r="D946" s="186"/>
      <c r="E946" s="186"/>
      <c r="F946" s="187"/>
      <c r="G946" s="141"/>
    </row>
    <row r="947" ht="15.75" customHeight="1">
      <c r="A947" s="130"/>
      <c r="B947" s="130"/>
      <c r="C947" s="184"/>
      <c r="D947" s="186"/>
      <c r="E947" s="186"/>
      <c r="F947" s="187"/>
      <c r="G947" s="141"/>
    </row>
    <row r="948" ht="15.75" customHeight="1">
      <c r="A948" s="130"/>
      <c r="B948" s="130"/>
      <c r="C948" s="184"/>
      <c r="D948" s="186"/>
      <c r="E948" s="186"/>
      <c r="F948" s="187"/>
      <c r="G948" s="141"/>
    </row>
    <row r="949" ht="15.75" customHeight="1">
      <c r="A949" s="130"/>
      <c r="B949" s="130"/>
      <c r="C949" s="184"/>
      <c r="D949" s="186"/>
      <c r="E949" s="186"/>
      <c r="F949" s="187"/>
      <c r="G949" s="141"/>
    </row>
    <row r="950" ht="15.75" customHeight="1">
      <c r="A950" s="130"/>
      <c r="B950" s="130"/>
      <c r="C950" s="184"/>
      <c r="D950" s="186"/>
      <c r="E950" s="186"/>
      <c r="F950" s="187"/>
      <c r="G950" s="141"/>
    </row>
    <row r="951" ht="15.75" customHeight="1">
      <c r="A951" s="130"/>
      <c r="B951" s="130"/>
      <c r="C951" s="184"/>
      <c r="D951" s="186"/>
      <c r="E951" s="186"/>
      <c r="F951" s="187"/>
      <c r="G951" s="141"/>
    </row>
    <row r="952" ht="15.75" customHeight="1">
      <c r="A952" s="130"/>
      <c r="B952" s="130"/>
      <c r="C952" s="184"/>
      <c r="D952" s="186"/>
      <c r="E952" s="186"/>
      <c r="F952" s="187"/>
      <c r="G952" s="141"/>
    </row>
    <row r="953" ht="15.75" customHeight="1">
      <c r="A953" s="130"/>
      <c r="B953" s="130"/>
      <c r="C953" s="184"/>
      <c r="D953" s="186"/>
      <c r="E953" s="186"/>
      <c r="F953" s="187"/>
      <c r="G953" s="141"/>
    </row>
    <row r="954" ht="15.75" customHeight="1">
      <c r="A954" s="130"/>
      <c r="B954" s="130"/>
      <c r="C954" s="184"/>
      <c r="D954" s="186"/>
      <c r="E954" s="186"/>
      <c r="F954" s="187"/>
      <c r="G954" s="141"/>
    </row>
    <row r="955" ht="15.75" customHeight="1">
      <c r="A955" s="130"/>
      <c r="B955" s="130"/>
      <c r="C955" s="184"/>
      <c r="D955" s="186"/>
      <c r="E955" s="186"/>
      <c r="F955" s="187"/>
      <c r="G955" s="141"/>
    </row>
    <row r="956" ht="15.75" customHeight="1">
      <c r="A956" s="130"/>
      <c r="B956" s="130"/>
      <c r="C956" s="184"/>
      <c r="D956" s="186"/>
      <c r="E956" s="186"/>
      <c r="F956" s="187"/>
      <c r="G956" s="141"/>
    </row>
    <row r="957" ht="15.75" customHeight="1">
      <c r="A957" s="130"/>
      <c r="B957" s="130"/>
      <c r="C957" s="184"/>
      <c r="D957" s="186"/>
      <c r="E957" s="186"/>
      <c r="F957" s="187"/>
      <c r="G957" s="141"/>
    </row>
    <row r="958" ht="15.75" customHeight="1">
      <c r="A958" s="130"/>
      <c r="B958" s="130"/>
      <c r="C958" s="184"/>
      <c r="D958" s="186"/>
      <c r="E958" s="186"/>
      <c r="F958" s="187"/>
      <c r="G958" s="141"/>
    </row>
    <row r="959" ht="15.75" customHeight="1">
      <c r="A959" s="130"/>
      <c r="B959" s="130"/>
      <c r="C959" s="184"/>
      <c r="D959" s="186"/>
      <c r="E959" s="186"/>
      <c r="F959" s="187"/>
      <c r="G959" s="141"/>
    </row>
    <row r="960" ht="15.75" customHeight="1">
      <c r="A960" s="130"/>
      <c r="B960" s="130"/>
      <c r="C960" s="184"/>
      <c r="D960" s="186"/>
      <c r="E960" s="186"/>
      <c r="F960" s="187"/>
      <c r="G960" s="141"/>
    </row>
    <row r="961" ht="15.75" customHeight="1">
      <c r="A961" s="130"/>
      <c r="B961" s="130"/>
      <c r="C961" s="184"/>
      <c r="D961" s="186"/>
      <c r="E961" s="186"/>
      <c r="F961" s="187"/>
      <c r="G961" s="141"/>
    </row>
    <row r="962" ht="15.75" customHeight="1">
      <c r="A962" s="130"/>
      <c r="B962" s="130"/>
      <c r="C962" s="184"/>
      <c r="D962" s="186"/>
      <c r="E962" s="186"/>
      <c r="F962" s="187"/>
      <c r="G962" s="141"/>
    </row>
    <row r="963" ht="15.75" customHeight="1">
      <c r="A963" s="130"/>
      <c r="B963" s="130"/>
      <c r="C963" s="184"/>
      <c r="D963" s="186"/>
      <c r="E963" s="186"/>
      <c r="F963" s="187"/>
      <c r="G963" s="141"/>
    </row>
    <row r="964" ht="15.75" customHeight="1">
      <c r="A964" s="130"/>
      <c r="B964" s="130"/>
      <c r="C964" s="184"/>
      <c r="D964" s="186"/>
      <c r="E964" s="186"/>
      <c r="F964" s="187"/>
      <c r="G964" s="141"/>
    </row>
    <row r="965" ht="15.75" customHeight="1">
      <c r="A965" s="130"/>
      <c r="B965" s="130"/>
      <c r="C965" s="184"/>
      <c r="D965" s="186"/>
      <c r="E965" s="186"/>
      <c r="F965" s="187"/>
      <c r="G965" s="141"/>
    </row>
    <row r="966" ht="15.75" customHeight="1">
      <c r="A966" s="130"/>
      <c r="B966" s="130"/>
      <c r="C966" s="184"/>
      <c r="D966" s="186"/>
      <c r="E966" s="186"/>
      <c r="F966" s="187"/>
      <c r="G966" s="141"/>
    </row>
    <row r="967" ht="15.75" customHeight="1">
      <c r="A967" s="130"/>
      <c r="B967" s="130"/>
      <c r="C967" s="184"/>
      <c r="D967" s="186"/>
      <c r="E967" s="186"/>
      <c r="F967" s="187"/>
      <c r="G967" s="141"/>
    </row>
    <row r="968" ht="15.75" customHeight="1">
      <c r="A968" s="130"/>
      <c r="B968" s="130"/>
      <c r="C968" s="184"/>
      <c r="D968" s="186"/>
      <c r="E968" s="186"/>
      <c r="F968" s="187"/>
      <c r="G968" s="141"/>
    </row>
    <row r="969" ht="15.75" customHeight="1">
      <c r="A969" s="130"/>
      <c r="B969" s="130"/>
      <c r="C969" s="184"/>
      <c r="D969" s="186"/>
      <c r="E969" s="186"/>
      <c r="F969" s="187"/>
      <c r="G969" s="141"/>
    </row>
    <row r="970" ht="15.75" customHeight="1">
      <c r="A970" s="130"/>
      <c r="B970" s="130"/>
      <c r="C970" s="184"/>
      <c r="D970" s="186"/>
      <c r="E970" s="186"/>
      <c r="F970" s="187"/>
      <c r="G970" s="141"/>
    </row>
    <row r="971" ht="15.75" customHeight="1">
      <c r="A971" s="130"/>
      <c r="B971" s="130"/>
      <c r="C971" s="184"/>
      <c r="D971" s="186"/>
      <c r="E971" s="186"/>
      <c r="F971" s="187"/>
      <c r="G971" s="141"/>
    </row>
    <row r="972" ht="15.75" customHeight="1">
      <c r="A972" s="130"/>
      <c r="B972" s="130"/>
      <c r="C972" s="184"/>
      <c r="D972" s="186"/>
      <c r="E972" s="186"/>
      <c r="F972" s="187"/>
      <c r="G972" s="141"/>
    </row>
    <row r="973" ht="15.75" customHeight="1">
      <c r="A973" s="130"/>
      <c r="B973" s="130"/>
      <c r="C973" s="184"/>
      <c r="D973" s="186"/>
      <c r="E973" s="186"/>
      <c r="F973" s="187"/>
      <c r="G973" s="141"/>
    </row>
    <row r="974" ht="15.75" customHeight="1">
      <c r="A974" s="130"/>
      <c r="B974" s="130"/>
      <c r="C974" s="184"/>
      <c r="D974" s="186"/>
      <c r="E974" s="186"/>
      <c r="F974" s="187"/>
      <c r="G974" s="141"/>
    </row>
    <row r="975" ht="15.75" customHeight="1">
      <c r="A975" s="130"/>
      <c r="B975" s="130"/>
      <c r="C975" s="184"/>
      <c r="D975" s="186"/>
      <c r="E975" s="186"/>
      <c r="F975" s="187"/>
      <c r="G975" s="141"/>
    </row>
    <row r="976" ht="15.75" customHeight="1">
      <c r="A976" s="130"/>
      <c r="B976" s="130"/>
      <c r="C976" s="184"/>
      <c r="D976" s="186"/>
      <c r="E976" s="186"/>
      <c r="F976" s="187"/>
      <c r="G976" s="141"/>
    </row>
    <row r="977" ht="15.75" customHeight="1">
      <c r="A977" s="130"/>
      <c r="B977" s="130"/>
      <c r="C977" s="184"/>
      <c r="D977" s="186"/>
      <c r="E977" s="186"/>
      <c r="F977" s="187"/>
      <c r="G977" s="141"/>
    </row>
    <row r="978" ht="15.75" customHeight="1">
      <c r="A978" s="130"/>
      <c r="B978" s="130"/>
      <c r="C978" s="184"/>
      <c r="D978" s="186"/>
      <c r="E978" s="186"/>
      <c r="F978" s="187"/>
      <c r="G978" s="141"/>
    </row>
    <row r="979" ht="15.75" customHeight="1">
      <c r="A979" s="130"/>
      <c r="B979" s="130"/>
      <c r="C979" s="184"/>
      <c r="D979" s="186"/>
      <c r="E979" s="186"/>
      <c r="F979" s="187"/>
      <c r="G979" s="141"/>
    </row>
    <row r="980" ht="15.75" customHeight="1">
      <c r="A980" s="130"/>
      <c r="B980" s="130"/>
      <c r="C980" s="184"/>
      <c r="D980" s="186"/>
      <c r="E980" s="186"/>
      <c r="F980" s="187"/>
      <c r="G980" s="141"/>
    </row>
    <row r="981" ht="15.75" customHeight="1">
      <c r="A981" s="130"/>
      <c r="B981" s="130"/>
      <c r="C981" s="184"/>
      <c r="D981" s="186"/>
      <c r="E981" s="186"/>
      <c r="F981" s="187"/>
      <c r="G981" s="141"/>
    </row>
    <row r="982" ht="15.75" customHeight="1">
      <c r="A982" s="130"/>
      <c r="B982" s="130"/>
      <c r="C982" s="184"/>
      <c r="D982" s="186"/>
      <c r="E982" s="186"/>
      <c r="F982" s="187"/>
      <c r="G982" s="141"/>
    </row>
    <row r="983" ht="15.75" customHeight="1">
      <c r="A983" s="130"/>
      <c r="B983" s="130"/>
      <c r="C983" s="184"/>
      <c r="D983" s="186"/>
      <c r="E983" s="186"/>
      <c r="F983" s="187"/>
      <c r="G983" s="141"/>
    </row>
    <row r="984" ht="15.75" customHeight="1">
      <c r="A984" s="130"/>
      <c r="B984" s="130"/>
      <c r="C984" s="184"/>
      <c r="D984" s="186"/>
      <c r="E984" s="186"/>
      <c r="F984" s="187"/>
      <c r="G984" s="141"/>
    </row>
    <row r="985" ht="15.75" customHeight="1">
      <c r="A985" s="130"/>
      <c r="B985" s="130"/>
      <c r="C985" s="184"/>
      <c r="D985" s="186"/>
      <c r="E985" s="186"/>
      <c r="F985" s="187"/>
      <c r="G985" s="141"/>
    </row>
    <row r="986" ht="15.75" customHeight="1">
      <c r="A986" s="130"/>
      <c r="B986" s="130"/>
      <c r="C986" s="184"/>
      <c r="D986" s="186"/>
      <c r="E986" s="186"/>
      <c r="F986" s="187"/>
      <c r="G986" s="141"/>
    </row>
    <row r="987" ht="15.75" customHeight="1">
      <c r="A987" s="130"/>
      <c r="B987" s="130"/>
      <c r="C987" s="184"/>
      <c r="D987" s="186"/>
      <c r="E987" s="186"/>
      <c r="F987" s="187"/>
      <c r="G987" s="141"/>
    </row>
    <row r="988" ht="15.75" customHeight="1">
      <c r="A988" s="130"/>
      <c r="B988" s="130"/>
      <c r="C988" s="184"/>
      <c r="D988" s="186"/>
      <c r="E988" s="186"/>
      <c r="F988" s="187"/>
      <c r="G988" s="141"/>
    </row>
    <row r="989" ht="15.75" customHeight="1">
      <c r="A989" s="188"/>
      <c r="B989" s="188"/>
      <c r="C989" s="189"/>
      <c r="D989" s="190"/>
      <c r="E989" s="190"/>
      <c r="F989" s="191"/>
      <c r="G989" s="192"/>
    </row>
    <row r="990" ht="15.75" customHeight="1">
      <c r="A990" s="188"/>
      <c r="B990" s="188"/>
      <c r="C990" s="189"/>
      <c r="D990" s="190"/>
      <c r="E990" s="190"/>
      <c r="F990" s="191"/>
      <c r="G990" s="192"/>
    </row>
    <row r="991" ht="15.75" customHeight="1">
      <c r="A991" s="188"/>
      <c r="B991" s="188"/>
      <c r="C991" s="189"/>
      <c r="D991" s="190"/>
      <c r="E991" s="190"/>
      <c r="F991" s="191"/>
      <c r="G991" s="192"/>
    </row>
    <row r="992" ht="15.75" customHeight="1">
      <c r="A992" s="188"/>
      <c r="B992" s="188"/>
      <c r="C992" s="189"/>
      <c r="D992" s="190"/>
      <c r="E992" s="190"/>
      <c r="F992" s="191"/>
      <c r="G992" s="192"/>
    </row>
    <row r="993" ht="15.75" customHeight="1">
      <c r="A993" s="188"/>
      <c r="B993" s="188"/>
      <c r="C993" s="189"/>
      <c r="D993" s="190"/>
      <c r="E993" s="190"/>
      <c r="F993" s="191"/>
      <c r="G993" s="192"/>
    </row>
    <row r="994" ht="15.75" customHeight="1">
      <c r="A994" s="188"/>
      <c r="B994" s="188"/>
      <c r="C994" s="189"/>
      <c r="D994" s="190"/>
      <c r="E994" s="190"/>
      <c r="F994" s="191"/>
      <c r="G994" s="192"/>
    </row>
    <row r="995" ht="15.75" customHeight="1">
      <c r="A995" s="188"/>
      <c r="B995" s="188"/>
      <c r="C995" s="189"/>
      <c r="D995" s="190"/>
      <c r="E995" s="190"/>
      <c r="F995" s="191"/>
      <c r="G995" s="192"/>
    </row>
    <row r="996" ht="15.75" customHeight="1">
      <c r="A996" s="188"/>
      <c r="B996" s="188"/>
      <c r="C996" s="189"/>
      <c r="D996" s="190"/>
      <c r="E996" s="190"/>
      <c r="F996" s="191"/>
      <c r="G996" s="192"/>
    </row>
    <row r="997" ht="15.75" customHeight="1">
      <c r="A997" s="188"/>
      <c r="B997" s="188"/>
      <c r="C997" s="188"/>
      <c r="D997" s="190"/>
      <c r="E997" s="190"/>
      <c r="F997" s="191"/>
      <c r="G997" s="192"/>
    </row>
    <row r="998" ht="15.75" customHeight="1">
      <c r="A998" s="188"/>
      <c r="B998" s="188"/>
      <c r="C998" s="188"/>
      <c r="D998" s="190"/>
      <c r="E998" s="190"/>
      <c r="F998" s="191"/>
      <c r="G998" s="192"/>
    </row>
    <row r="999" ht="15.75" customHeight="1">
      <c r="A999" s="188"/>
      <c r="B999" s="188"/>
      <c r="C999" s="188"/>
      <c r="D999" s="190"/>
      <c r="E999" s="190"/>
      <c r="F999" s="191"/>
      <c r="G999" s="192"/>
    </row>
    <row r="1000" ht="15.75" customHeight="1">
      <c r="A1000" s="188"/>
      <c r="B1000" s="188"/>
      <c r="C1000" s="188"/>
      <c r="D1000" s="190"/>
      <c r="E1000" s="190"/>
      <c r="F1000" s="191"/>
      <c r="G1000" s="192"/>
    </row>
    <row r="1001" ht="15.75" customHeight="1">
      <c r="A1001" s="188"/>
      <c r="B1001" s="188"/>
      <c r="C1001" s="188"/>
      <c r="D1001" s="190"/>
      <c r="E1001" s="190"/>
      <c r="F1001" s="191"/>
      <c r="G1001" s="192"/>
    </row>
    <row r="1002" ht="15.75" customHeight="1">
      <c r="A1002" s="188"/>
      <c r="B1002" s="188"/>
      <c r="C1002" s="188"/>
      <c r="D1002" s="190"/>
      <c r="E1002" s="190"/>
      <c r="F1002" s="191"/>
      <c r="G1002" s="192"/>
    </row>
    <row r="1003" ht="15.75" customHeight="1">
      <c r="A1003" s="188"/>
      <c r="B1003" s="188"/>
      <c r="C1003" s="188"/>
      <c r="D1003" s="190"/>
      <c r="E1003" s="190"/>
      <c r="F1003" s="191"/>
      <c r="G1003" s="192"/>
    </row>
    <row r="1004" ht="15.75" customHeight="1">
      <c r="A1004" s="188"/>
      <c r="B1004" s="188"/>
      <c r="C1004" s="188"/>
      <c r="D1004" s="190"/>
      <c r="E1004" s="190"/>
      <c r="F1004" s="191"/>
      <c r="G1004" s="192"/>
    </row>
    <row r="1005" ht="15.75" customHeight="1">
      <c r="A1005" s="188"/>
      <c r="B1005" s="188"/>
      <c r="C1005" s="188"/>
      <c r="D1005" s="190"/>
      <c r="E1005" s="190"/>
      <c r="F1005" s="191"/>
      <c r="G1005" s="192"/>
    </row>
    <row r="1006" ht="15.75" customHeight="1">
      <c r="A1006" s="188"/>
      <c r="B1006" s="188"/>
      <c r="C1006" s="188"/>
      <c r="D1006" s="190"/>
      <c r="E1006" s="190"/>
      <c r="F1006" s="191"/>
      <c r="G1006" s="192"/>
    </row>
    <row r="1007" ht="15.75" customHeight="1">
      <c r="A1007" s="188"/>
      <c r="B1007" s="188"/>
      <c r="C1007" s="188"/>
      <c r="D1007" s="190"/>
      <c r="E1007" s="190"/>
      <c r="F1007" s="191"/>
      <c r="G1007" s="192"/>
    </row>
    <row r="1008" ht="15.75" customHeight="1">
      <c r="A1008" s="188"/>
      <c r="B1008" s="188"/>
      <c r="C1008" s="188"/>
      <c r="D1008" s="190"/>
      <c r="E1008" s="190"/>
      <c r="F1008" s="191"/>
      <c r="G1008" s="192"/>
    </row>
    <row r="1009" ht="15.75" customHeight="1">
      <c r="A1009" s="188"/>
      <c r="B1009" s="188"/>
      <c r="C1009" s="188"/>
      <c r="D1009" s="190"/>
      <c r="E1009" s="190"/>
      <c r="F1009" s="191"/>
      <c r="G1009" s="192"/>
    </row>
    <row r="1010" ht="15.75" customHeight="1">
      <c r="A1010" s="188"/>
      <c r="B1010" s="188"/>
      <c r="C1010" s="188"/>
      <c r="D1010" s="190"/>
      <c r="E1010" s="190"/>
      <c r="F1010" s="191"/>
      <c r="G1010" s="192"/>
    </row>
    <row r="1011" ht="15.75" customHeight="1">
      <c r="A1011" s="188"/>
      <c r="B1011" s="188"/>
      <c r="C1011" s="188"/>
      <c r="D1011" s="190"/>
      <c r="E1011" s="190"/>
      <c r="F1011" s="191"/>
      <c r="G1011" s="192"/>
    </row>
    <row r="1012" ht="15.75" customHeight="1">
      <c r="A1012" s="188"/>
      <c r="B1012" s="188"/>
      <c r="C1012" s="188"/>
      <c r="D1012" s="190"/>
      <c r="E1012" s="190"/>
      <c r="F1012" s="191"/>
      <c r="G1012" s="192"/>
    </row>
    <row r="1013" ht="15.75" customHeight="1">
      <c r="A1013" s="188"/>
      <c r="B1013" s="188"/>
      <c r="C1013" s="188"/>
      <c r="D1013" s="190"/>
      <c r="E1013" s="190"/>
      <c r="F1013" s="191"/>
      <c r="G1013" s="192"/>
    </row>
    <row r="1014" ht="15.75" customHeight="1">
      <c r="A1014" s="188"/>
      <c r="B1014" s="188"/>
      <c r="C1014" s="188"/>
      <c r="D1014" s="190"/>
      <c r="E1014" s="190"/>
      <c r="F1014" s="191"/>
      <c r="G1014" s="192"/>
    </row>
    <row r="1015" ht="15.75" customHeight="1">
      <c r="A1015" s="188"/>
      <c r="B1015" s="188"/>
      <c r="C1015" s="188"/>
      <c r="D1015" s="190"/>
      <c r="E1015" s="190"/>
      <c r="F1015" s="191"/>
      <c r="G1015" s="192"/>
    </row>
    <row r="1016" ht="15.75" customHeight="1">
      <c r="A1016" s="188"/>
      <c r="B1016" s="188"/>
      <c r="C1016" s="188"/>
      <c r="D1016" s="190"/>
      <c r="E1016" s="190"/>
      <c r="F1016" s="191"/>
      <c r="G1016" s="192"/>
    </row>
    <row r="1017" ht="15.75" customHeight="1">
      <c r="A1017" s="188"/>
      <c r="B1017" s="188"/>
      <c r="C1017" s="188"/>
      <c r="D1017" s="190"/>
      <c r="E1017" s="190"/>
      <c r="F1017" s="191"/>
      <c r="G1017" s="192"/>
    </row>
    <row r="1018" ht="15.75" customHeight="1">
      <c r="A1018" s="188"/>
      <c r="B1018" s="188"/>
      <c r="C1018" s="188"/>
      <c r="D1018" s="190"/>
      <c r="E1018" s="190"/>
      <c r="F1018" s="191"/>
      <c r="G1018" s="192"/>
    </row>
    <row r="1019" ht="15.75" customHeight="1">
      <c r="A1019" s="188"/>
      <c r="B1019" s="188"/>
      <c r="C1019" s="188"/>
      <c r="D1019" s="190"/>
      <c r="E1019" s="190"/>
      <c r="F1019" s="191"/>
      <c r="G1019" s="192"/>
    </row>
    <row r="1020" ht="15.75" customHeight="1">
      <c r="A1020" s="188"/>
      <c r="B1020" s="188"/>
      <c r="C1020" s="188"/>
      <c r="D1020" s="190"/>
      <c r="E1020" s="190"/>
      <c r="F1020" s="191"/>
      <c r="G1020" s="192"/>
    </row>
    <row r="1021" ht="15.75" customHeight="1">
      <c r="A1021" s="188"/>
      <c r="B1021" s="188"/>
      <c r="C1021" s="188"/>
      <c r="D1021" s="190"/>
      <c r="E1021" s="190"/>
      <c r="F1021" s="191"/>
      <c r="G1021" s="192"/>
    </row>
    <row r="1022" ht="15.75" customHeight="1">
      <c r="A1022" s="188"/>
      <c r="B1022" s="188"/>
      <c r="C1022" s="188"/>
      <c r="D1022" s="190"/>
      <c r="E1022" s="190"/>
      <c r="F1022" s="191"/>
      <c r="G1022" s="192"/>
    </row>
    <row r="1023" ht="15.75" customHeight="1">
      <c r="A1023" s="188"/>
      <c r="B1023" s="188"/>
      <c r="C1023" s="188"/>
      <c r="D1023" s="190"/>
      <c r="E1023" s="190"/>
      <c r="F1023" s="191"/>
      <c r="G1023" s="192"/>
    </row>
    <row r="1024" ht="15.75" customHeight="1">
      <c r="A1024" s="188"/>
      <c r="B1024" s="188"/>
      <c r="C1024" s="188"/>
      <c r="D1024" s="190"/>
      <c r="E1024" s="190"/>
      <c r="F1024" s="191"/>
      <c r="G1024" s="192"/>
    </row>
    <row r="1025" ht="15.75" customHeight="1">
      <c r="A1025" s="188"/>
      <c r="B1025" s="188"/>
      <c r="C1025" s="188"/>
      <c r="D1025" s="190"/>
      <c r="E1025" s="190"/>
      <c r="F1025" s="191"/>
      <c r="G1025" s="192"/>
    </row>
    <row r="1026" ht="15.75" customHeight="1">
      <c r="A1026" s="188"/>
      <c r="B1026" s="188"/>
      <c r="C1026" s="188"/>
      <c r="D1026" s="190"/>
      <c r="E1026" s="190"/>
      <c r="F1026" s="191"/>
      <c r="G1026" s="192"/>
    </row>
    <row r="1027" ht="15.75" customHeight="1">
      <c r="A1027" s="188"/>
      <c r="B1027" s="188"/>
      <c r="C1027" s="188"/>
      <c r="D1027" s="190"/>
      <c r="E1027" s="190"/>
      <c r="F1027" s="191"/>
      <c r="G1027" s="192"/>
    </row>
    <row r="1028" ht="15.75" customHeight="1">
      <c r="A1028" s="188"/>
      <c r="B1028" s="188"/>
      <c r="C1028" s="188"/>
      <c r="D1028" s="190"/>
      <c r="E1028" s="190"/>
      <c r="F1028" s="191"/>
      <c r="G1028" s="192"/>
    </row>
    <row r="1029" ht="15.75" customHeight="1">
      <c r="A1029" s="188"/>
      <c r="B1029" s="188"/>
      <c r="C1029" s="188"/>
      <c r="D1029" s="190"/>
      <c r="E1029" s="190"/>
      <c r="F1029" s="191"/>
      <c r="G1029" s="192"/>
    </row>
    <row r="1030" ht="15.75" customHeight="1">
      <c r="A1030" s="188"/>
      <c r="B1030" s="188"/>
      <c r="C1030" s="188"/>
      <c r="D1030" s="190"/>
      <c r="E1030" s="190"/>
      <c r="F1030" s="191"/>
      <c r="G1030" s="192"/>
    </row>
    <row r="1031" ht="15.75" customHeight="1">
      <c r="A1031" s="188"/>
      <c r="B1031" s="188"/>
      <c r="C1031" s="188"/>
      <c r="D1031" s="190"/>
      <c r="E1031" s="190"/>
      <c r="F1031" s="191"/>
      <c r="G1031" s="192"/>
    </row>
    <row r="1032" ht="15.75" customHeight="1">
      <c r="A1032" s="188"/>
      <c r="B1032" s="188"/>
      <c r="C1032" s="188"/>
      <c r="D1032" s="190"/>
      <c r="E1032" s="190"/>
      <c r="F1032" s="191"/>
      <c r="G1032" s="192"/>
    </row>
    <row r="1033" ht="15.75" customHeight="1">
      <c r="A1033" s="188"/>
      <c r="B1033" s="188"/>
      <c r="C1033" s="188"/>
      <c r="D1033" s="190"/>
      <c r="E1033" s="190"/>
      <c r="F1033" s="191"/>
      <c r="G1033" s="192"/>
    </row>
    <row r="1034" ht="15.75" customHeight="1">
      <c r="A1034" s="188"/>
      <c r="B1034" s="188"/>
      <c r="C1034" s="188"/>
      <c r="D1034" s="190"/>
      <c r="E1034" s="190"/>
      <c r="F1034" s="191"/>
      <c r="G1034" s="192"/>
    </row>
    <row r="1035" ht="15.75" customHeight="1">
      <c r="A1035" s="188"/>
      <c r="B1035" s="188"/>
      <c r="C1035" s="188"/>
      <c r="D1035" s="190"/>
      <c r="E1035" s="190"/>
      <c r="F1035" s="191"/>
      <c r="G1035" s="192"/>
    </row>
    <row r="1036" ht="15.75" customHeight="1">
      <c r="A1036" s="188"/>
      <c r="B1036" s="188"/>
      <c r="C1036" s="188"/>
      <c r="D1036" s="190"/>
      <c r="E1036" s="190"/>
      <c r="F1036" s="191"/>
      <c r="G1036" s="192"/>
    </row>
    <row r="1037" ht="15.75" customHeight="1">
      <c r="A1037" s="188"/>
      <c r="B1037" s="188"/>
      <c r="C1037" s="188"/>
      <c r="D1037" s="190"/>
      <c r="E1037" s="190"/>
      <c r="F1037" s="191"/>
      <c r="G1037" s="192"/>
    </row>
    <row r="1038" ht="15.75" customHeight="1">
      <c r="A1038" s="188"/>
      <c r="B1038" s="188"/>
      <c r="C1038" s="188"/>
      <c r="D1038" s="190"/>
      <c r="E1038" s="190"/>
      <c r="F1038" s="191"/>
      <c r="G1038" s="192"/>
    </row>
    <row r="1039" ht="15.75" customHeight="1">
      <c r="A1039" s="188"/>
      <c r="B1039" s="188"/>
      <c r="C1039" s="188"/>
      <c r="D1039" s="190"/>
      <c r="E1039" s="190"/>
      <c r="F1039" s="191"/>
      <c r="G1039" s="192"/>
    </row>
    <row r="1040" ht="15.75" customHeight="1">
      <c r="A1040" s="188"/>
      <c r="B1040" s="188"/>
      <c r="C1040" s="188"/>
      <c r="D1040" s="190"/>
      <c r="E1040" s="190"/>
      <c r="F1040" s="191"/>
      <c r="G1040" s="192"/>
    </row>
    <row r="1041" ht="15.75" customHeight="1">
      <c r="A1041" s="188"/>
      <c r="B1041" s="188"/>
      <c r="C1041" s="188"/>
      <c r="D1041" s="190"/>
      <c r="E1041" s="190"/>
      <c r="F1041" s="191"/>
      <c r="G1041" s="192"/>
    </row>
    <row r="1042" ht="15.75" customHeight="1">
      <c r="A1042" s="188"/>
      <c r="B1042" s="188"/>
      <c r="C1042" s="188"/>
      <c r="D1042" s="190"/>
      <c r="E1042" s="190"/>
      <c r="F1042" s="191"/>
      <c r="G1042" s="192"/>
    </row>
    <row r="1043" ht="15.75" customHeight="1">
      <c r="A1043" s="188"/>
      <c r="B1043" s="188"/>
      <c r="C1043" s="188"/>
      <c r="D1043" s="190"/>
      <c r="E1043" s="190"/>
      <c r="F1043" s="191"/>
      <c r="G1043" s="192"/>
    </row>
    <row r="1044" ht="15.75" customHeight="1">
      <c r="A1044" s="188"/>
      <c r="B1044" s="188"/>
      <c r="C1044" s="188"/>
      <c r="D1044" s="190"/>
      <c r="E1044" s="190"/>
      <c r="F1044" s="191"/>
      <c r="G1044" s="192"/>
    </row>
    <row r="1045" ht="15.75" customHeight="1">
      <c r="A1045" s="188"/>
      <c r="B1045" s="188"/>
      <c r="C1045" s="188"/>
      <c r="D1045" s="190"/>
      <c r="E1045" s="190"/>
      <c r="F1045" s="191"/>
      <c r="G1045" s="192"/>
    </row>
    <row r="1046" ht="15.75" customHeight="1">
      <c r="A1046" s="188"/>
      <c r="B1046" s="188"/>
      <c r="C1046" s="188"/>
      <c r="D1046" s="190"/>
      <c r="E1046" s="190"/>
      <c r="F1046" s="191"/>
      <c r="G1046" s="192"/>
    </row>
    <row r="1047" ht="15.75" customHeight="1">
      <c r="A1047" s="188"/>
      <c r="B1047" s="188"/>
      <c r="C1047" s="188"/>
      <c r="D1047" s="190"/>
      <c r="E1047" s="190"/>
      <c r="F1047" s="191"/>
      <c r="G1047" s="192"/>
    </row>
    <row r="1048" ht="15.75" customHeight="1">
      <c r="A1048" s="188"/>
      <c r="B1048" s="188"/>
      <c r="C1048" s="188"/>
      <c r="D1048" s="190"/>
      <c r="E1048" s="190"/>
      <c r="F1048" s="191"/>
      <c r="G1048" s="192"/>
    </row>
    <row r="1049" ht="15.75" customHeight="1">
      <c r="A1049" s="188"/>
      <c r="B1049" s="188"/>
      <c r="C1049" s="188"/>
      <c r="D1049" s="190"/>
      <c r="E1049" s="190"/>
      <c r="F1049" s="191"/>
      <c r="G1049" s="192"/>
    </row>
    <row r="1050" ht="15.75" customHeight="1">
      <c r="A1050" s="188"/>
      <c r="B1050" s="188"/>
      <c r="C1050" s="188"/>
      <c r="D1050" s="190"/>
      <c r="E1050" s="190"/>
      <c r="F1050" s="191"/>
      <c r="G1050" s="192"/>
    </row>
    <row r="1051" ht="15.75" customHeight="1">
      <c r="A1051" s="188"/>
      <c r="B1051" s="188"/>
      <c r="C1051" s="188"/>
      <c r="D1051" s="190"/>
      <c r="E1051" s="190"/>
      <c r="F1051" s="191"/>
      <c r="G1051" s="192"/>
    </row>
    <row r="1052" ht="15.75" customHeight="1">
      <c r="A1052" s="188"/>
      <c r="B1052" s="188"/>
      <c r="C1052" s="188"/>
      <c r="D1052" s="190"/>
      <c r="E1052" s="190"/>
      <c r="F1052" s="191"/>
      <c r="G1052" s="192"/>
    </row>
    <row r="1053" ht="15.75" customHeight="1">
      <c r="A1053" s="188"/>
      <c r="B1053" s="188"/>
      <c r="C1053" s="188"/>
      <c r="D1053" s="190"/>
      <c r="E1053" s="190"/>
      <c r="F1053" s="191"/>
      <c r="G1053" s="192"/>
    </row>
    <row r="1054" ht="15.75" customHeight="1">
      <c r="A1054" s="188"/>
      <c r="B1054" s="188"/>
      <c r="C1054" s="188"/>
      <c r="D1054" s="190"/>
      <c r="E1054" s="190"/>
      <c r="F1054" s="191"/>
      <c r="G1054" s="192"/>
    </row>
    <row r="1055" ht="15.75" customHeight="1">
      <c r="A1055" s="188"/>
      <c r="B1055" s="188"/>
      <c r="C1055" s="188"/>
      <c r="D1055" s="190"/>
      <c r="E1055" s="190"/>
      <c r="F1055" s="191"/>
      <c r="G1055" s="192"/>
    </row>
    <row r="1056" ht="15.75" customHeight="1">
      <c r="A1056" s="188"/>
      <c r="B1056" s="188"/>
      <c r="C1056" s="188"/>
      <c r="D1056" s="190"/>
      <c r="E1056" s="190"/>
      <c r="F1056" s="191"/>
      <c r="G1056" s="192"/>
    </row>
    <row r="1057" ht="15.75" customHeight="1">
      <c r="A1057" s="188"/>
      <c r="B1057" s="188"/>
      <c r="C1057" s="188"/>
      <c r="D1057" s="190"/>
      <c r="E1057" s="190"/>
      <c r="F1057" s="191"/>
      <c r="G1057" s="192"/>
    </row>
    <row r="1058" ht="15.75" customHeight="1">
      <c r="A1058" s="188"/>
      <c r="B1058" s="188"/>
      <c r="C1058" s="188"/>
      <c r="D1058" s="190"/>
      <c r="E1058" s="190"/>
      <c r="F1058" s="191"/>
      <c r="G1058" s="192"/>
    </row>
    <row r="1059" ht="15.75" customHeight="1">
      <c r="A1059" s="188"/>
      <c r="B1059" s="188"/>
      <c r="C1059" s="188"/>
      <c r="D1059" s="190"/>
      <c r="E1059" s="190"/>
      <c r="F1059" s="191"/>
      <c r="G1059" s="192"/>
    </row>
    <row r="1060" ht="15.75" customHeight="1">
      <c r="A1060" s="188"/>
      <c r="B1060" s="188"/>
      <c r="C1060" s="188"/>
      <c r="D1060" s="190"/>
      <c r="E1060" s="190"/>
      <c r="F1060" s="191"/>
      <c r="G1060" s="192"/>
    </row>
    <row r="1061" ht="15.75" customHeight="1">
      <c r="A1061" s="188"/>
      <c r="B1061" s="188"/>
      <c r="C1061" s="188"/>
      <c r="D1061" s="190"/>
      <c r="E1061" s="190"/>
      <c r="F1061" s="191"/>
      <c r="G1061" s="192"/>
    </row>
    <row r="1062" ht="15.75" customHeight="1">
      <c r="A1062" s="188"/>
      <c r="B1062" s="188"/>
      <c r="C1062" s="188"/>
      <c r="D1062" s="190"/>
      <c r="E1062" s="190"/>
      <c r="F1062" s="191"/>
      <c r="G1062" s="192"/>
    </row>
    <row r="1063" ht="15.75" customHeight="1">
      <c r="A1063" s="188"/>
      <c r="B1063" s="188"/>
      <c r="C1063" s="188"/>
      <c r="D1063" s="190"/>
      <c r="E1063" s="190"/>
      <c r="F1063" s="191"/>
      <c r="G1063" s="192"/>
    </row>
    <row r="1064" ht="15.75" customHeight="1">
      <c r="A1064" s="188"/>
      <c r="B1064" s="188"/>
      <c r="C1064" s="188"/>
      <c r="D1064" s="190"/>
      <c r="E1064" s="190"/>
      <c r="F1064" s="191"/>
      <c r="G1064" s="192"/>
    </row>
    <row r="1065" ht="15.75" customHeight="1">
      <c r="A1065" s="188"/>
      <c r="B1065" s="188"/>
      <c r="C1065" s="188"/>
      <c r="D1065" s="190"/>
      <c r="E1065" s="190"/>
      <c r="F1065" s="191"/>
      <c r="G1065" s="192"/>
    </row>
    <row r="1066" ht="15.75" customHeight="1">
      <c r="A1066" s="188"/>
      <c r="B1066" s="188"/>
      <c r="C1066" s="188"/>
      <c r="D1066" s="190"/>
      <c r="E1066" s="190"/>
      <c r="F1066" s="191"/>
      <c r="G1066" s="192"/>
    </row>
    <row r="1067" ht="15.75" customHeight="1">
      <c r="A1067" s="188"/>
      <c r="B1067" s="188"/>
      <c r="C1067" s="188"/>
      <c r="D1067" s="190"/>
      <c r="E1067" s="190"/>
      <c r="F1067" s="191"/>
      <c r="G1067" s="192"/>
    </row>
    <row r="1068" ht="15.75" customHeight="1">
      <c r="A1068" s="188"/>
      <c r="B1068" s="188"/>
      <c r="C1068" s="188"/>
      <c r="D1068" s="190"/>
      <c r="E1068" s="190"/>
      <c r="F1068" s="191"/>
      <c r="G1068" s="192"/>
    </row>
    <row r="1069" ht="15.75" customHeight="1">
      <c r="A1069" s="188"/>
      <c r="B1069" s="188"/>
      <c r="C1069" s="188"/>
      <c r="D1069" s="190"/>
      <c r="E1069" s="190"/>
      <c r="F1069" s="191"/>
      <c r="G1069" s="192"/>
    </row>
    <row r="1070" ht="15.75" customHeight="1">
      <c r="A1070" s="188"/>
      <c r="B1070" s="188"/>
      <c r="C1070" s="188"/>
      <c r="D1070" s="190"/>
      <c r="E1070" s="190"/>
      <c r="F1070" s="191"/>
      <c r="G1070" s="192"/>
    </row>
    <row r="1071" ht="15.75" customHeight="1">
      <c r="A1071" s="188"/>
      <c r="B1071" s="188"/>
      <c r="C1071" s="188"/>
      <c r="D1071" s="190"/>
      <c r="E1071" s="190"/>
      <c r="F1071" s="191"/>
      <c r="G1071" s="192"/>
    </row>
    <row r="1072" ht="15.75" customHeight="1">
      <c r="A1072" s="188"/>
      <c r="B1072" s="188"/>
      <c r="C1072" s="188"/>
      <c r="D1072" s="190"/>
      <c r="E1072" s="190"/>
      <c r="F1072" s="191"/>
      <c r="G1072" s="192"/>
    </row>
    <row r="1073" ht="15.75" customHeight="1">
      <c r="A1073" s="188"/>
      <c r="B1073" s="188"/>
      <c r="C1073" s="188"/>
      <c r="D1073" s="190"/>
      <c r="E1073" s="190"/>
      <c r="F1073" s="191"/>
      <c r="G1073" s="192"/>
    </row>
    <row r="1074" ht="15.75" customHeight="1">
      <c r="A1074" s="188"/>
      <c r="B1074" s="188"/>
      <c r="C1074" s="188"/>
      <c r="D1074" s="190"/>
      <c r="E1074" s="190"/>
      <c r="F1074" s="191"/>
      <c r="G1074" s="192"/>
    </row>
    <row r="1075" ht="15.75" customHeight="1">
      <c r="A1075" s="188"/>
      <c r="B1075" s="188"/>
      <c r="C1075" s="188"/>
      <c r="D1075" s="190"/>
      <c r="E1075" s="190"/>
      <c r="F1075" s="191"/>
      <c r="G1075" s="192"/>
    </row>
    <row r="1076" ht="15.75" customHeight="1">
      <c r="A1076" s="188"/>
      <c r="B1076" s="188"/>
      <c r="C1076" s="188"/>
      <c r="D1076" s="190"/>
      <c r="E1076" s="190"/>
      <c r="F1076" s="191"/>
      <c r="G1076" s="192"/>
    </row>
    <row r="1077" ht="15.75" customHeight="1">
      <c r="A1077" s="188"/>
      <c r="B1077" s="188"/>
      <c r="C1077" s="188"/>
      <c r="D1077" s="190"/>
      <c r="E1077" s="190"/>
      <c r="F1077" s="191"/>
      <c r="G1077" s="192"/>
    </row>
    <row r="1078" ht="15.75" customHeight="1">
      <c r="A1078" s="188"/>
      <c r="B1078" s="188"/>
      <c r="C1078" s="188"/>
      <c r="D1078" s="190"/>
      <c r="E1078" s="190"/>
      <c r="F1078" s="191"/>
      <c r="G1078" s="192"/>
    </row>
    <row r="1079" ht="15.75" customHeight="1">
      <c r="A1079" s="188"/>
      <c r="B1079" s="188"/>
      <c r="C1079" s="188"/>
      <c r="D1079" s="190"/>
      <c r="E1079" s="190"/>
      <c r="F1079" s="191"/>
      <c r="G1079" s="192"/>
    </row>
    <row r="1080" ht="15.75" customHeight="1">
      <c r="A1080" s="188"/>
      <c r="B1080" s="188"/>
      <c r="C1080" s="188"/>
      <c r="D1080" s="190"/>
      <c r="E1080" s="190"/>
      <c r="F1080" s="191"/>
      <c r="G1080" s="192"/>
    </row>
    <row r="1081" ht="15.75" customHeight="1">
      <c r="A1081" s="188"/>
      <c r="B1081" s="188"/>
      <c r="C1081" s="188"/>
      <c r="D1081" s="190"/>
      <c r="E1081" s="190"/>
      <c r="F1081" s="191"/>
      <c r="G1081" s="192"/>
    </row>
    <row r="1082" ht="15.75" customHeight="1">
      <c r="A1082" s="188"/>
      <c r="B1082" s="188"/>
      <c r="C1082" s="188"/>
      <c r="D1082" s="190"/>
      <c r="E1082" s="190"/>
      <c r="F1082" s="191"/>
      <c r="G1082" s="192"/>
    </row>
    <row r="1083" ht="15.75" customHeight="1">
      <c r="A1083" s="188"/>
      <c r="B1083" s="188"/>
      <c r="C1083" s="188"/>
      <c r="D1083" s="190"/>
      <c r="E1083" s="190"/>
      <c r="F1083" s="191"/>
      <c r="G1083" s="192"/>
    </row>
    <row r="1084" ht="15.75" customHeight="1">
      <c r="A1084" s="188"/>
      <c r="B1084" s="188"/>
      <c r="C1084" s="188"/>
      <c r="D1084" s="190"/>
      <c r="E1084" s="190"/>
      <c r="F1084" s="191"/>
      <c r="G1084" s="192"/>
    </row>
    <row r="1085" ht="15.75" customHeight="1">
      <c r="A1085" s="188"/>
      <c r="B1085" s="188"/>
      <c r="C1085" s="188"/>
      <c r="D1085" s="190"/>
      <c r="E1085" s="190"/>
      <c r="F1085" s="191"/>
      <c r="G1085" s="192"/>
    </row>
    <row r="1086" ht="15.75" customHeight="1">
      <c r="A1086" s="188"/>
      <c r="B1086" s="188"/>
      <c r="C1086" s="188"/>
      <c r="D1086" s="190"/>
      <c r="E1086" s="190"/>
      <c r="F1086" s="191"/>
      <c r="G1086" s="192"/>
    </row>
    <row r="1087" ht="15.75" customHeight="1">
      <c r="A1087" s="188"/>
      <c r="B1087" s="188"/>
      <c r="C1087" s="188"/>
      <c r="D1087" s="190"/>
      <c r="E1087" s="190"/>
      <c r="F1087" s="191"/>
      <c r="G1087" s="192"/>
    </row>
    <row r="1088" ht="15.75" customHeight="1">
      <c r="A1088" s="188"/>
      <c r="B1088" s="188"/>
      <c r="C1088" s="188"/>
      <c r="D1088" s="190"/>
      <c r="E1088" s="190"/>
      <c r="F1088" s="191"/>
      <c r="G1088" s="192"/>
    </row>
    <row r="1089" ht="15.75" customHeight="1">
      <c r="A1089" s="188"/>
      <c r="B1089" s="188"/>
      <c r="C1089" s="188"/>
      <c r="D1089" s="190"/>
      <c r="E1089" s="190"/>
      <c r="F1089" s="191"/>
      <c r="G1089" s="192"/>
    </row>
    <row r="1090" ht="15.75" customHeight="1">
      <c r="A1090" s="188"/>
      <c r="B1090" s="188"/>
      <c r="C1090" s="188"/>
      <c r="D1090" s="190"/>
      <c r="E1090" s="190"/>
      <c r="F1090" s="191"/>
      <c r="G1090" s="192"/>
    </row>
    <row r="1091" ht="15.75" customHeight="1">
      <c r="A1091" s="188"/>
      <c r="B1091" s="188"/>
      <c r="C1091" s="188"/>
      <c r="D1091" s="190"/>
      <c r="E1091" s="190"/>
      <c r="F1091" s="191"/>
      <c r="G1091" s="192"/>
    </row>
    <row r="1092" ht="15.75" customHeight="1">
      <c r="A1092" s="188"/>
      <c r="B1092" s="188"/>
      <c r="C1092" s="188"/>
      <c r="D1092" s="190"/>
      <c r="E1092" s="190"/>
      <c r="F1092" s="191"/>
      <c r="G1092" s="192"/>
    </row>
    <row r="1093" ht="15.75" customHeight="1">
      <c r="A1093" s="188"/>
      <c r="B1093" s="188"/>
      <c r="C1093" s="188"/>
      <c r="D1093" s="190"/>
      <c r="E1093" s="190"/>
      <c r="F1093" s="191"/>
      <c r="G1093" s="192"/>
    </row>
    <row r="1094" ht="15.75" customHeight="1">
      <c r="A1094" s="188"/>
      <c r="B1094" s="188"/>
      <c r="C1094" s="188"/>
      <c r="D1094" s="190"/>
      <c r="E1094" s="190"/>
      <c r="F1094" s="191"/>
      <c r="G1094" s="192"/>
    </row>
    <row r="1095" ht="15.75" customHeight="1">
      <c r="A1095" s="188"/>
      <c r="B1095" s="188"/>
      <c r="C1095" s="188"/>
      <c r="D1095" s="190"/>
      <c r="E1095" s="190"/>
      <c r="F1095" s="191"/>
      <c r="G1095" s="192"/>
    </row>
    <row r="1096" ht="15.75" customHeight="1">
      <c r="A1096" s="188"/>
      <c r="B1096" s="188"/>
      <c r="C1096" s="188"/>
      <c r="D1096" s="190"/>
      <c r="E1096" s="190"/>
      <c r="F1096" s="191"/>
      <c r="G1096" s="192"/>
    </row>
    <row r="1097" ht="15.75" customHeight="1">
      <c r="A1097" s="188"/>
      <c r="B1097" s="188"/>
      <c r="C1097" s="188"/>
      <c r="D1097" s="190"/>
      <c r="E1097" s="190"/>
      <c r="F1097" s="191"/>
      <c r="G1097" s="192"/>
    </row>
    <row r="1098" ht="15.75" customHeight="1">
      <c r="A1098" s="188"/>
      <c r="B1098" s="188"/>
      <c r="C1098" s="188"/>
      <c r="D1098" s="190"/>
      <c r="E1098" s="190"/>
      <c r="F1098" s="191"/>
      <c r="G1098" s="192"/>
    </row>
    <row r="1099" ht="15.75" customHeight="1">
      <c r="A1099" s="188"/>
      <c r="B1099" s="188"/>
      <c r="C1099" s="188"/>
      <c r="D1099" s="190"/>
      <c r="E1099" s="190"/>
      <c r="F1099" s="191"/>
      <c r="G1099" s="192"/>
    </row>
    <row r="1100" ht="15.75" customHeight="1">
      <c r="A1100" s="188"/>
      <c r="B1100" s="188"/>
      <c r="C1100" s="188"/>
      <c r="D1100" s="190"/>
      <c r="E1100" s="190"/>
      <c r="F1100" s="191"/>
      <c r="G1100" s="192"/>
    </row>
    <row r="1101" ht="15.75" customHeight="1">
      <c r="A1101" s="188"/>
      <c r="B1101" s="188"/>
      <c r="C1101" s="188"/>
      <c r="D1101" s="190"/>
      <c r="E1101" s="190"/>
      <c r="F1101" s="191"/>
      <c r="G1101" s="192"/>
    </row>
    <row r="1102" ht="15.75" customHeight="1">
      <c r="A1102" s="188"/>
      <c r="B1102" s="188"/>
      <c r="C1102" s="188"/>
      <c r="D1102" s="190"/>
      <c r="E1102" s="190"/>
      <c r="F1102" s="191"/>
      <c r="G1102" s="192"/>
    </row>
    <row r="1103" ht="15.75" customHeight="1">
      <c r="A1103" s="188"/>
      <c r="B1103" s="188"/>
      <c r="C1103" s="188"/>
      <c r="D1103" s="190"/>
      <c r="E1103" s="190"/>
      <c r="F1103" s="191"/>
      <c r="G1103" s="192"/>
    </row>
    <row r="1104" ht="15.75" customHeight="1">
      <c r="A1104" s="188"/>
      <c r="B1104" s="188"/>
      <c r="C1104" s="188"/>
      <c r="D1104" s="190"/>
      <c r="E1104" s="190"/>
      <c r="F1104" s="191"/>
      <c r="G1104" s="192"/>
    </row>
    <row r="1105" ht="15.75" customHeight="1">
      <c r="A1105" s="188"/>
      <c r="B1105" s="188"/>
      <c r="C1105" s="188"/>
      <c r="D1105" s="190"/>
      <c r="E1105" s="190"/>
      <c r="F1105" s="191"/>
      <c r="G1105" s="192"/>
    </row>
    <row r="1106" ht="15.75" customHeight="1">
      <c r="A1106" s="188"/>
      <c r="B1106" s="188"/>
      <c r="C1106" s="188"/>
      <c r="D1106" s="190"/>
      <c r="E1106" s="190"/>
      <c r="F1106" s="191"/>
      <c r="G1106" s="192"/>
    </row>
    <row r="1107" ht="15.75" customHeight="1">
      <c r="A1107" s="188"/>
      <c r="B1107" s="188"/>
      <c r="C1107" s="188"/>
      <c r="D1107" s="190"/>
      <c r="E1107" s="190"/>
      <c r="F1107" s="191"/>
      <c r="G1107" s="192"/>
    </row>
    <row r="1108" ht="15.75" customHeight="1">
      <c r="A1108" s="188"/>
      <c r="B1108" s="188"/>
      <c r="C1108" s="188"/>
      <c r="D1108" s="190"/>
      <c r="E1108" s="190"/>
      <c r="F1108" s="191"/>
      <c r="G1108" s="192"/>
    </row>
    <row r="1109" ht="15.75" customHeight="1">
      <c r="A1109" s="188"/>
      <c r="B1109" s="188"/>
      <c r="C1109" s="188"/>
      <c r="D1109" s="190"/>
      <c r="E1109" s="190"/>
      <c r="F1109" s="191"/>
      <c r="G1109" s="192"/>
    </row>
    <row r="1110" ht="15.75" customHeight="1">
      <c r="A1110" s="188"/>
      <c r="B1110" s="188"/>
      <c r="C1110" s="188"/>
      <c r="D1110" s="190"/>
      <c r="E1110" s="190"/>
      <c r="F1110" s="191"/>
      <c r="G1110" s="192"/>
    </row>
    <row r="1111" ht="15.75" customHeight="1">
      <c r="A1111" s="188"/>
      <c r="B1111" s="188"/>
      <c r="C1111" s="188"/>
      <c r="D1111" s="190"/>
      <c r="E1111" s="190"/>
      <c r="F1111" s="191"/>
      <c r="G1111" s="192"/>
    </row>
    <row r="1112" ht="15.75" customHeight="1">
      <c r="A1112" s="188"/>
      <c r="B1112" s="188"/>
      <c r="C1112" s="188"/>
      <c r="D1112" s="190"/>
      <c r="E1112" s="190"/>
      <c r="F1112" s="191"/>
      <c r="G1112" s="192"/>
    </row>
    <row r="1113" ht="15.75" customHeight="1">
      <c r="A1113" s="188"/>
      <c r="B1113" s="188"/>
      <c r="C1113" s="188"/>
      <c r="D1113" s="190"/>
      <c r="E1113" s="190"/>
      <c r="F1113" s="191"/>
      <c r="G1113" s="192"/>
    </row>
    <row r="1114" ht="15.75" customHeight="1">
      <c r="A1114" s="188"/>
      <c r="B1114" s="188"/>
      <c r="C1114" s="188"/>
      <c r="D1114" s="190"/>
      <c r="E1114" s="190"/>
      <c r="F1114" s="191"/>
      <c r="G1114" s="192"/>
    </row>
    <row r="1115" ht="15.75" customHeight="1">
      <c r="A1115" s="188"/>
      <c r="B1115" s="188"/>
      <c r="C1115" s="188"/>
      <c r="D1115" s="190"/>
      <c r="E1115" s="190"/>
      <c r="F1115" s="191"/>
      <c r="G1115" s="192"/>
    </row>
    <row r="1116" ht="15.75" customHeight="1">
      <c r="A1116" s="188"/>
      <c r="B1116" s="188"/>
      <c r="C1116" s="188"/>
      <c r="D1116" s="190"/>
      <c r="E1116" s="190"/>
      <c r="F1116" s="191"/>
      <c r="G1116" s="192"/>
    </row>
    <row r="1117" ht="15.75" customHeight="1">
      <c r="A1117" s="188"/>
      <c r="B1117" s="188"/>
      <c r="C1117" s="188"/>
      <c r="D1117" s="190"/>
      <c r="E1117" s="190"/>
      <c r="F1117" s="191"/>
      <c r="G1117" s="192"/>
    </row>
    <row r="1118" ht="15.75" customHeight="1">
      <c r="A1118" s="188"/>
      <c r="B1118" s="188"/>
      <c r="C1118" s="188"/>
      <c r="D1118" s="190"/>
      <c r="E1118" s="190"/>
      <c r="F1118" s="191"/>
      <c r="G1118" s="192"/>
    </row>
    <row r="1119" ht="15.75" customHeight="1">
      <c r="A1119" s="188"/>
      <c r="B1119" s="188"/>
      <c r="C1119" s="188"/>
      <c r="D1119" s="190"/>
      <c r="E1119" s="190"/>
      <c r="F1119" s="191"/>
      <c r="G1119" s="192"/>
    </row>
    <row r="1120" ht="15.75" customHeight="1">
      <c r="A1120" s="188"/>
      <c r="B1120" s="188"/>
      <c r="C1120" s="188"/>
      <c r="D1120" s="190"/>
      <c r="E1120" s="190"/>
      <c r="F1120" s="191"/>
      <c r="G1120" s="192"/>
    </row>
    <row r="1121" ht="15.75" customHeight="1">
      <c r="A1121" s="188"/>
      <c r="B1121" s="188"/>
      <c r="C1121" s="188"/>
      <c r="D1121" s="190"/>
      <c r="E1121" s="190"/>
      <c r="F1121" s="191"/>
      <c r="G1121" s="192"/>
    </row>
    <row r="1122" ht="15.75" customHeight="1">
      <c r="A1122" s="188"/>
      <c r="B1122" s="188"/>
      <c r="C1122" s="188"/>
      <c r="D1122" s="190"/>
      <c r="E1122" s="190"/>
      <c r="F1122" s="191"/>
      <c r="G1122" s="192"/>
    </row>
    <row r="1123" ht="15.75" customHeight="1">
      <c r="A1123" s="188"/>
      <c r="B1123" s="188"/>
      <c r="C1123" s="188"/>
      <c r="D1123" s="190"/>
      <c r="E1123" s="190"/>
      <c r="F1123" s="191"/>
      <c r="G1123" s="192"/>
    </row>
    <row r="1124" ht="15.75" customHeight="1">
      <c r="A1124" s="188"/>
      <c r="B1124" s="188"/>
      <c r="C1124" s="188"/>
      <c r="D1124" s="190"/>
      <c r="E1124" s="190"/>
      <c r="F1124" s="191"/>
      <c r="G1124" s="192"/>
    </row>
    <row r="1125" ht="15.75" customHeight="1">
      <c r="A1125" s="188"/>
      <c r="B1125" s="188"/>
      <c r="C1125" s="188"/>
      <c r="D1125" s="190"/>
      <c r="E1125" s="190"/>
      <c r="F1125" s="191"/>
      <c r="G1125" s="192"/>
    </row>
    <row r="1126" ht="15.75" customHeight="1">
      <c r="A1126" s="188"/>
      <c r="B1126" s="188"/>
      <c r="C1126" s="188"/>
      <c r="D1126" s="190"/>
      <c r="E1126" s="190"/>
      <c r="F1126" s="191"/>
      <c r="G1126" s="192"/>
    </row>
    <row r="1127" ht="15.75" customHeight="1">
      <c r="A1127" s="188"/>
      <c r="B1127" s="188"/>
      <c r="C1127" s="188"/>
      <c r="D1127" s="190"/>
      <c r="E1127" s="190"/>
      <c r="F1127" s="191"/>
      <c r="G1127" s="192"/>
    </row>
    <row r="1128" ht="15.75" customHeight="1">
      <c r="A1128" s="188"/>
      <c r="B1128" s="188"/>
      <c r="C1128" s="188"/>
      <c r="D1128" s="190"/>
      <c r="E1128" s="190"/>
      <c r="F1128" s="191"/>
      <c r="G1128" s="192"/>
    </row>
    <row r="1129" ht="15.75" customHeight="1">
      <c r="A1129" s="188"/>
      <c r="B1129" s="188"/>
      <c r="C1129" s="188"/>
      <c r="D1129" s="190"/>
      <c r="E1129" s="190"/>
      <c r="F1129" s="191"/>
      <c r="G1129" s="192"/>
    </row>
    <row r="1130" ht="15.75" customHeight="1">
      <c r="A1130" s="188"/>
      <c r="B1130" s="188"/>
      <c r="C1130" s="188"/>
      <c r="D1130" s="190"/>
      <c r="E1130" s="190"/>
      <c r="F1130" s="191"/>
      <c r="G1130" s="192"/>
    </row>
    <row r="1131" ht="15.75" customHeight="1">
      <c r="A1131" s="188"/>
      <c r="B1131" s="188"/>
      <c r="C1131" s="188"/>
      <c r="D1131" s="190"/>
      <c r="E1131" s="190"/>
      <c r="F1131" s="191"/>
      <c r="G1131" s="192"/>
    </row>
    <row r="1132" ht="15.75" customHeight="1">
      <c r="A1132" s="188"/>
      <c r="B1132" s="188"/>
      <c r="C1132" s="188"/>
      <c r="D1132" s="190"/>
      <c r="E1132" s="190"/>
      <c r="F1132" s="191"/>
      <c r="G1132" s="192"/>
    </row>
    <row r="1133" ht="15.75" customHeight="1">
      <c r="A1133" s="188"/>
      <c r="B1133" s="188"/>
      <c r="C1133" s="188"/>
      <c r="D1133" s="190"/>
      <c r="E1133" s="190"/>
      <c r="F1133" s="191"/>
      <c r="G1133" s="192"/>
    </row>
    <row r="1134" ht="15.75" customHeight="1">
      <c r="A1134" s="188"/>
      <c r="B1134" s="188"/>
      <c r="C1134" s="188"/>
      <c r="D1134" s="190"/>
      <c r="E1134" s="190"/>
      <c r="F1134" s="191"/>
      <c r="G1134" s="192"/>
    </row>
    <row r="1135" ht="15.75" customHeight="1">
      <c r="A1135" s="188"/>
      <c r="B1135" s="188"/>
      <c r="C1135" s="188"/>
      <c r="D1135" s="190"/>
      <c r="E1135" s="190"/>
      <c r="F1135" s="191"/>
      <c r="G1135" s="192"/>
    </row>
    <row r="1136" ht="15.75" customHeight="1">
      <c r="A1136" s="188"/>
      <c r="B1136" s="188"/>
      <c r="C1136" s="188"/>
      <c r="D1136" s="190"/>
      <c r="E1136" s="190"/>
      <c r="F1136" s="191"/>
      <c r="G1136" s="192"/>
    </row>
    <row r="1137" ht="15.75" customHeight="1">
      <c r="A1137" s="188"/>
      <c r="B1137" s="188"/>
      <c r="C1137" s="188"/>
      <c r="D1137" s="190"/>
      <c r="E1137" s="190"/>
      <c r="F1137" s="191"/>
      <c r="G1137" s="192"/>
    </row>
    <row r="1138" ht="15.75" customHeight="1">
      <c r="A1138" s="188"/>
      <c r="B1138" s="188"/>
      <c r="C1138" s="188"/>
      <c r="D1138" s="190"/>
      <c r="E1138" s="190"/>
      <c r="F1138" s="191"/>
      <c r="G1138" s="192"/>
    </row>
    <row r="1139" ht="15.75" customHeight="1">
      <c r="A1139" s="188"/>
      <c r="B1139" s="188"/>
      <c r="C1139" s="188"/>
      <c r="D1139" s="190"/>
      <c r="E1139" s="190"/>
      <c r="F1139" s="191"/>
      <c r="G1139" s="192"/>
    </row>
    <row r="1140" ht="15.75" customHeight="1">
      <c r="A1140" s="188"/>
      <c r="B1140" s="188"/>
      <c r="C1140" s="188"/>
      <c r="D1140" s="190"/>
      <c r="E1140" s="190"/>
      <c r="F1140" s="191"/>
      <c r="G1140" s="192"/>
    </row>
    <row r="1141" ht="15.75" customHeight="1">
      <c r="A1141" s="188"/>
      <c r="B1141" s="188"/>
      <c r="C1141" s="188"/>
      <c r="D1141" s="190"/>
      <c r="E1141" s="190"/>
      <c r="F1141" s="191"/>
      <c r="G1141" s="192"/>
    </row>
    <row r="1142" ht="15.75" customHeight="1">
      <c r="A1142" s="188"/>
      <c r="B1142" s="188"/>
      <c r="C1142" s="188"/>
      <c r="D1142" s="190"/>
      <c r="E1142" s="190"/>
      <c r="F1142" s="191"/>
      <c r="G1142" s="192"/>
    </row>
    <row r="1143" ht="15.75" customHeight="1">
      <c r="A1143" s="188"/>
      <c r="B1143" s="188"/>
      <c r="C1143" s="188"/>
      <c r="D1143" s="190"/>
      <c r="E1143" s="190"/>
      <c r="F1143" s="191"/>
      <c r="G1143" s="192"/>
    </row>
    <row r="1144" ht="15.75" customHeight="1">
      <c r="A1144" s="188"/>
      <c r="B1144" s="188"/>
      <c r="C1144" s="188"/>
      <c r="D1144" s="190"/>
      <c r="E1144" s="190"/>
      <c r="F1144" s="191"/>
      <c r="G1144" s="192"/>
    </row>
    <row r="1145" ht="15.75" customHeight="1">
      <c r="A1145" s="188"/>
      <c r="B1145" s="188"/>
      <c r="C1145" s="188"/>
      <c r="D1145" s="190"/>
      <c r="E1145" s="190"/>
      <c r="F1145" s="191"/>
      <c r="G1145" s="192"/>
    </row>
    <row r="1146" ht="15.75" customHeight="1">
      <c r="A1146" s="188"/>
      <c r="B1146" s="188"/>
      <c r="C1146" s="188"/>
      <c r="D1146" s="190"/>
      <c r="E1146" s="190"/>
      <c r="F1146" s="191"/>
      <c r="G1146" s="192"/>
    </row>
    <row r="1147" ht="15.75" customHeight="1">
      <c r="A1147" s="188"/>
      <c r="B1147" s="188"/>
      <c r="C1147" s="188"/>
      <c r="D1147" s="190"/>
      <c r="E1147" s="190"/>
      <c r="F1147" s="191"/>
      <c r="G1147" s="192"/>
    </row>
    <row r="1148" ht="15.75" customHeight="1">
      <c r="A1148" s="188"/>
      <c r="B1148" s="188"/>
      <c r="C1148" s="188"/>
      <c r="D1148" s="190"/>
      <c r="E1148" s="190"/>
      <c r="F1148" s="191"/>
      <c r="G1148" s="192"/>
    </row>
    <row r="1149" ht="15.75" customHeight="1">
      <c r="A1149" s="188"/>
      <c r="B1149" s="188"/>
      <c r="C1149" s="188"/>
      <c r="D1149" s="190"/>
      <c r="E1149" s="190"/>
      <c r="F1149" s="191"/>
      <c r="G1149" s="192"/>
    </row>
    <row r="1150" ht="15.75" customHeight="1">
      <c r="A1150" s="188"/>
      <c r="B1150" s="188"/>
      <c r="C1150" s="188"/>
      <c r="D1150" s="190"/>
      <c r="E1150" s="190"/>
      <c r="F1150" s="191"/>
      <c r="G1150" s="192"/>
    </row>
    <row r="1151" ht="15.75" customHeight="1">
      <c r="A1151" s="188"/>
      <c r="B1151" s="188"/>
      <c r="C1151" s="188"/>
      <c r="D1151" s="190"/>
      <c r="E1151" s="190"/>
      <c r="F1151" s="191"/>
      <c r="G1151" s="192"/>
    </row>
    <row r="1152" ht="15.75" customHeight="1">
      <c r="A1152" s="188"/>
      <c r="B1152" s="188"/>
      <c r="C1152" s="188"/>
      <c r="D1152" s="190"/>
      <c r="E1152" s="190"/>
      <c r="F1152" s="191"/>
      <c r="G1152" s="192"/>
    </row>
    <row r="1153" ht="15.75" customHeight="1">
      <c r="A1153" s="188"/>
      <c r="B1153" s="188"/>
      <c r="C1153" s="188"/>
      <c r="D1153" s="190"/>
      <c r="E1153" s="190"/>
      <c r="F1153" s="191"/>
      <c r="G1153" s="192"/>
    </row>
    <row r="1154" ht="15.75" customHeight="1">
      <c r="A1154" s="188"/>
      <c r="B1154" s="188"/>
      <c r="C1154" s="188"/>
      <c r="D1154" s="190"/>
      <c r="E1154" s="190"/>
      <c r="F1154" s="191"/>
      <c r="G1154" s="192"/>
    </row>
    <row r="1155" ht="15.75" customHeight="1">
      <c r="A1155" s="188"/>
      <c r="B1155" s="188"/>
      <c r="C1155" s="188"/>
      <c r="D1155" s="190"/>
      <c r="E1155" s="190"/>
      <c r="F1155" s="191"/>
      <c r="G1155" s="192"/>
    </row>
    <row r="1156" ht="15.75" customHeight="1">
      <c r="A1156" s="188"/>
      <c r="B1156" s="188"/>
      <c r="C1156" s="188"/>
      <c r="D1156" s="190"/>
      <c r="E1156" s="190"/>
      <c r="F1156" s="191"/>
      <c r="G1156" s="192"/>
    </row>
    <row r="1157" ht="15.75" customHeight="1">
      <c r="A1157" s="188"/>
      <c r="B1157" s="188"/>
      <c r="C1157" s="188"/>
      <c r="D1157" s="190"/>
      <c r="E1157" s="190"/>
      <c r="F1157" s="191"/>
      <c r="G1157" s="192"/>
    </row>
    <row r="1158" ht="15.75" customHeight="1">
      <c r="A1158" s="188"/>
      <c r="B1158" s="188"/>
      <c r="C1158" s="188"/>
      <c r="D1158" s="190"/>
      <c r="E1158" s="190"/>
      <c r="F1158" s="191"/>
      <c r="G1158" s="192"/>
    </row>
    <row r="1159" ht="15.75" customHeight="1">
      <c r="A1159" s="188"/>
      <c r="B1159" s="188"/>
      <c r="C1159" s="188"/>
      <c r="D1159" s="190"/>
      <c r="E1159" s="190"/>
      <c r="F1159" s="191"/>
      <c r="G1159" s="192"/>
    </row>
    <row r="1160" ht="15.75" customHeight="1">
      <c r="A1160" s="188"/>
      <c r="B1160" s="188"/>
      <c r="C1160" s="188"/>
      <c r="D1160" s="190"/>
      <c r="E1160" s="190"/>
      <c r="F1160" s="191"/>
      <c r="G1160" s="192"/>
    </row>
    <row r="1161" ht="15.75" customHeight="1">
      <c r="A1161" s="188"/>
      <c r="B1161" s="188"/>
      <c r="C1161" s="188"/>
      <c r="D1161" s="190"/>
      <c r="E1161" s="190"/>
      <c r="F1161" s="191"/>
      <c r="G1161" s="192"/>
    </row>
    <row r="1162" ht="15.75" customHeight="1">
      <c r="A1162" s="188"/>
      <c r="B1162" s="188"/>
      <c r="C1162" s="188"/>
      <c r="D1162" s="190"/>
      <c r="E1162" s="190"/>
      <c r="F1162" s="191"/>
      <c r="G1162" s="192"/>
    </row>
    <row r="1163" ht="15.75" customHeight="1">
      <c r="A1163" s="188"/>
      <c r="B1163" s="188"/>
      <c r="C1163" s="188"/>
      <c r="D1163" s="190"/>
      <c r="E1163" s="190"/>
      <c r="F1163" s="191"/>
      <c r="G1163" s="192"/>
    </row>
    <row r="1164" ht="15.75" customHeight="1">
      <c r="A1164" s="188"/>
      <c r="B1164" s="188"/>
      <c r="C1164" s="188"/>
      <c r="D1164" s="190"/>
      <c r="E1164" s="190"/>
      <c r="F1164" s="191"/>
      <c r="G1164" s="192"/>
    </row>
    <row r="1165" ht="15.75" customHeight="1">
      <c r="A1165" s="188"/>
      <c r="B1165" s="188"/>
      <c r="C1165" s="188"/>
      <c r="D1165" s="190"/>
      <c r="E1165" s="190"/>
      <c r="F1165" s="191"/>
      <c r="G1165" s="192"/>
    </row>
    <row r="1166" ht="15.75" customHeight="1">
      <c r="A1166" s="188"/>
      <c r="B1166" s="188"/>
      <c r="C1166" s="188"/>
      <c r="D1166" s="190"/>
      <c r="E1166" s="190"/>
      <c r="F1166" s="191"/>
      <c r="G1166" s="192"/>
    </row>
    <row r="1167" ht="15.75" customHeight="1">
      <c r="A1167" s="188"/>
      <c r="B1167" s="188"/>
      <c r="C1167" s="188"/>
      <c r="D1167" s="190"/>
      <c r="E1167" s="190"/>
      <c r="F1167" s="191"/>
      <c r="G1167" s="192"/>
    </row>
    <row r="1168" ht="15.75" customHeight="1">
      <c r="A1168" s="188"/>
      <c r="B1168" s="188"/>
      <c r="C1168" s="188"/>
      <c r="D1168" s="190"/>
      <c r="E1168" s="190"/>
      <c r="F1168" s="191"/>
      <c r="G1168" s="192"/>
    </row>
    <row r="1169" ht="15.75" customHeight="1">
      <c r="A1169" s="188"/>
      <c r="B1169" s="188"/>
      <c r="C1169" s="188"/>
      <c r="D1169" s="190"/>
      <c r="E1169" s="190"/>
      <c r="F1169" s="191"/>
      <c r="G1169" s="192"/>
    </row>
    <row r="1170" ht="15.75" customHeight="1">
      <c r="A1170" s="188"/>
      <c r="B1170" s="188"/>
      <c r="C1170" s="188"/>
      <c r="D1170" s="190"/>
      <c r="E1170" s="190"/>
      <c r="F1170" s="191"/>
      <c r="G1170" s="192"/>
    </row>
    <row r="1171" ht="15.75" customHeight="1">
      <c r="A1171" s="188"/>
      <c r="B1171" s="188"/>
      <c r="C1171" s="188"/>
      <c r="D1171" s="190"/>
      <c r="E1171" s="190"/>
      <c r="F1171" s="191"/>
      <c r="G1171" s="192"/>
    </row>
    <row r="1172" ht="15.75" customHeight="1">
      <c r="A1172" s="188"/>
      <c r="B1172" s="188"/>
      <c r="C1172" s="188"/>
      <c r="D1172" s="190"/>
      <c r="E1172" s="190"/>
      <c r="F1172" s="191"/>
      <c r="G1172" s="192"/>
    </row>
    <row r="1173" ht="15.75" customHeight="1">
      <c r="A1173" s="188"/>
      <c r="B1173" s="188"/>
      <c r="C1173" s="188"/>
      <c r="D1173" s="190"/>
      <c r="E1173" s="190"/>
      <c r="F1173" s="191"/>
      <c r="G1173" s="192"/>
    </row>
    <row r="1174" ht="15.75" customHeight="1">
      <c r="A1174" s="188"/>
      <c r="B1174" s="188"/>
      <c r="C1174" s="188"/>
      <c r="D1174" s="190"/>
      <c r="E1174" s="190"/>
      <c r="F1174" s="191"/>
      <c r="G1174" s="192"/>
    </row>
    <row r="1175" ht="15.75" customHeight="1">
      <c r="A1175" s="188"/>
      <c r="B1175" s="188"/>
      <c r="C1175" s="188"/>
      <c r="D1175" s="190"/>
      <c r="E1175" s="190"/>
      <c r="F1175" s="191"/>
      <c r="G1175" s="192"/>
    </row>
    <row r="1176" ht="15.75" customHeight="1">
      <c r="A1176" s="188"/>
      <c r="B1176" s="188"/>
      <c r="C1176" s="188"/>
      <c r="D1176" s="190"/>
      <c r="E1176" s="190"/>
      <c r="F1176" s="191"/>
      <c r="G1176" s="192"/>
    </row>
    <row r="1177" ht="15.75" customHeight="1">
      <c r="A1177" s="188"/>
      <c r="B1177" s="188"/>
      <c r="C1177" s="188"/>
      <c r="D1177" s="190"/>
      <c r="E1177" s="190"/>
      <c r="F1177" s="191"/>
      <c r="G1177" s="192"/>
    </row>
    <row r="1178" ht="15.75" customHeight="1">
      <c r="A1178" s="188"/>
      <c r="B1178" s="188"/>
      <c r="C1178" s="188"/>
      <c r="D1178" s="190"/>
      <c r="E1178" s="190"/>
      <c r="F1178" s="191"/>
      <c r="G1178" s="192"/>
    </row>
    <row r="1179" ht="15.75" customHeight="1">
      <c r="A1179" s="188"/>
      <c r="B1179" s="188"/>
      <c r="C1179" s="188"/>
      <c r="D1179" s="190"/>
      <c r="E1179" s="190"/>
      <c r="F1179" s="191"/>
      <c r="G1179" s="192"/>
    </row>
    <row r="1180" ht="15.75" customHeight="1">
      <c r="A1180" s="188"/>
      <c r="B1180" s="188"/>
      <c r="C1180" s="188"/>
      <c r="D1180" s="190"/>
      <c r="E1180" s="190"/>
      <c r="F1180" s="191"/>
      <c r="G1180" s="192"/>
    </row>
    <row r="1181" ht="15.75" customHeight="1">
      <c r="A1181" s="188"/>
      <c r="B1181" s="188"/>
      <c r="C1181" s="188"/>
      <c r="D1181" s="190"/>
      <c r="E1181" s="190"/>
      <c r="F1181" s="191"/>
      <c r="G1181" s="192"/>
    </row>
    <row r="1182" ht="15.75" customHeight="1">
      <c r="A1182" s="188"/>
      <c r="B1182" s="188"/>
      <c r="C1182" s="188"/>
      <c r="D1182" s="190"/>
      <c r="E1182" s="190"/>
      <c r="F1182" s="191"/>
      <c r="G1182" s="192"/>
    </row>
    <row r="1183" ht="15.75" customHeight="1">
      <c r="A1183" s="188"/>
      <c r="B1183" s="188"/>
      <c r="C1183" s="188"/>
      <c r="D1183" s="190"/>
      <c r="E1183" s="190"/>
      <c r="F1183" s="191"/>
      <c r="G1183" s="192"/>
    </row>
    <row r="1184" ht="15.75" customHeight="1">
      <c r="A1184" s="188"/>
      <c r="B1184" s="188"/>
      <c r="C1184" s="188"/>
      <c r="D1184" s="190"/>
      <c r="E1184" s="190"/>
      <c r="F1184" s="191"/>
      <c r="G1184" s="192"/>
    </row>
    <row r="1185" ht="15.75" customHeight="1">
      <c r="A1185" s="188"/>
      <c r="B1185" s="188"/>
      <c r="C1185" s="188"/>
      <c r="D1185" s="190"/>
      <c r="E1185" s="190"/>
      <c r="F1185" s="191"/>
      <c r="G1185" s="192"/>
    </row>
    <row r="1186" ht="15.75" customHeight="1">
      <c r="A1186" s="188"/>
      <c r="B1186" s="188"/>
      <c r="C1186" s="188"/>
      <c r="D1186" s="190"/>
      <c r="E1186" s="190"/>
      <c r="F1186" s="191"/>
      <c r="G1186" s="192"/>
    </row>
    <row r="1187" ht="15.75" customHeight="1">
      <c r="A1187" s="188"/>
      <c r="B1187" s="188"/>
      <c r="C1187" s="188"/>
      <c r="D1187" s="190"/>
      <c r="E1187" s="190"/>
      <c r="F1187" s="191"/>
      <c r="G1187" s="192"/>
    </row>
    <row r="1188" ht="15.75" customHeight="1">
      <c r="A1188" s="188"/>
      <c r="B1188" s="188"/>
      <c r="C1188" s="188"/>
      <c r="D1188" s="190"/>
      <c r="E1188" s="190"/>
      <c r="F1188" s="191"/>
      <c r="G1188" s="192"/>
    </row>
    <row r="1189" ht="15.75" customHeight="1">
      <c r="A1189" s="188"/>
      <c r="B1189" s="188"/>
      <c r="C1189" s="188"/>
      <c r="D1189" s="190"/>
      <c r="E1189" s="190"/>
      <c r="F1189" s="191"/>
      <c r="G1189" s="192"/>
    </row>
    <row r="1190" ht="15.75" customHeight="1">
      <c r="A1190" s="188"/>
      <c r="B1190" s="188"/>
      <c r="C1190" s="188"/>
      <c r="D1190" s="190"/>
      <c r="E1190" s="190"/>
      <c r="F1190" s="191"/>
      <c r="G1190" s="192"/>
    </row>
    <row r="1191" ht="15.75" customHeight="1">
      <c r="A1191" s="188"/>
      <c r="B1191" s="188"/>
      <c r="C1191" s="188"/>
      <c r="D1191" s="190"/>
      <c r="E1191" s="190"/>
      <c r="F1191" s="191"/>
      <c r="G1191" s="192"/>
    </row>
    <row r="1192" ht="15.75" customHeight="1">
      <c r="A1192" s="188"/>
      <c r="B1192" s="188"/>
      <c r="C1192" s="188"/>
      <c r="D1192" s="190"/>
      <c r="E1192" s="190"/>
      <c r="F1192" s="191"/>
      <c r="G1192" s="192"/>
    </row>
    <row r="1193" ht="15.75" customHeight="1">
      <c r="A1193" s="188"/>
      <c r="B1193" s="188"/>
      <c r="C1193" s="188"/>
      <c r="D1193" s="190"/>
      <c r="E1193" s="190"/>
      <c r="F1193" s="191"/>
      <c r="G1193" s="192"/>
    </row>
    <row r="1194" ht="15.75" customHeight="1">
      <c r="A1194" s="188"/>
      <c r="B1194" s="188"/>
      <c r="C1194" s="188"/>
      <c r="D1194" s="190"/>
      <c r="E1194" s="190"/>
      <c r="F1194" s="191"/>
      <c r="G1194" s="192"/>
    </row>
    <row r="1195" ht="15.75" customHeight="1">
      <c r="A1195" s="188"/>
      <c r="B1195" s="188"/>
      <c r="C1195" s="188"/>
      <c r="D1195" s="190"/>
      <c r="E1195" s="190"/>
      <c r="F1195" s="191"/>
      <c r="G1195" s="192"/>
    </row>
    <row r="1196" ht="15.75" customHeight="1">
      <c r="A1196" s="188"/>
      <c r="B1196" s="188"/>
      <c r="C1196" s="188"/>
      <c r="D1196" s="190"/>
      <c r="E1196" s="190"/>
      <c r="F1196" s="191"/>
      <c r="G1196" s="192"/>
    </row>
    <row r="1197" ht="15.75" customHeight="1">
      <c r="A1197" s="188"/>
      <c r="B1197" s="188"/>
      <c r="C1197" s="188"/>
      <c r="D1197" s="190"/>
      <c r="E1197" s="190"/>
      <c r="F1197" s="191"/>
      <c r="G1197" s="192"/>
    </row>
    <row r="1198" ht="15.75" customHeight="1">
      <c r="A1198" s="188"/>
      <c r="B1198" s="188"/>
      <c r="C1198" s="188"/>
      <c r="D1198" s="190"/>
      <c r="E1198" s="190"/>
      <c r="F1198" s="191"/>
      <c r="G1198" s="192"/>
    </row>
    <row r="1199" ht="15.75" customHeight="1">
      <c r="A1199" s="188"/>
      <c r="B1199" s="188"/>
      <c r="C1199" s="188"/>
      <c r="D1199" s="190"/>
      <c r="E1199" s="190"/>
      <c r="F1199" s="191"/>
      <c r="G1199" s="192"/>
    </row>
    <row r="1200" ht="15.75" customHeight="1">
      <c r="A1200" s="188"/>
      <c r="B1200" s="188"/>
      <c r="C1200" s="188"/>
      <c r="D1200" s="190"/>
      <c r="E1200" s="190"/>
      <c r="F1200" s="191"/>
      <c r="G1200" s="192"/>
    </row>
    <row r="1201" ht="15.75" customHeight="1">
      <c r="A1201" s="188"/>
      <c r="B1201" s="188"/>
      <c r="C1201" s="188"/>
      <c r="D1201" s="190"/>
      <c r="E1201" s="190"/>
      <c r="F1201" s="191"/>
      <c r="G1201" s="192"/>
    </row>
    <row r="1202" ht="15.75" customHeight="1">
      <c r="A1202" s="188"/>
      <c r="B1202" s="188"/>
      <c r="C1202" s="188"/>
      <c r="D1202" s="190"/>
      <c r="E1202" s="190"/>
      <c r="F1202" s="191"/>
      <c r="G1202" s="192"/>
    </row>
    <row r="1203" ht="15.75" customHeight="1">
      <c r="A1203" s="188"/>
      <c r="B1203" s="188"/>
      <c r="C1203" s="188"/>
      <c r="D1203" s="190"/>
      <c r="E1203" s="190"/>
      <c r="F1203" s="191"/>
      <c r="G1203" s="192"/>
    </row>
    <row r="1204" ht="15.75" customHeight="1">
      <c r="A1204" s="188"/>
      <c r="B1204" s="188"/>
      <c r="C1204" s="188"/>
      <c r="D1204" s="190"/>
      <c r="E1204" s="190"/>
      <c r="F1204" s="191"/>
      <c r="G1204" s="192"/>
    </row>
    <row r="1205" ht="15.75" customHeight="1">
      <c r="A1205" s="188"/>
      <c r="B1205" s="188"/>
      <c r="C1205" s="188"/>
      <c r="D1205" s="190"/>
      <c r="E1205" s="190"/>
      <c r="F1205" s="191"/>
      <c r="G1205" s="192"/>
    </row>
    <row r="1206" ht="15.75" customHeight="1">
      <c r="A1206" s="188"/>
      <c r="B1206" s="188"/>
      <c r="C1206" s="188"/>
      <c r="D1206" s="190"/>
      <c r="E1206" s="190"/>
      <c r="F1206" s="191"/>
      <c r="G1206" s="192"/>
    </row>
    <row r="1207" ht="15.75" customHeight="1">
      <c r="A1207" s="188"/>
      <c r="B1207" s="188"/>
      <c r="C1207" s="188"/>
      <c r="D1207" s="190"/>
      <c r="E1207" s="190"/>
      <c r="F1207" s="191"/>
      <c r="G1207" s="192"/>
    </row>
    <row r="1208" ht="15.75" customHeight="1">
      <c r="A1208" s="188"/>
      <c r="B1208" s="188"/>
      <c r="C1208" s="188"/>
      <c r="D1208" s="190"/>
      <c r="E1208" s="190"/>
      <c r="F1208" s="191"/>
      <c r="G1208" s="192"/>
    </row>
    <row r="1209" ht="15.75" customHeight="1">
      <c r="A1209" s="188"/>
      <c r="B1209" s="188"/>
      <c r="C1209" s="188"/>
      <c r="D1209" s="190"/>
      <c r="E1209" s="190"/>
      <c r="F1209" s="191"/>
      <c r="G1209" s="192"/>
    </row>
    <row r="1210" ht="15.75" customHeight="1">
      <c r="A1210" s="188"/>
      <c r="B1210" s="188"/>
      <c r="C1210" s="188"/>
      <c r="D1210" s="190"/>
      <c r="E1210" s="190"/>
      <c r="F1210" s="191"/>
      <c r="G1210" s="192"/>
    </row>
    <row r="1211" ht="15.75" customHeight="1">
      <c r="A1211" s="188"/>
      <c r="B1211" s="188"/>
      <c r="C1211" s="188"/>
      <c r="D1211" s="190"/>
      <c r="E1211" s="190"/>
      <c r="F1211" s="191"/>
      <c r="G1211" s="192"/>
    </row>
    <row r="1212" ht="15.75" customHeight="1">
      <c r="A1212" s="188"/>
      <c r="B1212" s="188"/>
      <c r="C1212" s="188"/>
      <c r="D1212" s="190"/>
      <c r="E1212" s="190"/>
      <c r="F1212" s="191"/>
      <c r="G1212" s="192"/>
    </row>
    <row r="1213" ht="15.75" customHeight="1">
      <c r="A1213" s="188"/>
      <c r="B1213" s="188"/>
      <c r="C1213" s="188"/>
      <c r="D1213" s="190"/>
      <c r="E1213" s="190"/>
      <c r="F1213" s="191"/>
      <c r="G1213" s="192"/>
    </row>
    <row r="1214" ht="15.75" customHeight="1">
      <c r="A1214" s="188"/>
      <c r="B1214" s="188"/>
      <c r="C1214" s="188"/>
      <c r="D1214" s="190"/>
      <c r="E1214" s="190"/>
      <c r="F1214" s="191"/>
      <c r="G1214" s="192"/>
    </row>
    <row r="1215" ht="15.75" customHeight="1">
      <c r="A1215" s="188"/>
      <c r="B1215" s="188"/>
      <c r="C1215" s="188"/>
      <c r="D1215" s="190"/>
      <c r="E1215" s="190"/>
      <c r="F1215" s="191"/>
      <c r="G1215" s="192"/>
    </row>
    <row r="1216" ht="15.75" customHeight="1">
      <c r="A1216" s="188"/>
      <c r="B1216" s="188"/>
      <c r="C1216" s="188"/>
      <c r="D1216" s="190"/>
      <c r="E1216" s="190"/>
      <c r="F1216" s="191"/>
      <c r="G1216" s="192"/>
    </row>
    <row r="1217" ht="15.75" customHeight="1">
      <c r="A1217" s="188"/>
      <c r="B1217" s="188"/>
      <c r="C1217" s="188"/>
      <c r="D1217" s="190"/>
      <c r="E1217" s="190"/>
      <c r="F1217" s="191"/>
      <c r="G1217" s="192"/>
    </row>
    <row r="1218" ht="15.75" customHeight="1">
      <c r="A1218" s="188"/>
      <c r="B1218" s="188"/>
      <c r="C1218" s="188"/>
      <c r="D1218" s="190"/>
      <c r="E1218" s="190"/>
      <c r="F1218" s="191"/>
      <c r="G1218" s="192"/>
    </row>
    <row r="1219" ht="15.75" customHeight="1">
      <c r="A1219" s="188"/>
      <c r="B1219" s="188"/>
      <c r="C1219" s="188"/>
      <c r="D1219" s="190"/>
      <c r="E1219" s="190"/>
      <c r="F1219" s="191"/>
      <c r="G1219" s="192"/>
    </row>
    <row r="1220" ht="15.75" customHeight="1">
      <c r="A1220" s="188"/>
      <c r="B1220" s="188"/>
      <c r="C1220" s="188"/>
      <c r="D1220" s="190"/>
      <c r="E1220" s="190"/>
      <c r="F1220" s="191"/>
      <c r="G1220" s="192"/>
    </row>
    <row r="1221" ht="15.75" customHeight="1">
      <c r="A1221" s="188"/>
      <c r="B1221" s="188"/>
      <c r="C1221" s="188"/>
      <c r="D1221" s="190"/>
      <c r="E1221" s="190"/>
      <c r="F1221" s="191"/>
      <c r="G1221" s="192"/>
    </row>
    <row r="1222" ht="15.75" customHeight="1">
      <c r="A1222" s="188"/>
      <c r="B1222" s="188"/>
      <c r="C1222" s="188"/>
      <c r="D1222" s="190"/>
      <c r="E1222" s="190"/>
      <c r="F1222" s="191"/>
      <c r="G1222" s="192"/>
    </row>
    <row r="1223" ht="15.75" customHeight="1">
      <c r="A1223" s="188"/>
      <c r="B1223" s="188"/>
      <c r="C1223" s="188"/>
      <c r="D1223" s="190"/>
      <c r="E1223" s="190"/>
      <c r="F1223" s="191"/>
      <c r="G1223" s="192"/>
    </row>
    <row r="1224" ht="15.75" customHeight="1">
      <c r="A1224" s="188"/>
      <c r="B1224" s="188"/>
      <c r="C1224" s="188"/>
      <c r="D1224" s="190"/>
      <c r="E1224" s="190"/>
      <c r="F1224" s="191"/>
      <c r="G1224" s="192"/>
    </row>
    <row r="1225" ht="15.75" customHeight="1">
      <c r="A1225" s="188"/>
      <c r="B1225" s="188"/>
      <c r="C1225" s="188"/>
      <c r="D1225" s="190"/>
      <c r="E1225" s="190"/>
      <c r="F1225" s="191"/>
      <c r="G1225" s="192"/>
    </row>
    <row r="1226" ht="15.75" customHeight="1">
      <c r="A1226" s="188"/>
      <c r="B1226" s="188"/>
      <c r="C1226" s="188"/>
      <c r="D1226" s="190"/>
      <c r="E1226" s="190"/>
      <c r="F1226" s="191"/>
      <c r="G1226" s="192"/>
    </row>
    <row r="1227" ht="15.75" customHeight="1">
      <c r="A1227" s="188"/>
      <c r="B1227" s="188"/>
      <c r="C1227" s="188"/>
      <c r="D1227" s="190"/>
      <c r="E1227" s="190"/>
      <c r="F1227" s="191"/>
      <c r="G1227" s="192"/>
    </row>
    <row r="1228" ht="15.75" customHeight="1">
      <c r="A1228" s="188"/>
      <c r="B1228" s="188"/>
      <c r="C1228" s="188"/>
      <c r="D1228" s="190"/>
      <c r="E1228" s="190"/>
      <c r="F1228" s="191"/>
      <c r="G1228" s="192"/>
    </row>
    <row r="1229" ht="15.75" customHeight="1">
      <c r="A1229" s="188"/>
      <c r="B1229" s="188"/>
      <c r="C1229" s="188"/>
      <c r="D1229" s="190"/>
      <c r="E1229" s="190"/>
      <c r="F1229" s="191"/>
      <c r="G1229" s="192"/>
    </row>
    <row r="1230" ht="15.75" customHeight="1">
      <c r="A1230" s="188"/>
      <c r="B1230" s="188"/>
      <c r="C1230" s="188"/>
      <c r="D1230" s="190"/>
      <c r="E1230" s="190"/>
      <c r="F1230" s="191"/>
      <c r="G1230" s="192"/>
    </row>
    <row r="1231" ht="15.75" customHeight="1">
      <c r="A1231" s="188"/>
      <c r="B1231" s="188"/>
      <c r="C1231" s="188"/>
      <c r="D1231" s="190"/>
      <c r="E1231" s="190"/>
      <c r="F1231" s="191"/>
      <c r="G1231" s="192"/>
    </row>
    <row r="1232" ht="15.75" customHeight="1">
      <c r="A1232" s="188"/>
      <c r="B1232" s="188"/>
      <c r="C1232" s="188"/>
      <c r="D1232" s="190"/>
      <c r="E1232" s="190"/>
      <c r="F1232" s="191"/>
      <c r="G1232" s="192"/>
    </row>
    <row r="1233" ht="15.75" customHeight="1">
      <c r="A1233" s="188"/>
      <c r="B1233" s="188"/>
      <c r="C1233" s="188"/>
      <c r="D1233" s="190"/>
      <c r="E1233" s="190"/>
      <c r="F1233" s="191"/>
      <c r="G1233" s="192"/>
    </row>
    <row r="1234" ht="15.75" customHeight="1">
      <c r="A1234" s="188"/>
      <c r="B1234" s="188"/>
      <c r="C1234" s="188"/>
      <c r="D1234" s="190"/>
      <c r="E1234" s="190"/>
      <c r="F1234" s="191"/>
      <c r="G1234" s="192"/>
    </row>
    <row r="1235" ht="15.75" customHeight="1">
      <c r="A1235" s="188"/>
      <c r="B1235" s="188"/>
      <c r="C1235" s="188"/>
      <c r="D1235" s="190"/>
      <c r="E1235" s="190"/>
      <c r="F1235" s="191"/>
      <c r="G1235" s="192"/>
    </row>
    <row r="1236" ht="15.75" customHeight="1">
      <c r="A1236" s="188"/>
      <c r="B1236" s="188"/>
      <c r="C1236" s="188"/>
      <c r="D1236" s="190"/>
      <c r="E1236" s="190"/>
      <c r="F1236" s="191"/>
      <c r="G1236" s="192"/>
    </row>
    <row r="1237" ht="15.75" customHeight="1">
      <c r="A1237" s="188"/>
      <c r="B1237" s="188"/>
      <c r="C1237" s="188"/>
      <c r="D1237" s="190"/>
      <c r="E1237" s="190"/>
      <c r="F1237" s="191"/>
      <c r="G1237" s="192"/>
    </row>
    <row r="1238" ht="15.75" customHeight="1">
      <c r="A1238" s="188"/>
      <c r="B1238" s="188"/>
      <c r="C1238" s="188"/>
      <c r="D1238" s="190"/>
      <c r="E1238" s="190"/>
      <c r="F1238" s="191"/>
      <c r="G1238" s="192"/>
    </row>
    <row r="1239" ht="15.75" customHeight="1">
      <c r="A1239" s="188"/>
      <c r="B1239" s="188"/>
      <c r="C1239" s="188"/>
      <c r="D1239" s="190"/>
      <c r="E1239" s="190"/>
      <c r="F1239" s="191"/>
      <c r="G1239" s="192"/>
    </row>
    <row r="1240" ht="15.75" customHeight="1">
      <c r="A1240" s="188"/>
      <c r="B1240" s="188"/>
      <c r="C1240" s="188"/>
      <c r="D1240" s="190"/>
      <c r="E1240" s="190"/>
      <c r="F1240" s="191"/>
      <c r="G1240" s="192"/>
    </row>
    <row r="1241" ht="15.75" customHeight="1">
      <c r="A1241" s="188"/>
      <c r="B1241" s="188"/>
      <c r="C1241" s="188"/>
      <c r="D1241" s="190"/>
      <c r="E1241" s="190"/>
      <c r="F1241" s="191"/>
      <c r="G1241" s="192"/>
    </row>
    <row r="1242" ht="15.75" customHeight="1">
      <c r="A1242" s="188"/>
      <c r="B1242" s="188"/>
      <c r="C1242" s="188"/>
      <c r="D1242" s="190"/>
      <c r="E1242" s="190"/>
      <c r="F1242" s="191"/>
      <c r="G1242" s="192"/>
    </row>
    <row r="1243" ht="15.75" customHeight="1">
      <c r="A1243" s="188"/>
      <c r="B1243" s="188"/>
      <c r="C1243" s="188"/>
      <c r="D1243" s="190"/>
      <c r="E1243" s="190"/>
      <c r="F1243" s="191"/>
      <c r="G1243" s="192"/>
    </row>
    <row r="1244" ht="15.75" customHeight="1">
      <c r="A1244" s="188"/>
      <c r="B1244" s="188"/>
      <c r="C1244" s="188"/>
      <c r="D1244" s="190"/>
      <c r="E1244" s="190"/>
      <c r="F1244" s="191"/>
      <c r="G1244" s="192"/>
    </row>
    <row r="1245" ht="15.75" customHeight="1">
      <c r="A1245" s="188"/>
      <c r="B1245" s="188"/>
      <c r="C1245" s="188"/>
      <c r="D1245" s="190"/>
      <c r="E1245" s="190"/>
      <c r="F1245" s="191"/>
      <c r="G1245" s="192"/>
    </row>
    <row r="1246" ht="15.75" customHeight="1">
      <c r="A1246" s="188"/>
      <c r="B1246" s="188"/>
      <c r="C1246" s="188"/>
      <c r="D1246" s="190"/>
      <c r="E1246" s="190"/>
      <c r="F1246" s="191"/>
      <c r="G1246" s="192"/>
    </row>
    <row r="1247" ht="15.75" customHeight="1">
      <c r="A1247" s="188"/>
      <c r="B1247" s="188"/>
      <c r="C1247" s="188"/>
      <c r="D1247" s="190"/>
      <c r="E1247" s="190"/>
      <c r="F1247" s="191"/>
      <c r="G1247" s="192"/>
    </row>
    <row r="1248" ht="15.75" customHeight="1">
      <c r="A1248" s="188"/>
      <c r="B1248" s="188"/>
      <c r="C1248" s="188"/>
      <c r="D1248" s="190"/>
      <c r="E1248" s="190"/>
      <c r="F1248" s="191"/>
      <c r="G1248" s="192"/>
    </row>
    <row r="1249" ht="15.75" customHeight="1">
      <c r="A1249" s="188"/>
      <c r="B1249" s="188"/>
      <c r="C1249" s="188"/>
      <c r="D1249" s="190"/>
      <c r="E1249" s="190"/>
      <c r="F1249" s="191"/>
      <c r="G1249" s="192"/>
    </row>
    <row r="1250" ht="15.75" customHeight="1">
      <c r="A1250" s="188"/>
      <c r="B1250" s="188"/>
      <c r="C1250" s="188"/>
      <c r="D1250" s="190"/>
      <c r="E1250" s="190"/>
      <c r="F1250" s="191"/>
      <c r="G1250" s="192"/>
    </row>
    <row r="1251" ht="15.75" customHeight="1">
      <c r="A1251" s="188"/>
      <c r="B1251" s="188"/>
      <c r="C1251" s="188"/>
      <c r="D1251" s="190"/>
      <c r="E1251" s="190"/>
      <c r="F1251" s="191"/>
      <c r="G1251" s="192"/>
    </row>
    <row r="1252" ht="15.75" customHeight="1">
      <c r="A1252" s="188"/>
      <c r="B1252" s="188"/>
      <c r="C1252" s="188"/>
      <c r="D1252" s="186"/>
      <c r="E1252" s="186"/>
      <c r="F1252" s="187"/>
      <c r="G1252" s="141"/>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7" t="s">
        <v>23</v>
      </c>
      <c r="B1" s="193" t="s">
        <v>24</v>
      </c>
      <c r="C1" s="77" t="s">
        <v>25</v>
      </c>
      <c r="D1" s="27" t="s">
        <v>26</v>
      </c>
      <c r="E1" s="27" t="s">
        <v>27</v>
      </c>
      <c r="F1" s="94" t="s">
        <v>28</v>
      </c>
      <c r="G1" s="77" t="s">
        <v>29</v>
      </c>
    </row>
    <row r="2">
      <c r="A2" s="194" t="s">
        <v>3545</v>
      </c>
      <c r="B2" s="195"/>
      <c r="C2" s="195"/>
      <c r="D2" s="195"/>
      <c r="E2" s="195"/>
      <c r="F2" s="195"/>
      <c r="G2" s="195"/>
    </row>
    <row r="3">
      <c r="A3" s="79" t="s">
        <v>3546</v>
      </c>
      <c r="B3" s="80"/>
      <c r="C3" s="80"/>
      <c r="D3" s="80"/>
      <c r="E3" s="80"/>
      <c r="F3" s="80"/>
      <c r="G3" s="80"/>
    </row>
    <row r="4">
      <c r="A4" s="196" t="s">
        <v>3547</v>
      </c>
      <c r="B4" s="197" t="s">
        <v>3548</v>
      </c>
      <c r="C4" s="198" t="s">
        <v>3549</v>
      </c>
      <c r="D4" s="102" t="s">
        <v>3550</v>
      </c>
      <c r="E4" s="102" t="s">
        <v>3551</v>
      </c>
      <c r="F4" s="103">
        <v>0.21</v>
      </c>
      <c r="G4" s="39" t="str">
        <f>VLOOKUP("LHN-UC15L-SIP",STOCK!$B$2:$Q$3692,3,FALSE)</f>
        <v>Mayor a 5</v>
      </c>
    </row>
    <row r="5">
      <c r="A5" s="199" t="s">
        <v>3547</v>
      </c>
      <c r="B5" s="200" t="s">
        <v>3552</v>
      </c>
      <c r="C5" s="201" t="s">
        <v>3553</v>
      </c>
      <c r="D5" s="105" t="s">
        <v>3554</v>
      </c>
      <c r="E5" s="105" t="s">
        <v>3555</v>
      </c>
      <c r="F5" s="106">
        <v>0.21</v>
      </c>
      <c r="G5" s="39" t="str">
        <f>VLOOKUP("LHN-UC15W-SIP",STOCK!$B$2:$Q$3692,3,FALSE)</f>
        <v>Mayor a 5</v>
      </c>
    </row>
    <row r="6">
      <c r="A6" s="196" t="s">
        <v>3547</v>
      </c>
      <c r="B6" s="197" t="s">
        <v>3556</v>
      </c>
      <c r="C6" s="198" t="s">
        <v>3557</v>
      </c>
      <c r="D6" s="102" t="s">
        <v>1996</v>
      </c>
      <c r="E6" s="102" t="s">
        <v>1997</v>
      </c>
      <c r="F6" s="103">
        <v>0.21</v>
      </c>
      <c r="G6" s="39" t="str">
        <f>VLOOKUP("AMN-P15-SIP",STOCK!$B$2:$Q$3692,3,FALSE)</f>
        <v>Mayor a 5</v>
      </c>
    </row>
    <row r="7">
      <c r="D7" s="92"/>
      <c r="E7" s="92"/>
    </row>
    <row r="8">
      <c r="D8" s="92"/>
      <c r="E8" s="92"/>
    </row>
    <row r="9">
      <c r="D9" s="92"/>
      <c r="E9" s="92"/>
    </row>
    <row r="10">
      <c r="D10" s="92"/>
      <c r="E10" s="92"/>
    </row>
    <row r="11">
      <c r="D11" s="92"/>
      <c r="E11" s="92"/>
    </row>
    <row r="12">
      <c r="D12" s="92"/>
      <c r="E12" s="92"/>
    </row>
    <row r="13">
      <c r="D13" s="92"/>
      <c r="E13" s="92"/>
    </row>
    <row r="14">
      <c r="D14" s="92"/>
      <c r="E14" s="92"/>
    </row>
    <row r="15">
      <c r="D15" s="92"/>
      <c r="E15" s="92"/>
    </row>
    <row r="16">
      <c r="D16" s="92"/>
      <c r="E16" s="92"/>
    </row>
    <row r="17">
      <c r="D17" s="92"/>
      <c r="E17" s="92"/>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3" t="s">
        <v>3558</v>
      </c>
      <c r="D1" s="131" t="s">
        <v>26</v>
      </c>
      <c r="E1" s="131" t="s">
        <v>27</v>
      </c>
      <c r="F1" s="94" t="s">
        <v>28</v>
      </c>
      <c r="G1" s="202" t="s">
        <v>25</v>
      </c>
      <c r="H1" s="202" t="s">
        <v>29</v>
      </c>
    </row>
    <row r="2" ht="15.75" customHeight="1">
      <c r="A2" s="29" t="s">
        <v>3559</v>
      </c>
      <c r="C2" s="30"/>
      <c r="D2" s="55"/>
      <c r="E2" s="55"/>
      <c r="F2" s="203"/>
      <c r="G2" s="30"/>
      <c r="H2" s="30"/>
    </row>
    <row r="3" ht="15.75" customHeight="1">
      <c r="A3" s="41" t="s">
        <v>3560</v>
      </c>
      <c r="B3" s="42" t="s">
        <v>3561</v>
      </c>
      <c r="C3" s="204" t="s">
        <v>3562</v>
      </c>
      <c r="D3" s="44" t="s">
        <v>3563</v>
      </c>
      <c r="E3" s="44" t="s">
        <v>3564</v>
      </c>
      <c r="F3" s="45">
        <v>0.21</v>
      </c>
      <c r="G3" s="43" t="s">
        <v>3565</v>
      </c>
      <c r="H3" s="39" t="str">
        <f>IFERROR(VLOOKUP("21100-500-55",STOCK!$B$6:$Q$3777,3,FALSE),"SIN STOCK")</f>
        <v>SIN STOCK</v>
      </c>
    </row>
    <row r="4" ht="15.75" customHeight="1">
      <c r="A4" s="47" t="s">
        <v>3560</v>
      </c>
      <c r="B4" s="48" t="s">
        <v>3566</v>
      </c>
      <c r="C4" s="205" t="s">
        <v>3567</v>
      </c>
      <c r="D4" s="37" t="s">
        <v>3568</v>
      </c>
      <c r="E4" s="37" t="s">
        <v>3569</v>
      </c>
      <c r="F4" s="152">
        <v>0.21</v>
      </c>
      <c r="G4" s="73" t="s">
        <v>3570</v>
      </c>
      <c r="H4" s="53" t="str">
        <f>IFERROR(VLOOKUP("21080-500-02",STOCK!$B$6:$Q$3777,3,FALSE),"SIN STOCK")</f>
        <v>Menor a 5</v>
      </c>
    </row>
    <row r="5" ht="15.75" customHeight="1">
      <c r="A5" s="41" t="s">
        <v>3560</v>
      </c>
      <c r="B5" s="57" t="s">
        <v>3571</v>
      </c>
      <c r="C5" s="204" t="s">
        <v>3572</v>
      </c>
      <c r="D5" s="44" t="s">
        <v>3573</v>
      </c>
      <c r="E5" s="44" t="s">
        <v>3574</v>
      </c>
      <c r="F5" s="45">
        <v>0.21</v>
      </c>
      <c r="G5" s="43" t="s">
        <v>3570</v>
      </c>
      <c r="H5" s="53" t="str">
        <f>IFERROR(VLOOKUP("21080-500-55",STOCK!$B$6:$Q$3777,3,FALSE),"SIN STOCK")</f>
        <v>SIN STOCK</v>
      </c>
    </row>
    <row r="6" ht="15.75" customHeight="1">
      <c r="A6" s="47" t="s">
        <v>3560</v>
      </c>
      <c r="B6" s="56" t="s">
        <v>3575</v>
      </c>
      <c r="C6" s="205" t="s">
        <v>3576</v>
      </c>
      <c r="D6" s="37" t="s">
        <v>3577</v>
      </c>
      <c r="E6" s="37" t="s">
        <v>3578</v>
      </c>
      <c r="F6" s="152">
        <v>0.21</v>
      </c>
      <c r="G6" s="73" t="s">
        <v>3579</v>
      </c>
      <c r="H6" s="39" t="str">
        <f>IFERROR(VLOOKUP("25400-500-55",STOCK!$B$6:$Q$3777,3,FALSE),"SIN STOCK")</f>
        <v>Mayor a 5</v>
      </c>
    </row>
    <row r="7" ht="15.75" customHeight="1">
      <c r="A7" s="41" t="s">
        <v>3560</v>
      </c>
      <c r="B7" s="57" t="s">
        <v>3580</v>
      </c>
      <c r="C7" s="204" t="s">
        <v>3581</v>
      </c>
      <c r="D7" s="44" t="s">
        <v>1730</v>
      </c>
      <c r="E7" s="44" t="s">
        <v>1731</v>
      </c>
      <c r="F7" s="45">
        <v>0.21</v>
      </c>
      <c r="G7" s="43" t="s">
        <v>3582</v>
      </c>
      <c r="H7" s="39" t="str">
        <f>IFERROR(VLOOKUP("25600-500-55",STOCK!$B$6:$Q$3777,3,FALSE),"SIN STOCK")</f>
        <v>Menor a 5</v>
      </c>
    </row>
    <row r="8" ht="15.75" customHeight="1">
      <c r="A8" s="47" t="s">
        <v>3560</v>
      </c>
      <c r="B8" s="56" t="s">
        <v>3583</v>
      </c>
      <c r="C8" s="205" t="s">
        <v>3584</v>
      </c>
      <c r="D8" s="37" t="s">
        <v>3585</v>
      </c>
      <c r="E8" s="37" t="s">
        <v>3586</v>
      </c>
      <c r="F8" s="152">
        <v>0.21</v>
      </c>
      <c r="G8" s="73" t="s">
        <v>3587</v>
      </c>
      <c r="H8" s="39" t="str">
        <f>IFERROR(VLOOKUP("21140-500-55",STOCK!$B$6:$Q$3777,3,FALSE),"SIN STOCK")</f>
        <v>SIN STOCK</v>
      </c>
    </row>
    <row r="9" ht="15.75" customHeight="1">
      <c r="A9" s="41" t="s">
        <v>3560</v>
      </c>
      <c r="B9" s="57" t="s">
        <v>3588</v>
      </c>
      <c r="C9" s="204" t="s">
        <v>3589</v>
      </c>
      <c r="D9" s="44" t="s">
        <v>3590</v>
      </c>
      <c r="E9" s="44" t="s">
        <v>3591</v>
      </c>
      <c r="F9" s="45">
        <v>0.21</v>
      </c>
      <c r="G9" s="43" t="s">
        <v>3592</v>
      </c>
      <c r="H9" s="39" t="str">
        <f>IFERROR(VLOOKUP("21020-500-55",STOCK!$B$6:$Q$3777,3,FALSE),"SIN STOCK")</f>
        <v>SIN STOCK</v>
      </c>
    </row>
    <row r="10" ht="15.75" customHeight="1">
      <c r="A10" s="47" t="s">
        <v>3560</v>
      </c>
      <c r="B10" s="48" t="s">
        <v>3593</v>
      </c>
      <c r="C10" s="206" t="s">
        <v>3594</v>
      </c>
      <c r="D10" s="37" t="s">
        <v>3595</v>
      </c>
      <c r="E10" s="37" t="s">
        <v>3596</v>
      </c>
      <c r="F10" s="152">
        <v>0.21</v>
      </c>
      <c r="G10" s="73" t="s">
        <v>3597</v>
      </c>
      <c r="H10" s="50" t="str">
        <f>IFERROR(VLOOKUP("21231-400-55",STOCK!$B$6:$Q$3777,3,FALSE),"SIN STOCK")</f>
        <v>SIN STOCK</v>
      </c>
    </row>
    <row r="11" ht="15.75" customHeight="1">
      <c r="A11" s="29" t="s">
        <v>3598</v>
      </c>
      <c r="C11" s="30"/>
      <c r="D11" s="55"/>
      <c r="E11" s="55"/>
      <c r="F11" s="203"/>
      <c r="G11" s="30"/>
      <c r="H11" s="30"/>
    </row>
    <row r="12" ht="15.75" customHeight="1">
      <c r="A12" s="41" t="s">
        <v>3560</v>
      </c>
      <c r="B12" s="42" t="s">
        <v>3599</v>
      </c>
      <c r="C12" s="204" t="s">
        <v>3600</v>
      </c>
      <c r="D12" s="44" t="s">
        <v>3601</v>
      </c>
      <c r="E12" s="44" t="s">
        <v>3602</v>
      </c>
      <c r="F12" s="45">
        <v>0.21</v>
      </c>
      <c r="G12" s="43" t="s">
        <v>3603</v>
      </c>
      <c r="H12" s="39" t="str">
        <f>IFERROR(VLOOKUP("26735-000-55",STOCK!$B$6:$Q$3696,3,FALSE),"SIN STOCK")</f>
        <v>Mayor a 5</v>
      </c>
    </row>
    <row r="13" ht="15.75" customHeight="1">
      <c r="A13" s="47" t="s">
        <v>3560</v>
      </c>
      <c r="B13" s="48" t="s">
        <v>3604</v>
      </c>
      <c r="C13" s="205" t="s">
        <v>3605</v>
      </c>
      <c r="D13" s="37" t="s">
        <v>3606</v>
      </c>
      <c r="E13" s="37" t="s">
        <v>3607</v>
      </c>
      <c r="F13" s="152">
        <v>0.21</v>
      </c>
      <c r="G13" s="73" t="s">
        <v>3608</v>
      </c>
      <c r="H13" s="39" t="str">
        <f>IFERROR(VLOOKUP("26776-000-55",STOCK!$B$6:$Q$3696,3,FALSE),"SIN STOCK")</f>
        <v>Mayor a 5</v>
      </c>
    </row>
    <row r="14" ht="15.75" customHeight="1">
      <c r="A14" s="41" t="s">
        <v>3560</v>
      </c>
      <c r="B14" s="42" t="s">
        <v>3609</v>
      </c>
      <c r="C14" s="204" t="s">
        <v>3610</v>
      </c>
      <c r="D14" s="44" t="s">
        <v>3611</v>
      </c>
      <c r="E14" s="44" t="s">
        <v>3612</v>
      </c>
      <c r="F14" s="45">
        <v>0.21</v>
      </c>
      <c r="G14" s="43" t="s">
        <v>3613</v>
      </c>
      <c r="H14" s="53" t="str">
        <f>IFERROR(VLOOKUP("26774-000-56",STOCK!$B$6:$Q$3696,3,FALSE),"SIN STOCK")</f>
        <v>Menor a 5</v>
      </c>
    </row>
    <row r="15" ht="15.75" customHeight="1">
      <c r="A15" s="47" t="s">
        <v>3560</v>
      </c>
      <c r="B15" s="48" t="s">
        <v>3614</v>
      </c>
      <c r="C15" s="205" t="s">
        <v>3615</v>
      </c>
      <c r="D15" s="37" t="s">
        <v>3616</v>
      </c>
      <c r="E15" s="37" t="s">
        <v>3617</v>
      </c>
      <c r="F15" s="152">
        <v>0.21</v>
      </c>
      <c r="G15" s="73" t="s">
        <v>3618</v>
      </c>
      <c r="H15" s="39" t="str">
        <f>IFERROR(VLOOKUP("26777-000-55",STOCK!$B$6:$Q$3696,3,FALSE),"SIN STOCK")</f>
        <v>SIN STOCK</v>
      </c>
    </row>
    <row r="16" ht="15.75" customHeight="1">
      <c r="A16" s="41" t="s">
        <v>3560</v>
      </c>
      <c r="B16" s="42" t="s">
        <v>3619</v>
      </c>
      <c r="C16" s="204" t="s">
        <v>3620</v>
      </c>
      <c r="D16" s="44" t="s">
        <v>3606</v>
      </c>
      <c r="E16" s="44" t="s">
        <v>3607</v>
      </c>
      <c r="F16" s="45">
        <v>0.21</v>
      </c>
      <c r="G16" s="43" t="s">
        <v>3621</v>
      </c>
      <c r="H16" s="39" t="str">
        <f>IFERROR(VLOOKUP("26778-000-55",STOCK!$B$6:$Q$3696,3,FALSE),"SIN STOCK")</f>
        <v>Mayor a 5</v>
      </c>
    </row>
    <row r="17" ht="15.75" customHeight="1">
      <c r="A17" s="47" t="s">
        <v>3560</v>
      </c>
      <c r="B17" s="64" t="s">
        <v>3622</v>
      </c>
      <c r="C17" s="205" t="s">
        <v>3623</v>
      </c>
      <c r="D17" s="37" t="s">
        <v>3624</v>
      </c>
      <c r="E17" s="37" t="s">
        <v>3625</v>
      </c>
      <c r="F17" s="152">
        <v>0.21</v>
      </c>
      <c r="G17" s="73" t="s">
        <v>3626</v>
      </c>
      <c r="H17" s="39" t="str">
        <f>IFERROR(VLOOKUP("24167-000-55",STOCK!$B$6:$Q$3696,3,FALSE),"SIN STOCK")</f>
        <v>Mayor a 5</v>
      </c>
    </row>
    <row r="18" ht="15.75" customHeight="1">
      <c r="A18" s="41" t="s">
        <v>3560</v>
      </c>
      <c r="B18" s="42" t="s">
        <v>3627</v>
      </c>
      <c r="C18" s="207" t="s">
        <v>3628</v>
      </c>
      <c r="D18" s="44" t="s">
        <v>3629</v>
      </c>
      <c r="E18" s="44" t="s">
        <v>3630</v>
      </c>
      <c r="F18" s="45">
        <v>0.21</v>
      </c>
      <c r="G18" s="43" t="s">
        <v>3631</v>
      </c>
      <c r="H18" s="39" t="str">
        <f>IFERROR(VLOOKUP("24166-000-55",STOCK!$B$6:$Q$3696,3,FALSE),"SIN STOCK")</f>
        <v>Mayor a 5</v>
      </c>
    </row>
    <row r="19" ht="15.75" customHeight="1">
      <c r="A19" s="47" t="s">
        <v>3560</v>
      </c>
      <c r="B19" s="60" t="s">
        <v>3632</v>
      </c>
      <c r="C19" s="208" t="s">
        <v>3633</v>
      </c>
      <c r="D19" s="37" t="s">
        <v>3634</v>
      </c>
      <c r="E19" s="37" t="s">
        <v>3635</v>
      </c>
      <c r="F19" s="152">
        <v>0.21</v>
      </c>
      <c r="G19" s="73" t="s">
        <v>3636</v>
      </c>
      <c r="H19" s="39" t="str">
        <f>IFERROR(VLOOKUP("21459-000-55",STOCK!$B$6:$Q$3696,3,FALSE),"SIN STOCK")</f>
        <v>Mayor a 5</v>
      </c>
    </row>
    <row r="20" ht="15.75" customHeight="1">
      <c r="A20" s="41" t="s">
        <v>3560</v>
      </c>
      <c r="B20" s="42" t="s">
        <v>3637</v>
      </c>
      <c r="C20" s="160" t="s">
        <v>3638</v>
      </c>
      <c r="D20" s="44" t="s">
        <v>3639</v>
      </c>
      <c r="E20" s="44" t="s">
        <v>3640</v>
      </c>
      <c r="F20" s="45">
        <v>0.21</v>
      </c>
      <c r="G20" s="43" t="s">
        <v>3641</v>
      </c>
      <c r="H20" s="53" t="str">
        <f>IFERROR(VLOOKUP("21467-000-55",STOCK!$B$6:$Q$3696,3,FALSE),"SIN STOCK")</f>
        <v>Menor a 5</v>
      </c>
    </row>
    <row r="21" ht="15.75" customHeight="1">
      <c r="A21" s="47" t="s">
        <v>3560</v>
      </c>
      <c r="B21" s="64" t="s">
        <v>3642</v>
      </c>
      <c r="C21" s="208" t="s">
        <v>3643</v>
      </c>
      <c r="D21" s="37" t="s">
        <v>3644</v>
      </c>
      <c r="E21" s="37" t="s">
        <v>3645</v>
      </c>
      <c r="F21" s="152">
        <v>0.21</v>
      </c>
      <c r="G21" s="73" t="s">
        <v>3646</v>
      </c>
      <c r="H21" s="53" t="str">
        <f>IFERROR(VLOOKUP("21436-009-55",STOCK!$B$6:$Q$3696,3,FALSE),"SIN STOCK")</f>
        <v>Menor a 5</v>
      </c>
    </row>
    <row r="22" ht="15.75" customHeight="1">
      <c r="A22" s="29" t="s">
        <v>3647</v>
      </c>
      <c r="C22" s="30"/>
      <c r="D22" s="55"/>
      <c r="E22" s="55"/>
      <c r="F22" s="203"/>
      <c r="G22" s="30"/>
      <c r="H22" s="30"/>
    </row>
    <row r="23" ht="15.75" customHeight="1">
      <c r="A23" s="41" t="s">
        <v>3560</v>
      </c>
      <c r="B23" s="42" t="s">
        <v>3648</v>
      </c>
      <c r="C23" s="204" t="s">
        <v>3649</v>
      </c>
      <c r="D23" s="44" t="s">
        <v>3650</v>
      </c>
      <c r="E23" s="44" t="s">
        <v>3651</v>
      </c>
      <c r="F23" s="45">
        <v>0.21</v>
      </c>
      <c r="G23" s="43" t="s">
        <v>3652</v>
      </c>
      <c r="H23" s="53" t="str">
        <f>IFERROR(VLOOKUP("26795-018-56",STOCK!$B$6:$Q$3696,3,FALSE),"SIN STOCK")</f>
        <v>Menor a 5</v>
      </c>
    </row>
    <row r="24" ht="15.75" customHeight="1">
      <c r="A24" s="47" t="s">
        <v>3560</v>
      </c>
      <c r="B24" s="48" t="s">
        <v>3653</v>
      </c>
      <c r="C24" s="205" t="s">
        <v>3654</v>
      </c>
      <c r="D24" s="37" t="s">
        <v>3655</v>
      </c>
      <c r="E24" s="37" t="s">
        <v>3656</v>
      </c>
      <c r="F24" s="152">
        <v>0.21</v>
      </c>
      <c r="G24" s="73" t="s">
        <v>3657</v>
      </c>
      <c r="H24" s="53" t="str">
        <f>IFERROR(VLOOKUP("26792-032-56",STOCK!$B$6:$Q$3696,3,FALSE),"SIN STOCK")</f>
        <v>Menor a 5</v>
      </c>
    </row>
    <row r="25" ht="15.75" customHeight="1">
      <c r="A25" s="41" t="s">
        <v>3560</v>
      </c>
      <c r="B25" s="42" t="s">
        <v>3658</v>
      </c>
      <c r="C25" s="209" t="s">
        <v>3659</v>
      </c>
      <c r="D25" s="44" t="s">
        <v>3660</v>
      </c>
      <c r="E25" s="44" t="s">
        <v>3661</v>
      </c>
      <c r="F25" s="45">
        <v>0.21</v>
      </c>
      <c r="G25" s="43" t="s">
        <v>3657</v>
      </c>
      <c r="H25" s="53" t="str">
        <f>IFERROR(VLOOKUP("26792-024-56",STOCK!$B$6:$Q$3696,3,FALSE),"SIN STOCK")</f>
        <v>Menor a 5</v>
      </c>
    </row>
    <row r="26" ht="15.75" customHeight="1">
      <c r="A26" s="29" t="s">
        <v>3662</v>
      </c>
      <c r="C26" s="30"/>
      <c r="D26" s="55"/>
      <c r="E26" s="55"/>
      <c r="F26" s="203"/>
      <c r="G26" s="30"/>
      <c r="H26" s="30"/>
    </row>
    <row r="27" ht="15.75" customHeight="1">
      <c r="A27" s="41" t="s">
        <v>3560</v>
      </c>
      <c r="B27" s="42" t="s">
        <v>3663</v>
      </c>
      <c r="C27" s="204" t="s">
        <v>3664</v>
      </c>
      <c r="D27" s="44" t="s">
        <v>3665</v>
      </c>
      <c r="E27" s="44" t="s">
        <v>3666</v>
      </c>
      <c r="F27" s="45">
        <v>0.21</v>
      </c>
      <c r="G27" s="43" t="s">
        <v>3667</v>
      </c>
      <c r="H27" s="53" t="str">
        <f>IFERROR(VLOOKUP("16075-000-42",STOCK!$B$6:$Q$3696,3,FALSE),"SIN STOCK")</f>
        <v>Menor a 5</v>
      </c>
    </row>
    <row r="28" ht="15.75" customHeight="1">
      <c r="A28" s="47" t="s">
        <v>3560</v>
      </c>
      <c r="B28" s="48" t="s">
        <v>3668</v>
      </c>
      <c r="C28" s="205" t="s">
        <v>3669</v>
      </c>
      <c r="D28" s="37" t="s">
        <v>3670</v>
      </c>
      <c r="E28" s="37" t="s">
        <v>3671</v>
      </c>
      <c r="F28" s="152">
        <v>0.21</v>
      </c>
      <c r="G28" s="73" t="s">
        <v>3667</v>
      </c>
      <c r="H28" s="39" t="str">
        <f>IFERROR(VLOOKUP("16075-000-56",STOCK!$B$6:$Q$3696,3,FALSE),"SIN STOCK")</f>
        <v>Mayor a 5</v>
      </c>
    </row>
    <row r="29" ht="15.75" customHeight="1">
      <c r="A29" s="41" t="s">
        <v>3560</v>
      </c>
      <c r="B29" s="42" t="s">
        <v>3672</v>
      </c>
      <c r="C29" s="204" t="s">
        <v>3673</v>
      </c>
      <c r="D29" s="44" t="s">
        <v>3665</v>
      </c>
      <c r="E29" s="44" t="s">
        <v>3666</v>
      </c>
      <c r="F29" s="45">
        <v>0.21</v>
      </c>
      <c r="G29" s="43" t="s">
        <v>3667</v>
      </c>
      <c r="H29" s="53" t="str">
        <f>IFERROR(VLOOKUP("16075-000-87",STOCK!$B$6:$Q$3696,3,FALSE),"SIN STOCK")</f>
        <v>Menor a 5</v>
      </c>
    </row>
    <row r="30" ht="15.75" customHeight="1">
      <c r="A30" s="47" t="s">
        <v>3560</v>
      </c>
      <c r="B30" s="48" t="s">
        <v>3674</v>
      </c>
      <c r="C30" s="206" t="s">
        <v>3675</v>
      </c>
      <c r="D30" s="37" t="s">
        <v>3676</v>
      </c>
      <c r="E30" s="37" t="s">
        <v>3677</v>
      </c>
      <c r="F30" s="152">
        <v>0.21</v>
      </c>
      <c r="G30" s="73" t="s">
        <v>3678</v>
      </c>
      <c r="H30" s="39" t="str">
        <f>IFERROR(VLOOKUP("16090-000-55",STOCK!$B$6:$Q$3696,3,FALSE),"SIN STOCK")</f>
        <v>Mayor a 5</v>
      </c>
    </row>
    <row r="31" ht="15.75" customHeight="1">
      <c r="A31" s="29" t="s">
        <v>3679</v>
      </c>
      <c r="C31" s="30"/>
      <c r="D31" s="55"/>
      <c r="E31" s="55"/>
      <c r="F31" s="203"/>
      <c r="G31" s="74"/>
      <c r="H31" s="74"/>
    </row>
    <row r="32" ht="15.75" customHeight="1">
      <c r="A32" s="41" t="s">
        <v>3560</v>
      </c>
      <c r="B32" s="42" t="s">
        <v>3680</v>
      </c>
      <c r="C32" s="160" t="s">
        <v>3681</v>
      </c>
      <c r="D32" s="44" t="s">
        <v>3682</v>
      </c>
      <c r="E32" s="44" t="s">
        <v>3683</v>
      </c>
      <c r="F32" s="45">
        <v>0.21</v>
      </c>
      <c r="G32" s="43" t="s">
        <v>3684</v>
      </c>
      <c r="H32" s="53" t="str">
        <f>IFERROR(VLOOKUP("23765-300-55",STOCK!$B$6:$Q$3696,3,FALSE),"SIN STOCK")</f>
        <v>SIN STOCK</v>
      </c>
    </row>
    <row r="33" ht="15.75" customHeight="1">
      <c r="A33" s="47" t="s">
        <v>3560</v>
      </c>
      <c r="B33" s="48" t="s">
        <v>3685</v>
      </c>
      <c r="C33" s="208" t="s">
        <v>3686</v>
      </c>
      <c r="D33" s="37" t="s">
        <v>3687</v>
      </c>
      <c r="E33" s="37" t="s">
        <v>3688</v>
      </c>
      <c r="F33" s="152">
        <v>0.21</v>
      </c>
      <c r="G33" s="73" t="s">
        <v>3689</v>
      </c>
      <c r="H33" s="53" t="str">
        <f>IFERROR(VLOOKUP("23783-300-55",STOCK!$B$6:$Q$3696,3,FALSE),"SIN STOCK")</f>
        <v>Menor a 5</v>
      </c>
    </row>
    <row r="34" ht="15.75" customHeight="1">
      <c r="A34" s="29" t="s">
        <v>3690</v>
      </c>
      <c r="C34" s="30"/>
      <c r="D34" s="55"/>
      <c r="E34" s="55"/>
      <c r="F34" s="203"/>
      <c r="G34" s="30"/>
      <c r="H34" s="30"/>
    </row>
    <row r="35" ht="15.75" customHeight="1">
      <c r="A35" s="41" t="s">
        <v>3560</v>
      </c>
      <c r="B35" s="42" t="s">
        <v>3691</v>
      </c>
      <c r="C35" s="204" t="s">
        <v>3692</v>
      </c>
      <c r="D35" s="44" t="s">
        <v>3693</v>
      </c>
      <c r="E35" s="44" t="s">
        <v>3694</v>
      </c>
      <c r="F35" s="45">
        <v>0.21</v>
      </c>
      <c r="G35" s="43" t="s">
        <v>3695</v>
      </c>
      <c r="H35" s="39" t="str">
        <f>IFERROR(VLOOKUP("85055-000-55",STOCK!$B$6:$Q$3696,3,FALSE),"SIN STOCK")</f>
        <v>Mayor a 5</v>
      </c>
    </row>
    <row r="36" ht="15.75" customHeight="1">
      <c r="A36" s="47" t="s">
        <v>3560</v>
      </c>
      <c r="B36" s="48" t="s">
        <v>3696</v>
      </c>
      <c r="C36" s="205" t="s">
        <v>3697</v>
      </c>
      <c r="D36" s="37" t="s">
        <v>3698</v>
      </c>
      <c r="E36" s="37" t="s">
        <v>3699</v>
      </c>
      <c r="F36" s="152">
        <v>0.21</v>
      </c>
      <c r="G36" s="73" t="s">
        <v>3700</v>
      </c>
      <c r="H36" s="39" t="str">
        <f>IFERROR(VLOOKUP("85035-000-55",STOCK!$B$6:$Q$3696,3,FALSE),"SIN STOCK")</f>
        <v>Mayor a 5</v>
      </c>
    </row>
    <row r="37" ht="15.75" customHeight="1">
      <c r="A37" s="41" t="s">
        <v>3560</v>
      </c>
      <c r="B37" s="42" t="s">
        <v>3701</v>
      </c>
      <c r="C37" s="204" t="s">
        <v>3702</v>
      </c>
      <c r="D37" s="44" t="s">
        <v>3698</v>
      </c>
      <c r="E37" s="44" t="s">
        <v>3699</v>
      </c>
      <c r="F37" s="45">
        <v>0.21</v>
      </c>
      <c r="G37" s="43" t="s">
        <v>3700</v>
      </c>
      <c r="H37" s="39" t="str">
        <f>IFERROR(VLOOKUP("85050-000-55",STOCK!$B$6:$Q$3696,3,FALSE),"SIN STOCK")</f>
        <v>Mayor a 5</v>
      </c>
    </row>
    <row r="38" ht="15.75" customHeight="1">
      <c r="A38" s="47" t="s">
        <v>3560</v>
      </c>
      <c r="B38" s="48" t="s">
        <v>3703</v>
      </c>
      <c r="C38" s="205" t="s">
        <v>3704</v>
      </c>
      <c r="D38" s="37" t="s">
        <v>3705</v>
      </c>
      <c r="E38" s="37" t="s">
        <v>3706</v>
      </c>
      <c r="F38" s="152">
        <v>0.21</v>
      </c>
      <c r="G38" s="73" t="s">
        <v>3707</v>
      </c>
      <c r="H38" s="39" t="str">
        <f>IFERROR(VLOOKUP("85060-000-55",STOCK!$B$6:$Q$3696,3,FALSE),"SIN STOCK")</f>
        <v>Mayor a 5</v>
      </c>
    </row>
    <row r="39" ht="15.75" customHeight="1">
      <c r="A39" s="47" t="s">
        <v>3560</v>
      </c>
      <c r="B39" s="48" t="s">
        <v>3708</v>
      </c>
      <c r="C39" s="208" t="s">
        <v>3709</v>
      </c>
      <c r="D39" s="37" t="s">
        <v>3006</v>
      </c>
      <c r="E39" s="63"/>
      <c r="F39" s="210"/>
      <c r="G39" s="73" t="s">
        <v>3710</v>
      </c>
      <c r="H39" s="50" t="str">
        <f>IFERROR(VLOOKUP("21110-500-55",STOCK!$B$6:$Q$3696,3,FALSE),"SIN STOCK")</f>
        <v>SIN STOCK</v>
      </c>
    </row>
    <row r="40" ht="15.75" customHeight="1">
      <c r="A40" s="29" t="s">
        <v>3711</v>
      </c>
      <c r="C40" s="30"/>
      <c r="D40" s="55"/>
      <c r="E40" s="55"/>
      <c r="F40" s="203"/>
      <c r="G40" s="30"/>
      <c r="H40" s="30"/>
    </row>
    <row r="41" ht="15.75" customHeight="1">
      <c r="A41" s="41" t="s">
        <v>3560</v>
      </c>
      <c r="B41" s="211" t="s">
        <v>3712</v>
      </c>
      <c r="C41" s="160" t="s">
        <v>3713</v>
      </c>
      <c r="D41" s="44" t="s">
        <v>3714</v>
      </c>
      <c r="E41" s="44" t="s">
        <v>3715</v>
      </c>
      <c r="F41" s="45">
        <v>0.21</v>
      </c>
      <c r="G41" s="43" t="s">
        <v>3716</v>
      </c>
      <c r="H41" s="39" t="str">
        <f>IFERROR(VLOOKUP("23860-321-55",STOCK!$B$6:$Q$3696,3,FALSE),"SIN STOCK")</f>
        <v>Menor a 5</v>
      </c>
    </row>
    <row r="42" ht="15.75" customHeight="1">
      <c r="A42" s="29" t="s">
        <v>3717</v>
      </c>
      <c r="C42" s="30"/>
      <c r="D42" s="55"/>
      <c r="E42" s="55"/>
      <c r="F42" s="203"/>
      <c r="G42" s="74"/>
      <c r="H42" s="74"/>
    </row>
    <row r="43" ht="15.75" customHeight="1">
      <c r="A43" s="41" t="s">
        <v>3560</v>
      </c>
      <c r="B43" s="42" t="s">
        <v>3718</v>
      </c>
      <c r="C43" s="204" t="s">
        <v>3719</v>
      </c>
      <c r="D43" s="44" t="s">
        <v>3720</v>
      </c>
      <c r="E43" s="44" t="s">
        <v>3721</v>
      </c>
      <c r="F43" s="45">
        <v>0.21</v>
      </c>
      <c r="G43" s="43" t="s">
        <v>3722</v>
      </c>
      <c r="H43" s="39" t="str">
        <f>IFERROR(VLOOKUP("24030-500-55",STOCK!$B$6:$Q$3696,3,FALSE),"SIN STOCK")</f>
        <v>Mayor a 5</v>
      </c>
    </row>
    <row r="44" ht="15.75" customHeight="1">
      <c r="A44" s="47" t="s">
        <v>3560</v>
      </c>
      <c r="B44" s="48" t="s">
        <v>3723</v>
      </c>
      <c r="C44" s="205" t="s">
        <v>3724</v>
      </c>
      <c r="D44" s="37" t="s">
        <v>3725</v>
      </c>
      <c r="E44" s="37" t="s">
        <v>3726</v>
      </c>
      <c r="F44" s="152">
        <v>0.21</v>
      </c>
      <c r="G44" s="73" t="s">
        <v>3727</v>
      </c>
      <c r="H44" s="53" t="str">
        <f>IFERROR(VLOOKUP("24035-500-55",STOCK!$B$6:$Q$3696,3,FALSE),"SIN STOCK")</f>
        <v>SIN STOCK</v>
      </c>
    </row>
    <row r="45" ht="15.75" customHeight="1">
      <c r="A45" s="41" t="s">
        <v>3560</v>
      </c>
      <c r="B45" s="42" t="s">
        <v>3728</v>
      </c>
      <c r="C45" s="204" t="s">
        <v>3729</v>
      </c>
      <c r="D45" s="44" t="s">
        <v>3730</v>
      </c>
      <c r="E45" s="44" t="s">
        <v>3731</v>
      </c>
      <c r="F45" s="45">
        <v>0.21</v>
      </c>
      <c r="G45" s="43" t="s">
        <v>3732</v>
      </c>
      <c r="H45" s="39" t="str">
        <f>IFERROR(VLOOKUP("25950-500-55",STOCK!$B$6:$Q$3696,3,FALSE),"SIN STOCK")</f>
        <v>SIN STOCK</v>
      </c>
    </row>
    <row r="46" ht="15.75" customHeight="1">
      <c r="A46" s="47" t="s">
        <v>3560</v>
      </c>
      <c r="B46" s="48" t="s">
        <v>3733</v>
      </c>
      <c r="C46" s="205" t="s">
        <v>3734</v>
      </c>
      <c r="D46" s="37" t="s">
        <v>3735</v>
      </c>
      <c r="E46" s="37" t="s">
        <v>3736</v>
      </c>
      <c r="F46" s="152">
        <v>0.21</v>
      </c>
      <c r="G46" s="73" t="s">
        <v>3737</v>
      </c>
      <c r="H46" s="53" t="str">
        <f>IFERROR(VLOOKUP("25993-500-55",STOCK!$B$6:$Q$3696,3,FALSE),"SIN STOCK")</f>
        <v>SIN STOCK</v>
      </c>
    </row>
    <row r="47" ht="15.75" customHeight="1">
      <c r="A47" s="41" t="s">
        <v>3560</v>
      </c>
      <c r="B47" s="42" t="s">
        <v>3738</v>
      </c>
      <c r="C47" s="160" t="s">
        <v>3739</v>
      </c>
      <c r="D47" s="44" t="s">
        <v>3740</v>
      </c>
      <c r="E47" s="44" t="s">
        <v>3741</v>
      </c>
      <c r="F47" s="45">
        <v>0.21</v>
      </c>
      <c r="G47" s="43" t="s">
        <v>3722</v>
      </c>
      <c r="H47" s="39" t="str">
        <f>IFERROR(VLOOKUP("24030-300-55",STOCK!$B$6:$Q$3696,3,FALSE),"SIN STOCK")</f>
        <v>SIN STOCK</v>
      </c>
    </row>
    <row r="48" ht="15.75" customHeight="1">
      <c r="A48" s="47" t="s">
        <v>3560</v>
      </c>
      <c r="B48" s="48" t="s">
        <v>3742</v>
      </c>
      <c r="C48" s="206" t="s">
        <v>3743</v>
      </c>
      <c r="D48" s="37" t="s">
        <v>3744</v>
      </c>
      <c r="E48" s="37" t="s">
        <v>3745</v>
      </c>
      <c r="F48" s="152">
        <v>0.21</v>
      </c>
      <c r="G48" s="73" t="s">
        <v>3727</v>
      </c>
      <c r="H48" s="50" t="str">
        <f>IFERROR(VLOOKUP("24035-300-55",STOCK!$B$6:$Q$3696,3,FALSE),"SIN STOCK")</f>
        <v>SIN STOCK</v>
      </c>
    </row>
    <row r="49" ht="15.75" customHeight="1">
      <c r="A49" s="41" t="s">
        <v>3560</v>
      </c>
      <c r="B49" s="42" t="s">
        <v>3746</v>
      </c>
      <c r="C49" s="160" t="s">
        <v>3747</v>
      </c>
      <c r="D49" s="44" t="s">
        <v>3748</v>
      </c>
      <c r="E49" s="44" t="s">
        <v>3749</v>
      </c>
      <c r="F49" s="45">
        <v>0.21</v>
      </c>
      <c r="G49" s="43" t="s">
        <v>3750</v>
      </c>
      <c r="H49" s="39" t="str">
        <f>IFERROR(VLOOKUP("25910-300-55",STOCK!$B$6:$Q$3696,3,FALSE),"SIN STOCK")</f>
        <v>Mayor a 5</v>
      </c>
    </row>
    <row r="50" ht="15.75" customHeight="1">
      <c r="A50" s="47" t="s">
        <v>3560</v>
      </c>
      <c r="B50" s="48" t="s">
        <v>3751</v>
      </c>
      <c r="C50" s="206" t="s">
        <v>3752</v>
      </c>
      <c r="D50" s="37" t="s">
        <v>3753</v>
      </c>
      <c r="E50" s="37" t="s">
        <v>3754</v>
      </c>
      <c r="F50" s="152">
        <v>0.21</v>
      </c>
      <c r="G50" s="73" t="s">
        <v>3732</v>
      </c>
      <c r="H50" s="50" t="str">
        <f>IFERROR(VLOOKUP("25950-300-55",STOCK!$B$6:$Q$3696,3,FALSE),"SIN STOCK")</f>
        <v>SIN STOCK</v>
      </c>
    </row>
    <row r="51" ht="15.75" customHeight="1">
      <c r="A51" s="29" t="s">
        <v>3755</v>
      </c>
      <c r="C51" s="30"/>
      <c r="D51" s="55"/>
      <c r="E51" s="55"/>
      <c r="F51" s="203"/>
      <c r="G51" s="30"/>
      <c r="H51" s="30"/>
    </row>
    <row r="52" ht="15.75" customHeight="1">
      <c r="A52" s="41" t="s">
        <v>3560</v>
      </c>
      <c r="B52" s="42" t="s">
        <v>3756</v>
      </c>
      <c r="C52" s="204" t="s">
        <v>3757</v>
      </c>
      <c r="D52" s="44" t="s">
        <v>3758</v>
      </c>
      <c r="E52" s="44" t="s">
        <v>3759</v>
      </c>
      <c r="F52" s="45">
        <v>0.21</v>
      </c>
      <c r="G52" s="43" t="s">
        <v>3760</v>
      </c>
      <c r="H52" s="39" t="str">
        <f>IFERROR(VLOOKUP("26010-500-55",STOCK!$B$6:$Q$3696,3,FALSE),"SIN STOCK")</f>
        <v>Mayor a 5</v>
      </c>
    </row>
    <row r="53" ht="15.75" customHeight="1">
      <c r="A53" s="47" t="s">
        <v>3560</v>
      </c>
      <c r="B53" s="48" t="s">
        <v>3761</v>
      </c>
      <c r="C53" s="205" t="s">
        <v>3762</v>
      </c>
      <c r="D53" s="37" t="s">
        <v>3763</v>
      </c>
      <c r="E53" s="37" t="s">
        <v>3764</v>
      </c>
      <c r="F53" s="152">
        <v>0.21</v>
      </c>
      <c r="G53" s="73" t="s">
        <v>3765</v>
      </c>
      <c r="H53" s="39" t="str">
        <f>IFERROR(VLOOKUP("20120-500-55",STOCK!$B$6:$Q$3696,3,FALSE),"SIN STOCK")</f>
        <v>Mayor a 5</v>
      </c>
    </row>
    <row r="54" ht="15.75" customHeight="1">
      <c r="A54" s="41" t="s">
        <v>3560</v>
      </c>
      <c r="B54" s="42" t="s">
        <v>3766</v>
      </c>
      <c r="C54" s="204" t="s">
        <v>3767</v>
      </c>
      <c r="D54" s="44" t="s">
        <v>3768</v>
      </c>
      <c r="E54" s="44" t="s">
        <v>3769</v>
      </c>
      <c r="F54" s="45">
        <v>0.21</v>
      </c>
      <c r="G54" s="43" t="s">
        <v>3770</v>
      </c>
      <c r="H54" s="53" t="str">
        <f>IFERROR(VLOOKUP("25900-500-55",STOCK!$B$6:$Q$3696,3,FALSE),"SIN STOCK")</f>
        <v>SIN STOCK</v>
      </c>
    </row>
    <row r="55" ht="15.75" customHeight="1">
      <c r="A55" s="47" t="s">
        <v>3560</v>
      </c>
      <c r="B55" s="48" t="s">
        <v>3771</v>
      </c>
      <c r="C55" s="206" t="s">
        <v>3772</v>
      </c>
      <c r="D55" s="37" t="s">
        <v>3773</v>
      </c>
      <c r="E55" s="37" t="s">
        <v>3774</v>
      </c>
      <c r="F55" s="152">
        <v>0.21</v>
      </c>
      <c r="G55" s="73" t="s">
        <v>3775</v>
      </c>
      <c r="H55" s="50" t="str">
        <f>IFERROR(VLOOKUP("26007-319-55",STOCK!$B$6:$Q$3696,3,FALSE),"SIN STOCK")</f>
        <v>SIN STOCK</v>
      </c>
    </row>
    <row r="56" ht="15.75" customHeight="1">
      <c r="A56" s="41" t="s">
        <v>3560</v>
      </c>
      <c r="B56" s="42" t="s">
        <v>3776</v>
      </c>
      <c r="C56" s="160" t="s">
        <v>3777</v>
      </c>
      <c r="D56" s="44" t="s">
        <v>3778</v>
      </c>
      <c r="E56" s="44" t="s">
        <v>3779</v>
      </c>
      <c r="F56" s="45">
        <v>0.21</v>
      </c>
      <c r="G56" s="43" t="s">
        <v>3760</v>
      </c>
      <c r="H56" s="50" t="str">
        <f>IFERROR(VLOOKUP("26010-300-55",STOCK!$B$6:$Q$3696,3,FALSE),"SIN STOCK")</f>
        <v>SIN STOCK</v>
      </c>
    </row>
    <row r="57" ht="15.75" customHeight="1">
      <c r="A57" s="47" t="s">
        <v>3560</v>
      </c>
      <c r="B57" s="47" t="s">
        <v>3780</v>
      </c>
      <c r="C57" s="62"/>
      <c r="D57" s="37" t="s">
        <v>3006</v>
      </c>
      <c r="E57" s="37" t="s">
        <v>3006</v>
      </c>
      <c r="F57" s="210"/>
      <c r="G57" s="75"/>
      <c r="H57" s="53" t="str">
        <f>IFERROR(VLOOKUP("23760-000-55",STOCK!$B$6:$Q$3696,3,FALSE),"SIN STOCK")</f>
        <v>Menor a 5</v>
      </c>
    </row>
    <row r="58" ht="15.75" customHeight="1">
      <c r="A58" s="41" t="s">
        <v>3560</v>
      </c>
      <c r="B58" s="42" t="s">
        <v>3781</v>
      </c>
      <c r="C58" s="160" t="s">
        <v>3782</v>
      </c>
      <c r="D58" s="44" t="s">
        <v>3783</v>
      </c>
      <c r="E58" s="44" t="s">
        <v>3784</v>
      </c>
      <c r="F58" s="45">
        <v>0.21</v>
      </c>
      <c r="G58" s="43" t="s">
        <v>3592</v>
      </c>
      <c r="H58" s="53" t="str">
        <f>IFERROR(VLOOKUP("21020-300-55",STOCK!$B$6:$Q$3696,3,FALSE),"SIN STOCK")</f>
        <v>SIN STOCK</v>
      </c>
    </row>
    <row r="59" ht="15.75" customHeight="1">
      <c r="A59" s="47" t="s">
        <v>3560</v>
      </c>
      <c r="B59" s="48" t="s">
        <v>3785</v>
      </c>
      <c r="C59" s="206" t="s">
        <v>3786</v>
      </c>
      <c r="D59" s="37" t="s">
        <v>3577</v>
      </c>
      <c r="E59" s="37" t="s">
        <v>3578</v>
      </c>
      <c r="F59" s="152">
        <v>0.21</v>
      </c>
      <c r="G59" s="73" t="s">
        <v>3579</v>
      </c>
      <c r="H59" s="39" t="str">
        <f>IFERROR(VLOOKUP("25400-300-55",STOCK!$B$6:$Q$3696,3,FALSE),"SIN STOCK")</f>
        <v>SIN STOCK</v>
      </c>
    </row>
    <row r="60" ht="15.75" customHeight="1">
      <c r="A60" s="41" t="s">
        <v>3560</v>
      </c>
      <c r="B60" s="42" t="s">
        <v>3787</v>
      </c>
      <c r="C60" s="160" t="s">
        <v>3788</v>
      </c>
      <c r="D60" s="44" t="s">
        <v>3789</v>
      </c>
      <c r="E60" s="44" t="s">
        <v>3790</v>
      </c>
      <c r="F60" s="45">
        <v>0.21</v>
      </c>
      <c r="G60" s="43" t="s">
        <v>3582</v>
      </c>
      <c r="H60" s="50" t="str">
        <f>IFERROR(VLOOKUP("25600-300-55",STOCK!$B$6:$Q$3696,3,FALSE),"SIN STOCK")</f>
        <v>SIN STOCK</v>
      </c>
    </row>
    <row r="61" ht="15.75" customHeight="1">
      <c r="A61" s="41" t="s">
        <v>3560</v>
      </c>
      <c r="B61" s="41" t="s">
        <v>3791</v>
      </c>
      <c r="C61" s="43" t="s">
        <v>3792</v>
      </c>
      <c r="D61" s="44" t="s">
        <v>3793</v>
      </c>
      <c r="E61" s="44" t="s">
        <v>3794</v>
      </c>
      <c r="F61" s="45">
        <v>0.21</v>
      </c>
      <c r="G61" s="212"/>
      <c r="H61" s="39" t="str">
        <f>IFERROR(VLOOKUP("SEMS-3000",STOCK!$B$6:$Q$3696,3,FALSE),"SIN STOCK")</f>
        <v>SIN STOCK</v>
      </c>
    </row>
    <row r="62" ht="15.75" customHeight="1">
      <c r="A62" s="29" t="s">
        <v>3795</v>
      </c>
      <c r="C62" s="30"/>
      <c r="D62" s="55"/>
      <c r="E62" s="55"/>
      <c r="F62" s="203"/>
      <c r="G62" s="30"/>
      <c r="H62" s="30"/>
    </row>
    <row r="63" ht="15.75" customHeight="1">
      <c r="A63" s="41" t="s">
        <v>3560</v>
      </c>
      <c r="B63" s="42" t="s">
        <v>3796</v>
      </c>
      <c r="C63" s="204" t="s">
        <v>3797</v>
      </c>
      <c r="D63" s="44" t="s">
        <v>3798</v>
      </c>
      <c r="E63" s="44" t="s">
        <v>3799</v>
      </c>
      <c r="F63" s="45">
        <v>0.21</v>
      </c>
      <c r="G63" s="43" t="s">
        <v>3800</v>
      </c>
      <c r="H63" s="39" t="str">
        <f>IFERROR(VLOOKUP("29375-000-55",STOCK!$B$6:$Q$3696,3,FALSE),"SIN STOCK")</f>
        <v>SIN STOCK</v>
      </c>
    </row>
    <row r="64" ht="15.75" customHeight="1">
      <c r="A64" s="47" t="s">
        <v>3560</v>
      </c>
      <c r="B64" s="48" t="s">
        <v>3801</v>
      </c>
      <c r="C64" s="205" t="s">
        <v>3802</v>
      </c>
      <c r="D64" s="37" t="s">
        <v>3803</v>
      </c>
      <c r="E64" s="37" t="s">
        <v>3804</v>
      </c>
      <c r="F64" s="152">
        <v>0.21</v>
      </c>
      <c r="G64" s="73" t="s">
        <v>3800</v>
      </c>
      <c r="H64" s="39" t="str">
        <f>IFERROR(VLOOKUP("29376-000-55",STOCK!$B$6:$Q$3696,3,FALSE),"SIN STOCK")</f>
        <v>Mayor a 5</v>
      </c>
    </row>
    <row r="65" ht="15.75" customHeight="1">
      <c r="A65" s="29" t="s">
        <v>3805</v>
      </c>
      <c r="C65" s="30"/>
      <c r="D65" s="55"/>
      <c r="E65" s="55"/>
      <c r="F65" s="203"/>
      <c r="G65" s="30"/>
      <c r="H65" s="30"/>
    </row>
    <row r="66" ht="15.75" customHeight="1">
      <c r="A66" s="41" t="s">
        <v>3560</v>
      </c>
      <c r="B66" s="211" t="s">
        <v>3806</v>
      </c>
      <c r="C66" s="160" t="s">
        <v>3807</v>
      </c>
      <c r="D66" s="44" t="s">
        <v>3808</v>
      </c>
      <c r="E66" s="44" t="s">
        <v>3809</v>
      </c>
      <c r="F66" s="45">
        <v>0.21</v>
      </c>
      <c r="G66" s="43" t="s">
        <v>3810</v>
      </c>
      <c r="H66" s="50" t="str">
        <f>IFERROR(VLOOKUP("23956/00",STOCK!$B$6:$Q$3696,3,FALSE),"SIN STOCK")</f>
        <v>Mayor a 5</v>
      </c>
    </row>
    <row r="67" ht="15.75" customHeight="1">
      <c r="A67" s="29" t="s">
        <v>3811</v>
      </c>
      <c r="C67" s="30"/>
      <c r="D67" s="55"/>
      <c r="E67" s="55"/>
      <c r="F67" s="203"/>
      <c r="G67" s="30"/>
      <c r="H67" s="30"/>
    </row>
    <row r="68" ht="15.75" customHeight="1">
      <c r="A68" s="41" t="s">
        <v>3560</v>
      </c>
      <c r="B68" s="211" t="s">
        <v>3812</v>
      </c>
      <c r="C68" s="204" t="s">
        <v>3813</v>
      </c>
      <c r="D68" s="44" t="s">
        <v>3814</v>
      </c>
      <c r="E68" s="44" t="s">
        <v>3815</v>
      </c>
      <c r="F68" s="45">
        <v>0.21</v>
      </c>
      <c r="G68" s="43" t="s">
        <v>3816</v>
      </c>
      <c r="H68" s="39" t="str">
        <f>IFERROR(VLOOKUP("19783-100-55",STOCK!$B$6:$Q$3696,3,FALSE),"SIN STOCK")</f>
        <v>Mayor a 5</v>
      </c>
    </row>
    <row r="69" ht="15.75" customHeight="1">
      <c r="A69" s="29" t="s">
        <v>3817</v>
      </c>
      <c r="C69" s="30"/>
      <c r="D69" s="55"/>
      <c r="E69" s="55"/>
      <c r="F69" s="203"/>
      <c r="G69" s="30"/>
      <c r="H69" s="30"/>
    </row>
    <row r="70" ht="15.75" customHeight="1">
      <c r="A70" s="41" t="s">
        <v>3560</v>
      </c>
      <c r="B70" s="42" t="s">
        <v>3818</v>
      </c>
      <c r="C70" s="204" t="s">
        <v>3819</v>
      </c>
      <c r="D70" s="44" t="s">
        <v>3820</v>
      </c>
      <c r="E70" s="44" t="s">
        <v>3821</v>
      </c>
      <c r="F70" s="45">
        <v>0.21</v>
      </c>
      <c r="G70" s="72" t="s">
        <v>3822</v>
      </c>
      <c r="H70" s="39" t="str">
        <f>IFERROR(VLOOKUP("19746-000-55",STOCK!$B$6:$Q$3696,3,FALSE),"SIN STOCK")</f>
        <v>Mayor a 5</v>
      </c>
    </row>
    <row r="71" ht="15.75" customHeight="1">
      <c r="A71" s="47" t="s">
        <v>3560</v>
      </c>
      <c r="B71" s="48" t="s">
        <v>3823</v>
      </c>
      <c r="C71" s="205" t="s">
        <v>3824</v>
      </c>
      <c r="D71" s="37" t="s">
        <v>3825</v>
      </c>
      <c r="E71" s="37" t="s">
        <v>3826</v>
      </c>
      <c r="F71" s="213">
        <v>0.21</v>
      </c>
      <c r="G71" s="214" t="s">
        <v>3827</v>
      </c>
      <c r="H71" s="39" t="str">
        <f>IFERROR(VLOOKUP("19747-000-55",STOCK!$B$6:$Q$3696,3,FALSE),"SIN STOCK")</f>
        <v>Menor a 5</v>
      </c>
    </row>
    <row r="72" ht="15.75" customHeight="1">
      <c r="A72" s="41" t="s">
        <v>3560</v>
      </c>
      <c r="B72" s="42" t="s">
        <v>3828</v>
      </c>
      <c r="C72" s="160" t="s">
        <v>3829</v>
      </c>
      <c r="D72" s="44" t="s">
        <v>3830</v>
      </c>
      <c r="E72" s="44" t="s">
        <v>3831</v>
      </c>
      <c r="F72" s="45">
        <v>0.21</v>
      </c>
      <c r="G72" s="43" t="s">
        <v>3832</v>
      </c>
      <c r="H72" s="50" t="str">
        <f>IFERROR(VLOOKUP("19850-000-55",STOCK!$B$6:$Q$3696,3,FALSE),"SIN STOCK")</f>
        <v>SIN STOCK</v>
      </c>
    </row>
    <row r="73" ht="15.75" customHeight="1">
      <c r="A73" s="29" t="s">
        <v>3833</v>
      </c>
      <c r="C73" s="30"/>
      <c r="D73" s="55"/>
      <c r="E73" s="55"/>
      <c r="F73" s="203"/>
      <c r="G73" s="30"/>
      <c r="H73" s="30"/>
    </row>
    <row r="74" ht="15.75" customHeight="1">
      <c r="A74" s="41" t="s">
        <v>3560</v>
      </c>
      <c r="B74" s="211" t="s">
        <v>3834</v>
      </c>
      <c r="C74" s="160" t="s">
        <v>3835</v>
      </c>
      <c r="D74" s="44" t="s">
        <v>3836</v>
      </c>
      <c r="E74" s="44" t="s">
        <v>3837</v>
      </c>
      <c r="F74" s="45">
        <v>0.21</v>
      </c>
      <c r="G74" s="43" t="s">
        <v>3838</v>
      </c>
      <c r="H74" s="50" t="str">
        <f>IFERROR(VLOOKUP("23720-300-55",STOCK!$B$6:$Q$3696,3,FALSE),"SIN STOCK")</f>
        <v>SIN STOCK</v>
      </c>
    </row>
    <row r="75" ht="15.75" customHeight="1">
      <c r="A75" s="29" t="s">
        <v>3839</v>
      </c>
      <c r="C75" s="30"/>
      <c r="D75" s="55"/>
      <c r="E75" s="55"/>
      <c r="F75" s="203"/>
      <c r="G75" s="30"/>
      <c r="H75" s="30"/>
    </row>
    <row r="76" ht="15.75" customHeight="1">
      <c r="A76" s="41" t="s">
        <v>3560</v>
      </c>
      <c r="B76" s="42" t="s">
        <v>3840</v>
      </c>
      <c r="C76" s="215" t="s">
        <v>3841</v>
      </c>
      <c r="D76" s="44" t="s">
        <v>3842</v>
      </c>
      <c r="E76" s="44" t="s">
        <v>3843</v>
      </c>
      <c r="F76" s="45">
        <v>0.21</v>
      </c>
      <c r="G76" s="72" t="s">
        <v>3844</v>
      </c>
      <c r="H76" s="39" t="str">
        <f>IFERROR(VLOOKUP("23200-500-55",STOCK!$B$6:$Q$3696,3,FALSE),"SIN STOCK")</f>
        <v>Menor a 5</v>
      </c>
    </row>
    <row r="77" ht="15.75" customHeight="1">
      <c r="A77" s="47" t="s">
        <v>3560</v>
      </c>
      <c r="B77" s="48" t="s">
        <v>3845</v>
      </c>
      <c r="C77" s="206" t="s">
        <v>3846</v>
      </c>
      <c r="D77" s="37" t="s">
        <v>3847</v>
      </c>
      <c r="E77" s="37" t="s">
        <v>3848</v>
      </c>
      <c r="F77" s="213">
        <v>0.21</v>
      </c>
      <c r="G77" s="214" t="s">
        <v>3849</v>
      </c>
      <c r="H77" s="50" t="str">
        <f>IFERROR(VLOOKUP("25800-321-55",STOCK!$B$6:$Q$3696,3,FALSE),"SIN STOCK")</f>
        <v>SIN STOCK</v>
      </c>
    </row>
    <row r="78" ht="15.75" customHeight="1">
      <c r="A78" s="41" t="s">
        <v>3560</v>
      </c>
      <c r="B78" s="42" t="s">
        <v>3850</v>
      </c>
      <c r="C78" s="160" t="s">
        <v>3846</v>
      </c>
      <c r="D78" s="44" t="s">
        <v>3830</v>
      </c>
      <c r="E78" s="44" t="s">
        <v>3831</v>
      </c>
      <c r="F78" s="45">
        <v>0.21</v>
      </c>
      <c r="G78" s="43" t="s">
        <v>3849</v>
      </c>
      <c r="H78" s="39" t="str">
        <f>IFERROR(VLOOKUP("23105-300-55",STOCK!$B$6:$Q$3696,3,FALSE),"SIN STOCK")</f>
        <v>Mayor a 5</v>
      </c>
    </row>
    <row r="79" ht="15.75" customHeight="1">
      <c r="A79" s="29" t="s">
        <v>3851</v>
      </c>
      <c r="C79" s="30"/>
      <c r="D79" s="55"/>
      <c r="E79" s="55"/>
      <c r="F79" s="203"/>
      <c r="G79" s="30"/>
      <c r="H79" s="30"/>
    </row>
    <row r="80" ht="15.75" customHeight="1">
      <c r="A80" s="41" t="s">
        <v>3560</v>
      </c>
      <c r="B80" s="42" t="s">
        <v>3852</v>
      </c>
      <c r="C80" s="209" t="s">
        <v>3853</v>
      </c>
      <c r="D80" s="44" t="s">
        <v>3854</v>
      </c>
      <c r="E80" s="44" t="s">
        <v>3855</v>
      </c>
      <c r="F80" s="45">
        <v>0.21</v>
      </c>
      <c r="G80" s="72" t="s">
        <v>3856</v>
      </c>
      <c r="H80" s="39" t="str">
        <f>IFERROR(VLOOKUP("19791-016-55",STOCK!$B$6:$Q$3696,3,FALSE),"SIN STOCK")</f>
        <v>Menor a 5</v>
      </c>
    </row>
    <row r="81" ht="15.75" customHeight="1">
      <c r="A81" s="47" t="s">
        <v>3560</v>
      </c>
      <c r="B81" s="48" t="s">
        <v>3857</v>
      </c>
      <c r="C81" s="216" t="s">
        <v>3858</v>
      </c>
      <c r="D81" s="37" t="s">
        <v>3859</v>
      </c>
      <c r="E81" s="37" t="s">
        <v>3860</v>
      </c>
      <c r="F81" s="213">
        <v>0.21</v>
      </c>
      <c r="G81" s="214" t="s">
        <v>3861</v>
      </c>
      <c r="H81" s="39" t="str">
        <f>IFERROR(VLOOKUP("19790-516-55",STOCK!$B$6:$Q$3696,3,FALSE),"SIN STOCK")</f>
        <v>Mayor a 5</v>
      </c>
    </row>
    <row r="82" ht="15.75" customHeight="1">
      <c r="A82" s="29" t="s">
        <v>3862</v>
      </c>
      <c r="C82" s="30"/>
      <c r="D82" s="55"/>
      <c r="E82" s="55"/>
      <c r="F82" s="203"/>
      <c r="G82" s="30"/>
      <c r="H82" s="30"/>
    </row>
    <row r="83" ht="15.75" customHeight="1">
      <c r="A83" s="41" t="s">
        <v>3560</v>
      </c>
      <c r="B83" s="42" t="s">
        <v>3863</v>
      </c>
      <c r="C83" s="204" t="s">
        <v>3864</v>
      </c>
      <c r="D83" s="44" t="s">
        <v>3865</v>
      </c>
      <c r="E83" s="44" t="s">
        <v>3866</v>
      </c>
      <c r="F83" s="45">
        <v>0.21</v>
      </c>
      <c r="G83" s="72" t="s">
        <v>3867</v>
      </c>
      <c r="H83" s="39" t="str">
        <f>IFERROR(VLOOKUP("21500-000-29",STOCK!$B$6:$Q$3696,3,FALSE),"SIN STOCK")</f>
        <v>Mayor a 5</v>
      </c>
    </row>
    <row r="84" ht="15.75" customHeight="1">
      <c r="A84" s="47" t="s">
        <v>3560</v>
      </c>
      <c r="B84" s="48" t="s">
        <v>3868</v>
      </c>
      <c r="C84" s="205" t="s">
        <v>3869</v>
      </c>
      <c r="D84" s="37" t="s">
        <v>3870</v>
      </c>
      <c r="E84" s="37" t="s">
        <v>3871</v>
      </c>
      <c r="F84" s="213">
        <v>0.21</v>
      </c>
      <c r="G84" s="214" t="s">
        <v>3872</v>
      </c>
      <c r="H84" s="39" t="str">
        <f>IFERROR(VLOOKUP("21600-000-29",STOCK!$B$6:$Q$3696,3,FALSE),"SIN STOCK")</f>
        <v>SIN STOCK</v>
      </c>
    </row>
    <row r="85" ht="15.75" customHeight="1">
      <c r="A85" s="41" t="s">
        <v>3560</v>
      </c>
      <c r="B85" s="42" t="s">
        <v>3873</v>
      </c>
      <c r="C85" s="204" t="s">
        <v>3874</v>
      </c>
      <c r="D85" s="44" t="s">
        <v>3875</v>
      </c>
      <c r="E85" s="44" t="s">
        <v>3876</v>
      </c>
      <c r="F85" s="45">
        <v>0.21</v>
      </c>
      <c r="G85" s="72" t="s">
        <v>3867</v>
      </c>
      <c r="H85" s="39" t="str">
        <f>IFERROR(VLOOKUP("21700-000-29",STOCK!$B$6:$Q$3696,3,FALSE),"SIN STOCK")</f>
        <v>SIN STOCK</v>
      </c>
    </row>
    <row r="86" ht="15.75" customHeight="1">
      <c r="A86" s="47" t="s">
        <v>3560</v>
      </c>
      <c r="B86" s="48" t="s">
        <v>3877</v>
      </c>
      <c r="C86" s="217" t="s">
        <v>3878</v>
      </c>
      <c r="D86" s="37" t="s">
        <v>3879</v>
      </c>
      <c r="E86" s="37" t="s">
        <v>3880</v>
      </c>
      <c r="F86" s="213">
        <v>0.21</v>
      </c>
      <c r="G86" s="214" t="s">
        <v>3881</v>
      </c>
      <c r="H86" s="39" t="str">
        <f>IFERROR(VLOOKUP("21800-000-29",STOCK!$B$6:$Q$3696,3,FALSE),"SIN STOCK")</f>
        <v>Mayor a 5</v>
      </c>
    </row>
    <row r="87" ht="15.75" customHeight="1">
      <c r="A87" s="41" t="s">
        <v>3560</v>
      </c>
      <c r="B87" s="42" t="s">
        <v>3882</v>
      </c>
      <c r="C87" s="218" t="s">
        <v>3883</v>
      </c>
      <c r="D87" s="44" t="s">
        <v>3884</v>
      </c>
      <c r="E87" s="44" t="s">
        <v>3885</v>
      </c>
      <c r="F87" s="45">
        <v>0.21</v>
      </c>
      <c r="G87" s="72" t="s">
        <v>3886</v>
      </c>
      <c r="H87" s="39" t="str">
        <f>IFERROR(VLOOKUP("21900-000-29",STOCK!$B$6:$Q$3696,3,FALSE),"SIN STOCK")</f>
        <v>Mayor a 5</v>
      </c>
    </row>
    <row r="88" ht="15.75" customHeight="1">
      <c r="A88" s="47" t="s">
        <v>3560</v>
      </c>
      <c r="B88" s="48" t="s">
        <v>3887</v>
      </c>
      <c r="C88" s="205" t="s">
        <v>3888</v>
      </c>
      <c r="D88" s="37" t="s">
        <v>3884</v>
      </c>
      <c r="E88" s="37" t="s">
        <v>3885</v>
      </c>
      <c r="F88" s="213">
        <v>0.21</v>
      </c>
      <c r="G88" s="214" t="s">
        <v>3867</v>
      </c>
      <c r="H88" s="39" t="str">
        <f>IFERROR(VLOOKUP("21770-000-29",STOCK!$B$6:$Q$3696,3,FALSE),"SIN STOCK")</f>
        <v>Mayor a 5</v>
      </c>
    </row>
    <row r="89" ht="15.75" customHeight="1">
      <c r="A89" s="41" t="s">
        <v>3560</v>
      </c>
      <c r="B89" s="42" t="s">
        <v>3889</v>
      </c>
      <c r="C89" s="204" t="s">
        <v>3890</v>
      </c>
      <c r="D89" s="44" t="s">
        <v>3891</v>
      </c>
      <c r="E89" s="44" t="s">
        <v>3892</v>
      </c>
      <c r="F89" s="45">
        <v>0.21</v>
      </c>
      <c r="G89" s="72" t="s">
        <v>3893</v>
      </c>
      <c r="H89" s="39" t="str">
        <f>IFERROR(VLOOKUP("21900-208-29",STOCK!$B$6:$Q$3696,3,FALSE),"SIN STOCK")</f>
        <v>Mayor a 5</v>
      </c>
    </row>
    <row r="90" ht="15.75" customHeight="1">
      <c r="A90" s="47" t="s">
        <v>3560</v>
      </c>
      <c r="B90" s="48" t="s">
        <v>3894</v>
      </c>
      <c r="C90" s="205" t="s">
        <v>3895</v>
      </c>
      <c r="D90" s="37" t="s">
        <v>3896</v>
      </c>
      <c r="E90" s="37" t="s">
        <v>3897</v>
      </c>
      <c r="F90" s="213">
        <v>0.21</v>
      </c>
      <c r="G90" s="214" t="s">
        <v>3893</v>
      </c>
      <c r="H90" s="39" t="str">
        <f>IFERROR(VLOOKUP("21918-000-29",STOCK!$B$6:$Q$3696,3,FALSE),"SIN STOCK")</f>
        <v>Mayor a 5</v>
      </c>
    </row>
    <row r="91" ht="15.75" customHeight="1">
      <c r="A91" s="41" t="s">
        <v>3560</v>
      </c>
      <c r="B91" s="42" t="s">
        <v>3898</v>
      </c>
      <c r="C91" s="204" t="s">
        <v>3899</v>
      </c>
      <c r="D91" s="44" t="s">
        <v>3900</v>
      </c>
      <c r="E91" s="44" t="s">
        <v>3901</v>
      </c>
      <c r="F91" s="45">
        <v>0.21</v>
      </c>
      <c r="G91" s="72" t="s">
        <v>3893</v>
      </c>
      <c r="H91" s="39" t="str">
        <f>IFERROR(VLOOKUP("21920-000-29",STOCK!$B$6:$Q$3696,3,FALSE),"SIN STOCK")</f>
        <v>Mayor a 5</v>
      </c>
    </row>
    <row r="92" ht="15.75" customHeight="1">
      <c r="A92" s="47" t="s">
        <v>3560</v>
      </c>
      <c r="B92" s="48" t="s">
        <v>3902</v>
      </c>
      <c r="C92" s="205" t="s">
        <v>3903</v>
      </c>
      <c r="D92" s="37" t="s">
        <v>3904</v>
      </c>
      <c r="E92" s="37" t="s">
        <v>3905</v>
      </c>
      <c r="F92" s="213">
        <v>0.21</v>
      </c>
      <c r="G92" s="214" t="s">
        <v>3906</v>
      </c>
      <c r="H92" s="39" t="str">
        <f>IFERROR(VLOOKUP("21922-000-25",STOCK!$B$6:$Q$3696,3,FALSE),"SIN STOCK")</f>
        <v>Mayor a 5</v>
      </c>
    </row>
    <row r="93" ht="15.75" customHeight="1">
      <c r="A93" s="41" t="s">
        <v>3560</v>
      </c>
      <c r="B93" s="42" t="s">
        <v>3907</v>
      </c>
      <c r="C93" s="204" t="s">
        <v>3908</v>
      </c>
      <c r="D93" s="44" t="s">
        <v>3909</v>
      </c>
      <c r="E93" s="44" t="s">
        <v>3910</v>
      </c>
      <c r="F93" s="45">
        <v>0.21</v>
      </c>
      <c r="G93" s="72" t="s">
        <v>3911</v>
      </c>
      <c r="H93" s="39" t="str">
        <f>IFERROR(VLOOKUP("21927-000-29",STOCK!$B$6:$Q$3696,3,FALSE),"SIN STOCK")</f>
        <v>Mayor a 5</v>
      </c>
    </row>
    <row r="94" ht="15.75" customHeight="1">
      <c r="A94" s="47" t="s">
        <v>3560</v>
      </c>
      <c r="B94" s="48" t="s">
        <v>3912</v>
      </c>
      <c r="C94" s="205" t="s">
        <v>3913</v>
      </c>
      <c r="D94" s="37" t="s">
        <v>3909</v>
      </c>
      <c r="E94" s="37" t="s">
        <v>3910</v>
      </c>
      <c r="F94" s="213">
        <v>0.21</v>
      </c>
      <c r="G94" s="214" t="s">
        <v>3914</v>
      </c>
      <c r="H94" s="39" t="str">
        <f>IFERROR(VLOOKUP("21950-000-25",STOCK!$B$6:$Q$3696,3,FALSE),"SIN STOCK")</f>
        <v>Mayor a 5</v>
      </c>
    </row>
    <row r="95" ht="15.75" customHeight="1">
      <c r="A95" s="41" t="s">
        <v>3560</v>
      </c>
      <c r="B95" s="42" t="s">
        <v>3915</v>
      </c>
      <c r="C95" s="204" t="s">
        <v>3916</v>
      </c>
      <c r="D95" s="44" t="s">
        <v>3917</v>
      </c>
      <c r="E95" s="44" t="s">
        <v>3918</v>
      </c>
      <c r="F95" s="45">
        <v>0.21</v>
      </c>
      <c r="G95" s="72" t="s">
        <v>3919</v>
      </c>
      <c r="H95" s="39" t="str">
        <f>IFERROR(VLOOKUP("21980-000-29",STOCK!$B$6:$Q$3696,3,FALSE),"SIN STOCK")</f>
        <v>Mayor a 5</v>
      </c>
    </row>
    <row r="96" ht="15.75" customHeight="1">
      <c r="A96" s="47" t="s">
        <v>3560</v>
      </c>
      <c r="B96" s="48" t="s">
        <v>3920</v>
      </c>
      <c r="C96" s="62"/>
      <c r="D96" s="37" t="s">
        <v>3006</v>
      </c>
      <c r="E96" s="63"/>
      <c r="F96" s="210"/>
      <c r="G96" s="75"/>
      <c r="H96" s="39" t="str">
        <f>IFERROR(VLOOKUP("1974501555/00",STOCK!$B$6:$Q$3696,3,FALSE),"SIN STOCK")</f>
        <v>SIN STOCK</v>
      </c>
    </row>
    <row r="97" ht="15.75" customHeight="1">
      <c r="A97" s="41" t="s">
        <v>3560</v>
      </c>
      <c r="B97" s="41" t="s">
        <v>3921</v>
      </c>
      <c r="C97" s="212"/>
      <c r="D97" s="44" t="s">
        <v>3006</v>
      </c>
      <c r="E97" s="158"/>
      <c r="F97" s="219"/>
      <c r="G97" s="212"/>
      <c r="H97" s="39" t="str">
        <f>IFERROR(VLOOKUP("7214/00",STOCK!$B$6:$Q$3696,3,FALSE),"SIN STOCK")</f>
        <v>SIN STOCK</v>
      </c>
    </row>
    <row r="98" ht="15.75" customHeight="1">
      <c r="A98" s="29" t="s">
        <v>3922</v>
      </c>
      <c r="C98" s="30"/>
      <c r="D98" s="55"/>
      <c r="E98" s="55"/>
      <c r="F98" s="203"/>
      <c r="G98" s="30"/>
      <c r="H98" s="30"/>
    </row>
    <row r="99" ht="15.75" customHeight="1">
      <c r="A99" s="41" t="s">
        <v>3560</v>
      </c>
      <c r="B99" s="42" t="s">
        <v>3923</v>
      </c>
      <c r="C99" s="160" t="s">
        <v>3924</v>
      </c>
      <c r="D99" s="44" t="s">
        <v>3925</v>
      </c>
      <c r="E99" s="44" t="s">
        <v>3926</v>
      </c>
      <c r="F99" s="45">
        <v>0.21</v>
      </c>
      <c r="G99" s="43" t="s">
        <v>3927</v>
      </c>
      <c r="H99" s="50" t="str">
        <f>IFERROR(VLOOKUP("23723-300-55",STOCK!$B$6:$Q$3696,3,FALSE),"SIN STOCK")</f>
        <v>SIN STOCK</v>
      </c>
    </row>
    <row r="100" ht="15.75" customHeight="1">
      <c r="A100" s="41" t="s">
        <v>3560</v>
      </c>
      <c r="B100" s="42" t="s">
        <v>3928</v>
      </c>
      <c r="C100" s="204" t="s">
        <v>3929</v>
      </c>
      <c r="D100" s="44" t="s">
        <v>3930</v>
      </c>
      <c r="E100" s="44" t="s">
        <v>3931</v>
      </c>
      <c r="F100" s="45">
        <v>0.21</v>
      </c>
      <c r="G100" s="43" t="s">
        <v>3932</v>
      </c>
      <c r="H100" s="50" t="str">
        <f>IFERROR(VLOOKUP("14047-000-55",STOCK!$B$6:$Q$3696,3,FALSE),"SIN STOCK")</f>
        <v>SIN STOCK</v>
      </c>
    </row>
    <row r="101" ht="15.75" customHeight="1">
      <c r="A101" s="47" t="s">
        <v>3560</v>
      </c>
      <c r="B101" s="48" t="s">
        <v>3933</v>
      </c>
      <c r="C101" s="205" t="s">
        <v>3934</v>
      </c>
      <c r="D101" s="37" t="s">
        <v>3935</v>
      </c>
      <c r="E101" s="37" t="s">
        <v>3936</v>
      </c>
      <c r="F101" s="152">
        <v>0.21</v>
      </c>
      <c r="G101" s="73" t="s">
        <v>3937</v>
      </c>
      <c r="H101" s="50" t="str">
        <f>IFERROR(VLOOKUP("14041-000-00",STOCK!$B$6:$Q$3696,3,FALSE),"SIN STOCK")</f>
        <v>SIN STOCK</v>
      </c>
    </row>
    <row r="102" ht="15.75" customHeight="1">
      <c r="A102" s="29" t="s">
        <v>3938</v>
      </c>
      <c r="C102" s="30"/>
      <c r="D102" s="55"/>
      <c r="E102" s="55"/>
      <c r="F102" s="203"/>
      <c r="G102" s="30"/>
      <c r="H102" s="30"/>
    </row>
    <row r="103" ht="15.75" customHeight="1">
      <c r="A103" s="41" t="s">
        <v>3560</v>
      </c>
      <c r="B103" s="42" t="s">
        <v>3939</v>
      </c>
      <c r="C103" s="209" t="s">
        <v>3940</v>
      </c>
      <c r="D103" s="44" t="s">
        <v>3941</v>
      </c>
      <c r="E103" s="44" t="s">
        <v>3942</v>
      </c>
      <c r="F103" s="45">
        <v>0.21</v>
      </c>
      <c r="G103" s="43" t="s">
        <v>3943</v>
      </c>
      <c r="H103" s="53" t="str">
        <f>IFERROR(VLOOKUP("18820-019-91",STOCK!$B$6:$Q$3696,3,FALSE),"SIN STOCK")</f>
        <v>Menor a 5</v>
      </c>
    </row>
    <row r="104" ht="15.75" customHeight="1">
      <c r="A104" s="47" t="s">
        <v>3560</v>
      </c>
      <c r="B104" s="48" t="s">
        <v>3944</v>
      </c>
      <c r="C104" s="205" t="s">
        <v>3945</v>
      </c>
      <c r="D104" s="37" t="s">
        <v>3946</v>
      </c>
      <c r="E104" s="37" t="s">
        <v>3947</v>
      </c>
      <c r="F104" s="152">
        <v>0.21</v>
      </c>
      <c r="G104" s="73" t="s">
        <v>3948</v>
      </c>
      <c r="H104" s="39" t="str">
        <f>IFERROR(VLOOKUP("18811-000-91",STOCK!$B$6:$Q$3696,3,FALSE),"SIN STOCK")</f>
        <v>Mayor a 5</v>
      </c>
    </row>
    <row r="105" ht="15.75" customHeight="1">
      <c r="A105" s="41" t="s">
        <v>3560</v>
      </c>
      <c r="B105" s="42" t="s">
        <v>3949</v>
      </c>
      <c r="C105" s="204" t="s">
        <v>3950</v>
      </c>
      <c r="D105" s="44" t="s">
        <v>3951</v>
      </c>
      <c r="E105" s="44" t="s">
        <v>3952</v>
      </c>
      <c r="F105" s="45">
        <v>0.21</v>
      </c>
      <c r="G105" s="43" t="s">
        <v>3953</v>
      </c>
      <c r="H105" s="39" t="str">
        <f>IFERROR(VLOOKUP("18822-019-91",STOCK!$B$6:$Q$3696,3,FALSE),"SIN STOCK")</f>
        <v>Mayor a 5</v>
      </c>
    </row>
    <row r="106" ht="15.75" customHeight="1">
      <c r="A106" s="29" t="s">
        <v>3954</v>
      </c>
      <c r="C106" s="30"/>
      <c r="D106" s="55"/>
      <c r="E106" s="55"/>
      <c r="F106" s="203"/>
      <c r="G106" s="30"/>
      <c r="H106" s="30"/>
    </row>
    <row r="107" ht="15.75" customHeight="1">
      <c r="A107" s="41" t="s">
        <v>3560</v>
      </c>
      <c r="B107" s="42" t="s">
        <v>3955</v>
      </c>
      <c r="C107" s="209" t="s">
        <v>3956</v>
      </c>
      <c r="D107" s="44" t="s">
        <v>3941</v>
      </c>
      <c r="E107" s="44" t="s">
        <v>3942</v>
      </c>
      <c r="F107" s="45">
        <v>0.21</v>
      </c>
      <c r="G107" s="43" t="s">
        <v>3943</v>
      </c>
      <c r="H107" s="53" t="str">
        <f>IFERROR(VLOOKUP("18820-019-76",STOCK!$B$6:$Q$3696,3,FALSE),"SIN STOCK")</f>
        <v>Menor a 5</v>
      </c>
    </row>
    <row r="108" ht="15.75" customHeight="1">
      <c r="A108" s="47" t="s">
        <v>3560</v>
      </c>
      <c r="B108" s="48" t="s">
        <v>3957</v>
      </c>
      <c r="C108" s="205" t="s">
        <v>3958</v>
      </c>
      <c r="D108" s="37" t="s">
        <v>3946</v>
      </c>
      <c r="E108" s="37" t="s">
        <v>3947</v>
      </c>
      <c r="F108" s="152">
        <v>0.21</v>
      </c>
      <c r="G108" s="73" t="s">
        <v>3948</v>
      </c>
      <c r="H108" s="39" t="str">
        <f>IFERROR(VLOOKUP("18811-000-76",STOCK!$B$6:$Q$3696,3,FALSE),"SIN STOCK")</f>
        <v>Mayor a 5</v>
      </c>
    </row>
    <row r="109" ht="15.75" customHeight="1">
      <c r="A109" s="41" t="s">
        <v>3560</v>
      </c>
      <c r="B109" s="42" t="s">
        <v>3959</v>
      </c>
      <c r="C109" s="209" t="s">
        <v>3960</v>
      </c>
      <c r="D109" s="44" t="s">
        <v>3951</v>
      </c>
      <c r="E109" s="44" t="s">
        <v>3952</v>
      </c>
      <c r="F109" s="45">
        <v>0.21</v>
      </c>
      <c r="G109" s="43" t="s">
        <v>3953</v>
      </c>
      <c r="H109" s="39" t="str">
        <f>IFERROR(VLOOKUP("18822-019-76",STOCK!$B$6:$Q$3696,3,FALSE),"SIN STOCK")</f>
        <v>Mayor a 5</v>
      </c>
    </row>
    <row r="110" ht="15.75" customHeight="1">
      <c r="A110" s="29" t="s">
        <v>3961</v>
      </c>
      <c r="C110" s="30"/>
      <c r="D110" s="55"/>
      <c r="E110" s="55"/>
      <c r="F110" s="203"/>
      <c r="G110" s="30"/>
      <c r="H110" s="30"/>
    </row>
    <row r="111" ht="15.75" customHeight="1">
      <c r="A111" s="41" t="s">
        <v>3560</v>
      </c>
      <c r="B111" s="42" t="s">
        <v>3962</v>
      </c>
      <c r="C111" s="209" t="s">
        <v>3963</v>
      </c>
      <c r="D111" s="44" t="s">
        <v>3964</v>
      </c>
      <c r="E111" s="44" t="s">
        <v>3965</v>
      </c>
      <c r="F111" s="45">
        <v>0.21</v>
      </c>
      <c r="G111" s="43" t="s">
        <v>3943</v>
      </c>
      <c r="H111" s="53" t="str">
        <f>IFERROR(VLOOKUP("18820-019-55",STOCK!$B$6:$Q$3696,3,FALSE),"SIN STOCK")</f>
        <v>Menor a 5</v>
      </c>
    </row>
    <row r="112" ht="15.75" customHeight="1">
      <c r="A112" s="47" t="s">
        <v>3560</v>
      </c>
      <c r="B112" s="48" t="s">
        <v>3966</v>
      </c>
      <c r="C112" s="205" t="s">
        <v>3967</v>
      </c>
      <c r="D112" s="37" t="s">
        <v>3968</v>
      </c>
      <c r="E112" s="37" t="s">
        <v>3969</v>
      </c>
      <c r="F112" s="152">
        <v>0.21</v>
      </c>
      <c r="G112" s="73" t="s">
        <v>3948</v>
      </c>
      <c r="H112" s="39" t="str">
        <f>IFERROR(VLOOKUP("18811-000-55",STOCK!$B$6:$Q$3696,3,FALSE),"SIN STOCK")</f>
        <v>Mayor a 5</v>
      </c>
    </row>
    <row r="113" ht="15.75" customHeight="1">
      <c r="A113" s="41" t="s">
        <v>3560</v>
      </c>
      <c r="B113" s="42" t="s">
        <v>3970</v>
      </c>
      <c r="C113" s="209" t="s">
        <v>3971</v>
      </c>
      <c r="D113" s="44" t="s">
        <v>3972</v>
      </c>
      <c r="E113" s="44" t="s">
        <v>3973</v>
      </c>
      <c r="F113" s="45">
        <v>0.21</v>
      </c>
      <c r="G113" s="43" t="s">
        <v>3953</v>
      </c>
      <c r="H113" s="39" t="str">
        <f>IFERROR(VLOOKUP("18822-019-55",STOCK!$B$6:$Q$3696,3,FALSE),"SIN STOCK")</f>
        <v>Mayor a 5</v>
      </c>
    </row>
    <row r="114" ht="15.75" customHeight="1">
      <c r="A114" s="47" t="s">
        <v>3560</v>
      </c>
      <c r="B114" s="56" t="s">
        <v>3974</v>
      </c>
      <c r="C114" s="205" t="s">
        <v>3975</v>
      </c>
      <c r="D114" s="37" t="s">
        <v>3976</v>
      </c>
      <c r="E114" s="37" t="s">
        <v>3977</v>
      </c>
      <c r="F114" s="152">
        <v>0.21</v>
      </c>
      <c r="G114" s="73" t="s">
        <v>3978</v>
      </c>
      <c r="H114" s="39" t="str">
        <f>IFERROR(VLOOKUP("18814-022-55",STOCK!$B$6:$Q$3696,3,FALSE),"SIN STOCK")</f>
        <v>Mayor a 5</v>
      </c>
    </row>
    <row r="115" ht="15.75" customHeight="1">
      <c r="A115" s="41" t="s">
        <v>3560</v>
      </c>
      <c r="B115" s="42" t="s">
        <v>3979</v>
      </c>
      <c r="C115" s="209" t="s">
        <v>3980</v>
      </c>
      <c r="D115" s="44" t="s">
        <v>3981</v>
      </c>
      <c r="E115" s="44" t="s">
        <v>3982</v>
      </c>
      <c r="F115" s="45">
        <v>0.21</v>
      </c>
      <c r="G115" s="43" t="s">
        <v>3983</v>
      </c>
      <c r="H115" s="39" t="str">
        <f>IFERROR(VLOOKUP("18817-000-55",STOCK!$B$6:$Q$3696,3,FALSE),"SIN STOCK")</f>
        <v>Mayor a 5</v>
      </c>
    </row>
    <row r="116" ht="15.75" customHeight="1">
      <c r="A116" s="47" t="s">
        <v>3560</v>
      </c>
      <c r="B116" s="48" t="s">
        <v>3984</v>
      </c>
      <c r="C116" s="205" t="s">
        <v>3985</v>
      </c>
      <c r="D116" s="37" t="s">
        <v>3879</v>
      </c>
      <c r="E116" s="37" t="s">
        <v>3880</v>
      </c>
      <c r="F116" s="152">
        <v>0.21</v>
      </c>
      <c r="G116" s="73" t="s">
        <v>3986</v>
      </c>
      <c r="H116" s="39" t="str">
        <f>IFERROR(VLOOKUP("18809-000-55",STOCK!$B$6:$Q$3696,3,FALSE),"SIN STOCK")</f>
        <v>Mayor a 5</v>
      </c>
    </row>
    <row r="117" ht="15.75" customHeight="1">
      <c r="A117" s="41" t="s">
        <v>3560</v>
      </c>
      <c r="B117" s="42" t="s">
        <v>3987</v>
      </c>
      <c r="C117" s="209" t="s">
        <v>3988</v>
      </c>
      <c r="D117" s="44" t="s">
        <v>3989</v>
      </c>
      <c r="E117" s="44" t="s">
        <v>3990</v>
      </c>
      <c r="F117" s="45">
        <v>0.21</v>
      </c>
      <c r="G117" s="43" t="s">
        <v>3991</v>
      </c>
      <c r="H117" s="39" t="str">
        <f>IFERROR(VLOOKUP("18815-018-55",STOCK!$B$6:$Q$3696,3,FALSE),"SIN STOCK")</f>
        <v>Mayor a 5</v>
      </c>
    </row>
    <row r="118" ht="15.75" customHeight="1">
      <c r="A118" s="47" t="s">
        <v>3560</v>
      </c>
      <c r="B118" s="48" t="s">
        <v>3992</v>
      </c>
      <c r="C118" s="205" t="s">
        <v>3993</v>
      </c>
      <c r="D118" s="37" t="s">
        <v>3994</v>
      </c>
      <c r="E118" s="37" t="s">
        <v>3995</v>
      </c>
      <c r="F118" s="152">
        <v>0.21</v>
      </c>
      <c r="G118" s="73" t="s">
        <v>3996</v>
      </c>
      <c r="H118" s="39" t="str">
        <f>IFERROR(VLOOKUP("18807-000-55",STOCK!$B$6:$Q$3696,3,FALSE),"SIN STOCK")</f>
        <v>Mayor a 5</v>
      </c>
    </row>
    <row r="119" ht="15.75" customHeight="1">
      <c r="A119" s="29" t="s">
        <v>3997</v>
      </c>
      <c r="C119" s="30"/>
      <c r="D119" s="55"/>
      <c r="E119" s="55"/>
      <c r="F119" s="203"/>
      <c r="G119" s="30"/>
      <c r="H119" s="30"/>
    </row>
    <row r="120" ht="15.75" customHeight="1">
      <c r="A120" s="47" t="s">
        <v>3560</v>
      </c>
      <c r="B120" s="48" t="s">
        <v>3998</v>
      </c>
      <c r="C120" s="216" t="s">
        <v>3999</v>
      </c>
      <c r="D120" s="37" t="s">
        <v>3585</v>
      </c>
      <c r="E120" s="37" t="s">
        <v>3586</v>
      </c>
      <c r="F120" s="152">
        <v>0.21</v>
      </c>
      <c r="G120" s="73" t="s">
        <v>4000</v>
      </c>
      <c r="H120" s="39" t="str">
        <f>IFERROR(VLOOKUP("19715-300-55",STOCK!$B$6:$Q$3696,3,FALSE),"SIN STOCK")</f>
        <v>Mayor a 5</v>
      </c>
    </row>
    <row r="121" ht="15.75" customHeight="1">
      <c r="A121" s="41" t="s">
        <v>3560</v>
      </c>
      <c r="B121" s="42" t="s">
        <v>4001</v>
      </c>
      <c r="C121" s="204" t="s">
        <v>4002</v>
      </c>
      <c r="D121" s="44" t="s">
        <v>4003</v>
      </c>
      <c r="E121" s="44" t="s">
        <v>4004</v>
      </c>
      <c r="F121" s="45">
        <v>0.21</v>
      </c>
      <c r="G121" s="43" t="s">
        <v>4005</v>
      </c>
      <c r="H121" s="39" t="str">
        <f>IFERROR(VLOOKUP("21406-000-55",STOCK!$B$6:$Q$3696,3,FALSE),"SIN STOCK")</f>
        <v>SIN STOCK</v>
      </c>
    </row>
    <row r="122" ht="15.75" customHeight="1">
      <c r="A122" s="47" t="s">
        <v>3560</v>
      </c>
      <c r="B122" s="48" t="s">
        <v>4006</v>
      </c>
      <c r="C122" s="216" t="s">
        <v>4007</v>
      </c>
      <c r="D122" s="37" t="s">
        <v>4008</v>
      </c>
      <c r="E122" s="37" t="s">
        <v>4009</v>
      </c>
      <c r="F122" s="152">
        <v>0.21</v>
      </c>
      <c r="G122" s="73" t="s">
        <v>4010</v>
      </c>
      <c r="H122" s="39" t="str">
        <f>IFERROR(VLOOKUP("20150-500-55",STOCK!$B$6:$Q$3696,3,FALSE),"SIN STOCK")</f>
        <v>SIN STOCK</v>
      </c>
    </row>
    <row r="123" ht="15.75" customHeight="1">
      <c r="A123" s="41" t="s">
        <v>3560</v>
      </c>
      <c r="B123" s="42" t="s">
        <v>4011</v>
      </c>
      <c r="C123" s="204" t="s">
        <v>4012</v>
      </c>
      <c r="D123" s="44" t="s">
        <v>4013</v>
      </c>
      <c r="E123" s="44" t="s">
        <v>4014</v>
      </c>
      <c r="F123" s="45">
        <v>0.21</v>
      </c>
      <c r="G123" s="43" t="s">
        <v>4015</v>
      </c>
      <c r="H123" s="39" t="str">
        <f>IFERROR(VLOOKUP("24350-000-55",STOCK!$B$6:$Q$3696,3,FALSE),"SIN STOCK")</f>
        <v>SIN STOCK</v>
      </c>
    </row>
    <row r="124" ht="15.75" customHeight="1">
      <c r="A124" s="47" t="s">
        <v>3560</v>
      </c>
      <c r="B124" s="48" t="s">
        <v>4016</v>
      </c>
      <c r="C124" s="216" t="s">
        <v>4017</v>
      </c>
      <c r="D124" s="37" t="s">
        <v>4018</v>
      </c>
      <c r="E124" s="37" t="s">
        <v>4019</v>
      </c>
      <c r="F124" s="152">
        <v>0.21</v>
      </c>
      <c r="G124" s="73" t="s">
        <v>4020</v>
      </c>
      <c r="H124" s="39" t="str">
        <f>IFERROR(VLOOKUP("85070-000-55",STOCK!$B$6:$Q$3696,3,FALSE),"SIN STOCK")</f>
        <v>Mayor a 5</v>
      </c>
    </row>
    <row r="125" ht="15.75" customHeight="1">
      <c r="A125" s="41" t="s">
        <v>3560</v>
      </c>
      <c r="B125" s="42" t="s">
        <v>4021</v>
      </c>
      <c r="C125" s="204" t="s">
        <v>4022</v>
      </c>
      <c r="D125" s="44" t="s">
        <v>4023</v>
      </c>
      <c r="E125" s="44" t="s">
        <v>4024</v>
      </c>
      <c r="F125" s="45">
        <v>0.21</v>
      </c>
      <c r="G125" s="43" t="s">
        <v>4025</v>
      </c>
      <c r="H125" s="53" t="str">
        <f>IFERROR(VLOOKUP("20800-509-55",STOCK!$B$6:$Q$3696,3,FALSE),"SIN STOCK")</f>
        <v>Menor a 5</v>
      </c>
    </row>
    <row r="126" ht="15.75" customHeight="1">
      <c r="A126" s="29" t="s">
        <v>4026</v>
      </c>
      <c r="C126" s="30"/>
      <c r="D126" s="55"/>
      <c r="E126" s="55"/>
      <c r="F126" s="203"/>
      <c r="G126" s="30"/>
      <c r="H126" s="30"/>
    </row>
    <row r="127" ht="15.75" customHeight="1">
      <c r="A127" s="47" t="s">
        <v>3560</v>
      </c>
      <c r="B127" s="48" t="s">
        <v>4027</v>
      </c>
      <c r="C127" s="216" t="s">
        <v>4028</v>
      </c>
      <c r="D127" s="37" t="s">
        <v>4029</v>
      </c>
      <c r="E127" s="37" t="s">
        <v>4030</v>
      </c>
      <c r="F127" s="152">
        <v>0.21</v>
      </c>
      <c r="G127" s="73" t="s">
        <v>4031</v>
      </c>
      <c r="H127" s="39" t="str">
        <f>IFERROR(VLOOKUP("24169-000-55",STOCK!$B$6:$Q$3696,3,FALSE),"SIN STOCK")</f>
        <v>Mayor a 5</v>
      </c>
    </row>
    <row r="128" ht="15.75" customHeight="1">
      <c r="A128" s="41" t="s">
        <v>3560</v>
      </c>
      <c r="B128" s="42" t="s">
        <v>4032</v>
      </c>
      <c r="C128" s="209" t="s">
        <v>4033</v>
      </c>
      <c r="D128" s="44" t="s">
        <v>4034</v>
      </c>
      <c r="E128" s="44" t="s">
        <v>4035</v>
      </c>
      <c r="F128" s="45">
        <v>0.21</v>
      </c>
      <c r="G128" s="43" t="s">
        <v>4036</v>
      </c>
      <c r="H128" s="39" t="str">
        <f>IFERROR(VLOOKUP("24463-000-57",STOCK!$B$6:$Q$3696,3,FALSE),"SIN STOCK")</f>
        <v>Mayor a 5</v>
      </c>
    </row>
    <row r="129" ht="15.75" customHeight="1">
      <c r="A129" s="47" t="s">
        <v>3560</v>
      </c>
      <c r="B129" s="48" t="s">
        <v>4037</v>
      </c>
      <c r="C129" s="216" t="s">
        <v>4038</v>
      </c>
      <c r="D129" s="37" t="s">
        <v>4039</v>
      </c>
      <c r="E129" s="37" t="s">
        <v>4040</v>
      </c>
      <c r="F129" s="152">
        <v>0.21</v>
      </c>
      <c r="G129" s="73" t="s">
        <v>4036</v>
      </c>
      <c r="H129" s="39" t="str">
        <f>IFERROR(VLOOKUP("24463-000-55",STOCK!$B$6:$Q$3696,3,FALSE),"SIN STOCK")</f>
        <v>Mayor a 5</v>
      </c>
    </row>
    <row r="130" ht="15.75" customHeight="1">
      <c r="A130" s="29" t="s">
        <v>4041</v>
      </c>
      <c r="C130" s="30"/>
      <c r="D130" s="55"/>
      <c r="E130" s="55"/>
      <c r="F130" s="203"/>
      <c r="G130" s="30"/>
      <c r="H130" s="30"/>
    </row>
    <row r="131" ht="15.75" customHeight="1">
      <c r="A131" s="41" t="s">
        <v>3560</v>
      </c>
      <c r="B131" s="42" t="s">
        <v>4042</v>
      </c>
      <c r="C131" s="209" t="s">
        <v>4043</v>
      </c>
      <c r="D131" s="44" t="s">
        <v>4044</v>
      </c>
      <c r="E131" s="44" t="s">
        <v>4045</v>
      </c>
      <c r="F131" s="45">
        <v>0.21</v>
      </c>
      <c r="G131" s="43" t="s">
        <v>4046</v>
      </c>
      <c r="H131" s="53" t="str">
        <f>IFERROR(VLOOKUP("21393-070-55",STOCK!$B$6:$Q$3696,3,FALSE),"SIN STOCK")</f>
        <v>Menor a 5</v>
      </c>
    </row>
    <row r="132" ht="15.75" customHeight="1">
      <c r="A132" s="47" t="s">
        <v>3560</v>
      </c>
      <c r="B132" s="48" t="s">
        <v>4047</v>
      </c>
      <c r="C132" s="216" t="s">
        <v>4048</v>
      </c>
      <c r="D132" s="37" t="s">
        <v>4049</v>
      </c>
      <c r="E132" s="37" t="s">
        <v>4050</v>
      </c>
      <c r="F132" s="152">
        <v>0.21</v>
      </c>
      <c r="G132" s="73" t="s">
        <v>4051</v>
      </c>
      <c r="H132" s="53" t="str">
        <f>IFERROR(VLOOKUP("21390-000-55",STOCK!$B$6:$Q$3696,3,FALSE),"SIN STOCK")</f>
        <v>Menor a 5</v>
      </c>
    </row>
    <row r="133" ht="15.75" customHeight="1">
      <c r="A133" s="41" t="s">
        <v>3560</v>
      </c>
      <c r="B133" s="42" t="s">
        <v>4052</v>
      </c>
      <c r="C133" s="220" t="s">
        <v>4053</v>
      </c>
      <c r="D133" s="44" t="s">
        <v>3670</v>
      </c>
      <c r="E133" s="44" t="s">
        <v>3671</v>
      </c>
      <c r="F133" s="45">
        <v>0.21</v>
      </c>
      <c r="G133" s="43" t="s">
        <v>4054</v>
      </c>
      <c r="H133" s="53" t="str">
        <f>IFERROR(VLOOKUP("21394-000-55",STOCK!$B$6:$Q$3696,3,FALSE),"SIN STOCK")</f>
        <v>Menor a 5</v>
      </c>
    </row>
    <row r="134" ht="15.75" customHeight="1">
      <c r="A134" s="29" t="s">
        <v>4055</v>
      </c>
      <c r="C134" s="30"/>
      <c r="D134" s="55"/>
      <c r="E134" s="55"/>
      <c r="F134" s="203"/>
      <c r="G134" s="30"/>
      <c r="H134" s="30"/>
    </row>
    <row r="135" ht="15.75" customHeight="1">
      <c r="A135" s="41" t="s">
        <v>3560</v>
      </c>
      <c r="B135" s="42" t="s">
        <v>4056</v>
      </c>
      <c r="C135" s="207" t="s">
        <v>4057</v>
      </c>
      <c r="D135" s="44" t="s">
        <v>4058</v>
      </c>
      <c r="E135" s="44" t="s">
        <v>4059</v>
      </c>
      <c r="F135" s="45">
        <v>0.21</v>
      </c>
      <c r="G135" s="43" t="s">
        <v>3775</v>
      </c>
      <c r="H135" s="39" t="str">
        <f>IFERROR(VLOOKUP("26007-519-55",STOCK!$B$6:$Q$3696,3,FALSE),"SIN STOCK")</f>
        <v>SIN STOCK</v>
      </c>
    </row>
    <row r="136" ht="15.75" customHeight="1">
      <c r="A136" s="47" t="s">
        <v>3560</v>
      </c>
      <c r="B136" s="48" t="s">
        <v>4060</v>
      </c>
      <c r="C136" s="221" t="s">
        <v>4061</v>
      </c>
      <c r="D136" s="37" t="s">
        <v>4062</v>
      </c>
      <c r="E136" s="37" t="s">
        <v>4063</v>
      </c>
      <c r="F136" s="152">
        <v>0.21</v>
      </c>
      <c r="G136" s="73" t="s">
        <v>4064</v>
      </c>
      <c r="H136" s="53" t="str">
        <f>IFERROR(VLOOKUP("26700-000-56",STOCK!$B$6:$Q$3696,3,FALSE),"SIN STOCK")</f>
        <v>Menor a 5</v>
      </c>
    </row>
    <row r="137" ht="15.75" customHeight="1">
      <c r="A137" s="41" t="s">
        <v>3560</v>
      </c>
      <c r="B137" s="42" t="s">
        <v>4065</v>
      </c>
      <c r="C137" s="207" t="s">
        <v>4066</v>
      </c>
      <c r="D137" s="44" t="s">
        <v>4067</v>
      </c>
      <c r="E137" s="44" t="s">
        <v>4068</v>
      </c>
      <c r="F137" s="45">
        <v>0.21</v>
      </c>
      <c r="G137" s="43" t="s">
        <v>4069</v>
      </c>
      <c r="H137" s="53" t="str">
        <f>IFERROR(VLOOKUP("26009-000-56",STOCK!$B$6:$Q$3696,3,FALSE),"SIN STOCK")</f>
        <v>Menor a 5</v>
      </c>
    </row>
    <row r="138" ht="15.75" customHeight="1">
      <c r="A138" s="47" t="s">
        <v>3560</v>
      </c>
      <c r="B138" s="60" t="s">
        <v>4070</v>
      </c>
      <c r="C138" s="216" t="s">
        <v>4071</v>
      </c>
      <c r="D138" s="37" t="s">
        <v>4072</v>
      </c>
      <c r="E138" s="37" t="s">
        <v>4073</v>
      </c>
      <c r="F138" s="152">
        <v>0.21</v>
      </c>
      <c r="G138" s="73" t="s">
        <v>4074</v>
      </c>
      <c r="H138" s="39" t="str">
        <f>IFERROR(VLOOKUP("26706-000-56",STOCK!$B$6:$Q$3696,3,FALSE),"SIN STOCK")</f>
        <v>Mayor a 5</v>
      </c>
    </row>
    <row r="139" ht="15.75" customHeight="1">
      <c r="A139" s="41" t="s">
        <v>3560</v>
      </c>
      <c r="B139" s="57" t="s">
        <v>4075</v>
      </c>
      <c r="C139" s="209" t="s">
        <v>4076</v>
      </c>
      <c r="D139" s="44" t="s">
        <v>4077</v>
      </c>
      <c r="E139" s="44" t="s">
        <v>4078</v>
      </c>
      <c r="F139" s="45">
        <v>0.21</v>
      </c>
      <c r="G139" s="43" t="s">
        <v>4079</v>
      </c>
      <c r="H139" s="39" t="str">
        <f>IFERROR(VLOOKUP("23560-500-55",STOCK!$B$6:$Q$3696,3,FALSE),"SIN STOCK")</f>
        <v>Mayor a 5</v>
      </c>
    </row>
    <row r="140" ht="15.75" customHeight="1">
      <c r="A140" s="29" t="s">
        <v>4080</v>
      </c>
      <c r="C140" s="30"/>
      <c r="D140" s="55"/>
      <c r="E140" s="55"/>
      <c r="F140" s="203"/>
      <c r="G140" s="30"/>
      <c r="H140" s="30"/>
    </row>
    <row r="141" ht="15.75" customHeight="1">
      <c r="A141" s="41" t="s">
        <v>3560</v>
      </c>
      <c r="B141" s="42" t="s">
        <v>4081</v>
      </c>
      <c r="C141" s="209" t="s">
        <v>4082</v>
      </c>
      <c r="D141" s="44" t="s">
        <v>4083</v>
      </c>
      <c r="E141" s="44" t="s">
        <v>4013</v>
      </c>
      <c r="F141" s="45">
        <v>0.21</v>
      </c>
      <c r="G141" s="43" t="s">
        <v>4084</v>
      </c>
      <c r="H141" s="39" t="str">
        <f>IFERROR(VLOOKUP("11505-000-55",STOCK!$B$6:$Q$3696,3,FALSE),"SIN STOCK")</f>
        <v>Mayor a 5</v>
      </c>
    </row>
    <row r="142" ht="15.75" customHeight="1">
      <c r="A142" s="47" t="s">
        <v>3560</v>
      </c>
      <c r="B142" s="48" t="s">
        <v>4085</v>
      </c>
      <c r="C142" s="216" t="s">
        <v>4086</v>
      </c>
      <c r="D142" s="37" t="s">
        <v>4087</v>
      </c>
      <c r="E142" s="37" t="s">
        <v>4088</v>
      </c>
      <c r="F142" s="152">
        <v>0.21</v>
      </c>
      <c r="G142" s="73" t="s">
        <v>4089</v>
      </c>
      <c r="H142" s="53" t="str">
        <f>IFERROR(VLOOKUP("14087-000-55",STOCK!$B$6:$Q$3696,3,FALSE),"SIN STOCK")</f>
        <v>Menor a 5</v>
      </c>
    </row>
    <row r="143" ht="15.75" customHeight="1">
      <c r="A143" s="41" t="s">
        <v>3560</v>
      </c>
      <c r="B143" s="42" t="s">
        <v>4090</v>
      </c>
      <c r="C143" s="209" t="s">
        <v>4091</v>
      </c>
      <c r="D143" s="44" t="s">
        <v>4092</v>
      </c>
      <c r="E143" s="44" t="s">
        <v>4093</v>
      </c>
      <c r="F143" s="45">
        <v>0.21</v>
      </c>
      <c r="G143" s="43" t="s">
        <v>4094</v>
      </c>
      <c r="H143" s="39" t="str">
        <f>IFERROR(VLOOKUP("21100-500-55",STOCK!$B$6:$Q$3696,3,FALSE),"SIN STOCK")</f>
        <v>SIN STOCK</v>
      </c>
    </row>
    <row r="144" ht="15.75" customHeight="1">
      <c r="A144" s="47" t="s">
        <v>3560</v>
      </c>
      <c r="B144" s="48" t="s">
        <v>4095</v>
      </c>
      <c r="C144" s="216" t="s">
        <v>4096</v>
      </c>
      <c r="D144" s="37" t="s">
        <v>4097</v>
      </c>
      <c r="E144" s="37" t="s">
        <v>4098</v>
      </c>
      <c r="F144" s="152">
        <v>0.21</v>
      </c>
      <c r="G144" s="73" t="s">
        <v>4099</v>
      </c>
      <c r="H144" s="53" t="str">
        <f>IFERROR(VLOOKUP("42040-000-55",STOCK!$B$6:$Q$3696,3,FALSE),"SIN STOCK")</f>
        <v>Menor a 5</v>
      </c>
    </row>
    <row r="145" ht="15.75" customHeight="1">
      <c r="A145" s="47"/>
      <c r="B145" s="48"/>
      <c r="C145" s="221"/>
      <c r="D145" s="222"/>
      <c r="E145" s="222"/>
      <c r="F145" s="222"/>
      <c r="G145" s="222"/>
      <c r="H145" s="222"/>
    </row>
    <row r="146" ht="15.75" customHeight="1">
      <c r="A146" s="47"/>
      <c r="B146" s="48"/>
      <c r="C146" s="221"/>
      <c r="D146" s="222"/>
      <c r="E146" s="222"/>
      <c r="F146" s="222"/>
      <c r="G146" s="222"/>
      <c r="H146" s="222"/>
    </row>
    <row r="147" ht="15.75" customHeight="1">
      <c r="A147" s="47"/>
      <c r="B147" s="48"/>
      <c r="C147" s="221"/>
      <c r="D147" s="222"/>
      <c r="E147" s="222"/>
      <c r="F147" s="222"/>
      <c r="G147" s="222"/>
      <c r="H147" s="222"/>
    </row>
    <row r="148" ht="15.75" customHeight="1">
      <c r="A148" s="47"/>
      <c r="B148" s="48"/>
      <c r="C148" s="221"/>
      <c r="D148" s="222"/>
      <c r="E148" s="222"/>
      <c r="F148" s="222"/>
      <c r="G148" s="222"/>
      <c r="H148" s="222"/>
    </row>
    <row r="149" ht="15.75" customHeight="1">
      <c r="A149" s="47"/>
      <c r="B149" s="48"/>
      <c r="C149" s="221"/>
      <c r="D149" s="222"/>
      <c r="E149" s="222"/>
      <c r="F149" s="222"/>
      <c r="G149" s="222"/>
      <c r="H149" s="222"/>
    </row>
    <row r="150" ht="15.75" customHeight="1">
      <c r="A150" s="47"/>
      <c r="B150" s="48"/>
      <c r="C150" s="221"/>
      <c r="D150" s="222"/>
      <c r="E150" s="222"/>
      <c r="F150" s="222"/>
      <c r="G150" s="222"/>
      <c r="H150" s="222"/>
    </row>
    <row r="151" ht="15.75" customHeight="1">
      <c r="A151" s="47"/>
      <c r="B151" s="48"/>
      <c r="C151" s="221"/>
      <c r="D151" s="222"/>
      <c r="E151" s="222"/>
      <c r="F151" s="222"/>
      <c r="G151" s="222"/>
      <c r="H151" s="222"/>
    </row>
    <row r="152" ht="15.75" customHeight="1">
      <c r="A152" s="47"/>
      <c r="B152" s="48"/>
      <c r="C152" s="221"/>
      <c r="D152" s="222"/>
      <c r="E152" s="222"/>
      <c r="F152" s="222"/>
      <c r="G152" s="222"/>
      <c r="H152" s="222"/>
    </row>
    <row r="153" ht="15.75" customHeight="1">
      <c r="A153" s="47"/>
      <c r="B153" s="48"/>
      <c r="C153" s="221"/>
      <c r="D153" s="222"/>
      <c r="E153" s="222"/>
      <c r="F153" s="222"/>
      <c r="G153" s="222"/>
      <c r="H153" s="222"/>
    </row>
    <row r="154" ht="15.75" customHeight="1">
      <c r="A154" s="47"/>
      <c r="B154" s="48"/>
      <c r="C154" s="221"/>
      <c r="D154" s="222"/>
      <c r="E154" s="222"/>
      <c r="F154" s="222"/>
      <c r="G154" s="222"/>
      <c r="H154" s="222"/>
    </row>
    <row r="155" ht="15.75" customHeight="1">
      <c r="A155" s="47"/>
      <c r="B155" s="48"/>
      <c r="C155" s="221"/>
      <c r="D155" s="222"/>
      <c r="E155" s="222"/>
      <c r="F155" s="222"/>
      <c r="G155" s="222"/>
      <c r="H155" s="222"/>
    </row>
    <row r="156" ht="15.75" customHeight="1">
      <c r="A156" s="47"/>
      <c r="B156" s="48"/>
      <c r="C156" s="221"/>
      <c r="D156" s="222"/>
      <c r="E156" s="222"/>
      <c r="F156" s="222"/>
      <c r="G156" s="222"/>
      <c r="H156" s="222"/>
    </row>
    <row r="157" ht="15.75" customHeight="1">
      <c r="A157" s="47"/>
      <c r="B157" s="48"/>
      <c r="C157" s="221"/>
      <c r="D157" s="222"/>
      <c r="E157" s="222"/>
      <c r="F157" s="222"/>
      <c r="G157" s="222"/>
      <c r="H157" s="222"/>
    </row>
    <row r="158" ht="15.75" customHeight="1">
      <c r="A158" s="47"/>
      <c r="B158" s="48"/>
      <c r="C158" s="221"/>
      <c r="D158" s="222"/>
      <c r="E158" s="222"/>
      <c r="F158" s="222"/>
      <c r="G158" s="222"/>
      <c r="H158" s="222"/>
    </row>
    <row r="159" ht="15.75" customHeight="1">
      <c r="A159" s="47"/>
      <c r="B159" s="48"/>
      <c r="C159" s="221"/>
      <c r="D159" s="222"/>
      <c r="E159" s="222"/>
      <c r="F159" s="222"/>
      <c r="G159" s="222"/>
      <c r="H159" s="222"/>
    </row>
    <row r="160" ht="15.75" customHeight="1">
      <c r="A160" s="47"/>
      <c r="B160" s="48"/>
      <c r="C160" s="221"/>
      <c r="D160" s="222"/>
      <c r="E160" s="222"/>
      <c r="F160" s="222"/>
      <c r="G160" s="222"/>
      <c r="H160" s="222"/>
    </row>
    <row r="161" ht="15.75" customHeight="1">
      <c r="A161" s="47"/>
      <c r="B161" s="48"/>
      <c r="C161" s="221"/>
      <c r="D161" s="222"/>
      <c r="E161" s="222"/>
      <c r="F161" s="222"/>
      <c r="G161" s="222"/>
      <c r="H161" s="222"/>
    </row>
    <row r="162" ht="15.75" customHeight="1">
      <c r="A162" s="47"/>
      <c r="B162" s="48"/>
      <c r="C162" s="221"/>
      <c r="D162" s="222"/>
      <c r="E162" s="222"/>
      <c r="F162" s="222"/>
      <c r="G162" s="222"/>
      <c r="H162" s="222"/>
    </row>
    <row r="163" ht="15.75" customHeight="1">
      <c r="A163" s="47"/>
      <c r="B163" s="48"/>
      <c r="C163" s="221"/>
      <c r="D163" s="222"/>
      <c r="E163" s="222"/>
      <c r="F163" s="222"/>
      <c r="G163" s="222"/>
      <c r="H163" s="222"/>
    </row>
    <row r="164" ht="15.75" customHeight="1">
      <c r="A164" s="47"/>
      <c r="B164" s="48"/>
      <c r="C164" s="221"/>
      <c r="D164" s="222"/>
      <c r="E164" s="222"/>
      <c r="F164" s="222"/>
      <c r="G164" s="222"/>
      <c r="H164" s="222"/>
    </row>
    <row r="165" ht="15.75" customHeight="1">
      <c r="A165" s="47"/>
      <c r="B165" s="48"/>
      <c r="C165" s="221"/>
      <c r="D165" s="222"/>
      <c r="E165" s="222"/>
      <c r="F165" s="222"/>
      <c r="G165" s="222"/>
      <c r="H165" s="222"/>
    </row>
    <row r="166" ht="15.75" customHeight="1">
      <c r="A166" s="47"/>
      <c r="B166" s="48"/>
      <c r="C166" s="221"/>
      <c r="D166" s="222"/>
      <c r="E166" s="222"/>
      <c r="F166" s="222"/>
      <c r="G166" s="222"/>
      <c r="H166" s="222"/>
    </row>
    <row r="167" ht="15.75" customHeight="1">
      <c r="A167" s="47"/>
      <c r="B167" s="48"/>
      <c r="C167" s="221"/>
      <c r="D167" s="222"/>
      <c r="E167" s="222"/>
      <c r="F167" s="222"/>
      <c r="G167" s="222"/>
      <c r="H167" s="222"/>
    </row>
    <row r="168" ht="15.75" customHeight="1">
      <c r="A168" s="47"/>
      <c r="B168" s="48"/>
      <c r="C168" s="221"/>
      <c r="D168" s="222"/>
      <c r="E168" s="222"/>
      <c r="F168" s="222"/>
      <c r="G168" s="222"/>
      <c r="H168" s="222"/>
    </row>
    <row r="169" ht="15.75" customHeight="1">
      <c r="A169" s="47"/>
      <c r="B169" s="48"/>
      <c r="C169" s="221"/>
      <c r="D169" s="222"/>
      <c r="E169" s="222"/>
      <c r="F169" s="222"/>
      <c r="G169" s="222"/>
      <c r="H169" s="222"/>
    </row>
    <row r="170" ht="15.75" customHeight="1">
      <c r="A170" s="47"/>
      <c r="B170" s="48"/>
      <c r="C170" s="221"/>
      <c r="D170" s="222"/>
      <c r="E170" s="222"/>
      <c r="F170" s="222"/>
      <c r="G170" s="222"/>
      <c r="H170" s="222"/>
    </row>
    <row r="171" ht="15.75" customHeight="1">
      <c r="A171" s="47"/>
      <c r="B171" s="48"/>
      <c r="C171" s="221"/>
      <c r="D171" s="222"/>
      <c r="E171" s="222"/>
      <c r="F171" s="222"/>
      <c r="G171" s="222"/>
      <c r="H171" s="222"/>
    </row>
    <row r="172" ht="15.75" customHeight="1">
      <c r="A172" s="47"/>
      <c r="B172" s="48"/>
      <c r="C172" s="221"/>
      <c r="D172" s="222"/>
      <c r="E172" s="222"/>
      <c r="F172" s="222"/>
      <c r="G172" s="222"/>
      <c r="H172" s="222"/>
    </row>
    <row r="173" ht="15.75" customHeight="1">
      <c r="A173" s="47"/>
      <c r="B173" s="48"/>
      <c r="C173" s="221"/>
      <c r="D173" s="222"/>
      <c r="E173" s="222"/>
      <c r="F173" s="222"/>
      <c r="G173" s="222"/>
      <c r="H173" s="222"/>
    </row>
    <row r="174" ht="15.75" customHeight="1">
      <c r="A174" s="47"/>
      <c r="B174" s="48"/>
      <c r="C174" s="221"/>
      <c r="D174" s="222"/>
      <c r="E174" s="222"/>
      <c r="F174" s="222"/>
      <c r="G174" s="222"/>
      <c r="H174" s="222"/>
    </row>
    <row r="175" ht="15.75" customHeight="1">
      <c r="A175" s="47"/>
      <c r="B175" s="48"/>
      <c r="C175" s="221"/>
      <c r="D175" s="222"/>
      <c r="E175" s="222"/>
      <c r="F175" s="222"/>
      <c r="G175" s="222"/>
      <c r="H175" s="222"/>
    </row>
    <row r="176" ht="15.75" customHeight="1">
      <c r="A176" s="47"/>
      <c r="B176" s="48"/>
      <c r="C176" s="221"/>
      <c r="D176" s="222"/>
      <c r="E176" s="222"/>
      <c r="F176" s="222"/>
      <c r="G176" s="222"/>
      <c r="H176" s="222"/>
    </row>
    <row r="177" ht="15.75" customHeight="1">
      <c r="A177" s="47"/>
      <c r="B177" s="48"/>
      <c r="C177" s="221"/>
      <c r="D177" s="222"/>
      <c r="E177" s="222"/>
      <c r="F177" s="222"/>
      <c r="G177" s="222"/>
      <c r="H177" s="222"/>
    </row>
    <row r="178" ht="15.75" customHeight="1">
      <c r="A178" s="47"/>
      <c r="B178" s="48"/>
      <c r="C178" s="221"/>
      <c r="D178" s="222"/>
      <c r="E178" s="222"/>
      <c r="F178" s="222"/>
      <c r="G178" s="222"/>
      <c r="H178" s="222"/>
    </row>
    <row r="179" ht="15.75" customHeight="1">
      <c r="A179" s="47"/>
      <c r="B179" s="48"/>
      <c r="C179" s="221"/>
      <c r="D179" s="222"/>
      <c r="E179" s="222"/>
      <c r="F179" s="222"/>
      <c r="G179" s="222"/>
      <c r="H179" s="222"/>
    </row>
    <row r="180" ht="15.75" customHeight="1">
      <c r="A180" s="47"/>
      <c r="B180" s="48"/>
      <c r="C180" s="221"/>
      <c r="D180" s="222"/>
      <c r="E180" s="222"/>
      <c r="F180" s="222"/>
      <c r="G180" s="222"/>
      <c r="H180" s="222"/>
    </row>
    <row r="181" ht="15.75" customHeight="1">
      <c r="A181" s="47"/>
      <c r="B181" s="48"/>
      <c r="C181" s="221"/>
      <c r="D181" s="222"/>
      <c r="E181" s="222"/>
      <c r="F181" s="222"/>
      <c r="G181" s="222"/>
      <c r="H181" s="222"/>
    </row>
    <row r="182" ht="15.75" customHeight="1">
      <c r="A182" s="47"/>
      <c r="B182" s="48"/>
      <c r="C182" s="221"/>
      <c r="D182" s="222"/>
      <c r="E182" s="222"/>
      <c r="F182" s="222"/>
      <c r="G182" s="222"/>
      <c r="H182" s="222"/>
    </row>
    <row r="183" ht="15.75" customHeight="1">
      <c r="A183" s="47"/>
      <c r="B183" s="48"/>
      <c r="C183" s="221"/>
      <c r="D183" s="222"/>
      <c r="E183" s="222"/>
      <c r="F183" s="222"/>
      <c r="G183" s="222"/>
      <c r="H183" s="222"/>
    </row>
    <row r="184" ht="15.75" customHeight="1">
      <c r="A184" s="47"/>
      <c r="B184" s="48"/>
      <c r="C184" s="221"/>
      <c r="D184" s="222"/>
      <c r="E184" s="222"/>
      <c r="F184" s="222"/>
      <c r="G184" s="222"/>
      <c r="H184" s="222"/>
    </row>
    <row r="185" ht="15.75" customHeight="1">
      <c r="A185" s="47"/>
      <c r="B185" s="48"/>
      <c r="C185" s="221"/>
      <c r="D185" s="222"/>
      <c r="E185" s="222"/>
      <c r="F185" s="222"/>
      <c r="G185" s="222"/>
      <c r="H185" s="222"/>
    </row>
    <row r="186" ht="15.75" customHeight="1">
      <c r="A186" s="47"/>
      <c r="B186" s="48"/>
      <c r="C186" s="221"/>
      <c r="D186" s="222"/>
      <c r="E186" s="222"/>
      <c r="F186" s="222"/>
      <c r="G186" s="222"/>
      <c r="H186" s="222"/>
    </row>
    <row r="187" ht="15.75" customHeight="1">
      <c r="A187" s="47"/>
      <c r="B187" s="48"/>
      <c r="C187" s="221"/>
      <c r="D187" s="222"/>
      <c r="E187" s="222"/>
      <c r="F187" s="222"/>
      <c r="G187" s="222"/>
      <c r="H187" s="222"/>
    </row>
    <row r="188" ht="15.75" customHeight="1">
      <c r="A188" s="47"/>
      <c r="B188" s="48"/>
      <c r="C188" s="221"/>
      <c r="D188" s="222"/>
      <c r="E188" s="222"/>
      <c r="F188" s="222"/>
      <c r="G188" s="222"/>
      <c r="H188" s="222"/>
    </row>
    <row r="189" ht="15.75" customHeight="1">
      <c r="A189" s="47"/>
      <c r="B189" s="48"/>
      <c r="C189" s="221"/>
      <c r="D189" s="222"/>
      <c r="E189" s="222"/>
      <c r="F189" s="222"/>
      <c r="G189" s="222"/>
      <c r="H189" s="222"/>
    </row>
    <row r="190" ht="15.75" customHeight="1">
      <c r="A190" s="47"/>
      <c r="B190" s="48"/>
      <c r="C190" s="221"/>
      <c r="D190" s="222"/>
      <c r="E190" s="222"/>
      <c r="F190" s="222"/>
      <c r="G190" s="222"/>
      <c r="H190" s="222"/>
    </row>
    <row r="191" ht="15.75" customHeight="1">
      <c r="A191" s="47"/>
      <c r="B191" s="48"/>
      <c r="C191" s="221"/>
      <c r="D191" s="222"/>
      <c r="E191" s="222"/>
      <c r="F191" s="222"/>
      <c r="G191" s="222"/>
      <c r="H191" s="222"/>
    </row>
    <row r="192" ht="15.75" customHeight="1">
      <c r="A192" s="47"/>
      <c r="B192" s="48"/>
      <c r="C192" s="221"/>
      <c r="D192" s="222"/>
      <c r="E192" s="222"/>
      <c r="F192" s="222"/>
      <c r="G192" s="222"/>
      <c r="H192" s="222"/>
    </row>
    <row r="193" ht="15.75" customHeight="1">
      <c r="A193" s="47"/>
      <c r="B193" s="48"/>
      <c r="C193" s="221"/>
      <c r="D193" s="222"/>
      <c r="E193" s="222"/>
      <c r="F193" s="222"/>
      <c r="G193" s="222"/>
      <c r="H193" s="222"/>
    </row>
    <row r="194" ht="15.75" customHeight="1">
      <c r="A194" s="47"/>
      <c r="B194" s="48"/>
      <c r="C194" s="221"/>
      <c r="D194" s="222"/>
      <c r="E194" s="222"/>
      <c r="F194" s="222"/>
      <c r="G194" s="222"/>
      <c r="H194" s="222"/>
    </row>
    <row r="195" ht="15.75" customHeight="1">
      <c r="A195" s="47"/>
      <c r="B195" s="48"/>
      <c r="C195" s="221"/>
      <c r="D195" s="222"/>
      <c r="E195" s="222"/>
      <c r="F195" s="222"/>
      <c r="G195" s="222"/>
      <c r="H195" s="222"/>
    </row>
    <row r="196" ht="15.75" customHeight="1">
      <c r="A196" s="47"/>
      <c r="B196" s="48"/>
      <c r="C196" s="221"/>
      <c r="D196" s="222"/>
      <c r="E196" s="222"/>
      <c r="F196" s="222"/>
      <c r="G196" s="222"/>
      <c r="H196" s="222"/>
    </row>
    <row r="197" ht="15.75" customHeight="1">
      <c r="A197" s="47"/>
      <c r="B197" s="48"/>
      <c r="C197" s="221"/>
      <c r="D197" s="222"/>
      <c r="E197" s="222"/>
      <c r="F197" s="222"/>
      <c r="G197" s="222"/>
      <c r="H197" s="222"/>
    </row>
    <row r="198" ht="15.75" customHeight="1">
      <c r="A198" s="47"/>
      <c r="B198" s="48"/>
      <c r="C198" s="221"/>
      <c r="D198" s="222"/>
      <c r="E198" s="222"/>
      <c r="F198" s="222"/>
      <c r="G198" s="222"/>
      <c r="H198" s="222"/>
    </row>
    <row r="199" ht="15.75" customHeight="1">
      <c r="A199" s="47"/>
      <c r="B199" s="48"/>
      <c r="C199" s="221"/>
      <c r="D199" s="222"/>
      <c r="E199" s="222"/>
      <c r="F199" s="222"/>
      <c r="G199" s="222"/>
      <c r="H199" s="222"/>
    </row>
    <row r="200" ht="15.75" customHeight="1">
      <c r="A200" s="47"/>
      <c r="B200" s="48"/>
      <c r="C200" s="221"/>
      <c r="D200" s="222"/>
      <c r="E200" s="222"/>
      <c r="F200" s="222"/>
      <c r="G200" s="222"/>
      <c r="H200" s="222"/>
    </row>
    <row r="201" ht="15.75" customHeight="1">
      <c r="A201" s="47"/>
      <c r="B201" s="48"/>
      <c r="C201" s="221"/>
      <c r="D201" s="222"/>
      <c r="E201" s="222"/>
      <c r="F201" s="222"/>
      <c r="G201" s="222"/>
      <c r="H201" s="222"/>
    </row>
    <row r="202" ht="15.75" customHeight="1">
      <c r="A202" s="47"/>
      <c r="B202" s="48"/>
      <c r="C202" s="221"/>
      <c r="D202" s="222"/>
      <c r="E202" s="222"/>
      <c r="F202" s="222"/>
      <c r="G202" s="222"/>
      <c r="H202" s="222"/>
    </row>
    <row r="203" ht="15.75" customHeight="1">
      <c r="A203" s="47"/>
      <c r="B203" s="48"/>
      <c r="C203" s="221"/>
      <c r="D203" s="222"/>
      <c r="E203" s="222"/>
      <c r="F203" s="222"/>
      <c r="G203" s="222"/>
      <c r="H203" s="222"/>
    </row>
    <row r="204" ht="15.75" customHeight="1">
      <c r="A204" s="47"/>
      <c r="B204" s="48"/>
      <c r="C204" s="221"/>
      <c r="D204" s="222"/>
      <c r="E204" s="222"/>
      <c r="F204" s="222"/>
      <c r="G204" s="222"/>
      <c r="H204" s="222"/>
    </row>
    <row r="205" ht="15.75" customHeight="1">
      <c r="A205" s="47"/>
      <c r="B205" s="48"/>
      <c r="C205" s="221"/>
      <c r="D205" s="222"/>
      <c r="E205" s="222"/>
      <c r="F205" s="222"/>
      <c r="G205" s="222"/>
      <c r="H205" s="222"/>
    </row>
    <row r="206" ht="15.75" customHeight="1">
      <c r="A206" s="47"/>
      <c r="B206" s="48"/>
      <c r="C206" s="221"/>
      <c r="D206" s="222"/>
      <c r="E206" s="222"/>
      <c r="F206" s="222"/>
      <c r="G206" s="222"/>
      <c r="H206" s="222"/>
    </row>
    <row r="207" ht="15.75" customHeight="1">
      <c r="A207" s="47"/>
      <c r="B207" s="48"/>
      <c r="C207" s="221"/>
      <c r="D207" s="222"/>
      <c r="E207" s="222"/>
      <c r="F207" s="222"/>
      <c r="G207" s="222"/>
      <c r="H207" s="222"/>
    </row>
    <row r="208" ht="15.75" customHeight="1">
      <c r="A208" s="47"/>
      <c r="B208" s="48"/>
      <c r="C208" s="221"/>
      <c r="D208" s="222"/>
      <c r="E208" s="222"/>
      <c r="F208" s="222"/>
      <c r="G208" s="222"/>
      <c r="H208" s="222"/>
    </row>
    <row r="209" ht="15.75" customHeight="1">
      <c r="A209" s="47"/>
      <c r="B209" s="48"/>
      <c r="C209" s="221"/>
      <c r="D209" s="222"/>
      <c r="E209" s="222"/>
      <c r="F209" s="222"/>
      <c r="G209" s="222"/>
      <c r="H209" s="222"/>
    </row>
    <row r="210" ht="15.75" customHeight="1">
      <c r="A210" s="47"/>
      <c r="B210" s="48"/>
      <c r="C210" s="221"/>
      <c r="D210" s="222"/>
      <c r="E210" s="222"/>
      <c r="F210" s="222"/>
      <c r="G210" s="222"/>
      <c r="H210" s="222"/>
    </row>
    <row r="211" ht="15.75" customHeight="1">
      <c r="A211" s="47"/>
      <c r="B211" s="48"/>
      <c r="C211" s="221"/>
      <c r="D211" s="222"/>
      <c r="E211" s="222"/>
      <c r="F211" s="222"/>
      <c r="G211" s="222"/>
      <c r="H211" s="222"/>
    </row>
    <row r="212" ht="15.75" customHeight="1">
      <c r="A212" s="47"/>
      <c r="B212" s="48"/>
      <c r="C212" s="221"/>
      <c r="D212" s="222"/>
      <c r="E212" s="222"/>
      <c r="F212" s="222"/>
      <c r="G212" s="222"/>
      <c r="H212" s="222"/>
    </row>
    <row r="213" ht="15.75" customHeight="1">
      <c r="A213" s="47"/>
      <c r="B213" s="48"/>
      <c r="C213" s="221"/>
      <c r="D213" s="222"/>
      <c r="E213" s="222"/>
      <c r="F213" s="222"/>
      <c r="G213" s="222"/>
      <c r="H213" s="222"/>
    </row>
    <row r="214" ht="15.75" customHeight="1">
      <c r="A214" s="47"/>
      <c r="B214" s="48"/>
      <c r="C214" s="221"/>
      <c r="D214" s="222"/>
      <c r="E214" s="222"/>
      <c r="F214" s="222"/>
      <c r="G214" s="222"/>
      <c r="H214" s="222"/>
    </row>
    <row r="215" ht="15.75" customHeight="1">
      <c r="A215" s="47"/>
      <c r="B215" s="48"/>
      <c r="C215" s="221"/>
      <c r="D215" s="222"/>
      <c r="E215" s="222"/>
      <c r="F215" s="222"/>
      <c r="G215" s="222"/>
      <c r="H215" s="222"/>
    </row>
    <row r="216" ht="15.75" customHeight="1">
      <c r="A216" s="47"/>
      <c r="B216" s="48"/>
      <c r="C216" s="221"/>
      <c r="D216" s="222"/>
      <c r="E216" s="222"/>
      <c r="F216" s="222"/>
      <c r="G216" s="222"/>
      <c r="H216" s="222"/>
    </row>
    <row r="217" ht="15.75" customHeight="1">
      <c r="A217" s="47"/>
      <c r="B217" s="48"/>
      <c r="C217" s="221"/>
      <c r="D217" s="222"/>
      <c r="E217" s="222"/>
      <c r="F217" s="222"/>
      <c r="G217" s="222"/>
      <c r="H217" s="222"/>
    </row>
    <row r="218" ht="15.75" customHeight="1">
      <c r="A218" s="47"/>
      <c r="B218" s="48"/>
      <c r="C218" s="221"/>
      <c r="D218" s="222"/>
      <c r="E218" s="222"/>
      <c r="F218" s="222"/>
      <c r="G218" s="222"/>
      <c r="H218" s="222"/>
    </row>
    <row r="219" ht="15.75" customHeight="1">
      <c r="A219" s="47"/>
      <c r="B219" s="48"/>
      <c r="C219" s="221"/>
      <c r="D219" s="222"/>
      <c r="E219" s="222"/>
      <c r="F219" s="222"/>
      <c r="G219" s="222"/>
      <c r="H219" s="222"/>
    </row>
    <row r="220" ht="15.75" customHeight="1">
      <c r="A220" s="47"/>
      <c r="B220" s="48"/>
      <c r="C220" s="221"/>
      <c r="D220" s="222"/>
      <c r="E220" s="222"/>
      <c r="F220" s="222"/>
      <c r="G220" s="222"/>
      <c r="H220" s="222"/>
    </row>
    <row r="221" ht="15.75" customHeight="1">
      <c r="A221" s="47"/>
      <c r="B221" s="48"/>
      <c r="C221" s="221"/>
      <c r="D221" s="222"/>
      <c r="E221" s="222"/>
      <c r="F221" s="222"/>
      <c r="G221" s="222"/>
      <c r="H221" s="222"/>
    </row>
    <row r="222" ht="15.75" customHeight="1">
      <c r="A222" s="47"/>
      <c r="B222" s="48"/>
      <c r="C222" s="221"/>
      <c r="D222" s="222"/>
      <c r="E222" s="222"/>
      <c r="F222" s="222"/>
      <c r="G222" s="222"/>
      <c r="H222" s="222"/>
    </row>
    <row r="223" ht="15.75" customHeight="1">
      <c r="A223" s="47"/>
      <c r="B223" s="48"/>
      <c r="C223" s="221"/>
      <c r="D223" s="222"/>
      <c r="E223" s="222"/>
      <c r="F223" s="222"/>
      <c r="G223" s="222"/>
      <c r="H223" s="222"/>
    </row>
    <row r="224" ht="15.75" customHeight="1">
      <c r="A224" s="47"/>
      <c r="B224" s="48"/>
      <c r="C224" s="221"/>
      <c r="D224" s="222"/>
      <c r="E224" s="222"/>
      <c r="F224" s="222"/>
      <c r="G224" s="222"/>
      <c r="H224" s="222"/>
    </row>
    <row r="225" ht="15.75" customHeight="1">
      <c r="A225" s="47"/>
      <c r="B225" s="48"/>
      <c r="C225" s="221"/>
      <c r="D225" s="222"/>
      <c r="E225" s="222"/>
      <c r="F225" s="222"/>
      <c r="G225" s="222"/>
      <c r="H225" s="222"/>
    </row>
    <row r="226" ht="15.75" customHeight="1">
      <c r="A226" s="47"/>
      <c r="B226" s="48"/>
      <c r="C226" s="221"/>
      <c r="D226" s="222"/>
      <c r="E226" s="222"/>
      <c r="F226" s="222"/>
      <c r="G226" s="222"/>
      <c r="H226" s="222"/>
    </row>
    <row r="227" ht="15.75" customHeight="1">
      <c r="A227" s="47"/>
      <c r="B227" s="48"/>
      <c r="C227" s="221"/>
      <c r="D227" s="222"/>
      <c r="E227" s="222"/>
      <c r="F227" s="222"/>
      <c r="G227" s="222"/>
      <c r="H227" s="222"/>
    </row>
    <row r="228" ht="15.75" customHeight="1">
      <c r="A228" s="47"/>
      <c r="B228" s="48"/>
      <c r="C228" s="221"/>
      <c r="D228" s="222"/>
      <c r="E228" s="222"/>
      <c r="F228" s="222"/>
      <c r="G228" s="222"/>
      <c r="H228" s="222"/>
    </row>
    <row r="229" ht="15.75" customHeight="1">
      <c r="A229" s="47"/>
      <c r="B229" s="48"/>
      <c r="C229" s="221"/>
      <c r="D229" s="222"/>
      <c r="E229" s="222"/>
      <c r="F229" s="222"/>
      <c r="G229" s="222"/>
      <c r="H229" s="222"/>
    </row>
    <row r="230" ht="15.75" customHeight="1">
      <c r="A230" s="47"/>
      <c r="B230" s="48"/>
      <c r="C230" s="221"/>
      <c r="D230" s="222"/>
      <c r="E230" s="222"/>
      <c r="F230" s="222"/>
      <c r="G230" s="222"/>
      <c r="H230" s="222"/>
    </row>
    <row r="231" ht="15.75" customHeight="1">
      <c r="A231" s="47"/>
      <c r="B231" s="48"/>
      <c r="C231" s="221"/>
      <c r="D231" s="222"/>
      <c r="E231" s="222"/>
      <c r="F231" s="222"/>
      <c r="G231" s="222"/>
      <c r="H231" s="222"/>
    </row>
    <row r="232" ht="15.75" customHeight="1">
      <c r="A232" s="47"/>
      <c r="B232" s="48"/>
      <c r="C232" s="221"/>
      <c r="D232" s="222"/>
      <c r="E232" s="222"/>
      <c r="F232" s="222"/>
      <c r="G232" s="222"/>
      <c r="H232" s="222"/>
    </row>
    <row r="233" ht="15.75" customHeight="1">
      <c r="A233" s="47"/>
      <c r="B233" s="48"/>
      <c r="C233" s="221"/>
      <c r="D233" s="222"/>
      <c r="E233" s="222"/>
      <c r="F233" s="222"/>
      <c r="G233" s="222"/>
      <c r="H233" s="222"/>
    </row>
    <row r="234" ht="15.75" customHeight="1">
      <c r="A234" s="47"/>
      <c r="B234" s="48"/>
      <c r="C234" s="221"/>
      <c r="D234" s="222"/>
      <c r="E234" s="222"/>
      <c r="F234" s="222"/>
      <c r="G234" s="222"/>
      <c r="H234" s="222"/>
    </row>
    <row r="235" ht="15.75" customHeight="1">
      <c r="A235" s="47"/>
      <c r="B235" s="48"/>
      <c r="C235" s="221"/>
      <c r="D235" s="222"/>
      <c r="E235" s="222"/>
      <c r="F235" s="222"/>
      <c r="G235" s="222"/>
      <c r="H235" s="222"/>
    </row>
    <row r="236" ht="15.75" customHeight="1">
      <c r="A236" s="47"/>
      <c r="B236" s="48"/>
      <c r="C236" s="221"/>
      <c r="D236" s="222"/>
      <c r="E236" s="222"/>
      <c r="F236" s="222"/>
      <c r="G236" s="222"/>
      <c r="H236" s="222"/>
    </row>
    <row r="237" ht="15.75" customHeight="1">
      <c r="A237" s="47"/>
      <c r="B237" s="48"/>
      <c r="C237" s="221"/>
      <c r="D237" s="222"/>
      <c r="E237" s="222"/>
      <c r="F237" s="222"/>
      <c r="G237" s="222"/>
      <c r="H237" s="222"/>
    </row>
    <row r="238" ht="15.75" customHeight="1">
      <c r="A238" s="47"/>
      <c r="B238" s="48"/>
      <c r="C238" s="221"/>
      <c r="D238" s="222"/>
      <c r="E238" s="222"/>
      <c r="F238" s="222"/>
      <c r="G238" s="222"/>
      <c r="H238" s="222"/>
    </row>
    <row r="239" ht="15.75" customHeight="1">
      <c r="A239" s="47"/>
      <c r="B239" s="48"/>
      <c r="C239" s="221"/>
      <c r="D239" s="222"/>
      <c r="E239" s="222"/>
      <c r="F239" s="222"/>
      <c r="G239" s="222"/>
      <c r="H239" s="222"/>
    </row>
    <row r="240" ht="15.75" customHeight="1">
      <c r="A240" s="47"/>
      <c r="B240" s="48"/>
      <c r="C240" s="221"/>
      <c r="D240" s="222"/>
      <c r="E240" s="222"/>
      <c r="F240" s="222"/>
      <c r="G240" s="222"/>
      <c r="H240" s="222"/>
    </row>
    <row r="241" ht="15.75" customHeight="1">
      <c r="A241" s="47"/>
      <c r="B241" s="48"/>
      <c r="C241" s="221"/>
      <c r="D241" s="222"/>
      <c r="E241" s="222"/>
      <c r="F241" s="222"/>
      <c r="G241" s="222"/>
      <c r="H241" s="222"/>
    </row>
    <row r="242" ht="15.75" customHeight="1">
      <c r="A242" s="47"/>
      <c r="B242" s="48"/>
      <c r="C242" s="221"/>
      <c r="D242" s="222"/>
      <c r="E242" s="222"/>
      <c r="F242" s="222"/>
      <c r="G242" s="222"/>
      <c r="H242" s="222"/>
    </row>
    <row r="243" ht="15.75" customHeight="1">
      <c r="A243" s="47"/>
      <c r="B243" s="48"/>
      <c r="C243" s="221"/>
      <c r="D243" s="222"/>
      <c r="E243" s="222"/>
      <c r="F243" s="222"/>
      <c r="G243" s="222"/>
      <c r="H243" s="222"/>
    </row>
    <row r="244" ht="15.75" customHeight="1">
      <c r="A244" s="47"/>
      <c r="B244" s="48"/>
      <c r="C244" s="221"/>
      <c r="D244" s="222"/>
      <c r="E244" s="222"/>
      <c r="F244" s="222"/>
      <c r="G244" s="222"/>
      <c r="H244" s="222"/>
    </row>
    <row r="245" ht="15.75" customHeight="1">
      <c r="A245" s="47"/>
      <c r="B245" s="48"/>
      <c r="C245" s="221"/>
      <c r="D245" s="222"/>
      <c r="E245" s="222"/>
      <c r="F245" s="222"/>
      <c r="G245" s="222"/>
      <c r="H245" s="222"/>
    </row>
    <row r="246" ht="15.75" customHeight="1">
      <c r="A246" s="47"/>
      <c r="B246" s="48"/>
      <c r="C246" s="221"/>
      <c r="D246" s="222"/>
      <c r="E246" s="222"/>
      <c r="F246" s="222"/>
      <c r="G246" s="222"/>
      <c r="H246" s="222"/>
    </row>
    <row r="247" ht="15.75" customHeight="1">
      <c r="A247" s="47"/>
      <c r="B247" s="48"/>
      <c r="C247" s="221"/>
      <c r="D247" s="222"/>
      <c r="E247" s="222"/>
      <c r="F247" s="222"/>
      <c r="G247" s="222"/>
      <c r="H247" s="222"/>
    </row>
    <row r="248" ht="15.75" customHeight="1">
      <c r="A248" s="47"/>
      <c r="B248" s="48"/>
      <c r="C248" s="221"/>
      <c r="D248" s="222"/>
      <c r="E248" s="222"/>
      <c r="F248" s="222"/>
      <c r="G248" s="222"/>
      <c r="H248" s="222"/>
    </row>
    <row r="249" ht="15.75" customHeight="1">
      <c r="A249" s="47"/>
      <c r="B249" s="48"/>
      <c r="C249" s="221"/>
      <c r="D249" s="222"/>
      <c r="E249" s="222"/>
      <c r="F249" s="222"/>
      <c r="G249" s="222"/>
      <c r="H249" s="222"/>
    </row>
    <row r="250" ht="15.75" customHeight="1">
      <c r="A250" s="47"/>
      <c r="B250" s="48"/>
      <c r="C250" s="221"/>
      <c r="D250" s="222"/>
      <c r="E250" s="222"/>
      <c r="F250" s="222"/>
      <c r="G250" s="222"/>
      <c r="H250" s="222"/>
    </row>
    <row r="251" ht="15.75" customHeight="1">
      <c r="A251" s="47"/>
      <c r="B251" s="48"/>
      <c r="C251" s="221"/>
      <c r="D251" s="222"/>
      <c r="E251" s="222"/>
      <c r="F251" s="222"/>
      <c r="G251" s="222"/>
      <c r="H251" s="222"/>
    </row>
    <row r="252" ht="15.75" customHeight="1">
      <c r="A252" s="47"/>
      <c r="B252" s="48"/>
      <c r="C252" s="221"/>
      <c r="D252" s="222"/>
      <c r="E252" s="222"/>
      <c r="F252" s="222"/>
      <c r="G252" s="222"/>
      <c r="H252" s="222"/>
    </row>
    <row r="253" ht="15.75" customHeight="1">
      <c r="A253" s="47"/>
      <c r="B253" s="48"/>
      <c r="C253" s="221"/>
      <c r="D253" s="222"/>
      <c r="E253" s="222"/>
      <c r="F253" s="222"/>
      <c r="G253" s="222"/>
      <c r="H253" s="222"/>
    </row>
    <row r="254" ht="15.75" customHeight="1">
      <c r="A254" s="47"/>
      <c r="B254" s="48"/>
      <c r="C254" s="221"/>
      <c r="D254" s="222"/>
      <c r="E254" s="222"/>
      <c r="F254" s="222"/>
      <c r="G254" s="222"/>
      <c r="H254" s="222"/>
    </row>
    <row r="255" ht="15.75" customHeight="1">
      <c r="A255" s="47"/>
      <c r="B255" s="48"/>
      <c r="C255" s="221"/>
      <c r="D255" s="222"/>
      <c r="E255" s="222"/>
      <c r="F255" s="222"/>
      <c r="G255" s="222"/>
      <c r="H255" s="222"/>
    </row>
    <row r="256" ht="15.75" customHeight="1">
      <c r="A256" s="47"/>
      <c r="B256" s="48"/>
      <c r="C256" s="221"/>
      <c r="D256" s="222"/>
      <c r="E256" s="222"/>
      <c r="F256" s="222"/>
      <c r="G256" s="222"/>
      <c r="H256" s="222"/>
    </row>
    <row r="257" ht="15.75" customHeight="1">
      <c r="A257" s="47"/>
      <c r="B257" s="48"/>
      <c r="C257" s="221"/>
      <c r="D257" s="222"/>
      <c r="E257" s="222"/>
      <c r="F257" s="222"/>
      <c r="G257" s="222"/>
      <c r="H257" s="222"/>
    </row>
    <row r="258" ht="15.75" customHeight="1">
      <c r="A258" s="47"/>
      <c r="B258" s="48"/>
      <c r="C258" s="221"/>
      <c r="D258" s="222"/>
      <c r="E258" s="222"/>
      <c r="F258" s="222"/>
      <c r="G258" s="222"/>
      <c r="H258" s="222"/>
    </row>
    <row r="259" ht="15.75" customHeight="1">
      <c r="A259" s="47"/>
      <c r="B259" s="48"/>
      <c r="C259" s="221"/>
      <c r="D259" s="222"/>
      <c r="E259" s="222"/>
      <c r="F259" s="222"/>
      <c r="G259" s="222"/>
      <c r="H259" s="222"/>
    </row>
    <row r="260" ht="15.75" customHeight="1">
      <c r="A260" s="47"/>
      <c r="B260" s="48"/>
      <c r="C260" s="221"/>
      <c r="D260" s="222"/>
      <c r="E260" s="222"/>
      <c r="F260" s="222"/>
      <c r="G260" s="222"/>
      <c r="H260" s="222"/>
    </row>
    <row r="261" ht="15.75" customHeight="1">
      <c r="A261" s="47"/>
      <c r="B261" s="48"/>
      <c r="C261" s="221"/>
      <c r="D261" s="222"/>
      <c r="E261" s="222"/>
      <c r="F261" s="222"/>
      <c r="G261" s="222"/>
      <c r="H261" s="222"/>
    </row>
    <row r="262" ht="15.75" customHeight="1">
      <c r="A262" s="47"/>
      <c r="B262" s="48"/>
      <c r="C262" s="221"/>
      <c r="D262" s="222"/>
      <c r="E262" s="222"/>
      <c r="F262" s="222"/>
      <c r="G262" s="222"/>
      <c r="H262" s="222"/>
    </row>
    <row r="263" ht="15.75" customHeight="1">
      <c r="A263" s="47"/>
      <c r="B263" s="48"/>
      <c r="C263" s="221"/>
      <c r="D263" s="222"/>
      <c r="E263" s="222"/>
      <c r="F263" s="222"/>
      <c r="G263" s="222"/>
      <c r="H263" s="222"/>
    </row>
    <row r="264" ht="15.75" customHeight="1">
      <c r="A264" s="47"/>
      <c r="B264" s="48"/>
      <c r="C264" s="221"/>
      <c r="D264" s="222"/>
      <c r="E264" s="222"/>
      <c r="F264" s="222"/>
      <c r="G264" s="222"/>
      <c r="H264" s="222"/>
    </row>
    <row r="265" ht="15.75" customHeight="1">
      <c r="A265" s="47"/>
      <c r="B265" s="48"/>
      <c r="C265" s="221"/>
      <c r="D265" s="222"/>
      <c r="E265" s="222"/>
      <c r="F265" s="222"/>
      <c r="G265" s="222"/>
      <c r="H265" s="222"/>
    </row>
    <row r="266" ht="15.75" customHeight="1">
      <c r="A266" s="47"/>
      <c r="B266" s="48"/>
      <c r="C266" s="221"/>
      <c r="D266" s="222"/>
      <c r="E266" s="222"/>
      <c r="F266" s="222"/>
      <c r="G266" s="222"/>
      <c r="H266" s="222"/>
    </row>
    <row r="267" ht="15.75" customHeight="1">
      <c r="A267" s="47"/>
      <c r="B267" s="48"/>
      <c r="C267" s="221"/>
      <c r="D267" s="222"/>
      <c r="E267" s="222"/>
      <c r="F267" s="222"/>
      <c r="G267" s="222"/>
      <c r="H267" s="222"/>
    </row>
    <row r="268" ht="15.75" customHeight="1">
      <c r="A268" s="47"/>
      <c r="B268" s="48"/>
      <c r="C268" s="221"/>
      <c r="D268" s="222"/>
      <c r="E268" s="222"/>
      <c r="F268" s="222"/>
      <c r="G268" s="222"/>
      <c r="H268" s="222"/>
    </row>
    <row r="269" ht="15.75" customHeight="1">
      <c r="A269" s="47"/>
      <c r="B269" s="48"/>
      <c r="C269" s="221"/>
      <c r="D269" s="222"/>
      <c r="E269" s="222"/>
      <c r="F269" s="222"/>
      <c r="G269" s="222"/>
      <c r="H269" s="222"/>
    </row>
    <row r="270" ht="15.75" customHeight="1">
      <c r="A270" s="47"/>
      <c r="B270" s="48"/>
      <c r="C270" s="221"/>
      <c r="D270" s="222"/>
      <c r="E270" s="222"/>
      <c r="F270" s="222"/>
      <c r="G270" s="222"/>
      <c r="H270" s="222"/>
    </row>
    <row r="271" ht="15.75" customHeight="1">
      <c r="A271" s="47"/>
      <c r="B271" s="48"/>
      <c r="C271" s="221"/>
      <c r="D271" s="222"/>
      <c r="E271" s="222"/>
      <c r="F271" s="222"/>
      <c r="G271" s="222"/>
      <c r="H271" s="222"/>
    </row>
    <row r="272" ht="15.75" customHeight="1">
      <c r="A272" s="47"/>
      <c r="B272" s="48"/>
      <c r="C272" s="221"/>
      <c r="D272" s="222"/>
      <c r="E272" s="222"/>
      <c r="F272" s="222"/>
      <c r="G272" s="222"/>
      <c r="H272" s="222"/>
    </row>
    <row r="273" ht="15.75" customHeight="1">
      <c r="A273" s="47"/>
      <c r="B273" s="48"/>
      <c r="C273" s="221"/>
      <c r="D273" s="222"/>
      <c r="E273" s="222"/>
      <c r="F273" s="222"/>
      <c r="G273" s="222"/>
      <c r="H273" s="222"/>
    </row>
    <row r="274" ht="15.75" customHeight="1">
      <c r="A274" s="47"/>
      <c r="B274" s="48"/>
      <c r="C274" s="221"/>
      <c r="D274" s="222"/>
      <c r="E274" s="222"/>
      <c r="F274" s="222"/>
      <c r="G274" s="222"/>
      <c r="H274" s="222"/>
    </row>
    <row r="275" ht="15.75" customHeight="1">
      <c r="A275" s="47"/>
      <c r="B275" s="48"/>
      <c r="C275" s="221"/>
      <c r="D275" s="222"/>
      <c r="E275" s="222"/>
      <c r="F275" s="222"/>
      <c r="G275" s="222"/>
      <c r="H275" s="222"/>
    </row>
    <row r="276" ht="15.75" customHeight="1">
      <c r="A276" s="47"/>
      <c r="B276" s="48"/>
      <c r="C276" s="221"/>
      <c r="D276" s="222"/>
      <c r="E276" s="222"/>
      <c r="F276" s="222"/>
      <c r="G276" s="222"/>
      <c r="H276" s="222"/>
    </row>
    <row r="277" ht="15.75" customHeight="1">
      <c r="A277" s="47"/>
      <c r="B277" s="48"/>
      <c r="C277" s="221"/>
      <c r="D277" s="222"/>
      <c r="E277" s="222"/>
      <c r="F277" s="222"/>
      <c r="G277" s="222"/>
      <c r="H277" s="222"/>
    </row>
    <row r="278" ht="15.75" customHeight="1">
      <c r="A278" s="47"/>
      <c r="B278" s="48"/>
      <c r="C278" s="221"/>
      <c r="D278" s="222"/>
      <c r="E278" s="222"/>
      <c r="F278" s="222"/>
      <c r="G278" s="222"/>
      <c r="H278" s="222"/>
    </row>
    <row r="279" ht="15.75" customHeight="1">
      <c r="A279" s="47"/>
      <c r="B279" s="48"/>
      <c r="C279" s="221"/>
      <c r="D279" s="222"/>
      <c r="E279" s="222"/>
      <c r="F279" s="222"/>
      <c r="G279" s="222"/>
      <c r="H279" s="222"/>
    </row>
    <row r="280" ht="15.75" customHeight="1">
      <c r="A280" s="47"/>
      <c r="B280" s="48"/>
      <c r="C280" s="221"/>
      <c r="D280" s="222"/>
      <c r="E280" s="222"/>
      <c r="F280" s="222"/>
      <c r="G280" s="222"/>
      <c r="H280" s="222"/>
    </row>
    <row r="281" ht="15.75" customHeight="1">
      <c r="A281" s="47"/>
      <c r="B281" s="48"/>
      <c r="C281" s="221"/>
      <c r="D281" s="222"/>
      <c r="E281" s="222"/>
      <c r="F281" s="222"/>
      <c r="G281" s="222"/>
      <c r="H281" s="222"/>
    </row>
    <row r="282" ht="15.75" customHeight="1">
      <c r="A282" s="47"/>
      <c r="B282" s="48"/>
      <c r="C282" s="221"/>
      <c r="D282" s="222"/>
      <c r="E282" s="222"/>
      <c r="F282" s="222"/>
      <c r="G282" s="222"/>
      <c r="H282" s="222"/>
    </row>
    <row r="283" ht="15.75" customHeight="1">
      <c r="A283" s="47"/>
      <c r="B283" s="48"/>
      <c r="C283" s="221"/>
      <c r="D283" s="222"/>
      <c r="E283" s="222"/>
      <c r="F283" s="222"/>
      <c r="G283" s="222"/>
      <c r="H283" s="222"/>
    </row>
    <row r="284" ht="15.75" customHeight="1">
      <c r="A284" s="47"/>
      <c r="B284" s="48"/>
      <c r="C284" s="221"/>
      <c r="D284" s="222"/>
      <c r="E284" s="222"/>
      <c r="F284" s="222"/>
      <c r="G284" s="222"/>
      <c r="H284" s="222"/>
    </row>
    <row r="285" ht="15.75" customHeight="1">
      <c r="A285" s="47"/>
      <c r="B285" s="48"/>
      <c r="C285" s="221"/>
      <c r="D285" s="222"/>
      <c r="E285" s="222"/>
      <c r="F285" s="222"/>
      <c r="G285" s="222"/>
      <c r="H285" s="222"/>
    </row>
    <row r="286" ht="15.75" customHeight="1">
      <c r="A286" s="47"/>
      <c r="B286" s="48"/>
      <c r="C286" s="221"/>
      <c r="D286" s="222"/>
      <c r="E286" s="222"/>
      <c r="F286" s="222"/>
      <c r="G286" s="222"/>
      <c r="H286" s="222"/>
    </row>
    <row r="287" ht="15.75" customHeight="1">
      <c r="A287" s="47"/>
      <c r="B287" s="48"/>
      <c r="C287" s="221"/>
      <c r="D287" s="222"/>
      <c r="E287" s="222"/>
      <c r="F287" s="222"/>
      <c r="G287" s="222"/>
      <c r="H287" s="222"/>
    </row>
    <row r="288" ht="15.75" customHeight="1">
      <c r="A288" s="47"/>
      <c r="B288" s="48"/>
      <c r="C288" s="221"/>
      <c r="D288" s="222"/>
      <c r="E288" s="222"/>
      <c r="F288" s="222"/>
      <c r="G288" s="222"/>
      <c r="H288" s="222"/>
    </row>
    <row r="289" ht="15.75" customHeight="1">
      <c r="A289" s="47"/>
      <c r="B289" s="48"/>
      <c r="C289" s="221"/>
      <c r="D289" s="222"/>
      <c r="E289" s="222"/>
      <c r="F289" s="222"/>
      <c r="G289" s="222"/>
      <c r="H289" s="222"/>
    </row>
    <row r="290" ht="15.75" customHeight="1">
      <c r="A290" s="47"/>
      <c r="B290" s="48"/>
      <c r="C290" s="221"/>
      <c r="D290" s="222"/>
      <c r="E290" s="222"/>
      <c r="F290" s="222"/>
      <c r="G290" s="222"/>
      <c r="H290" s="222"/>
    </row>
    <row r="291" ht="15.75" customHeight="1">
      <c r="A291" s="47"/>
      <c r="B291" s="48"/>
      <c r="C291" s="221"/>
      <c r="D291" s="222"/>
      <c r="E291" s="222"/>
      <c r="F291" s="222"/>
      <c r="G291" s="222"/>
      <c r="H291" s="222"/>
    </row>
    <row r="292" ht="15.75" customHeight="1">
      <c r="A292" s="47"/>
      <c r="B292" s="48"/>
      <c r="C292" s="221"/>
      <c r="D292" s="222"/>
      <c r="E292" s="222"/>
      <c r="F292" s="222"/>
      <c r="G292" s="222"/>
      <c r="H292" s="222"/>
    </row>
    <row r="293" ht="15.75" customHeight="1">
      <c r="A293" s="47"/>
      <c r="B293" s="48"/>
      <c r="C293" s="221"/>
      <c r="D293" s="222"/>
      <c r="E293" s="222"/>
      <c r="F293" s="222"/>
      <c r="G293" s="222"/>
      <c r="H293" s="222"/>
    </row>
    <row r="294" ht="15.75" customHeight="1">
      <c r="A294" s="47"/>
      <c r="B294" s="48"/>
      <c r="C294" s="221"/>
      <c r="D294" s="222"/>
      <c r="E294" s="222"/>
      <c r="F294" s="222"/>
      <c r="G294" s="222"/>
      <c r="H294" s="222"/>
    </row>
    <row r="295" ht="15.75" customHeight="1">
      <c r="A295" s="47"/>
      <c r="B295" s="48"/>
      <c r="C295" s="221"/>
      <c r="D295" s="222"/>
      <c r="E295" s="222"/>
      <c r="F295" s="222"/>
      <c r="G295" s="222"/>
      <c r="H295" s="222"/>
    </row>
    <row r="296" ht="15.75" customHeight="1">
      <c r="A296" s="47"/>
      <c r="B296" s="48"/>
      <c r="C296" s="221"/>
      <c r="D296" s="222"/>
      <c r="E296" s="222"/>
      <c r="F296" s="222"/>
      <c r="G296" s="222"/>
      <c r="H296" s="222"/>
    </row>
    <row r="297" ht="15.75" customHeight="1">
      <c r="A297" s="47"/>
      <c r="B297" s="48"/>
      <c r="C297" s="221"/>
      <c r="D297" s="222"/>
      <c r="E297" s="222"/>
      <c r="F297" s="222"/>
      <c r="G297" s="222"/>
      <c r="H297" s="222"/>
    </row>
    <row r="298" ht="15.75" customHeight="1">
      <c r="A298" s="47"/>
      <c r="B298" s="48"/>
      <c r="C298" s="221"/>
      <c r="D298" s="222"/>
      <c r="E298" s="222"/>
      <c r="F298" s="222"/>
      <c r="G298" s="222"/>
      <c r="H298" s="222"/>
    </row>
    <row r="299" ht="15.75" customHeight="1">
      <c r="A299" s="47"/>
      <c r="B299" s="48"/>
      <c r="C299" s="221"/>
      <c r="D299" s="222"/>
      <c r="E299" s="222"/>
      <c r="F299" s="222"/>
      <c r="G299" s="222"/>
      <c r="H299" s="222"/>
    </row>
    <row r="300" ht="15.75" customHeight="1">
      <c r="A300" s="47"/>
      <c r="B300" s="48"/>
      <c r="C300" s="221"/>
      <c r="D300" s="222"/>
      <c r="E300" s="222"/>
      <c r="F300" s="222"/>
      <c r="G300" s="222"/>
      <c r="H300" s="222"/>
    </row>
    <row r="301" ht="15.75" customHeight="1">
      <c r="A301" s="47"/>
      <c r="B301" s="48"/>
      <c r="C301" s="221"/>
      <c r="D301" s="222"/>
      <c r="E301" s="222"/>
      <c r="F301" s="222"/>
      <c r="G301" s="222"/>
      <c r="H301" s="222"/>
    </row>
    <row r="302" ht="15.75" customHeight="1">
      <c r="A302" s="47"/>
      <c r="B302" s="48"/>
      <c r="C302" s="221"/>
      <c r="D302" s="222"/>
      <c r="E302" s="222"/>
      <c r="F302" s="222"/>
      <c r="G302" s="222"/>
      <c r="H302" s="222"/>
    </row>
    <row r="303" ht="15.75" customHeight="1">
      <c r="A303" s="47"/>
      <c r="B303" s="48"/>
      <c r="C303" s="221"/>
      <c r="D303" s="222"/>
      <c r="E303" s="222"/>
      <c r="F303" s="222"/>
      <c r="G303" s="222"/>
      <c r="H303" s="222"/>
    </row>
    <row r="304" ht="15.75" customHeight="1">
      <c r="A304" s="47"/>
      <c r="B304" s="48"/>
      <c r="C304" s="221"/>
      <c r="D304" s="222"/>
      <c r="E304" s="222"/>
      <c r="F304" s="222"/>
      <c r="G304" s="222"/>
      <c r="H304" s="222"/>
    </row>
    <row r="305" ht="15.75" customHeight="1">
      <c r="A305" s="47"/>
      <c r="B305" s="48"/>
      <c r="C305" s="221"/>
      <c r="D305" s="222"/>
      <c r="E305" s="222"/>
      <c r="F305" s="222"/>
      <c r="G305" s="222"/>
      <c r="H305" s="222"/>
    </row>
    <row r="306" ht="15.75" customHeight="1">
      <c r="A306" s="47"/>
      <c r="B306" s="48"/>
      <c r="C306" s="221"/>
      <c r="D306" s="222"/>
      <c r="E306" s="222"/>
      <c r="F306" s="222"/>
      <c r="G306" s="222"/>
      <c r="H306" s="222"/>
    </row>
    <row r="307" ht="15.75" customHeight="1">
      <c r="A307" s="47"/>
      <c r="B307" s="48"/>
      <c r="C307" s="221"/>
      <c r="D307" s="222"/>
      <c r="E307" s="222"/>
      <c r="F307" s="222"/>
      <c r="G307" s="222"/>
      <c r="H307" s="222"/>
    </row>
    <row r="308" ht="15.75" customHeight="1">
      <c r="A308" s="47"/>
      <c r="B308" s="48"/>
      <c r="C308" s="221"/>
      <c r="D308" s="222"/>
      <c r="E308" s="222"/>
      <c r="F308" s="222"/>
      <c r="G308" s="222"/>
      <c r="H308" s="222"/>
    </row>
    <row r="309" ht="15.75" customHeight="1">
      <c r="A309" s="47"/>
      <c r="B309" s="48"/>
      <c r="C309" s="221"/>
      <c r="D309" s="222"/>
      <c r="E309" s="222"/>
      <c r="F309" s="222"/>
      <c r="G309" s="222"/>
      <c r="H309" s="222"/>
    </row>
    <row r="310" ht="15.75" customHeight="1">
      <c r="A310" s="47"/>
      <c r="B310" s="48"/>
      <c r="C310" s="221"/>
      <c r="D310" s="222"/>
      <c r="E310" s="222"/>
      <c r="F310" s="222"/>
      <c r="G310" s="222"/>
      <c r="H310" s="222"/>
    </row>
    <row r="311" ht="15.75" customHeight="1">
      <c r="A311" s="47"/>
      <c r="B311" s="48"/>
      <c r="C311" s="221"/>
      <c r="D311" s="222"/>
      <c r="E311" s="222"/>
      <c r="F311" s="222"/>
      <c r="G311" s="222"/>
      <c r="H311" s="222"/>
    </row>
    <row r="312" ht="15.75" customHeight="1">
      <c r="A312" s="47"/>
      <c r="B312" s="48"/>
      <c r="C312" s="221"/>
      <c r="D312" s="222"/>
      <c r="E312" s="222"/>
      <c r="F312" s="222"/>
      <c r="G312" s="222"/>
      <c r="H312" s="222"/>
    </row>
    <row r="313" ht="15.75" customHeight="1">
      <c r="A313" s="47"/>
      <c r="B313" s="48"/>
      <c r="C313" s="221"/>
      <c r="D313" s="222"/>
      <c r="E313" s="222"/>
      <c r="F313" s="222"/>
      <c r="G313" s="222"/>
      <c r="H313" s="222"/>
    </row>
    <row r="314" ht="15.75" customHeight="1">
      <c r="A314" s="47"/>
      <c r="B314" s="48"/>
      <c r="C314" s="221"/>
      <c r="D314" s="222"/>
      <c r="E314" s="222"/>
      <c r="F314" s="222"/>
      <c r="G314" s="222"/>
      <c r="H314" s="222"/>
    </row>
    <row r="315" ht="15.75" customHeight="1">
      <c r="A315" s="47"/>
      <c r="B315" s="48"/>
      <c r="C315" s="221"/>
      <c r="D315" s="222"/>
      <c r="E315" s="222"/>
      <c r="F315" s="222"/>
      <c r="G315" s="222"/>
      <c r="H315" s="222"/>
    </row>
    <row r="316" ht="15.75" customHeight="1">
      <c r="A316" s="47"/>
      <c r="B316" s="48"/>
      <c r="C316" s="221"/>
      <c r="D316" s="222"/>
      <c r="E316" s="222"/>
      <c r="F316" s="222"/>
      <c r="G316" s="222"/>
      <c r="H316" s="222"/>
    </row>
    <row r="317" ht="15.75" customHeight="1">
      <c r="A317" s="47"/>
      <c r="B317" s="48"/>
      <c r="C317" s="221"/>
      <c r="D317" s="222"/>
      <c r="E317" s="222"/>
      <c r="F317" s="222"/>
      <c r="G317" s="222"/>
      <c r="H317" s="222"/>
    </row>
    <row r="318" ht="15.75" customHeight="1">
      <c r="A318" s="47"/>
      <c r="B318" s="48"/>
      <c r="C318" s="221"/>
      <c r="D318" s="222"/>
      <c r="E318" s="222"/>
      <c r="F318" s="222"/>
      <c r="G318" s="222"/>
      <c r="H318" s="222"/>
    </row>
    <row r="319" ht="15.75" customHeight="1">
      <c r="A319" s="47"/>
      <c r="B319" s="48"/>
      <c r="C319" s="221"/>
      <c r="D319" s="222"/>
      <c r="E319" s="222"/>
      <c r="F319" s="222"/>
      <c r="G319" s="222"/>
      <c r="H319" s="222"/>
    </row>
    <row r="320" ht="15.75" customHeight="1">
      <c r="A320" s="47"/>
      <c r="B320" s="48"/>
      <c r="C320" s="221"/>
      <c r="D320" s="222"/>
      <c r="E320" s="222"/>
      <c r="F320" s="222"/>
      <c r="G320" s="222"/>
      <c r="H320" s="222"/>
    </row>
    <row r="321" ht="15.75" customHeight="1">
      <c r="A321" s="47"/>
      <c r="B321" s="48"/>
      <c r="C321" s="221"/>
      <c r="D321" s="222"/>
      <c r="E321" s="222"/>
      <c r="F321" s="222"/>
      <c r="G321" s="222"/>
      <c r="H321" s="222"/>
    </row>
    <row r="322" ht="15.75" customHeight="1">
      <c r="A322" s="47"/>
      <c r="B322" s="48"/>
      <c r="C322" s="221"/>
      <c r="D322" s="222"/>
      <c r="E322" s="222"/>
      <c r="F322" s="222"/>
      <c r="G322" s="222"/>
      <c r="H322" s="222"/>
    </row>
    <row r="323" ht="15.75" customHeight="1">
      <c r="A323" s="47"/>
      <c r="B323" s="48"/>
      <c r="C323" s="221"/>
      <c r="D323" s="222"/>
      <c r="E323" s="222"/>
      <c r="F323" s="222"/>
      <c r="G323" s="222"/>
      <c r="H323" s="222"/>
    </row>
    <row r="324" ht="15.75" customHeight="1">
      <c r="A324" s="47"/>
      <c r="B324" s="48"/>
      <c r="C324" s="221"/>
      <c r="D324" s="222"/>
      <c r="E324" s="222"/>
      <c r="F324" s="222"/>
      <c r="G324" s="222"/>
      <c r="H324" s="222"/>
    </row>
    <row r="325" ht="15.75" customHeight="1">
      <c r="A325" s="47"/>
      <c r="B325" s="48"/>
      <c r="C325" s="221"/>
      <c r="D325" s="222"/>
      <c r="E325" s="222"/>
      <c r="F325" s="222"/>
      <c r="G325" s="222"/>
      <c r="H325" s="222"/>
    </row>
    <row r="326" ht="15.75" customHeight="1">
      <c r="A326" s="47"/>
      <c r="B326" s="48"/>
      <c r="C326" s="221"/>
      <c r="D326" s="222"/>
      <c r="E326" s="222"/>
      <c r="F326" s="222"/>
      <c r="G326" s="222"/>
      <c r="H326" s="222"/>
    </row>
    <row r="327" ht="15.75" customHeight="1">
      <c r="A327" s="47"/>
      <c r="B327" s="48"/>
      <c r="C327" s="221"/>
      <c r="D327" s="222"/>
      <c r="E327" s="222"/>
      <c r="F327" s="222"/>
      <c r="G327" s="222"/>
      <c r="H327" s="222"/>
    </row>
    <row r="328" ht="15.75" customHeight="1">
      <c r="A328" s="47"/>
      <c r="B328" s="48"/>
      <c r="C328" s="221"/>
      <c r="D328" s="222"/>
      <c r="E328" s="222"/>
      <c r="F328" s="222"/>
      <c r="G328" s="222"/>
      <c r="H328" s="222"/>
    </row>
    <row r="329" ht="15.75" customHeight="1">
      <c r="A329" s="47"/>
      <c r="B329" s="48"/>
      <c r="C329" s="221"/>
      <c r="D329" s="222"/>
      <c r="E329" s="222"/>
      <c r="F329" s="222"/>
      <c r="G329" s="222"/>
      <c r="H329" s="222"/>
    </row>
    <row r="330" ht="15.75" customHeight="1">
      <c r="A330" s="47"/>
      <c r="B330" s="48"/>
      <c r="C330" s="221"/>
      <c r="D330" s="222"/>
      <c r="E330" s="222"/>
      <c r="F330" s="222"/>
      <c r="G330" s="222"/>
      <c r="H330" s="222"/>
    </row>
    <row r="331" ht="15.75" customHeight="1">
      <c r="A331" s="47"/>
      <c r="B331" s="48"/>
      <c r="C331" s="221"/>
      <c r="D331" s="222"/>
      <c r="E331" s="222"/>
      <c r="F331" s="222"/>
      <c r="G331" s="222"/>
      <c r="H331" s="222"/>
    </row>
    <row r="332" ht="15.75" customHeight="1">
      <c r="A332" s="47"/>
      <c r="B332" s="48"/>
      <c r="C332" s="221"/>
      <c r="D332" s="222"/>
      <c r="E332" s="222"/>
      <c r="F332" s="222"/>
      <c r="G332" s="222"/>
      <c r="H332" s="222"/>
    </row>
    <row r="333" ht="15.75" customHeight="1">
      <c r="A333" s="47"/>
      <c r="B333" s="48"/>
      <c r="C333" s="221"/>
      <c r="D333" s="222"/>
      <c r="E333" s="222"/>
      <c r="F333" s="222"/>
      <c r="G333" s="222"/>
      <c r="H333" s="222"/>
    </row>
    <row r="334" ht="15.75" customHeight="1">
      <c r="A334" s="47"/>
      <c r="B334" s="48"/>
      <c r="C334" s="221"/>
      <c r="D334" s="222"/>
      <c r="E334" s="222"/>
      <c r="F334" s="222"/>
      <c r="G334" s="222"/>
      <c r="H334" s="222"/>
    </row>
    <row r="335" ht="15.75" customHeight="1">
      <c r="A335" s="47"/>
      <c r="B335" s="48"/>
      <c r="C335" s="221"/>
      <c r="D335" s="222"/>
      <c r="E335" s="222"/>
      <c r="F335" s="222"/>
      <c r="G335" s="222"/>
      <c r="H335" s="222"/>
    </row>
    <row r="336" ht="15.75" customHeight="1">
      <c r="A336" s="47"/>
      <c r="B336" s="48"/>
      <c r="C336" s="221"/>
      <c r="D336" s="222"/>
      <c r="E336" s="222"/>
      <c r="F336" s="222"/>
      <c r="G336" s="222"/>
      <c r="H336" s="222"/>
    </row>
    <row r="337" ht="15.75" customHeight="1">
      <c r="A337" s="47"/>
      <c r="B337" s="48"/>
      <c r="C337" s="221"/>
      <c r="D337" s="222"/>
      <c r="E337" s="222"/>
      <c r="F337" s="222"/>
      <c r="G337" s="222"/>
      <c r="H337" s="222"/>
    </row>
    <row r="338" ht="15.75" customHeight="1">
      <c r="A338" s="47"/>
      <c r="B338" s="48"/>
      <c r="C338" s="221"/>
      <c r="D338" s="222"/>
      <c r="E338" s="222"/>
      <c r="F338" s="222"/>
      <c r="G338" s="222"/>
      <c r="H338" s="222"/>
    </row>
    <row r="339" ht="15.75" customHeight="1">
      <c r="A339" s="47"/>
      <c r="B339" s="48"/>
      <c r="C339" s="221"/>
      <c r="D339" s="222"/>
      <c r="E339" s="222"/>
      <c r="F339" s="222"/>
      <c r="G339" s="222"/>
      <c r="H339" s="222"/>
    </row>
    <row r="340" ht="15.75" customHeight="1">
      <c r="A340" s="47"/>
      <c r="B340" s="48"/>
      <c r="C340" s="221"/>
      <c r="D340" s="222"/>
      <c r="E340" s="222"/>
      <c r="F340" s="222"/>
      <c r="G340" s="222"/>
      <c r="H340" s="222"/>
    </row>
    <row r="341" ht="15.75" customHeight="1">
      <c r="A341" s="47"/>
      <c r="B341" s="48"/>
      <c r="C341" s="221"/>
      <c r="D341" s="222"/>
      <c r="E341" s="222"/>
      <c r="F341" s="222"/>
      <c r="G341" s="222"/>
      <c r="H341" s="222"/>
    </row>
    <row r="342" ht="15.75" customHeight="1">
      <c r="A342" s="47"/>
      <c r="B342" s="48"/>
      <c r="C342" s="221"/>
      <c r="D342" s="222"/>
      <c r="E342" s="222"/>
      <c r="F342" s="222"/>
      <c r="G342" s="222"/>
      <c r="H342" s="222"/>
    </row>
    <row r="343" ht="15.75" customHeight="1">
      <c r="A343" s="47"/>
      <c r="B343" s="48"/>
      <c r="C343" s="221"/>
      <c r="D343" s="222"/>
      <c r="E343" s="222"/>
      <c r="F343" s="222"/>
      <c r="G343" s="222"/>
      <c r="H343" s="222"/>
    </row>
    <row r="344" ht="15.75" customHeight="1">
      <c r="A344" s="47"/>
      <c r="B344" s="48"/>
      <c r="C344" s="221"/>
      <c r="D344" s="222"/>
      <c r="E344" s="222"/>
      <c r="F344" s="222"/>
      <c r="G344" s="222"/>
      <c r="H344" s="222"/>
    </row>
    <row r="345" ht="15.75" customHeight="1">
      <c r="A345" s="47"/>
      <c r="B345" s="48"/>
      <c r="C345" s="221"/>
      <c r="D345" s="222"/>
      <c r="E345" s="222"/>
      <c r="F345" s="222"/>
      <c r="G345" s="222"/>
      <c r="H345" s="222"/>
    </row>
    <row r="346" ht="15.75" customHeight="1">
      <c r="A346" s="47"/>
      <c r="B346" s="48"/>
      <c r="C346" s="221"/>
      <c r="D346" s="222"/>
      <c r="E346" s="222"/>
      <c r="F346" s="222"/>
      <c r="G346" s="222"/>
      <c r="H346" s="222"/>
    </row>
    <row r="347" ht="15.75" customHeight="1">
      <c r="A347" s="47"/>
      <c r="B347" s="48"/>
      <c r="C347" s="221"/>
      <c r="D347" s="222"/>
      <c r="E347" s="222"/>
      <c r="F347" s="222"/>
      <c r="G347" s="222"/>
      <c r="H347" s="222"/>
    </row>
    <row r="348" ht="15.75" customHeight="1">
      <c r="A348" s="47"/>
      <c r="B348" s="48"/>
      <c r="C348" s="221"/>
      <c r="D348" s="222"/>
      <c r="E348" s="222"/>
      <c r="F348" s="222"/>
      <c r="G348" s="222"/>
      <c r="H348" s="222"/>
    </row>
    <row r="349" ht="15.75" customHeight="1">
      <c r="A349" s="47"/>
      <c r="B349" s="48"/>
      <c r="C349" s="221"/>
      <c r="D349" s="222"/>
      <c r="E349" s="222"/>
      <c r="F349" s="222"/>
      <c r="G349" s="222"/>
      <c r="H349" s="222"/>
    </row>
    <row r="350" ht="15.75" customHeight="1">
      <c r="A350" s="47"/>
      <c r="B350" s="48"/>
      <c r="C350" s="221"/>
      <c r="D350" s="222"/>
      <c r="E350" s="222"/>
      <c r="F350" s="222"/>
      <c r="G350" s="222"/>
      <c r="H350" s="222"/>
    </row>
    <row r="351" ht="15.75" customHeight="1">
      <c r="A351" s="47"/>
      <c r="B351" s="48"/>
      <c r="C351" s="221"/>
      <c r="D351" s="222"/>
      <c r="E351" s="222"/>
      <c r="F351" s="222"/>
      <c r="G351" s="222"/>
      <c r="H351" s="222"/>
    </row>
    <row r="352" ht="15.75" customHeight="1">
      <c r="A352" s="47"/>
      <c r="B352" s="48"/>
      <c r="C352" s="221"/>
      <c r="D352" s="222"/>
      <c r="E352" s="222"/>
      <c r="F352" s="222"/>
      <c r="G352" s="222"/>
      <c r="H352" s="222"/>
    </row>
    <row r="353" ht="15.75" customHeight="1">
      <c r="A353" s="47"/>
      <c r="B353" s="48"/>
      <c r="C353" s="221"/>
      <c r="D353" s="222"/>
      <c r="E353" s="222"/>
      <c r="F353" s="222"/>
      <c r="G353" s="222"/>
      <c r="H353" s="222"/>
    </row>
    <row r="354" ht="15.75" customHeight="1">
      <c r="A354" s="47"/>
      <c r="B354" s="48"/>
      <c r="C354" s="221"/>
      <c r="D354" s="222"/>
      <c r="E354" s="222"/>
      <c r="F354" s="222"/>
      <c r="G354" s="222"/>
      <c r="H354" s="222"/>
    </row>
    <row r="355" ht="15.75" customHeight="1">
      <c r="A355" s="47"/>
      <c r="B355" s="48"/>
      <c r="C355" s="221"/>
      <c r="D355" s="222"/>
      <c r="E355" s="222"/>
      <c r="F355" s="222"/>
      <c r="G355" s="222"/>
      <c r="H355" s="222"/>
    </row>
    <row r="356" ht="15.75" customHeight="1">
      <c r="A356" s="47"/>
      <c r="B356" s="48"/>
      <c r="C356" s="221"/>
      <c r="D356" s="222"/>
      <c r="E356" s="222"/>
      <c r="F356" s="222"/>
      <c r="G356" s="222"/>
      <c r="H356" s="222"/>
    </row>
    <row r="357" ht="15.75" customHeight="1">
      <c r="A357" s="47"/>
      <c r="B357" s="48"/>
      <c r="C357" s="221"/>
      <c r="D357" s="222"/>
      <c r="E357" s="222"/>
      <c r="F357" s="222"/>
      <c r="G357" s="222"/>
      <c r="H357" s="222"/>
    </row>
    <row r="358" ht="15.75" customHeight="1">
      <c r="A358" s="47"/>
      <c r="B358" s="48"/>
      <c r="C358" s="221"/>
      <c r="D358" s="222"/>
      <c r="E358" s="222"/>
      <c r="F358" s="222"/>
      <c r="G358" s="222"/>
      <c r="H358" s="222"/>
    </row>
    <row r="359" ht="15.75" customHeight="1">
      <c r="A359" s="47"/>
      <c r="B359" s="48"/>
      <c r="C359" s="221"/>
      <c r="D359" s="222"/>
      <c r="E359" s="222"/>
      <c r="F359" s="222"/>
      <c r="G359" s="222"/>
      <c r="H359" s="222"/>
    </row>
    <row r="360" ht="15.75" customHeight="1">
      <c r="A360" s="47"/>
      <c r="B360" s="48"/>
      <c r="C360" s="221"/>
      <c r="D360" s="222"/>
      <c r="E360" s="222"/>
      <c r="F360" s="222"/>
      <c r="G360" s="222"/>
      <c r="H360" s="222"/>
    </row>
    <row r="361" ht="15.75" customHeight="1">
      <c r="A361" s="47"/>
      <c r="B361" s="48"/>
      <c r="C361" s="221"/>
      <c r="D361" s="222"/>
      <c r="E361" s="222"/>
      <c r="F361" s="222"/>
      <c r="G361" s="222"/>
      <c r="H361" s="222"/>
    </row>
    <row r="362" ht="15.75" customHeight="1">
      <c r="A362" s="47"/>
      <c r="B362" s="48"/>
      <c r="C362" s="221"/>
      <c r="D362" s="222"/>
      <c r="E362" s="222"/>
      <c r="F362" s="222"/>
      <c r="G362" s="222"/>
      <c r="H362" s="222"/>
    </row>
    <row r="363" ht="15.75" customHeight="1">
      <c r="A363" s="47"/>
      <c r="B363" s="48"/>
      <c r="C363" s="221"/>
      <c r="D363" s="222"/>
      <c r="E363" s="222"/>
      <c r="F363" s="222"/>
      <c r="G363" s="222"/>
      <c r="H363" s="222"/>
    </row>
    <row r="364" ht="15.75" customHeight="1">
      <c r="A364" s="47"/>
      <c r="B364" s="48"/>
      <c r="C364" s="221"/>
      <c r="D364" s="222"/>
      <c r="E364" s="222"/>
      <c r="F364" s="222"/>
      <c r="G364" s="222"/>
      <c r="H364" s="222"/>
    </row>
    <row r="365" ht="15.75" customHeight="1">
      <c r="A365" s="47"/>
      <c r="B365" s="48"/>
      <c r="C365" s="221"/>
      <c r="D365" s="222"/>
      <c r="E365" s="222"/>
      <c r="F365" s="222"/>
      <c r="G365" s="222"/>
      <c r="H365" s="222"/>
    </row>
    <row r="366" ht="15.75" customHeight="1">
      <c r="A366" s="47"/>
      <c r="B366" s="48"/>
      <c r="C366" s="221"/>
      <c r="D366" s="222"/>
      <c r="E366" s="222"/>
      <c r="F366" s="222"/>
      <c r="G366" s="222"/>
      <c r="H366" s="222"/>
    </row>
    <row r="367" ht="15.75" customHeight="1">
      <c r="A367" s="47"/>
      <c r="B367" s="48"/>
      <c r="C367" s="221"/>
      <c r="D367" s="222"/>
      <c r="E367" s="222"/>
      <c r="F367" s="222"/>
      <c r="G367" s="222"/>
      <c r="H367" s="222"/>
    </row>
    <row r="368" ht="15.75" customHeight="1">
      <c r="A368" s="47"/>
      <c r="B368" s="48"/>
      <c r="C368" s="221"/>
      <c r="D368" s="222"/>
      <c r="E368" s="222"/>
      <c r="F368" s="222"/>
      <c r="G368" s="222"/>
      <c r="H368" s="222"/>
    </row>
    <row r="369" ht="15.75" customHeight="1">
      <c r="A369" s="47"/>
      <c r="B369" s="48"/>
      <c r="C369" s="221"/>
      <c r="D369" s="222"/>
      <c r="E369" s="222"/>
      <c r="F369" s="222"/>
      <c r="G369" s="222"/>
      <c r="H369" s="222"/>
    </row>
    <row r="370" ht="15.75" customHeight="1">
      <c r="A370" s="47"/>
      <c r="B370" s="48"/>
      <c r="C370" s="221"/>
      <c r="D370" s="222"/>
      <c r="E370" s="222"/>
      <c r="F370" s="222"/>
      <c r="G370" s="222"/>
      <c r="H370" s="222"/>
    </row>
    <row r="371" ht="15.75" customHeight="1">
      <c r="A371" s="47"/>
      <c r="B371" s="48"/>
      <c r="C371" s="221"/>
      <c r="D371" s="222"/>
      <c r="E371" s="222"/>
      <c r="F371" s="222"/>
      <c r="G371" s="222"/>
      <c r="H371" s="222"/>
    </row>
    <row r="372" ht="15.75" customHeight="1">
      <c r="A372" s="47"/>
      <c r="B372" s="48"/>
      <c r="C372" s="221"/>
      <c r="D372" s="222"/>
      <c r="E372" s="222"/>
      <c r="F372" s="222"/>
      <c r="G372" s="222"/>
      <c r="H372" s="222"/>
    </row>
    <row r="373" ht="15.75" customHeight="1">
      <c r="A373" s="47"/>
      <c r="B373" s="48"/>
      <c r="C373" s="221"/>
      <c r="D373" s="222"/>
      <c r="E373" s="222"/>
      <c r="F373" s="222"/>
      <c r="G373" s="222"/>
      <c r="H373" s="222"/>
    </row>
    <row r="374" ht="15.75" customHeight="1">
      <c r="A374" s="47"/>
      <c r="B374" s="48"/>
      <c r="C374" s="221"/>
      <c r="D374" s="222"/>
      <c r="E374" s="222"/>
      <c r="F374" s="222"/>
      <c r="G374" s="222"/>
      <c r="H374" s="222"/>
    </row>
    <row r="375" ht="15.75" customHeight="1">
      <c r="A375" s="47"/>
      <c r="B375" s="48"/>
      <c r="C375" s="221"/>
      <c r="D375" s="222"/>
      <c r="E375" s="222"/>
      <c r="F375" s="222"/>
      <c r="G375" s="222"/>
      <c r="H375" s="222"/>
    </row>
    <row r="376" ht="15.75" customHeight="1">
      <c r="A376" s="47"/>
      <c r="B376" s="48"/>
      <c r="C376" s="221"/>
      <c r="D376" s="222"/>
      <c r="E376" s="222"/>
      <c r="F376" s="222"/>
      <c r="G376" s="222"/>
      <c r="H376" s="222"/>
    </row>
    <row r="377" ht="15.75" customHeight="1">
      <c r="A377" s="47"/>
      <c r="B377" s="48"/>
      <c r="C377" s="221"/>
      <c r="D377" s="222"/>
      <c r="E377" s="222"/>
      <c r="F377" s="222"/>
      <c r="G377" s="222"/>
      <c r="H377" s="222"/>
    </row>
    <row r="378" ht="15.75" customHeight="1">
      <c r="A378" s="47"/>
      <c r="B378" s="48"/>
      <c r="C378" s="221"/>
      <c r="D378" s="222"/>
      <c r="E378" s="222"/>
      <c r="F378" s="222"/>
      <c r="G378" s="222"/>
      <c r="H378" s="222"/>
    </row>
    <row r="379" ht="15.75" customHeight="1">
      <c r="A379" s="47"/>
      <c r="B379" s="48"/>
      <c r="C379" s="221"/>
      <c r="D379" s="222"/>
      <c r="E379" s="222"/>
      <c r="F379" s="222"/>
      <c r="G379" s="222"/>
      <c r="H379" s="222"/>
    </row>
    <row r="380" ht="15.75" customHeight="1">
      <c r="A380" s="47"/>
      <c r="B380" s="48"/>
      <c r="C380" s="221"/>
      <c r="D380" s="222"/>
      <c r="E380" s="222"/>
      <c r="F380" s="222"/>
      <c r="G380" s="222"/>
      <c r="H380" s="222"/>
    </row>
    <row r="381" ht="15.75" customHeight="1">
      <c r="A381" s="47"/>
      <c r="B381" s="48"/>
      <c r="C381" s="221"/>
      <c r="D381" s="222"/>
      <c r="E381" s="222"/>
      <c r="F381" s="222"/>
      <c r="G381" s="222"/>
      <c r="H381" s="222"/>
    </row>
    <row r="382" ht="15.75" customHeight="1">
      <c r="A382" s="47"/>
      <c r="B382" s="48"/>
      <c r="C382" s="221"/>
      <c r="D382" s="222"/>
      <c r="E382" s="222"/>
      <c r="F382" s="222"/>
      <c r="G382" s="222"/>
      <c r="H382" s="222"/>
    </row>
    <row r="383" ht="15.75" customHeight="1">
      <c r="A383" s="47"/>
      <c r="B383" s="48"/>
      <c r="C383" s="221"/>
      <c r="D383" s="222"/>
      <c r="E383" s="222"/>
      <c r="F383" s="222"/>
      <c r="G383" s="222"/>
      <c r="H383" s="222"/>
    </row>
    <row r="384" ht="15.75" customHeight="1">
      <c r="A384" s="47"/>
      <c r="B384" s="48"/>
      <c r="C384" s="221"/>
      <c r="D384" s="222"/>
      <c r="E384" s="222"/>
      <c r="F384" s="222"/>
      <c r="G384" s="222"/>
      <c r="H384" s="222"/>
    </row>
    <row r="385" ht="15.75" customHeight="1">
      <c r="A385" s="47"/>
      <c r="B385" s="48"/>
      <c r="C385" s="221"/>
      <c r="D385" s="222"/>
      <c r="E385" s="222"/>
      <c r="F385" s="222"/>
      <c r="G385" s="222"/>
      <c r="H385" s="222"/>
    </row>
    <row r="386" ht="15.75" customHeight="1">
      <c r="A386" s="47"/>
      <c r="B386" s="48"/>
      <c r="C386" s="221"/>
      <c r="D386" s="222"/>
      <c r="E386" s="222"/>
      <c r="F386" s="222"/>
      <c r="G386" s="222"/>
      <c r="H386" s="222"/>
    </row>
    <row r="387" ht="15.75" customHeight="1">
      <c r="A387" s="47"/>
      <c r="B387" s="48"/>
      <c r="C387" s="221"/>
      <c r="D387" s="222"/>
      <c r="E387" s="222"/>
      <c r="F387" s="222"/>
      <c r="G387" s="222"/>
      <c r="H387" s="222"/>
    </row>
    <row r="388" ht="15.75" customHeight="1">
      <c r="A388" s="47"/>
      <c r="B388" s="48"/>
      <c r="C388" s="221"/>
      <c r="D388" s="222"/>
      <c r="E388" s="222"/>
      <c r="F388" s="222"/>
      <c r="G388" s="222"/>
      <c r="H388" s="222"/>
    </row>
    <row r="389" ht="15.75" customHeight="1">
      <c r="A389" s="47"/>
      <c r="B389" s="48"/>
      <c r="C389" s="221"/>
      <c r="D389" s="222"/>
      <c r="E389" s="222"/>
      <c r="F389" s="222"/>
      <c r="G389" s="222"/>
      <c r="H389" s="222"/>
    </row>
    <row r="390" ht="15.75" customHeight="1">
      <c r="A390" s="47"/>
      <c r="B390" s="48"/>
      <c r="C390" s="221"/>
      <c r="D390" s="222"/>
      <c r="E390" s="222"/>
      <c r="F390" s="222"/>
      <c r="G390" s="222"/>
      <c r="H390" s="222"/>
    </row>
    <row r="391" ht="15.75" customHeight="1">
      <c r="A391" s="47"/>
      <c r="B391" s="48"/>
      <c r="C391" s="221"/>
      <c r="D391" s="222"/>
      <c r="E391" s="222"/>
      <c r="F391" s="222"/>
      <c r="G391" s="222"/>
      <c r="H391" s="222"/>
    </row>
    <row r="392" ht="15.75" customHeight="1">
      <c r="A392" s="47"/>
      <c r="B392" s="48"/>
      <c r="C392" s="221"/>
      <c r="D392" s="222"/>
      <c r="E392" s="222"/>
      <c r="F392" s="222"/>
      <c r="G392" s="222"/>
      <c r="H392" s="222"/>
    </row>
    <row r="393" ht="15.75" customHeight="1">
      <c r="A393" s="47"/>
      <c r="B393" s="48"/>
      <c r="C393" s="221"/>
      <c r="D393" s="222"/>
      <c r="E393" s="222"/>
      <c r="F393" s="222"/>
      <c r="G393" s="222"/>
      <c r="H393" s="222"/>
    </row>
    <row r="394" ht="15.75" customHeight="1">
      <c r="A394" s="47"/>
      <c r="B394" s="48"/>
      <c r="C394" s="221"/>
      <c r="D394" s="222"/>
      <c r="E394" s="222"/>
      <c r="F394" s="222"/>
      <c r="G394" s="222"/>
      <c r="H394" s="222"/>
    </row>
    <row r="395" ht="15.75" customHeight="1">
      <c r="A395" s="47"/>
      <c r="B395" s="48"/>
      <c r="C395" s="221"/>
      <c r="D395" s="222"/>
      <c r="E395" s="222"/>
      <c r="F395" s="222"/>
      <c r="G395" s="222"/>
      <c r="H395" s="222"/>
    </row>
    <row r="396" ht="15.75" customHeight="1">
      <c r="A396" s="47"/>
      <c r="B396" s="48"/>
      <c r="C396" s="221"/>
      <c r="D396" s="222"/>
      <c r="E396" s="222"/>
      <c r="F396" s="222"/>
      <c r="G396" s="222"/>
      <c r="H396" s="222"/>
    </row>
    <row r="397" ht="15.75" customHeight="1">
      <c r="A397" s="47"/>
      <c r="B397" s="48"/>
      <c r="C397" s="221"/>
      <c r="D397" s="222"/>
      <c r="E397" s="222"/>
      <c r="F397" s="222"/>
      <c r="G397" s="222"/>
      <c r="H397" s="222"/>
    </row>
    <row r="398" ht="15.75" customHeight="1">
      <c r="A398" s="47"/>
      <c r="B398" s="48"/>
      <c r="C398" s="221"/>
      <c r="D398" s="222"/>
      <c r="E398" s="222"/>
      <c r="F398" s="222"/>
      <c r="G398" s="222"/>
      <c r="H398" s="222"/>
    </row>
    <row r="399" ht="15.75" customHeight="1">
      <c r="A399" s="47"/>
      <c r="B399" s="48"/>
      <c r="C399" s="221"/>
      <c r="D399" s="222"/>
      <c r="E399" s="222"/>
      <c r="F399" s="222"/>
      <c r="G399" s="222"/>
      <c r="H399" s="222"/>
    </row>
    <row r="400" ht="15.75" customHeight="1">
      <c r="A400" s="47"/>
      <c r="B400" s="48"/>
      <c r="C400" s="221"/>
      <c r="D400" s="222"/>
      <c r="E400" s="222"/>
      <c r="F400" s="222"/>
      <c r="G400" s="222"/>
      <c r="H400" s="222"/>
    </row>
    <row r="401" ht="15.75" customHeight="1">
      <c r="A401" s="47"/>
      <c r="B401" s="48"/>
      <c r="C401" s="221"/>
      <c r="D401" s="222"/>
      <c r="E401" s="222"/>
      <c r="F401" s="222"/>
      <c r="G401" s="222"/>
      <c r="H401" s="222"/>
    </row>
    <row r="402" ht="15.75" customHeight="1">
      <c r="A402" s="47"/>
      <c r="B402" s="48"/>
      <c r="C402" s="221"/>
      <c r="D402" s="222"/>
      <c r="E402" s="222"/>
      <c r="F402" s="222"/>
      <c r="G402" s="222"/>
      <c r="H402" s="222"/>
    </row>
    <row r="403" ht="15.75" customHeight="1">
      <c r="A403" s="47"/>
      <c r="B403" s="48"/>
      <c r="C403" s="221"/>
      <c r="D403" s="222"/>
      <c r="E403" s="222"/>
      <c r="F403" s="222"/>
      <c r="G403" s="222"/>
      <c r="H403" s="222"/>
    </row>
    <row r="404" ht="15.75" customHeight="1">
      <c r="A404" s="47"/>
      <c r="B404" s="48"/>
      <c r="C404" s="221"/>
      <c r="D404" s="222"/>
      <c r="E404" s="222"/>
      <c r="F404" s="222"/>
      <c r="G404" s="222"/>
      <c r="H404" s="222"/>
    </row>
    <row r="405" ht="15.75" customHeight="1">
      <c r="A405" s="47"/>
      <c r="B405" s="48"/>
      <c r="C405" s="221"/>
      <c r="D405" s="222"/>
      <c r="E405" s="222"/>
      <c r="F405" s="222"/>
      <c r="G405" s="222"/>
      <c r="H405" s="222"/>
    </row>
    <row r="406" ht="15.75" customHeight="1">
      <c r="A406" s="47"/>
      <c r="B406" s="48"/>
      <c r="C406" s="221"/>
      <c r="D406" s="222"/>
      <c r="E406" s="222"/>
      <c r="F406" s="222"/>
      <c r="G406" s="222"/>
      <c r="H406" s="222"/>
    </row>
    <row r="407" ht="15.75" customHeight="1">
      <c r="A407" s="47"/>
      <c r="B407" s="48"/>
      <c r="C407" s="221"/>
      <c r="D407" s="222"/>
      <c r="E407" s="222"/>
      <c r="F407" s="222"/>
      <c r="G407" s="222"/>
      <c r="H407" s="222"/>
    </row>
    <row r="408" ht="15.75" customHeight="1">
      <c r="A408" s="47"/>
      <c r="B408" s="48"/>
      <c r="C408" s="221"/>
      <c r="D408" s="222"/>
      <c r="E408" s="222"/>
      <c r="F408" s="222"/>
      <c r="G408" s="222"/>
      <c r="H408" s="222"/>
    </row>
    <row r="409" ht="15.75" customHeight="1">
      <c r="A409" s="47"/>
      <c r="B409" s="48"/>
      <c r="C409" s="221"/>
      <c r="D409" s="222"/>
      <c r="E409" s="222"/>
      <c r="F409" s="222"/>
      <c r="G409" s="222"/>
      <c r="H409" s="222"/>
    </row>
    <row r="410" ht="15.75" customHeight="1">
      <c r="A410" s="47"/>
      <c r="B410" s="48"/>
      <c r="C410" s="221"/>
      <c r="D410" s="222"/>
      <c r="E410" s="222"/>
      <c r="F410" s="222"/>
      <c r="G410" s="222"/>
      <c r="H410" s="222"/>
    </row>
    <row r="411" ht="15.75" customHeight="1">
      <c r="A411" s="47"/>
      <c r="B411" s="48"/>
      <c r="C411" s="221"/>
      <c r="D411" s="222"/>
      <c r="E411" s="222"/>
      <c r="F411" s="222"/>
      <c r="G411" s="222"/>
      <c r="H411" s="222"/>
    </row>
    <row r="412" ht="15.75" customHeight="1">
      <c r="A412" s="47"/>
      <c r="B412" s="48"/>
      <c r="C412" s="221"/>
      <c r="D412" s="222"/>
      <c r="E412" s="222"/>
      <c r="F412" s="222"/>
      <c r="G412" s="222"/>
      <c r="H412" s="222"/>
    </row>
    <row r="413" ht="15.75" customHeight="1">
      <c r="A413" s="47"/>
      <c r="B413" s="48"/>
      <c r="C413" s="221"/>
      <c r="D413" s="222"/>
      <c r="E413" s="222"/>
      <c r="F413" s="222"/>
      <c r="G413" s="222"/>
      <c r="H413" s="222"/>
    </row>
    <row r="414" ht="15.75" customHeight="1">
      <c r="A414" s="47"/>
      <c r="B414" s="48"/>
      <c r="C414" s="221"/>
      <c r="D414" s="222"/>
      <c r="E414" s="222"/>
      <c r="F414" s="222"/>
      <c r="G414" s="222"/>
      <c r="H414" s="222"/>
    </row>
    <row r="415" ht="15.75" customHeight="1">
      <c r="A415" s="47"/>
      <c r="B415" s="48"/>
      <c r="C415" s="221"/>
      <c r="D415" s="222"/>
      <c r="E415" s="222"/>
      <c r="F415" s="222"/>
      <c r="G415" s="222"/>
      <c r="H415" s="222"/>
    </row>
    <row r="416" ht="15.75" customHeight="1">
      <c r="A416" s="47"/>
      <c r="B416" s="48"/>
      <c r="C416" s="221"/>
      <c r="D416" s="222"/>
      <c r="E416" s="222"/>
      <c r="F416" s="222"/>
      <c r="G416" s="222"/>
      <c r="H416" s="222"/>
    </row>
    <row r="417" ht="15.75" customHeight="1">
      <c r="A417" s="47"/>
      <c r="B417" s="48"/>
      <c r="C417" s="221"/>
      <c r="D417" s="222"/>
      <c r="E417" s="222"/>
      <c r="F417" s="222"/>
      <c r="G417" s="222"/>
      <c r="H417" s="222"/>
    </row>
    <row r="418" ht="15.75" customHeight="1">
      <c r="A418" s="47"/>
      <c r="B418" s="48"/>
      <c r="C418" s="221"/>
      <c r="D418" s="222"/>
      <c r="E418" s="222"/>
      <c r="F418" s="222"/>
      <c r="G418" s="222"/>
      <c r="H418" s="222"/>
    </row>
    <row r="419" ht="15.75" customHeight="1">
      <c r="A419" s="47"/>
      <c r="B419" s="48"/>
      <c r="C419" s="221"/>
      <c r="D419" s="222"/>
      <c r="E419" s="222"/>
      <c r="F419" s="222"/>
      <c r="G419" s="222"/>
      <c r="H419" s="222"/>
    </row>
    <row r="420" ht="15.75" customHeight="1">
      <c r="A420" s="47"/>
      <c r="B420" s="48"/>
      <c r="C420" s="221"/>
      <c r="D420" s="222"/>
      <c r="E420" s="222"/>
      <c r="F420" s="222"/>
      <c r="G420" s="222"/>
      <c r="H420" s="222"/>
    </row>
    <row r="421" ht="15.75" customHeight="1">
      <c r="A421" s="47"/>
      <c r="B421" s="48"/>
      <c r="C421" s="221"/>
      <c r="D421" s="222"/>
      <c r="E421" s="222"/>
      <c r="F421" s="222"/>
      <c r="G421" s="222"/>
      <c r="H421" s="222"/>
    </row>
    <row r="422" ht="15.75" customHeight="1">
      <c r="A422" s="47"/>
      <c r="B422" s="48"/>
      <c r="C422" s="221"/>
      <c r="D422" s="222"/>
      <c r="E422" s="222"/>
      <c r="F422" s="222"/>
      <c r="G422" s="222"/>
      <c r="H422" s="222"/>
    </row>
    <row r="423" ht="15.75" customHeight="1">
      <c r="A423" s="47"/>
      <c r="B423" s="48"/>
      <c r="C423" s="221"/>
      <c r="D423" s="222"/>
      <c r="E423" s="222"/>
      <c r="F423" s="222"/>
      <c r="G423" s="222"/>
      <c r="H423" s="222"/>
    </row>
    <row r="424" ht="15.75" customHeight="1">
      <c r="A424" s="47"/>
      <c r="B424" s="48"/>
      <c r="C424" s="221"/>
      <c r="D424" s="222"/>
      <c r="E424" s="222"/>
      <c r="F424" s="222"/>
      <c r="G424" s="222"/>
      <c r="H424" s="222"/>
    </row>
    <row r="425" ht="15.75" customHeight="1">
      <c r="A425" s="47"/>
      <c r="B425" s="48"/>
      <c r="C425" s="221"/>
      <c r="D425" s="222"/>
      <c r="E425" s="222"/>
      <c r="F425" s="222"/>
      <c r="G425" s="222"/>
      <c r="H425" s="222"/>
    </row>
    <row r="426" ht="15.75" customHeight="1">
      <c r="A426" s="47"/>
      <c r="B426" s="48"/>
      <c r="C426" s="221"/>
      <c r="D426" s="222"/>
      <c r="E426" s="222"/>
      <c r="F426" s="222"/>
      <c r="G426" s="222"/>
      <c r="H426" s="222"/>
    </row>
    <row r="427" ht="15.75" customHeight="1">
      <c r="A427" s="47"/>
      <c r="B427" s="48"/>
      <c r="C427" s="221"/>
      <c r="D427" s="222"/>
      <c r="E427" s="222"/>
      <c r="F427" s="222"/>
      <c r="G427" s="222"/>
      <c r="H427" s="222"/>
    </row>
    <row r="428" ht="15.75" customHeight="1">
      <c r="A428" s="47"/>
      <c r="B428" s="48"/>
      <c r="C428" s="221"/>
      <c r="D428" s="222"/>
      <c r="E428" s="222"/>
      <c r="F428" s="222"/>
      <c r="G428" s="222"/>
      <c r="H428" s="222"/>
    </row>
    <row r="429" ht="15.75" customHeight="1">
      <c r="A429" s="47"/>
      <c r="B429" s="48"/>
      <c r="C429" s="221"/>
      <c r="D429" s="222"/>
      <c r="E429" s="222"/>
      <c r="F429" s="222"/>
      <c r="G429" s="222"/>
      <c r="H429" s="222"/>
    </row>
    <row r="430" ht="15.75" customHeight="1">
      <c r="A430" s="47"/>
      <c r="B430" s="48"/>
      <c r="C430" s="221"/>
      <c r="D430" s="222"/>
      <c r="E430" s="222"/>
      <c r="F430" s="222"/>
      <c r="G430" s="222"/>
      <c r="H430" s="222"/>
    </row>
    <row r="431" ht="15.75" customHeight="1">
      <c r="A431" s="47"/>
      <c r="B431" s="48"/>
      <c r="C431" s="221"/>
      <c r="D431" s="222"/>
      <c r="E431" s="222"/>
      <c r="F431" s="222"/>
      <c r="G431" s="222"/>
      <c r="H431" s="222"/>
    </row>
    <row r="432" ht="15.75" customHeight="1">
      <c r="A432" s="47"/>
      <c r="B432" s="48"/>
      <c r="C432" s="221"/>
      <c r="D432" s="222"/>
      <c r="E432" s="222"/>
      <c r="F432" s="222"/>
      <c r="G432" s="222"/>
      <c r="H432" s="222"/>
    </row>
    <row r="433" ht="15.75" customHeight="1">
      <c r="A433" s="47"/>
      <c r="B433" s="48"/>
      <c r="C433" s="221"/>
      <c r="D433" s="222"/>
      <c r="E433" s="222"/>
      <c r="F433" s="222"/>
      <c r="G433" s="222"/>
      <c r="H433" s="222"/>
    </row>
    <row r="434" ht="15.75" customHeight="1">
      <c r="A434" s="47"/>
      <c r="B434" s="48"/>
      <c r="C434" s="221"/>
      <c r="D434" s="222"/>
      <c r="E434" s="222"/>
      <c r="F434" s="222"/>
      <c r="G434" s="222"/>
      <c r="H434" s="222"/>
    </row>
    <row r="435" ht="15.75" customHeight="1">
      <c r="A435" s="47"/>
      <c r="B435" s="48"/>
      <c r="C435" s="221"/>
      <c r="D435" s="222"/>
      <c r="E435" s="222"/>
      <c r="F435" s="222"/>
      <c r="G435" s="222"/>
      <c r="H435" s="222"/>
    </row>
    <row r="436" ht="15.75" customHeight="1">
      <c r="A436" s="47"/>
      <c r="B436" s="48"/>
      <c r="C436" s="221"/>
      <c r="D436" s="222"/>
      <c r="E436" s="222"/>
      <c r="F436" s="222"/>
      <c r="G436" s="222"/>
      <c r="H436" s="222"/>
    </row>
    <row r="437" ht="15.75" customHeight="1">
      <c r="A437" s="47"/>
      <c r="B437" s="48"/>
      <c r="C437" s="221"/>
      <c r="D437" s="222"/>
      <c r="E437" s="222"/>
      <c r="F437" s="222"/>
      <c r="G437" s="222"/>
      <c r="H437" s="222"/>
    </row>
    <row r="438" ht="15.75" customHeight="1">
      <c r="A438" s="47"/>
      <c r="B438" s="48"/>
      <c r="C438" s="221"/>
      <c r="D438" s="222"/>
      <c r="E438" s="222"/>
      <c r="F438" s="222"/>
      <c r="G438" s="222"/>
      <c r="H438" s="222"/>
    </row>
    <row r="439" ht="15.75" customHeight="1">
      <c r="A439" s="47"/>
      <c r="B439" s="48"/>
      <c r="C439" s="221"/>
      <c r="D439" s="222"/>
      <c r="E439" s="222"/>
      <c r="F439" s="222"/>
      <c r="G439" s="222"/>
      <c r="H439" s="222"/>
    </row>
    <row r="440" ht="15.75" customHeight="1">
      <c r="A440" s="47"/>
      <c r="B440" s="48"/>
      <c r="C440" s="221"/>
      <c r="D440" s="222"/>
      <c r="E440" s="222"/>
      <c r="F440" s="222"/>
      <c r="G440" s="222"/>
      <c r="H440" s="222"/>
    </row>
    <row r="441" ht="15.75" customHeight="1">
      <c r="A441" s="47"/>
      <c r="B441" s="48"/>
      <c r="C441" s="221"/>
      <c r="D441" s="222"/>
      <c r="E441" s="222"/>
      <c r="F441" s="222"/>
      <c r="G441" s="222"/>
      <c r="H441" s="222"/>
    </row>
    <row r="442" ht="15.75" customHeight="1">
      <c r="A442" s="47"/>
      <c r="B442" s="48"/>
      <c r="C442" s="221"/>
      <c r="D442" s="222"/>
      <c r="E442" s="222"/>
      <c r="F442" s="222"/>
      <c r="G442" s="222"/>
      <c r="H442" s="222"/>
    </row>
    <row r="443" ht="15.75" customHeight="1">
      <c r="A443" s="47"/>
      <c r="B443" s="48"/>
      <c r="C443" s="221"/>
      <c r="D443" s="222"/>
      <c r="E443" s="222"/>
      <c r="F443" s="222"/>
      <c r="G443" s="222"/>
      <c r="H443" s="222"/>
    </row>
    <row r="444" ht="15.75" customHeight="1">
      <c r="A444" s="47"/>
      <c r="B444" s="48"/>
      <c r="C444" s="221"/>
      <c r="D444" s="222"/>
      <c r="E444" s="222"/>
      <c r="F444" s="222"/>
      <c r="G444" s="222"/>
      <c r="H444" s="222"/>
    </row>
    <row r="445" ht="15.75" customHeight="1">
      <c r="A445" s="47"/>
      <c r="B445" s="48"/>
      <c r="C445" s="221"/>
      <c r="D445" s="222"/>
      <c r="E445" s="222"/>
      <c r="F445" s="222"/>
      <c r="G445" s="222"/>
      <c r="H445" s="222"/>
    </row>
    <row r="446" ht="15.75" customHeight="1">
      <c r="A446" s="47"/>
      <c r="B446" s="48"/>
      <c r="C446" s="221"/>
      <c r="D446" s="222"/>
      <c r="E446" s="222"/>
      <c r="F446" s="222"/>
      <c r="G446" s="222"/>
      <c r="H446" s="222"/>
    </row>
    <row r="447" ht="15.75" customHeight="1">
      <c r="A447" s="47"/>
      <c r="B447" s="48"/>
      <c r="C447" s="221"/>
      <c r="D447" s="222"/>
      <c r="E447" s="222"/>
      <c r="F447" s="222"/>
      <c r="G447" s="222"/>
      <c r="H447" s="222"/>
    </row>
    <row r="448" ht="15.75" customHeight="1">
      <c r="A448" s="47"/>
      <c r="B448" s="48"/>
      <c r="C448" s="221"/>
      <c r="D448" s="222"/>
      <c r="E448" s="222"/>
      <c r="F448" s="222"/>
      <c r="G448" s="222"/>
      <c r="H448" s="222"/>
    </row>
    <row r="449" ht="15.75" customHeight="1">
      <c r="A449" s="47"/>
      <c r="B449" s="48"/>
      <c r="C449" s="221"/>
      <c r="D449" s="222"/>
      <c r="E449" s="222"/>
      <c r="F449" s="222"/>
      <c r="G449" s="222"/>
      <c r="H449" s="222"/>
    </row>
    <row r="450" ht="15.75" customHeight="1">
      <c r="A450" s="47"/>
      <c r="B450" s="48"/>
      <c r="C450" s="221"/>
      <c r="D450" s="222"/>
      <c r="E450" s="222"/>
      <c r="F450" s="222"/>
      <c r="G450" s="222"/>
      <c r="H450" s="222"/>
    </row>
    <row r="451" ht="15.75" customHeight="1">
      <c r="A451" s="47"/>
      <c r="B451" s="48"/>
      <c r="C451" s="221"/>
      <c r="D451" s="222"/>
      <c r="E451" s="222"/>
      <c r="F451" s="222"/>
      <c r="G451" s="222"/>
      <c r="H451" s="222"/>
    </row>
    <row r="452" ht="15.75" customHeight="1">
      <c r="A452" s="47"/>
      <c r="B452" s="48"/>
      <c r="C452" s="221"/>
      <c r="D452" s="222"/>
      <c r="E452" s="222"/>
      <c r="F452" s="222"/>
      <c r="G452" s="222"/>
      <c r="H452" s="222"/>
    </row>
    <row r="453" ht="15.75" customHeight="1">
      <c r="A453" s="47"/>
      <c r="B453" s="48"/>
      <c r="C453" s="221"/>
      <c r="D453" s="222"/>
      <c r="E453" s="222"/>
      <c r="F453" s="222"/>
      <c r="G453" s="222"/>
      <c r="H453" s="222"/>
    </row>
    <row r="454" ht="15.75" customHeight="1">
      <c r="A454" s="47"/>
      <c r="B454" s="48"/>
      <c r="C454" s="221"/>
      <c r="D454" s="222"/>
      <c r="E454" s="222"/>
      <c r="F454" s="222"/>
      <c r="G454" s="222"/>
      <c r="H454" s="222"/>
    </row>
    <row r="455" ht="15.75" customHeight="1">
      <c r="A455" s="47"/>
      <c r="B455" s="48"/>
      <c r="C455" s="221"/>
      <c r="D455" s="222"/>
      <c r="E455" s="222"/>
      <c r="F455" s="222"/>
      <c r="G455" s="222"/>
      <c r="H455" s="222"/>
    </row>
    <row r="456" ht="15.75" customHeight="1">
      <c r="A456" s="47"/>
      <c r="B456" s="48"/>
      <c r="C456" s="221"/>
      <c r="D456" s="222"/>
      <c r="E456" s="222"/>
      <c r="F456" s="222"/>
      <c r="G456" s="222"/>
      <c r="H456" s="222"/>
    </row>
    <row r="457" ht="15.75" customHeight="1">
      <c r="A457" s="47"/>
      <c r="B457" s="48"/>
      <c r="C457" s="221"/>
      <c r="D457" s="222"/>
      <c r="E457" s="222"/>
      <c r="F457" s="222"/>
      <c r="G457" s="222"/>
      <c r="H457" s="222"/>
    </row>
    <row r="458" ht="15.75" customHeight="1">
      <c r="A458" s="47"/>
      <c r="B458" s="48"/>
      <c r="C458" s="221"/>
      <c r="D458" s="222"/>
      <c r="E458" s="222"/>
      <c r="F458" s="222"/>
      <c r="G458" s="222"/>
      <c r="H458" s="222"/>
    </row>
    <row r="459" ht="15.75" customHeight="1">
      <c r="A459" s="47"/>
      <c r="B459" s="48"/>
      <c r="C459" s="221"/>
      <c r="D459" s="222"/>
      <c r="E459" s="222"/>
      <c r="F459" s="222"/>
      <c r="G459" s="222"/>
      <c r="H459" s="222"/>
    </row>
    <row r="460" ht="15.75" customHeight="1">
      <c r="A460" s="47"/>
      <c r="B460" s="48"/>
      <c r="C460" s="221"/>
      <c r="D460" s="222"/>
      <c r="E460" s="222"/>
      <c r="F460" s="222"/>
      <c r="G460" s="222"/>
      <c r="H460" s="222"/>
    </row>
    <row r="461" ht="15.75" customHeight="1">
      <c r="A461" s="47"/>
      <c r="B461" s="48"/>
      <c r="C461" s="221"/>
      <c r="D461" s="222"/>
      <c r="E461" s="222"/>
      <c r="F461" s="222"/>
      <c r="G461" s="222"/>
      <c r="H461" s="222"/>
    </row>
    <row r="462" ht="15.75" customHeight="1">
      <c r="A462" s="47"/>
      <c r="B462" s="48"/>
      <c r="C462" s="221"/>
      <c r="D462" s="222"/>
      <c r="E462" s="222"/>
      <c r="F462" s="222"/>
      <c r="G462" s="222"/>
      <c r="H462" s="222"/>
    </row>
    <row r="463" ht="15.75" customHeight="1">
      <c r="A463" s="47"/>
      <c r="B463" s="48"/>
      <c r="C463" s="221"/>
      <c r="D463" s="222"/>
      <c r="E463" s="222"/>
      <c r="F463" s="222"/>
      <c r="G463" s="222"/>
      <c r="H463" s="222"/>
    </row>
    <row r="464" ht="15.75" customHeight="1">
      <c r="A464" s="47"/>
      <c r="B464" s="48"/>
      <c r="C464" s="221"/>
      <c r="D464" s="222"/>
      <c r="E464" s="222"/>
      <c r="F464" s="222"/>
      <c r="G464" s="222"/>
      <c r="H464" s="222"/>
    </row>
    <row r="465" ht="15.75" customHeight="1">
      <c r="A465" s="47"/>
      <c r="B465" s="48"/>
      <c r="C465" s="221"/>
      <c r="D465" s="222"/>
      <c r="E465" s="222"/>
      <c r="F465" s="222"/>
      <c r="G465" s="222"/>
      <c r="H465" s="222"/>
    </row>
    <row r="466" ht="15.75" customHeight="1">
      <c r="A466" s="47"/>
      <c r="B466" s="48"/>
      <c r="C466" s="221"/>
      <c r="D466" s="222"/>
      <c r="E466" s="222"/>
      <c r="F466" s="222"/>
      <c r="G466" s="222"/>
      <c r="H466" s="222"/>
    </row>
    <row r="467" ht="15.75" customHeight="1">
      <c r="A467" s="47"/>
      <c r="B467" s="48"/>
      <c r="C467" s="221"/>
      <c r="D467" s="222"/>
      <c r="E467" s="222"/>
      <c r="F467" s="222"/>
      <c r="G467" s="222"/>
      <c r="H467" s="222"/>
    </row>
    <row r="468" ht="15.75" customHeight="1">
      <c r="A468" s="47"/>
      <c r="B468" s="48"/>
      <c r="C468" s="221"/>
      <c r="D468" s="222"/>
      <c r="E468" s="222"/>
      <c r="F468" s="222"/>
      <c r="G468" s="222"/>
      <c r="H468" s="222"/>
    </row>
    <row r="469" ht="15.75" customHeight="1">
      <c r="A469" s="47"/>
      <c r="B469" s="48"/>
      <c r="C469" s="221"/>
      <c r="D469" s="222"/>
      <c r="E469" s="222"/>
      <c r="F469" s="222"/>
      <c r="G469" s="222"/>
      <c r="H469" s="222"/>
    </row>
    <row r="470" ht="15.75" customHeight="1">
      <c r="A470" s="47"/>
      <c r="B470" s="48"/>
      <c r="C470" s="221"/>
      <c r="D470" s="222"/>
      <c r="E470" s="222"/>
      <c r="F470" s="222"/>
      <c r="G470" s="222"/>
      <c r="H470" s="222"/>
    </row>
    <row r="471" ht="15.75" customHeight="1">
      <c r="A471" s="47"/>
      <c r="B471" s="48"/>
      <c r="C471" s="221"/>
      <c r="D471" s="222"/>
      <c r="E471" s="222"/>
      <c r="F471" s="222"/>
      <c r="G471" s="222"/>
      <c r="H471" s="222"/>
    </row>
    <row r="472" ht="15.75" customHeight="1">
      <c r="A472" s="47"/>
      <c r="B472" s="48"/>
      <c r="C472" s="221"/>
      <c r="D472" s="222"/>
      <c r="E472" s="222"/>
      <c r="F472" s="222"/>
      <c r="G472" s="222"/>
      <c r="H472" s="222"/>
    </row>
    <row r="473" ht="15.75" customHeight="1">
      <c r="A473" s="47"/>
      <c r="B473" s="48"/>
      <c r="C473" s="221"/>
      <c r="D473" s="222"/>
      <c r="E473" s="222"/>
      <c r="F473" s="222"/>
      <c r="G473" s="222"/>
      <c r="H473" s="222"/>
    </row>
    <row r="474" ht="15.75" customHeight="1">
      <c r="A474" s="47"/>
      <c r="B474" s="48"/>
      <c r="C474" s="221"/>
      <c r="D474" s="222"/>
      <c r="E474" s="222"/>
      <c r="F474" s="222"/>
      <c r="G474" s="222"/>
      <c r="H474" s="222"/>
    </row>
    <row r="475" ht="15.75" customHeight="1">
      <c r="A475" s="47"/>
      <c r="B475" s="48"/>
      <c r="C475" s="221"/>
      <c r="D475" s="222"/>
      <c r="E475" s="222"/>
      <c r="F475" s="222"/>
      <c r="G475" s="222"/>
      <c r="H475" s="222"/>
    </row>
    <row r="476" ht="15.75" customHeight="1">
      <c r="A476" s="47"/>
      <c r="B476" s="48"/>
      <c r="C476" s="221"/>
      <c r="D476" s="222"/>
      <c r="E476" s="222"/>
      <c r="F476" s="222"/>
      <c r="G476" s="222"/>
      <c r="H476" s="222"/>
    </row>
    <row r="477" ht="15.75" customHeight="1">
      <c r="A477" s="47"/>
      <c r="B477" s="48"/>
      <c r="C477" s="221"/>
      <c r="D477" s="222"/>
      <c r="E477" s="222"/>
      <c r="F477" s="222"/>
      <c r="G477" s="222"/>
      <c r="H477" s="222"/>
    </row>
    <row r="478" ht="15.75" customHeight="1">
      <c r="A478" s="47"/>
      <c r="B478" s="48"/>
      <c r="C478" s="221"/>
      <c r="D478" s="222"/>
      <c r="E478" s="222"/>
      <c r="F478" s="222"/>
      <c r="G478" s="222"/>
      <c r="H478" s="222"/>
    </row>
    <row r="479" ht="15.75" customHeight="1">
      <c r="A479" s="47"/>
      <c r="B479" s="48"/>
      <c r="C479" s="221"/>
      <c r="D479" s="222"/>
      <c r="E479" s="222"/>
      <c r="F479" s="222"/>
      <c r="G479" s="222"/>
      <c r="H479" s="222"/>
    </row>
    <row r="480" ht="15.75" customHeight="1">
      <c r="A480" s="47"/>
      <c r="B480" s="48"/>
      <c r="C480" s="221"/>
      <c r="D480" s="222"/>
      <c r="E480" s="222"/>
      <c r="F480" s="222"/>
      <c r="G480" s="222"/>
      <c r="H480" s="222"/>
    </row>
    <row r="481" ht="15.75" customHeight="1">
      <c r="A481" s="47"/>
      <c r="B481" s="48"/>
      <c r="C481" s="221"/>
      <c r="D481" s="222"/>
      <c r="E481" s="222"/>
      <c r="F481" s="222"/>
      <c r="G481" s="222"/>
      <c r="H481" s="222"/>
    </row>
    <row r="482" ht="15.75" customHeight="1">
      <c r="A482" s="47"/>
      <c r="B482" s="48"/>
      <c r="C482" s="221"/>
      <c r="D482" s="222"/>
      <c r="E482" s="222"/>
      <c r="F482" s="222"/>
      <c r="G482" s="222"/>
      <c r="H482" s="222"/>
    </row>
    <row r="483" ht="15.75" customHeight="1">
      <c r="A483" s="47"/>
      <c r="B483" s="48"/>
      <c r="C483" s="221"/>
      <c r="D483" s="222"/>
      <c r="E483" s="222"/>
      <c r="F483" s="222"/>
      <c r="G483" s="222"/>
      <c r="H483" s="222"/>
    </row>
    <row r="484" ht="15.75" customHeight="1">
      <c r="A484" s="47"/>
      <c r="B484" s="48"/>
      <c r="C484" s="221"/>
      <c r="D484" s="222"/>
      <c r="E484" s="222"/>
      <c r="F484" s="222"/>
      <c r="G484" s="222"/>
      <c r="H484" s="222"/>
    </row>
    <row r="485" ht="15.75" customHeight="1">
      <c r="A485" s="47"/>
      <c r="B485" s="48"/>
      <c r="C485" s="221"/>
      <c r="D485" s="222"/>
      <c r="E485" s="222"/>
      <c r="F485" s="222"/>
      <c r="G485" s="222"/>
      <c r="H485" s="222"/>
    </row>
    <row r="486" ht="15.75" customHeight="1">
      <c r="A486" s="47"/>
      <c r="B486" s="48"/>
      <c r="C486" s="221"/>
      <c r="D486" s="222"/>
      <c r="E486" s="222"/>
      <c r="F486" s="222"/>
      <c r="G486" s="222"/>
      <c r="H486" s="222"/>
    </row>
    <row r="487" ht="15.75" customHeight="1">
      <c r="A487" s="47"/>
      <c r="B487" s="48"/>
      <c r="C487" s="221"/>
      <c r="D487" s="222"/>
      <c r="E487" s="222"/>
      <c r="F487" s="222"/>
      <c r="G487" s="222"/>
      <c r="H487" s="222"/>
    </row>
    <row r="488" ht="15.75" customHeight="1">
      <c r="A488" s="47"/>
      <c r="B488" s="48"/>
      <c r="C488" s="221"/>
      <c r="D488" s="222"/>
      <c r="E488" s="222"/>
      <c r="F488" s="222"/>
      <c r="G488" s="222"/>
      <c r="H488" s="222"/>
    </row>
    <row r="489" ht="15.75" customHeight="1">
      <c r="A489" s="47"/>
      <c r="B489" s="48"/>
      <c r="C489" s="221"/>
      <c r="D489" s="222"/>
      <c r="E489" s="222"/>
      <c r="F489" s="222"/>
      <c r="G489" s="222"/>
      <c r="H489" s="222"/>
    </row>
    <row r="490" ht="15.75" customHeight="1">
      <c r="A490" s="47"/>
      <c r="B490" s="48"/>
      <c r="C490" s="221"/>
      <c r="D490" s="222"/>
      <c r="E490" s="222"/>
      <c r="F490" s="222"/>
      <c r="G490" s="222"/>
      <c r="H490" s="222"/>
    </row>
    <row r="491" ht="15.75" customHeight="1">
      <c r="A491" s="47"/>
      <c r="B491" s="48"/>
      <c r="C491" s="221"/>
      <c r="D491" s="222"/>
      <c r="E491" s="222"/>
      <c r="F491" s="222"/>
      <c r="G491" s="222"/>
      <c r="H491" s="222"/>
    </row>
    <row r="492" ht="15.75" customHeight="1">
      <c r="A492" s="47"/>
      <c r="B492" s="48"/>
      <c r="C492" s="221"/>
      <c r="D492" s="222"/>
      <c r="E492" s="222"/>
      <c r="F492" s="222"/>
      <c r="G492" s="222"/>
      <c r="H492" s="222"/>
    </row>
    <row r="493" ht="15.75" customHeight="1">
      <c r="A493" s="47"/>
      <c r="B493" s="48"/>
      <c r="C493" s="221"/>
      <c r="D493" s="222"/>
      <c r="E493" s="222"/>
      <c r="F493" s="222"/>
      <c r="G493" s="222"/>
      <c r="H493" s="222"/>
    </row>
    <row r="494" ht="15.75" customHeight="1">
      <c r="A494" s="47"/>
      <c r="B494" s="48"/>
      <c r="C494" s="221"/>
      <c r="D494" s="222"/>
      <c r="E494" s="222"/>
      <c r="F494" s="222"/>
      <c r="G494" s="222"/>
      <c r="H494" s="222"/>
    </row>
    <row r="495" ht="15.75" customHeight="1">
      <c r="A495" s="47"/>
      <c r="B495" s="48"/>
      <c r="C495" s="221"/>
      <c r="D495" s="222"/>
      <c r="E495" s="222"/>
      <c r="F495" s="222"/>
      <c r="G495" s="222"/>
      <c r="H495" s="222"/>
    </row>
    <row r="496" ht="15.75" customHeight="1">
      <c r="A496" s="47"/>
      <c r="B496" s="48"/>
      <c r="C496" s="221"/>
      <c r="D496" s="222"/>
      <c r="E496" s="222"/>
      <c r="F496" s="222"/>
      <c r="G496" s="222"/>
      <c r="H496" s="222"/>
    </row>
    <row r="497" ht="15.75" customHeight="1">
      <c r="A497" s="47"/>
      <c r="B497" s="48"/>
      <c r="C497" s="221"/>
      <c r="D497" s="222"/>
      <c r="E497" s="222"/>
      <c r="F497" s="222"/>
      <c r="G497" s="222"/>
      <c r="H497" s="222"/>
    </row>
    <row r="498" ht="15.75" customHeight="1">
      <c r="A498" s="47"/>
      <c r="B498" s="48"/>
      <c r="C498" s="221"/>
      <c r="D498" s="222"/>
      <c r="E498" s="222"/>
      <c r="F498" s="222"/>
      <c r="G498" s="222"/>
      <c r="H498" s="222"/>
    </row>
    <row r="499" ht="15.75" customHeight="1">
      <c r="A499" s="47"/>
      <c r="B499" s="48"/>
      <c r="C499" s="221"/>
      <c r="D499" s="222"/>
      <c r="E499" s="222"/>
      <c r="F499" s="222"/>
      <c r="G499" s="222"/>
      <c r="H499" s="222"/>
    </row>
    <row r="500" ht="15.75" customHeight="1">
      <c r="A500" s="47"/>
      <c r="B500" s="48"/>
      <c r="C500" s="221"/>
      <c r="D500" s="222"/>
      <c r="E500" s="222"/>
      <c r="F500" s="222"/>
      <c r="G500" s="222"/>
      <c r="H500" s="222"/>
    </row>
    <row r="501" ht="15.75" customHeight="1">
      <c r="A501" s="47"/>
      <c r="B501" s="48"/>
      <c r="C501" s="221"/>
      <c r="D501" s="222"/>
      <c r="E501" s="222"/>
      <c r="F501" s="222"/>
      <c r="G501" s="222"/>
      <c r="H501" s="222"/>
    </row>
    <row r="502" ht="15.75" customHeight="1">
      <c r="A502" s="47"/>
      <c r="B502" s="48"/>
      <c r="C502" s="221"/>
      <c r="D502" s="222"/>
      <c r="E502" s="222"/>
      <c r="F502" s="222"/>
      <c r="G502" s="222"/>
      <c r="H502" s="222"/>
    </row>
    <row r="503" ht="15.75" customHeight="1">
      <c r="A503" s="47"/>
      <c r="B503" s="48"/>
      <c r="C503" s="221"/>
      <c r="D503" s="222"/>
      <c r="E503" s="222"/>
      <c r="F503" s="222"/>
      <c r="G503" s="222"/>
      <c r="H503" s="222"/>
    </row>
    <row r="504" ht="15.75" customHeight="1">
      <c r="A504" s="47"/>
      <c r="B504" s="48"/>
      <c r="C504" s="221"/>
      <c r="D504" s="222"/>
      <c r="E504" s="222"/>
      <c r="F504" s="222"/>
      <c r="G504" s="222"/>
      <c r="H504" s="222"/>
    </row>
    <row r="505" ht="15.75" customHeight="1">
      <c r="A505" s="47"/>
      <c r="B505" s="48"/>
      <c r="C505" s="221"/>
      <c r="D505" s="222"/>
      <c r="E505" s="222"/>
      <c r="F505" s="222"/>
      <c r="G505" s="222"/>
      <c r="H505" s="222"/>
    </row>
    <row r="506" ht="15.75" customHeight="1">
      <c r="A506" s="47"/>
      <c r="B506" s="48"/>
      <c r="C506" s="221"/>
      <c r="D506" s="222"/>
      <c r="E506" s="222"/>
      <c r="F506" s="222"/>
      <c r="G506" s="222"/>
      <c r="H506" s="222"/>
    </row>
    <row r="507" ht="15.75" customHeight="1">
      <c r="A507" s="47"/>
      <c r="B507" s="48"/>
      <c r="C507" s="221"/>
      <c r="D507" s="222"/>
      <c r="E507" s="222"/>
      <c r="F507" s="222"/>
      <c r="G507" s="222"/>
      <c r="H507" s="222"/>
    </row>
    <row r="508" ht="15.75" customHeight="1">
      <c r="A508" s="47"/>
      <c r="B508" s="48"/>
      <c r="C508" s="221"/>
      <c r="D508" s="222"/>
      <c r="E508" s="222"/>
      <c r="F508" s="222"/>
      <c r="G508" s="222"/>
      <c r="H508" s="222"/>
    </row>
    <row r="509" ht="15.75" customHeight="1">
      <c r="A509" s="47"/>
      <c r="B509" s="48"/>
      <c r="C509" s="221"/>
      <c r="D509" s="222"/>
      <c r="E509" s="222"/>
      <c r="F509" s="222"/>
      <c r="G509" s="222"/>
      <c r="H509" s="222"/>
    </row>
    <row r="510" ht="15.75" customHeight="1">
      <c r="A510" s="47"/>
      <c r="B510" s="48"/>
      <c r="C510" s="221"/>
      <c r="D510" s="222"/>
      <c r="E510" s="222"/>
      <c r="F510" s="222"/>
      <c r="G510" s="222"/>
      <c r="H510" s="222"/>
    </row>
    <row r="511" ht="15.75" customHeight="1">
      <c r="A511" s="47"/>
      <c r="B511" s="48"/>
      <c r="C511" s="221"/>
      <c r="D511" s="222"/>
      <c r="E511" s="222"/>
      <c r="F511" s="222"/>
      <c r="G511" s="222"/>
      <c r="H511" s="222"/>
    </row>
    <row r="512" ht="15.75" customHeight="1">
      <c r="A512" s="47"/>
      <c r="B512" s="48"/>
      <c r="C512" s="221"/>
      <c r="D512" s="222"/>
      <c r="E512" s="222"/>
      <c r="F512" s="222"/>
      <c r="G512" s="222"/>
      <c r="H512" s="222"/>
    </row>
    <row r="513" ht="15.75" customHeight="1">
      <c r="A513" s="47"/>
      <c r="B513" s="48"/>
      <c r="C513" s="221"/>
      <c r="D513" s="222"/>
      <c r="E513" s="222"/>
      <c r="F513" s="222"/>
      <c r="G513" s="222"/>
      <c r="H513" s="222"/>
    </row>
    <row r="514" ht="15.75" customHeight="1">
      <c r="A514" s="47"/>
      <c r="B514" s="48"/>
      <c r="C514" s="221"/>
      <c r="D514" s="222"/>
      <c r="E514" s="222"/>
      <c r="F514" s="222"/>
      <c r="G514" s="222"/>
      <c r="H514" s="222"/>
    </row>
    <row r="515" ht="15.75" customHeight="1">
      <c r="A515" s="47"/>
      <c r="B515" s="48"/>
      <c r="C515" s="221"/>
      <c r="D515" s="222"/>
      <c r="E515" s="222"/>
      <c r="F515" s="222"/>
      <c r="G515" s="222"/>
      <c r="H515" s="222"/>
    </row>
    <row r="516" ht="15.75" customHeight="1">
      <c r="A516" s="47"/>
      <c r="B516" s="48"/>
      <c r="C516" s="221"/>
      <c r="D516" s="222"/>
      <c r="E516" s="222"/>
      <c r="F516" s="222"/>
      <c r="G516" s="222"/>
      <c r="H516" s="222"/>
    </row>
    <row r="517" ht="15.75" customHeight="1">
      <c r="A517" s="47"/>
      <c r="B517" s="48"/>
      <c r="C517" s="221"/>
      <c r="D517" s="222"/>
      <c r="E517" s="222"/>
      <c r="F517" s="222"/>
      <c r="G517" s="222"/>
      <c r="H517" s="222"/>
    </row>
    <row r="518" ht="15.75" customHeight="1">
      <c r="A518" s="47"/>
      <c r="B518" s="48"/>
      <c r="C518" s="221"/>
      <c r="D518" s="222"/>
      <c r="E518" s="222"/>
      <c r="F518" s="222"/>
      <c r="G518" s="222"/>
      <c r="H518" s="222"/>
    </row>
    <row r="519" ht="15.75" customHeight="1">
      <c r="A519" s="47"/>
      <c r="B519" s="48"/>
      <c r="C519" s="221"/>
      <c r="D519" s="222"/>
      <c r="E519" s="222"/>
      <c r="F519" s="222"/>
      <c r="G519" s="222"/>
      <c r="H519" s="222"/>
    </row>
    <row r="520" ht="15.75" customHeight="1">
      <c r="A520" s="47"/>
      <c r="B520" s="48"/>
      <c r="C520" s="221"/>
      <c r="D520" s="222"/>
      <c r="E520" s="222"/>
      <c r="F520" s="222"/>
      <c r="G520" s="222"/>
      <c r="H520" s="222"/>
    </row>
    <row r="521" ht="15.75" customHeight="1">
      <c r="A521" s="47"/>
      <c r="B521" s="48"/>
      <c r="C521" s="221"/>
      <c r="D521" s="222"/>
      <c r="E521" s="222"/>
      <c r="F521" s="222"/>
      <c r="G521" s="222"/>
      <c r="H521" s="222"/>
    </row>
    <row r="522" ht="15.75" customHeight="1">
      <c r="A522" s="47"/>
      <c r="B522" s="48"/>
      <c r="C522" s="221"/>
      <c r="D522" s="222"/>
      <c r="E522" s="222"/>
      <c r="F522" s="222"/>
      <c r="G522" s="222"/>
      <c r="H522" s="222"/>
    </row>
    <row r="523" ht="15.75" customHeight="1">
      <c r="A523" s="47"/>
      <c r="B523" s="48"/>
      <c r="C523" s="221"/>
      <c r="D523" s="222"/>
      <c r="E523" s="222"/>
      <c r="F523" s="222"/>
      <c r="G523" s="222"/>
      <c r="H523" s="222"/>
    </row>
    <row r="524" ht="15.75" customHeight="1">
      <c r="A524" s="47"/>
      <c r="B524" s="48"/>
      <c r="C524" s="221"/>
      <c r="D524" s="222"/>
      <c r="E524" s="222"/>
      <c r="F524" s="222"/>
      <c r="G524" s="222"/>
      <c r="H524" s="222"/>
    </row>
    <row r="525" ht="15.75" customHeight="1">
      <c r="A525" s="47"/>
      <c r="B525" s="48"/>
      <c r="C525" s="221"/>
      <c r="D525" s="222"/>
      <c r="E525" s="222"/>
      <c r="F525" s="222"/>
      <c r="G525" s="222"/>
      <c r="H525" s="222"/>
    </row>
    <row r="526" ht="15.75" customHeight="1">
      <c r="A526" s="47"/>
      <c r="B526" s="48"/>
      <c r="C526" s="221"/>
      <c r="D526" s="222"/>
      <c r="E526" s="222"/>
      <c r="F526" s="222"/>
      <c r="G526" s="222"/>
      <c r="H526" s="222"/>
    </row>
    <row r="527" ht="15.75" customHeight="1">
      <c r="A527" s="47"/>
      <c r="B527" s="48"/>
      <c r="C527" s="221"/>
      <c r="D527" s="222"/>
      <c r="E527" s="222"/>
      <c r="F527" s="222"/>
      <c r="G527" s="222"/>
      <c r="H527" s="222"/>
    </row>
    <row r="528" ht="15.75" customHeight="1">
      <c r="A528" s="47"/>
      <c r="B528" s="48"/>
      <c r="C528" s="221"/>
      <c r="D528" s="222"/>
      <c r="E528" s="222"/>
      <c r="F528" s="222"/>
      <c r="G528" s="222"/>
      <c r="H528" s="222"/>
    </row>
    <row r="529" ht="15.75" customHeight="1">
      <c r="A529" s="47"/>
      <c r="B529" s="48"/>
      <c r="C529" s="221"/>
      <c r="D529" s="222"/>
      <c r="E529" s="222"/>
      <c r="F529" s="222"/>
      <c r="G529" s="222"/>
      <c r="H529" s="222"/>
    </row>
    <row r="530" ht="15.75" customHeight="1">
      <c r="A530" s="47"/>
      <c r="B530" s="48"/>
      <c r="C530" s="221"/>
      <c r="D530" s="222"/>
      <c r="E530" s="222"/>
      <c r="F530" s="222"/>
      <c r="G530" s="222"/>
      <c r="H530" s="222"/>
    </row>
    <row r="531" ht="15.75" customHeight="1">
      <c r="A531" s="47"/>
      <c r="B531" s="48"/>
      <c r="C531" s="221"/>
      <c r="D531" s="222"/>
      <c r="E531" s="222"/>
      <c r="F531" s="222"/>
      <c r="G531" s="222"/>
      <c r="H531" s="222"/>
    </row>
    <row r="532" ht="15.75" customHeight="1">
      <c r="A532" s="47"/>
      <c r="B532" s="48"/>
      <c r="C532" s="221"/>
      <c r="D532" s="222"/>
      <c r="E532" s="222"/>
      <c r="F532" s="222"/>
      <c r="G532" s="222"/>
      <c r="H532" s="222"/>
    </row>
    <row r="533" ht="15.75" customHeight="1">
      <c r="A533" s="47"/>
      <c r="B533" s="48"/>
      <c r="C533" s="221"/>
      <c r="D533" s="222"/>
      <c r="E533" s="222"/>
      <c r="F533" s="222"/>
      <c r="G533" s="222"/>
      <c r="H533" s="222"/>
    </row>
    <row r="534" ht="15.75" customHeight="1">
      <c r="A534" s="47"/>
      <c r="B534" s="48"/>
      <c r="C534" s="221"/>
      <c r="D534" s="222"/>
      <c r="E534" s="222"/>
      <c r="F534" s="222"/>
      <c r="G534" s="222"/>
      <c r="H534" s="222"/>
    </row>
    <row r="535" ht="15.75" customHeight="1">
      <c r="A535" s="47"/>
      <c r="B535" s="48"/>
      <c r="C535" s="221"/>
      <c r="D535" s="222"/>
      <c r="E535" s="222"/>
      <c r="F535" s="222"/>
      <c r="G535" s="222"/>
      <c r="H535" s="222"/>
    </row>
    <row r="536" ht="15.75" customHeight="1">
      <c r="A536" s="47"/>
      <c r="B536" s="48"/>
      <c r="C536" s="221"/>
      <c r="D536" s="222"/>
      <c r="E536" s="222"/>
      <c r="F536" s="222"/>
      <c r="G536" s="222"/>
      <c r="H536" s="222"/>
    </row>
    <row r="537" ht="15.75" customHeight="1">
      <c r="A537" s="47"/>
      <c r="B537" s="48"/>
      <c r="C537" s="221"/>
      <c r="D537" s="222"/>
      <c r="E537" s="222"/>
      <c r="F537" s="222"/>
      <c r="G537" s="222"/>
      <c r="H537" s="222"/>
    </row>
    <row r="538" ht="15.75" customHeight="1">
      <c r="A538" s="47"/>
      <c r="B538" s="48"/>
      <c r="C538" s="221"/>
      <c r="D538" s="222"/>
      <c r="E538" s="222"/>
      <c r="F538" s="222"/>
      <c r="G538" s="222"/>
      <c r="H538" s="222"/>
    </row>
    <row r="539" ht="15.75" customHeight="1">
      <c r="A539" s="47"/>
      <c r="B539" s="48"/>
      <c r="C539" s="221"/>
      <c r="D539" s="222"/>
      <c r="E539" s="222"/>
      <c r="F539" s="222"/>
      <c r="G539" s="222"/>
      <c r="H539" s="222"/>
    </row>
    <row r="540" ht="15.75" customHeight="1">
      <c r="A540" s="47"/>
      <c r="B540" s="48"/>
      <c r="C540" s="221"/>
      <c r="D540" s="222"/>
      <c r="E540" s="222"/>
      <c r="F540" s="222"/>
      <c r="G540" s="222"/>
      <c r="H540" s="222"/>
    </row>
    <row r="541" ht="15.75" customHeight="1">
      <c r="A541" s="47"/>
      <c r="B541" s="48"/>
      <c r="C541" s="221"/>
      <c r="D541" s="222"/>
      <c r="E541" s="222"/>
      <c r="F541" s="222"/>
      <c r="G541" s="222"/>
      <c r="H541" s="222"/>
    </row>
    <row r="542" ht="15.75" customHeight="1">
      <c r="A542" s="47"/>
      <c r="B542" s="48"/>
      <c r="C542" s="221"/>
      <c r="D542" s="222"/>
      <c r="E542" s="222"/>
      <c r="F542" s="222"/>
      <c r="G542" s="222"/>
      <c r="H542" s="222"/>
    </row>
    <row r="543" ht="15.75" customHeight="1">
      <c r="A543" s="47"/>
      <c r="B543" s="48"/>
      <c r="C543" s="221"/>
      <c r="D543" s="222"/>
      <c r="E543" s="222"/>
      <c r="F543" s="222"/>
      <c r="G543" s="222"/>
      <c r="H543" s="222"/>
    </row>
    <row r="544" ht="15.75" customHeight="1">
      <c r="A544" s="47"/>
      <c r="B544" s="48"/>
      <c r="C544" s="221"/>
      <c r="D544" s="222"/>
      <c r="E544" s="222"/>
      <c r="F544" s="222"/>
      <c r="G544" s="222"/>
      <c r="H544" s="222"/>
    </row>
    <row r="545" ht="15.75" customHeight="1">
      <c r="A545" s="47"/>
      <c r="B545" s="48"/>
      <c r="C545" s="221"/>
      <c r="D545" s="222"/>
      <c r="E545" s="222"/>
      <c r="F545" s="222"/>
      <c r="G545" s="222"/>
      <c r="H545" s="222"/>
    </row>
    <row r="546" ht="15.75" customHeight="1">
      <c r="A546" s="47"/>
      <c r="B546" s="48"/>
      <c r="C546" s="221"/>
      <c r="D546" s="222"/>
      <c r="E546" s="222"/>
      <c r="F546" s="222"/>
      <c r="G546" s="222"/>
      <c r="H546" s="222"/>
    </row>
    <row r="547" ht="15.75" customHeight="1">
      <c r="A547" s="47"/>
      <c r="B547" s="48"/>
      <c r="C547" s="221"/>
      <c r="D547" s="222"/>
      <c r="E547" s="222"/>
      <c r="F547" s="222"/>
      <c r="G547" s="222"/>
      <c r="H547" s="222"/>
    </row>
    <row r="548" ht="15.75" customHeight="1">
      <c r="A548" s="47"/>
      <c r="B548" s="48"/>
      <c r="C548" s="221"/>
      <c r="D548" s="222"/>
      <c r="E548" s="222"/>
      <c r="F548" s="222"/>
      <c r="G548" s="222"/>
      <c r="H548" s="222"/>
    </row>
    <row r="549" ht="15.75" customHeight="1">
      <c r="A549" s="47"/>
      <c r="B549" s="48"/>
      <c r="C549" s="221"/>
      <c r="D549" s="222"/>
      <c r="E549" s="222"/>
      <c r="F549" s="222"/>
      <c r="G549" s="222"/>
      <c r="H549" s="222"/>
    </row>
    <row r="550" ht="15.75" customHeight="1">
      <c r="A550" s="47"/>
      <c r="B550" s="48"/>
      <c r="C550" s="221"/>
      <c r="D550" s="222"/>
      <c r="E550" s="222"/>
      <c r="F550" s="222"/>
      <c r="G550" s="222"/>
      <c r="H550" s="222"/>
    </row>
    <row r="551" ht="15.75" customHeight="1">
      <c r="A551" s="47"/>
      <c r="B551" s="48"/>
      <c r="C551" s="221"/>
      <c r="D551" s="222"/>
      <c r="E551" s="222"/>
      <c r="F551" s="222"/>
      <c r="G551" s="222"/>
      <c r="H551" s="222"/>
    </row>
    <row r="552" ht="15.75" customHeight="1">
      <c r="A552" s="47"/>
      <c r="B552" s="48"/>
      <c r="C552" s="221"/>
      <c r="D552" s="222"/>
      <c r="E552" s="222"/>
      <c r="F552" s="222"/>
      <c r="G552" s="222"/>
      <c r="H552" s="222"/>
    </row>
    <row r="553" ht="15.75" customHeight="1">
      <c r="A553" s="47"/>
      <c r="B553" s="48"/>
      <c r="C553" s="221"/>
      <c r="D553" s="222"/>
      <c r="E553" s="222"/>
      <c r="F553" s="222"/>
      <c r="G553" s="222"/>
      <c r="H553" s="222"/>
    </row>
    <row r="554" ht="15.75" customHeight="1">
      <c r="A554" s="47"/>
      <c r="B554" s="48"/>
      <c r="C554" s="221"/>
      <c r="D554" s="222"/>
      <c r="E554" s="222"/>
      <c r="F554" s="222"/>
      <c r="G554" s="222"/>
      <c r="H554" s="222"/>
    </row>
    <row r="555" ht="15.75" customHeight="1">
      <c r="A555" s="47"/>
      <c r="B555" s="48"/>
      <c r="C555" s="221"/>
      <c r="D555" s="222"/>
      <c r="E555" s="222"/>
      <c r="F555" s="222"/>
      <c r="G555" s="222"/>
      <c r="H555" s="222"/>
    </row>
    <row r="556" ht="15.75" customHeight="1">
      <c r="A556" s="47"/>
      <c r="B556" s="48"/>
      <c r="C556" s="221"/>
      <c r="D556" s="222"/>
      <c r="E556" s="222"/>
      <c r="F556" s="222"/>
      <c r="G556" s="222"/>
      <c r="H556" s="222"/>
    </row>
    <row r="557" ht="15.75" customHeight="1">
      <c r="A557" s="47"/>
      <c r="B557" s="48"/>
      <c r="C557" s="221"/>
      <c r="D557" s="222"/>
      <c r="E557" s="222"/>
      <c r="F557" s="222"/>
      <c r="G557" s="222"/>
      <c r="H557" s="222"/>
    </row>
    <row r="558" ht="15.75" customHeight="1">
      <c r="A558" s="47"/>
      <c r="B558" s="48"/>
      <c r="C558" s="221"/>
      <c r="D558" s="222"/>
      <c r="E558" s="222"/>
      <c r="F558" s="222"/>
      <c r="G558" s="222"/>
      <c r="H558" s="222"/>
    </row>
    <row r="559" ht="15.75" customHeight="1">
      <c r="A559" s="47"/>
      <c r="B559" s="48"/>
      <c r="C559" s="221"/>
      <c r="D559" s="222"/>
      <c r="E559" s="222"/>
      <c r="F559" s="222"/>
      <c r="G559" s="222"/>
      <c r="H559" s="222"/>
    </row>
    <row r="560" ht="15.75" customHeight="1">
      <c r="A560" s="47"/>
      <c r="B560" s="48"/>
      <c r="C560" s="221"/>
      <c r="D560" s="222"/>
      <c r="E560" s="222"/>
      <c r="F560" s="222"/>
      <c r="G560" s="222"/>
      <c r="H560" s="222"/>
    </row>
    <row r="561" ht="15.75" customHeight="1">
      <c r="A561" s="47"/>
      <c r="B561" s="48"/>
      <c r="C561" s="221"/>
      <c r="D561" s="222"/>
      <c r="E561" s="222"/>
      <c r="F561" s="222"/>
      <c r="G561" s="222"/>
      <c r="H561" s="222"/>
    </row>
    <row r="562" ht="15.75" customHeight="1">
      <c r="A562" s="47"/>
      <c r="B562" s="48"/>
      <c r="C562" s="221"/>
      <c r="D562" s="222"/>
      <c r="E562" s="222"/>
      <c r="F562" s="222"/>
      <c r="G562" s="222"/>
      <c r="H562" s="222"/>
    </row>
    <row r="563" ht="15.75" customHeight="1">
      <c r="A563" s="47"/>
      <c r="B563" s="48"/>
      <c r="C563" s="221"/>
      <c r="D563" s="222"/>
      <c r="E563" s="222"/>
      <c r="F563" s="222"/>
      <c r="G563" s="222"/>
      <c r="H563" s="222"/>
    </row>
    <row r="564" ht="15.75" customHeight="1">
      <c r="A564" s="47"/>
      <c r="B564" s="48"/>
      <c r="C564" s="221"/>
      <c r="D564" s="222"/>
      <c r="E564" s="222"/>
      <c r="F564" s="222"/>
      <c r="G564" s="222"/>
      <c r="H564" s="222"/>
    </row>
    <row r="565" ht="15.75" customHeight="1">
      <c r="A565" s="47"/>
      <c r="B565" s="48"/>
      <c r="C565" s="221"/>
      <c r="D565" s="222"/>
      <c r="E565" s="222"/>
      <c r="F565" s="222"/>
      <c r="G565" s="222"/>
      <c r="H565" s="222"/>
    </row>
    <row r="566" ht="15.75" customHeight="1">
      <c r="A566" s="47"/>
      <c r="B566" s="48"/>
      <c r="C566" s="221"/>
      <c r="D566" s="222"/>
      <c r="E566" s="222"/>
      <c r="F566" s="222"/>
      <c r="G566" s="222"/>
      <c r="H566" s="222"/>
    </row>
    <row r="567" ht="15.75" customHeight="1">
      <c r="A567" s="47"/>
      <c r="B567" s="48"/>
      <c r="C567" s="221"/>
      <c r="D567" s="222"/>
      <c r="E567" s="222"/>
      <c r="F567" s="222"/>
      <c r="G567" s="222"/>
      <c r="H567" s="222"/>
    </row>
    <row r="568" ht="15.75" customHeight="1">
      <c r="A568" s="47"/>
      <c r="B568" s="48"/>
      <c r="C568" s="221"/>
      <c r="D568" s="222"/>
      <c r="E568" s="222"/>
      <c r="F568" s="222"/>
      <c r="G568" s="222"/>
      <c r="H568" s="222"/>
    </row>
    <row r="569" ht="15.75" customHeight="1">
      <c r="A569" s="47"/>
      <c r="B569" s="48"/>
      <c r="C569" s="221"/>
      <c r="D569" s="222"/>
      <c r="E569" s="222"/>
      <c r="F569" s="222"/>
      <c r="G569" s="222"/>
      <c r="H569" s="222"/>
    </row>
    <row r="570" ht="15.75" customHeight="1">
      <c r="A570" s="47"/>
      <c r="B570" s="48"/>
      <c r="C570" s="221"/>
      <c r="D570" s="222"/>
      <c r="E570" s="222"/>
      <c r="F570" s="222"/>
      <c r="G570" s="222"/>
      <c r="H570" s="222"/>
    </row>
    <row r="571" ht="15.75" customHeight="1">
      <c r="A571" s="47"/>
      <c r="B571" s="48"/>
      <c r="C571" s="221"/>
      <c r="D571" s="222"/>
      <c r="E571" s="222"/>
      <c r="F571" s="222"/>
      <c r="G571" s="222"/>
      <c r="H571" s="222"/>
    </row>
    <row r="572" ht="15.75" customHeight="1">
      <c r="A572" s="47"/>
      <c r="B572" s="48"/>
      <c r="C572" s="221"/>
      <c r="D572" s="222"/>
      <c r="E572" s="222"/>
      <c r="F572" s="222"/>
      <c r="G572" s="222"/>
      <c r="H572" s="222"/>
    </row>
    <row r="573" ht="15.75" customHeight="1">
      <c r="A573" s="47"/>
      <c r="B573" s="48"/>
      <c r="C573" s="221"/>
      <c r="D573" s="222"/>
      <c r="E573" s="222"/>
      <c r="F573" s="222"/>
      <c r="G573" s="222"/>
      <c r="H573" s="222"/>
    </row>
    <row r="574" ht="15.75" customHeight="1">
      <c r="A574" s="47"/>
      <c r="B574" s="48"/>
      <c r="C574" s="221"/>
      <c r="D574" s="222"/>
      <c r="E574" s="222"/>
      <c r="F574" s="222"/>
      <c r="G574" s="222"/>
      <c r="H574" s="222"/>
    </row>
    <row r="575" ht="15.75" customHeight="1">
      <c r="A575" s="47"/>
      <c r="B575" s="48"/>
      <c r="C575" s="221"/>
      <c r="D575" s="222"/>
      <c r="E575" s="222"/>
      <c r="F575" s="222"/>
      <c r="G575" s="222"/>
      <c r="H575" s="222"/>
    </row>
    <row r="576" ht="15.75" customHeight="1">
      <c r="A576" s="47"/>
      <c r="B576" s="48"/>
      <c r="C576" s="221"/>
      <c r="D576" s="222"/>
      <c r="E576" s="222"/>
      <c r="F576" s="222"/>
      <c r="G576" s="222"/>
      <c r="H576" s="222"/>
    </row>
    <row r="577" ht="15.75" customHeight="1">
      <c r="A577" s="47"/>
      <c r="B577" s="48"/>
      <c r="C577" s="221"/>
      <c r="D577" s="222"/>
      <c r="E577" s="222"/>
      <c r="F577" s="222"/>
      <c r="G577" s="222"/>
      <c r="H577" s="222"/>
    </row>
    <row r="578" ht="15.75" customHeight="1">
      <c r="A578" s="47"/>
      <c r="B578" s="48"/>
      <c r="C578" s="221"/>
      <c r="D578" s="222"/>
      <c r="E578" s="222"/>
      <c r="F578" s="222"/>
      <c r="G578" s="222"/>
      <c r="H578" s="222"/>
    </row>
    <row r="579" ht="15.75" customHeight="1">
      <c r="A579" s="47"/>
      <c r="B579" s="48"/>
      <c r="C579" s="221"/>
      <c r="D579" s="222"/>
      <c r="E579" s="222"/>
      <c r="F579" s="222"/>
      <c r="G579" s="222"/>
      <c r="H579" s="222"/>
    </row>
    <row r="580" ht="15.75" customHeight="1">
      <c r="A580" s="47"/>
      <c r="B580" s="48"/>
      <c r="C580" s="221"/>
      <c r="D580" s="222"/>
      <c r="E580" s="222"/>
      <c r="F580" s="222"/>
      <c r="G580" s="222"/>
      <c r="H580" s="222"/>
    </row>
    <row r="581" ht="15.75" customHeight="1">
      <c r="A581" s="47"/>
      <c r="B581" s="48"/>
      <c r="C581" s="221"/>
      <c r="D581" s="222"/>
      <c r="E581" s="222"/>
      <c r="F581" s="222"/>
      <c r="G581" s="222"/>
      <c r="H581" s="222"/>
    </row>
    <row r="582" ht="15.75" customHeight="1">
      <c r="A582" s="47"/>
      <c r="B582" s="48"/>
      <c r="C582" s="221"/>
      <c r="D582" s="222"/>
      <c r="E582" s="222"/>
      <c r="F582" s="222"/>
      <c r="G582" s="222"/>
      <c r="H582" s="222"/>
    </row>
    <row r="583" ht="15.75" customHeight="1">
      <c r="A583" s="47"/>
      <c r="B583" s="48"/>
      <c r="C583" s="221"/>
      <c r="D583" s="222"/>
      <c r="E583" s="222"/>
      <c r="F583" s="222"/>
      <c r="G583" s="222"/>
      <c r="H583" s="222"/>
    </row>
    <row r="584" ht="15.75" customHeight="1">
      <c r="A584" s="47"/>
      <c r="B584" s="48"/>
      <c r="C584" s="221"/>
      <c r="D584" s="222"/>
      <c r="E584" s="222"/>
      <c r="F584" s="222"/>
      <c r="G584" s="222"/>
      <c r="H584" s="222"/>
    </row>
    <row r="585" ht="15.75" customHeight="1">
      <c r="A585" s="47"/>
      <c r="B585" s="48"/>
      <c r="C585" s="221"/>
      <c r="D585" s="222"/>
      <c r="E585" s="222"/>
      <c r="F585" s="222"/>
      <c r="G585" s="222"/>
      <c r="H585" s="222"/>
    </row>
    <row r="586" ht="15.75" customHeight="1">
      <c r="A586" s="47"/>
      <c r="B586" s="48"/>
      <c r="C586" s="221"/>
      <c r="D586" s="222"/>
      <c r="E586" s="222"/>
      <c r="F586" s="222"/>
      <c r="G586" s="222"/>
      <c r="H586" s="222"/>
    </row>
    <row r="587" ht="15.75" customHeight="1">
      <c r="A587" s="47"/>
      <c r="B587" s="48"/>
      <c r="C587" s="221"/>
      <c r="D587" s="222"/>
      <c r="E587" s="222"/>
      <c r="F587" s="222"/>
      <c r="G587" s="222"/>
      <c r="H587" s="222"/>
    </row>
    <row r="588" ht="15.75" customHeight="1">
      <c r="A588" s="47"/>
      <c r="B588" s="48"/>
      <c r="C588" s="221"/>
      <c r="D588" s="222"/>
      <c r="E588" s="222"/>
      <c r="F588" s="222"/>
      <c r="G588" s="222"/>
      <c r="H588" s="222"/>
    </row>
    <row r="589" ht="15.75" customHeight="1">
      <c r="A589" s="47"/>
      <c r="B589" s="48"/>
      <c r="C589" s="221"/>
      <c r="D589" s="222"/>
      <c r="E589" s="222"/>
      <c r="F589" s="222"/>
      <c r="G589" s="222"/>
      <c r="H589" s="222"/>
    </row>
    <row r="590" ht="15.75" customHeight="1">
      <c r="A590" s="47"/>
      <c r="B590" s="48"/>
      <c r="C590" s="221"/>
      <c r="D590" s="222"/>
      <c r="E590" s="222"/>
      <c r="F590" s="222"/>
      <c r="G590" s="222"/>
      <c r="H590" s="222"/>
    </row>
    <row r="591" ht="15.75" customHeight="1">
      <c r="A591" s="47"/>
      <c r="B591" s="48"/>
      <c r="C591" s="221"/>
      <c r="D591" s="222"/>
      <c r="E591" s="222"/>
      <c r="F591" s="222"/>
      <c r="G591" s="222"/>
      <c r="H591" s="222"/>
    </row>
    <row r="592" ht="15.75" customHeight="1">
      <c r="A592" s="47"/>
      <c r="B592" s="48"/>
      <c r="C592" s="221"/>
      <c r="D592" s="222"/>
      <c r="E592" s="222"/>
      <c r="F592" s="222"/>
      <c r="G592" s="222"/>
      <c r="H592" s="222"/>
    </row>
    <row r="593" ht="15.75" customHeight="1">
      <c r="A593" s="47"/>
      <c r="B593" s="48"/>
      <c r="C593" s="221"/>
      <c r="D593" s="222"/>
      <c r="E593" s="222"/>
      <c r="F593" s="222"/>
      <c r="G593" s="222"/>
      <c r="H593" s="222"/>
    </row>
    <row r="594" ht="15.75" customHeight="1">
      <c r="A594" s="47"/>
      <c r="B594" s="48"/>
      <c r="C594" s="221"/>
      <c r="D594" s="222"/>
      <c r="E594" s="222"/>
      <c r="F594" s="222"/>
      <c r="G594" s="222"/>
      <c r="H594" s="222"/>
    </row>
    <row r="595" ht="15.75" customHeight="1">
      <c r="A595" s="47"/>
      <c r="B595" s="48"/>
      <c r="C595" s="221"/>
      <c r="D595" s="222"/>
      <c r="E595" s="222"/>
      <c r="F595" s="222"/>
      <c r="G595" s="222"/>
      <c r="H595" s="222"/>
    </row>
    <row r="596" ht="15.75" customHeight="1">
      <c r="A596" s="47"/>
      <c r="B596" s="48"/>
      <c r="C596" s="221"/>
      <c r="D596" s="222"/>
      <c r="E596" s="222"/>
      <c r="F596" s="222"/>
      <c r="G596" s="222"/>
      <c r="H596" s="222"/>
    </row>
    <row r="597" ht="15.75" customHeight="1">
      <c r="A597" s="47"/>
      <c r="B597" s="48"/>
      <c r="C597" s="221"/>
      <c r="D597" s="222"/>
      <c r="E597" s="222"/>
      <c r="F597" s="222"/>
      <c r="G597" s="222"/>
      <c r="H597" s="222"/>
    </row>
    <row r="598" ht="15.75" customHeight="1">
      <c r="A598" s="47"/>
      <c r="B598" s="48"/>
      <c r="C598" s="221"/>
      <c r="D598" s="222"/>
      <c r="E598" s="222"/>
      <c r="F598" s="222"/>
      <c r="G598" s="222"/>
      <c r="H598" s="222"/>
    </row>
    <row r="599" ht="15.75" customHeight="1">
      <c r="A599" s="47"/>
      <c r="B599" s="48"/>
      <c r="C599" s="221"/>
      <c r="D599" s="222"/>
      <c r="E599" s="222"/>
      <c r="F599" s="222"/>
      <c r="G599" s="222"/>
      <c r="H599" s="222"/>
    </row>
    <row r="600" ht="15.75" customHeight="1">
      <c r="A600" s="47"/>
      <c r="B600" s="48"/>
      <c r="C600" s="221"/>
      <c r="D600" s="222"/>
      <c r="E600" s="222"/>
      <c r="F600" s="222"/>
      <c r="G600" s="222"/>
      <c r="H600" s="222"/>
    </row>
    <row r="601" ht="15.75" customHeight="1">
      <c r="A601" s="47"/>
      <c r="B601" s="48"/>
      <c r="C601" s="221"/>
      <c r="D601" s="222"/>
      <c r="E601" s="222"/>
      <c r="F601" s="222"/>
      <c r="G601" s="222"/>
      <c r="H601" s="222"/>
    </row>
    <row r="602" ht="15.75" customHeight="1">
      <c r="A602" s="47"/>
      <c r="B602" s="48"/>
      <c r="C602" s="221"/>
      <c r="D602" s="222"/>
      <c r="E602" s="222"/>
      <c r="F602" s="222"/>
      <c r="G602" s="222"/>
      <c r="H602" s="222"/>
    </row>
    <row r="603" ht="15.75" customHeight="1">
      <c r="A603" s="47"/>
      <c r="B603" s="48"/>
      <c r="C603" s="221"/>
      <c r="D603" s="222"/>
      <c r="E603" s="222"/>
      <c r="F603" s="222"/>
      <c r="G603" s="222"/>
      <c r="H603" s="222"/>
    </row>
    <row r="604" ht="15.75" customHeight="1">
      <c r="A604" s="47"/>
      <c r="B604" s="48"/>
      <c r="C604" s="221"/>
      <c r="D604" s="222"/>
      <c r="E604" s="222"/>
      <c r="F604" s="222"/>
      <c r="G604" s="222"/>
      <c r="H604" s="222"/>
    </row>
    <row r="605" ht="15.75" customHeight="1">
      <c r="A605" s="47"/>
      <c r="B605" s="48"/>
      <c r="C605" s="221"/>
      <c r="D605" s="222"/>
      <c r="E605" s="222"/>
      <c r="F605" s="222"/>
      <c r="G605" s="222"/>
      <c r="H605" s="222"/>
    </row>
    <row r="606" ht="15.75" customHeight="1">
      <c r="A606" s="47"/>
      <c r="B606" s="48"/>
      <c r="C606" s="221"/>
      <c r="D606" s="222"/>
      <c r="E606" s="222"/>
      <c r="F606" s="222"/>
      <c r="G606" s="222"/>
      <c r="H606" s="222"/>
    </row>
    <row r="607" ht="15.75" customHeight="1">
      <c r="A607" s="47"/>
      <c r="B607" s="48"/>
      <c r="C607" s="221"/>
      <c r="D607" s="222"/>
      <c r="E607" s="222"/>
      <c r="F607" s="222"/>
      <c r="G607" s="222"/>
      <c r="H607" s="222"/>
    </row>
    <row r="608" ht="15.75" customHeight="1">
      <c r="A608" s="47"/>
      <c r="B608" s="48"/>
      <c r="C608" s="221"/>
      <c r="D608" s="222"/>
      <c r="E608" s="222"/>
      <c r="F608" s="222"/>
      <c r="G608" s="222"/>
      <c r="H608" s="222"/>
    </row>
    <row r="609" ht="15.75" customHeight="1">
      <c r="A609" s="47"/>
      <c r="B609" s="48"/>
      <c r="C609" s="221"/>
      <c r="D609" s="222"/>
      <c r="E609" s="222"/>
      <c r="F609" s="222"/>
      <c r="G609" s="222"/>
      <c r="H609" s="222"/>
    </row>
    <row r="610" ht="15.75" customHeight="1">
      <c r="A610" s="47"/>
      <c r="B610" s="48"/>
      <c r="C610" s="221"/>
      <c r="D610" s="222"/>
      <c r="E610" s="222"/>
      <c r="F610" s="222"/>
      <c r="G610" s="222"/>
      <c r="H610" s="222"/>
    </row>
    <row r="611" ht="15.75" customHeight="1">
      <c r="A611" s="47"/>
      <c r="B611" s="48"/>
      <c r="C611" s="221"/>
      <c r="D611" s="222"/>
      <c r="E611" s="222"/>
      <c r="F611" s="222"/>
      <c r="G611" s="222"/>
      <c r="H611" s="222"/>
    </row>
    <row r="612" ht="15.75" customHeight="1">
      <c r="A612" s="47"/>
      <c r="B612" s="48"/>
      <c r="C612" s="221"/>
      <c r="D612" s="222"/>
      <c r="E612" s="222"/>
      <c r="F612" s="222"/>
      <c r="G612" s="222"/>
      <c r="H612" s="222"/>
    </row>
    <row r="613" ht="15.75" customHeight="1">
      <c r="A613" s="47"/>
      <c r="B613" s="48"/>
      <c r="C613" s="221"/>
      <c r="D613" s="222"/>
      <c r="E613" s="222"/>
      <c r="F613" s="222"/>
      <c r="G613" s="222"/>
      <c r="H613" s="222"/>
    </row>
    <row r="614" ht="15.75" customHeight="1">
      <c r="A614" s="47"/>
      <c r="B614" s="48"/>
      <c r="C614" s="221"/>
      <c r="D614" s="222"/>
      <c r="E614" s="222"/>
      <c r="F614" s="222"/>
      <c r="G614" s="222"/>
      <c r="H614" s="222"/>
    </row>
    <row r="615" ht="15.75" customHeight="1">
      <c r="A615" s="47"/>
      <c r="B615" s="48"/>
      <c r="C615" s="221"/>
      <c r="D615" s="222"/>
      <c r="E615" s="222"/>
      <c r="F615" s="222"/>
      <c r="G615" s="222"/>
      <c r="H615" s="222"/>
    </row>
    <row r="616" ht="15.75" customHeight="1">
      <c r="A616" s="47"/>
      <c r="B616" s="48"/>
      <c r="C616" s="221"/>
      <c r="D616" s="222"/>
      <c r="E616" s="222"/>
      <c r="F616" s="222"/>
      <c r="G616" s="222"/>
      <c r="H616" s="222"/>
    </row>
    <row r="617" ht="15.75" customHeight="1">
      <c r="A617" s="47"/>
      <c r="B617" s="48"/>
      <c r="C617" s="221"/>
      <c r="D617" s="222"/>
      <c r="E617" s="222"/>
      <c r="F617" s="222"/>
      <c r="G617" s="222"/>
      <c r="H617" s="222"/>
    </row>
    <row r="618" ht="15.75" customHeight="1">
      <c r="A618" s="47"/>
      <c r="B618" s="48"/>
      <c r="C618" s="221"/>
      <c r="D618" s="222"/>
      <c r="E618" s="222"/>
      <c r="F618" s="222"/>
      <c r="G618" s="222"/>
      <c r="H618" s="222"/>
    </row>
    <row r="619" ht="15.75" customHeight="1">
      <c r="A619" s="47"/>
      <c r="B619" s="48"/>
      <c r="C619" s="221"/>
      <c r="D619" s="222"/>
      <c r="E619" s="222"/>
      <c r="F619" s="222"/>
      <c r="G619" s="222"/>
      <c r="H619" s="222"/>
    </row>
    <row r="620" ht="15.75" customHeight="1">
      <c r="A620" s="47"/>
      <c r="B620" s="48"/>
      <c r="C620" s="221"/>
      <c r="D620" s="222"/>
      <c r="E620" s="222"/>
      <c r="F620" s="222"/>
      <c r="G620" s="222"/>
      <c r="H620" s="222"/>
    </row>
    <row r="621" ht="15.75" customHeight="1">
      <c r="A621" s="47"/>
      <c r="B621" s="48"/>
      <c r="C621" s="221"/>
      <c r="D621" s="222"/>
      <c r="E621" s="222"/>
      <c r="F621" s="222"/>
      <c r="G621" s="222"/>
      <c r="H621" s="222"/>
    </row>
    <row r="622" ht="15.75" customHeight="1">
      <c r="A622" s="47"/>
      <c r="B622" s="48"/>
      <c r="C622" s="221"/>
      <c r="D622" s="222"/>
      <c r="E622" s="222"/>
      <c r="F622" s="222"/>
      <c r="G622" s="222"/>
      <c r="H622" s="222"/>
    </row>
    <row r="623" ht="15.75" customHeight="1">
      <c r="A623" s="47"/>
      <c r="B623" s="48"/>
      <c r="C623" s="221"/>
      <c r="D623" s="222"/>
      <c r="E623" s="222"/>
      <c r="F623" s="222"/>
      <c r="G623" s="222"/>
      <c r="H623" s="222"/>
    </row>
    <row r="624" ht="15.75" customHeight="1">
      <c r="A624" s="47"/>
      <c r="B624" s="48"/>
      <c r="C624" s="221"/>
      <c r="D624" s="222"/>
      <c r="E624" s="222"/>
      <c r="F624" s="222"/>
      <c r="G624" s="222"/>
      <c r="H624" s="222"/>
    </row>
    <row r="625" ht="15.75" customHeight="1">
      <c r="A625" s="47"/>
      <c r="B625" s="48"/>
      <c r="C625" s="221"/>
      <c r="D625" s="222"/>
      <c r="E625" s="222"/>
      <c r="F625" s="222"/>
      <c r="G625" s="222"/>
      <c r="H625" s="222"/>
    </row>
    <row r="626" ht="15.75" customHeight="1">
      <c r="A626" s="47"/>
      <c r="B626" s="48"/>
      <c r="C626" s="221"/>
      <c r="D626" s="222"/>
      <c r="E626" s="222"/>
      <c r="F626" s="222"/>
      <c r="G626" s="222"/>
      <c r="H626" s="222"/>
    </row>
    <row r="627" ht="15.75" customHeight="1">
      <c r="A627" s="47"/>
      <c r="B627" s="48"/>
      <c r="C627" s="221"/>
      <c r="D627" s="222"/>
      <c r="E627" s="222"/>
      <c r="F627" s="222"/>
      <c r="G627" s="222"/>
      <c r="H627" s="222"/>
    </row>
    <row r="628" ht="15.75" customHeight="1">
      <c r="A628" s="47"/>
      <c r="B628" s="48"/>
      <c r="C628" s="221"/>
      <c r="D628" s="222"/>
      <c r="E628" s="222"/>
      <c r="F628" s="222"/>
      <c r="G628" s="222"/>
      <c r="H628" s="222"/>
    </row>
    <row r="629" ht="15.75" customHeight="1">
      <c r="A629" s="47"/>
      <c r="B629" s="48"/>
      <c r="C629" s="221"/>
      <c r="D629" s="222"/>
      <c r="E629" s="222"/>
      <c r="F629" s="222"/>
      <c r="G629" s="222"/>
      <c r="H629" s="222"/>
    </row>
    <row r="630" ht="15.75" customHeight="1">
      <c r="A630" s="47"/>
      <c r="B630" s="48"/>
      <c r="C630" s="221"/>
      <c r="D630" s="222"/>
      <c r="E630" s="222"/>
      <c r="F630" s="222"/>
      <c r="G630" s="222"/>
      <c r="H630" s="222"/>
    </row>
    <row r="631" ht="15.75" customHeight="1">
      <c r="A631" s="47"/>
      <c r="B631" s="48"/>
      <c r="C631" s="221"/>
      <c r="D631" s="222"/>
      <c r="E631" s="222"/>
      <c r="F631" s="222"/>
      <c r="G631" s="222"/>
      <c r="H631" s="222"/>
    </row>
    <row r="632" ht="15.75" customHeight="1">
      <c r="A632" s="47"/>
      <c r="B632" s="48"/>
      <c r="C632" s="221"/>
      <c r="D632" s="222"/>
      <c r="E632" s="222"/>
      <c r="F632" s="222"/>
      <c r="G632" s="222"/>
      <c r="H632" s="222"/>
    </row>
    <row r="633" ht="15.75" customHeight="1">
      <c r="A633" s="47"/>
      <c r="B633" s="48"/>
      <c r="C633" s="221"/>
      <c r="D633" s="222"/>
      <c r="E633" s="222"/>
      <c r="F633" s="222"/>
      <c r="G633" s="222"/>
      <c r="H633" s="222"/>
    </row>
    <row r="634" ht="15.75" customHeight="1">
      <c r="A634" s="47"/>
      <c r="B634" s="48"/>
      <c r="C634" s="221"/>
      <c r="D634" s="222"/>
      <c r="E634" s="222"/>
      <c r="F634" s="222"/>
      <c r="G634" s="222"/>
      <c r="H634" s="222"/>
    </row>
    <row r="635" ht="15.75" customHeight="1">
      <c r="A635" s="47"/>
      <c r="B635" s="48"/>
      <c r="C635" s="221"/>
      <c r="D635" s="222"/>
      <c r="E635" s="222"/>
      <c r="F635" s="222"/>
      <c r="G635" s="222"/>
      <c r="H635" s="222"/>
    </row>
    <row r="636" ht="15.75" customHeight="1">
      <c r="A636" s="47"/>
      <c r="B636" s="48"/>
      <c r="C636" s="221"/>
      <c r="D636" s="222"/>
      <c r="E636" s="222"/>
      <c r="F636" s="222"/>
      <c r="G636" s="222"/>
      <c r="H636" s="222"/>
    </row>
    <row r="637" ht="15.75" customHeight="1">
      <c r="A637" s="47"/>
      <c r="B637" s="48"/>
      <c r="C637" s="221"/>
      <c r="D637" s="222"/>
      <c r="E637" s="222"/>
      <c r="F637" s="222"/>
      <c r="G637" s="222"/>
      <c r="H637" s="222"/>
    </row>
    <row r="638" ht="15.75" customHeight="1">
      <c r="A638" s="47"/>
      <c r="B638" s="48"/>
      <c r="C638" s="221"/>
      <c r="D638" s="222"/>
      <c r="E638" s="222"/>
      <c r="F638" s="222"/>
      <c r="G638" s="222"/>
      <c r="H638" s="222"/>
    </row>
    <row r="639" ht="15.75" customHeight="1">
      <c r="A639" s="47"/>
      <c r="B639" s="48"/>
      <c r="C639" s="221"/>
      <c r="D639" s="222"/>
      <c r="E639" s="222"/>
      <c r="F639" s="222"/>
      <c r="G639" s="222"/>
      <c r="H639" s="222"/>
    </row>
    <row r="640" ht="15.75" customHeight="1">
      <c r="A640" s="47"/>
      <c r="B640" s="48"/>
      <c r="C640" s="221"/>
      <c r="D640" s="222"/>
      <c r="E640" s="222"/>
      <c r="F640" s="222"/>
      <c r="G640" s="222"/>
      <c r="H640" s="222"/>
    </row>
    <row r="641" ht="15.75" customHeight="1">
      <c r="A641" s="47"/>
      <c r="B641" s="48"/>
      <c r="C641" s="221"/>
      <c r="D641" s="222"/>
      <c r="E641" s="222"/>
      <c r="F641" s="222"/>
      <c r="G641" s="222"/>
      <c r="H641" s="222"/>
    </row>
    <row r="642" ht="15.75" customHeight="1">
      <c r="A642" s="47"/>
      <c r="B642" s="48"/>
      <c r="C642" s="221"/>
      <c r="D642" s="222"/>
      <c r="E642" s="222"/>
      <c r="F642" s="222"/>
      <c r="G642" s="222"/>
      <c r="H642" s="222"/>
    </row>
    <row r="643" ht="15.75" customHeight="1">
      <c r="A643" s="47"/>
      <c r="B643" s="48"/>
      <c r="C643" s="221"/>
      <c r="D643" s="222"/>
      <c r="E643" s="222"/>
      <c r="F643" s="222"/>
      <c r="G643" s="222"/>
      <c r="H643" s="222"/>
    </row>
    <row r="644" ht="15.75" customHeight="1">
      <c r="A644" s="47"/>
      <c r="B644" s="48"/>
      <c r="C644" s="221"/>
      <c r="D644" s="222"/>
      <c r="E644" s="222"/>
      <c r="F644" s="222"/>
      <c r="G644" s="222"/>
      <c r="H644" s="222"/>
    </row>
    <row r="645" ht="15.75" customHeight="1">
      <c r="A645" s="47"/>
      <c r="B645" s="48"/>
      <c r="C645" s="221"/>
      <c r="D645" s="222"/>
      <c r="E645" s="222"/>
      <c r="F645" s="222"/>
      <c r="G645" s="222"/>
      <c r="H645" s="222"/>
    </row>
    <row r="646" ht="15.75" customHeight="1">
      <c r="A646" s="47"/>
      <c r="B646" s="48"/>
      <c r="C646" s="221"/>
      <c r="D646" s="222"/>
      <c r="E646" s="222"/>
      <c r="F646" s="222"/>
      <c r="G646" s="222"/>
      <c r="H646" s="222"/>
    </row>
    <row r="647" ht="15.75" customHeight="1">
      <c r="A647" s="47"/>
      <c r="B647" s="48"/>
      <c r="C647" s="221"/>
      <c r="D647" s="222"/>
      <c r="E647" s="222"/>
      <c r="F647" s="222"/>
      <c r="G647" s="222"/>
      <c r="H647" s="222"/>
    </row>
    <row r="648" ht="15.75" customHeight="1">
      <c r="A648" s="47"/>
      <c r="B648" s="48"/>
      <c r="C648" s="221"/>
      <c r="D648" s="222"/>
      <c r="E648" s="222"/>
      <c r="F648" s="222"/>
      <c r="G648" s="222"/>
      <c r="H648" s="222"/>
    </row>
    <row r="649" ht="15.75" customHeight="1">
      <c r="A649" s="47"/>
      <c r="B649" s="48"/>
      <c r="C649" s="221"/>
      <c r="D649" s="222"/>
      <c r="E649" s="222"/>
      <c r="F649" s="222"/>
      <c r="G649" s="222"/>
      <c r="H649" s="222"/>
    </row>
    <row r="650" ht="15.75" customHeight="1">
      <c r="A650" s="47"/>
      <c r="B650" s="48"/>
      <c r="C650" s="221"/>
      <c r="D650" s="222"/>
      <c r="E650" s="222"/>
      <c r="F650" s="222"/>
      <c r="G650" s="222"/>
      <c r="H650" s="222"/>
    </row>
    <row r="651" ht="15.75" customHeight="1">
      <c r="A651" s="47"/>
      <c r="B651" s="48"/>
      <c r="C651" s="221"/>
      <c r="D651" s="222"/>
      <c r="E651" s="222"/>
      <c r="F651" s="222"/>
      <c r="G651" s="222"/>
      <c r="H651" s="222"/>
    </row>
    <row r="652" ht="15.75" customHeight="1">
      <c r="A652" s="47"/>
      <c r="B652" s="48"/>
      <c r="C652" s="221"/>
      <c r="D652" s="222"/>
      <c r="E652" s="222"/>
      <c r="F652" s="222"/>
      <c r="G652" s="222"/>
      <c r="H652" s="222"/>
    </row>
    <row r="653" ht="15.75" customHeight="1">
      <c r="A653" s="47"/>
      <c r="B653" s="48"/>
      <c r="C653" s="221"/>
      <c r="D653" s="222"/>
      <c r="E653" s="222"/>
      <c r="F653" s="222"/>
      <c r="G653" s="222"/>
      <c r="H653" s="222"/>
    </row>
    <row r="654" ht="15.75" customHeight="1">
      <c r="A654" s="47"/>
      <c r="B654" s="48"/>
      <c r="C654" s="221"/>
      <c r="D654" s="222"/>
      <c r="E654" s="222"/>
      <c r="F654" s="222"/>
      <c r="G654" s="222"/>
      <c r="H654" s="222"/>
    </row>
    <row r="655" ht="15.75" customHeight="1">
      <c r="A655" s="47"/>
      <c r="B655" s="48"/>
      <c r="C655" s="221"/>
      <c r="D655" s="222"/>
      <c r="E655" s="222"/>
      <c r="F655" s="222"/>
      <c r="G655" s="222"/>
      <c r="H655" s="222"/>
    </row>
    <row r="656" ht="15.75" customHeight="1">
      <c r="A656" s="47"/>
      <c r="B656" s="48"/>
      <c r="C656" s="221"/>
      <c r="D656" s="222"/>
      <c r="E656" s="222"/>
      <c r="F656" s="222"/>
      <c r="G656" s="222"/>
      <c r="H656" s="222"/>
    </row>
    <row r="657" ht="15.75" customHeight="1">
      <c r="A657" s="47"/>
      <c r="B657" s="48"/>
      <c r="C657" s="221"/>
      <c r="D657" s="222"/>
      <c r="E657" s="222"/>
      <c r="F657" s="222"/>
      <c r="G657" s="222"/>
      <c r="H657" s="222"/>
    </row>
    <row r="658" ht="15.75" customHeight="1">
      <c r="A658" s="47"/>
      <c r="B658" s="48"/>
      <c r="C658" s="221"/>
      <c r="D658" s="222"/>
      <c r="E658" s="222"/>
      <c r="F658" s="222"/>
      <c r="G658" s="222"/>
      <c r="H658" s="222"/>
    </row>
    <row r="659" ht="15.75" customHeight="1">
      <c r="A659" s="47"/>
      <c r="B659" s="48"/>
      <c r="C659" s="221"/>
      <c r="D659" s="222"/>
      <c r="E659" s="222"/>
      <c r="F659" s="222"/>
      <c r="G659" s="222"/>
      <c r="H659" s="222"/>
    </row>
    <row r="660" ht="15.75" customHeight="1">
      <c r="A660" s="47"/>
      <c r="B660" s="48"/>
      <c r="C660" s="221"/>
      <c r="D660" s="222"/>
      <c r="E660" s="222"/>
      <c r="F660" s="222"/>
      <c r="G660" s="222"/>
      <c r="H660" s="222"/>
    </row>
    <row r="661" ht="15.75" customHeight="1">
      <c r="A661" s="47"/>
      <c r="B661" s="48"/>
      <c r="C661" s="221"/>
      <c r="D661" s="222"/>
      <c r="E661" s="222"/>
      <c r="F661" s="222"/>
      <c r="G661" s="222"/>
      <c r="H661" s="222"/>
    </row>
    <row r="662" ht="15.75" customHeight="1">
      <c r="A662" s="47"/>
      <c r="B662" s="48"/>
      <c r="C662" s="221"/>
      <c r="D662" s="222"/>
      <c r="E662" s="222"/>
      <c r="F662" s="222"/>
      <c r="G662" s="222"/>
      <c r="H662" s="222"/>
    </row>
    <row r="663" ht="15.75" customHeight="1">
      <c r="A663" s="47"/>
      <c r="B663" s="48"/>
      <c r="C663" s="221"/>
      <c r="D663" s="222"/>
      <c r="E663" s="222"/>
      <c r="F663" s="222"/>
      <c r="G663" s="222"/>
      <c r="H663" s="222"/>
    </row>
    <row r="664" ht="15.75" customHeight="1">
      <c r="A664" s="47"/>
      <c r="B664" s="48"/>
      <c r="C664" s="221"/>
      <c r="D664" s="222"/>
      <c r="E664" s="222"/>
      <c r="F664" s="222"/>
      <c r="G664" s="222"/>
      <c r="H664" s="222"/>
    </row>
    <row r="665" ht="15.75" customHeight="1">
      <c r="A665" s="47"/>
      <c r="B665" s="48"/>
      <c r="C665" s="221"/>
      <c r="D665" s="222"/>
      <c r="E665" s="222"/>
      <c r="F665" s="222"/>
      <c r="G665" s="222"/>
      <c r="H665" s="222"/>
    </row>
    <row r="666" ht="15.75" customHeight="1">
      <c r="A666" s="47"/>
      <c r="B666" s="48"/>
      <c r="C666" s="221"/>
      <c r="D666" s="222"/>
      <c r="E666" s="222"/>
      <c r="F666" s="222"/>
      <c r="G666" s="222"/>
      <c r="H666" s="222"/>
    </row>
    <row r="667" ht="15.75" customHeight="1">
      <c r="A667" s="47"/>
      <c r="B667" s="48"/>
      <c r="C667" s="221"/>
      <c r="D667" s="222"/>
      <c r="E667" s="222"/>
      <c r="F667" s="222"/>
      <c r="G667" s="222"/>
      <c r="H667" s="222"/>
    </row>
    <row r="668" ht="15.75" customHeight="1">
      <c r="A668" s="47"/>
      <c r="B668" s="48"/>
      <c r="C668" s="221"/>
      <c r="D668" s="222"/>
      <c r="E668" s="222"/>
      <c r="F668" s="222"/>
      <c r="G668" s="222"/>
      <c r="H668" s="222"/>
    </row>
    <row r="669" ht="15.75" customHeight="1">
      <c r="A669" s="47"/>
      <c r="B669" s="48"/>
      <c r="C669" s="221"/>
      <c r="D669" s="222"/>
      <c r="E669" s="222"/>
      <c r="F669" s="222"/>
      <c r="G669" s="222"/>
      <c r="H669" s="222"/>
    </row>
    <row r="670" ht="15.75" customHeight="1">
      <c r="A670" s="47"/>
      <c r="B670" s="48"/>
      <c r="C670" s="221"/>
      <c r="D670" s="222"/>
      <c r="E670" s="222"/>
      <c r="F670" s="222"/>
      <c r="G670" s="222"/>
      <c r="H670" s="222"/>
    </row>
    <row r="671" ht="15.75" customHeight="1">
      <c r="A671" s="47"/>
      <c r="B671" s="48"/>
      <c r="C671" s="221"/>
      <c r="D671" s="222"/>
      <c r="E671" s="222"/>
      <c r="F671" s="222"/>
      <c r="G671" s="222"/>
      <c r="H671" s="222"/>
    </row>
    <row r="672" ht="15.75" customHeight="1">
      <c r="A672" s="47"/>
      <c r="B672" s="48"/>
      <c r="C672" s="221"/>
      <c r="D672" s="222"/>
      <c r="E672" s="222"/>
      <c r="F672" s="222"/>
      <c r="G672" s="222"/>
      <c r="H672" s="222"/>
    </row>
    <row r="673" ht="15.75" customHeight="1">
      <c r="A673" s="47"/>
      <c r="B673" s="48"/>
      <c r="C673" s="221"/>
      <c r="D673" s="222"/>
      <c r="E673" s="222"/>
      <c r="F673" s="222"/>
      <c r="G673" s="222"/>
      <c r="H673" s="222"/>
    </row>
    <row r="674" ht="15.75" customHeight="1">
      <c r="A674" s="47"/>
      <c r="B674" s="48"/>
      <c r="C674" s="221"/>
      <c r="D674" s="222"/>
      <c r="E674" s="222"/>
      <c r="F674" s="222"/>
      <c r="G674" s="222"/>
      <c r="H674" s="222"/>
    </row>
    <row r="675" ht="15.75" customHeight="1">
      <c r="A675" s="47"/>
      <c r="B675" s="48"/>
      <c r="C675" s="221"/>
      <c r="D675" s="222"/>
      <c r="E675" s="222"/>
      <c r="F675" s="222"/>
      <c r="G675" s="222"/>
      <c r="H675" s="222"/>
    </row>
    <row r="676" ht="15.75" customHeight="1">
      <c r="A676" s="47"/>
      <c r="B676" s="48"/>
      <c r="C676" s="221"/>
      <c r="D676" s="222"/>
      <c r="E676" s="222"/>
      <c r="F676" s="222"/>
      <c r="G676" s="222"/>
      <c r="H676" s="222"/>
    </row>
    <row r="677" ht="15.75" customHeight="1">
      <c r="A677" s="47"/>
      <c r="B677" s="48"/>
      <c r="C677" s="221"/>
      <c r="D677" s="222"/>
      <c r="E677" s="222"/>
      <c r="F677" s="222"/>
      <c r="G677" s="222"/>
      <c r="H677" s="222"/>
    </row>
    <row r="678" ht="15.75" customHeight="1">
      <c r="A678" s="47"/>
      <c r="B678" s="48"/>
      <c r="C678" s="221"/>
      <c r="D678" s="222"/>
      <c r="E678" s="222"/>
      <c r="F678" s="222"/>
      <c r="G678" s="222"/>
      <c r="H678" s="222"/>
    </row>
    <row r="679" ht="15.75" customHeight="1">
      <c r="A679" s="47"/>
      <c r="B679" s="48"/>
      <c r="C679" s="221"/>
      <c r="D679" s="222"/>
      <c r="E679" s="222"/>
      <c r="F679" s="222"/>
      <c r="G679" s="222"/>
      <c r="H679" s="222"/>
    </row>
    <row r="680" ht="15.75" customHeight="1">
      <c r="A680" s="47"/>
      <c r="B680" s="48"/>
      <c r="C680" s="221"/>
      <c r="D680" s="222"/>
      <c r="E680" s="222"/>
      <c r="F680" s="222"/>
      <c r="G680" s="222"/>
      <c r="H680" s="222"/>
    </row>
    <row r="681" ht="15.75" customHeight="1">
      <c r="A681" s="47"/>
      <c r="B681" s="48"/>
      <c r="C681" s="221"/>
      <c r="D681" s="222"/>
      <c r="E681" s="222"/>
      <c r="F681" s="222"/>
      <c r="G681" s="222"/>
      <c r="H681" s="222"/>
    </row>
    <row r="682" ht="15.75" customHeight="1">
      <c r="A682" s="47"/>
      <c r="B682" s="48"/>
      <c r="C682" s="221"/>
      <c r="D682" s="222"/>
      <c r="E682" s="222"/>
      <c r="F682" s="222"/>
      <c r="G682" s="222"/>
      <c r="H682" s="222"/>
    </row>
    <row r="683" ht="15.75" customHeight="1">
      <c r="A683" s="47"/>
      <c r="B683" s="48"/>
      <c r="C683" s="221"/>
      <c r="D683" s="222"/>
      <c r="E683" s="222"/>
      <c r="F683" s="222"/>
      <c r="G683" s="222"/>
      <c r="H683" s="222"/>
    </row>
    <row r="684" ht="15.75" customHeight="1">
      <c r="A684" s="47"/>
      <c r="B684" s="48"/>
      <c r="C684" s="221"/>
      <c r="D684" s="222"/>
      <c r="E684" s="222"/>
      <c r="F684" s="222"/>
      <c r="G684" s="222"/>
      <c r="H684" s="222"/>
    </row>
    <row r="685" ht="15.75" customHeight="1">
      <c r="A685" s="47"/>
      <c r="B685" s="48"/>
      <c r="C685" s="221"/>
      <c r="D685" s="222"/>
      <c r="E685" s="222"/>
      <c r="F685" s="222"/>
      <c r="G685" s="222"/>
      <c r="H685" s="222"/>
    </row>
    <row r="686" ht="15.75" customHeight="1">
      <c r="A686" s="47"/>
      <c r="B686" s="48"/>
      <c r="C686" s="221"/>
      <c r="D686" s="222"/>
      <c r="E686" s="222"/>
      <c r="F686" s="222"/>
      <c r="G686" s="222"/>
      <c r="H686" s="222"/>
    </row>
    <row r="687" ht="15.75" customHeight="1">
      <c r="A687" s="47"/>
      <c r="B687" s="48"/>
      <c r="C687" s="221"/>
      <c r="D687" s="222"/>
      <c r="E687" s="222"/>
      <c r="F687" s="222"/>
      <c r="G687" s="222"/>
      <c r="H687" s="222"/>
    </row>
    <row r="688" ht="15.75" customHeight="1">
      <c r="A688" s="47"/>
      <c r="B688" s="48"/>
      <c r="C688" s="221"/>
      <c r="D688" s="222"/>
      <c r="E688" s="222"/>
      <c r="F688" s="222"/>
      <c r="G688" s="222"/>
      <c r="H688" s="222"/>
    </row>
    <row r="689" ht="15.75" customHeight="1">
      <c r="A689" s="47"/>
      <c r="B689" s="48"/>
      <c r="C689" s="221"/>
      <c r="D689" s="222"/>
      <c r="E689" s="222"/>
      <c r="F689" s="222"/>
      <c r="G689" s="222"/>
      <c r="H689" s="222"/>
    </row>
    <row r="690" ht="15.75" customHeight="1">
      <c r="A690" s="47"/>
      <c r="B690" s="48"/>
      <c r="C690" s="221"/>
      <c r="D690" s="222"/>
      <c r="E690" s="222"/>
      <c r="F690" s="222"/>
      <c r="G690" s="222"/>
      <c r="H690" s="222"/>
    </row>
    <row r="691" ht="15.75" customHeight="1">
      <c r="A691" s="47"/>
      <c r="B691" s="48"/>
      <c r="C691" s="221"/>
      <c r="D691" s="222"/>
      <c r="E691" s="222"/>
      <c r="F691" s="222"/>
      <c r="G691" s="222"/>
      <c r="H691" s="222"/>
    </row>
    <row r="692" ht="15.75" customHeight="1">
      <c r="A692" s="47"/>
      <c r="B692" s="48"/>
      <c r="C692" s="221"/>
      <c r="D692" s="222"/>
      <c r="E692" s="222"/>
      <c r="F692" s="222"/>
      <c r="G692" s="222"/>
      <c r="H692" s="222"/>
    </row>
    <row r="693" ht="15.75" customHeight="1">
      <c r="A693" s="47"/>
      <c r="B693" s="48"/>
      <c r="C693" s="221"/>
      <c r="D693" s="222"/>
      <c r="E693" s="222"/>
      <c r="F693" s="222"/>
      <c r="G693" s="222"/>
      <c r="H693" s="222"/>
    </row>
    <row r="694" ht="15.75" customHeight="1">
      <c r="A694" s="47"/>
      <c r="B694" s="48"/>
      <c r="C694" s="221"/>
      <c r="D694" s="222"/>
      <c r="E694" s="222"/>
      <c r="F694" s="222"/>
      <c r="G694" s="222"/>
      <c r="H694" s="222"/>
    </row>
    <row r="695" ht="15.75" customHeight="1">
      <c r="A695" s="47"/>
      <c r="B695" s="48"/>
      <c r="C695" s="221"/>
      <c r="D695" s="222"/>
      <c r="E695" s="222"/>
      <c r="F695" s="222"/>
      <c r="G695" s="222"/>
      <c r="H695" s="222"/>
    </row>
    <row r="696" ht="15.75" customHeight="1">
      <c r="A696" s="47"/>
      <c r="B696" s="48"/>
      <c r="C696" s="221"/>
      <c r="D696" s="222"/>
      <c r="E696" s="222"/>
      <c r="F696" s="222"/>
      <c r="G696" s="222"/>
      <c r="H696" s="222"/>
    </row>
    <row r="697" ht="15.75" customHeight="1">
      <c r="A697" s="47"/>
      <c r="B697" s="48"/>
      <c r="C697" s="221"/>
      <c r="D697" s="222"/>
      <c r="E697" s="222"/>
      <c r="F697" s="222"/>
      <c r="G697" s="222"/>
      <c r="H697" s="222"/>
    </row>
    <row r="698" ht="15.75" customHeight="1">
      <c r="A698" s="47"/>
      <c r="B698" s="48"/>
      <c r="C698" s="221"/>
      <c r="D698" s="222"/>
      <c r="E698" s="222"/>
      <c r="F698" s="222"/>
      <c r="G698" s="222"/>
      <c r="H698" s="222"/>
    </row>
    <row r="699" ht="15.75" customHeight="1">
      <c r="A699" s="47"/>
      <c r="B699" s="48"/>
      <c r="C699" s="221"/>
      <c r="D699" s="222"/>
      <c r="E699" s="222"/>
      <c r="F699" s="222"/>
      <c r="G699" s="222"/>
      <c r="H699" s="222"/>
    </row>
    <row r="700" ht="15.75" customHeight="1">
      <c r="A700" s="47"/>
      <c r="B700" s="48"/>
      <c r="C700" s="221"/>
      <c r="D700" s="222"/>
      <c r="E700" s="222"/>
      <c r="F700" s="222"/>
      <c r="G700" s="222"/>
      <c r="H700" s="222"/>
    </row>
    <row r="701" ht="15.75" customHeight="1">
      <c r="A701" s="47"/>
      <c r="B701" s="48"/>
      <c r="C701" s="221"/>
      <c r="D701" s="222"/>
      <c r="E701" s="222"/>
      <c r="F701" s="222"/>
      <c r="G701" s="222"/>
      <c r="H701" s="222"/>
    </row>
    <row r="702" ht="15.75" customHeight="1">
      <c r="A702" s="47"/>
      <c r="B702" s="48"/>
      <c r="C702" s="221"/>
      <c r="D702" s="222"/>
      <c r="E702" s="222"/>
      <c r="F702" s="222"/>
      <c r="G702" s="222"/>
      <c r="H702" s="222"/>
    </row>
    <row r="703" ht="15.75" customHeight="1">
      <c r="A703" s="47"/>
      <c r="B703" s="48"/>
      <c r="C703" s="221"/>
      <c r="D703" s="222"/>
      <c r="E703" s="222"/>
      <c r="F703" s="222"/>
      <c r="G703" s="222"/>
      <c r="H703" s="222"/>
    </row>
    <row r="704" ht="15.75" customHeight="1">
      <c r="A704" s="47"/>
      <c r="B704" s="48"/>
      <c r="C704" s="221"/>
      <c r="D704" s="222"/>
      <c r="E704" s="222"/>
      <c r="F704" s="222"/>
      <c r="G704" s="222"/>
      <c r="H704" s="222"/>
    </row>
    <row r="705" ht="15.75" customHeight="1">
      <c r="A705" s="47"/>
      <c r="B705" s="48"/>
      <c r="C705" s="221"/>
      <c r="D705" s="222"/>
      <c r="E705" s="222"/>
      <c r="F705" s="222"/>
      <c r="G705" s="222"/>
      <c r="H705" s="222"/>
    </row>
    <row r="706" ht="15.75" customHeight="1">
      <c r="A706" s="47"/>
      <c r="B706" s="48"/>
      <c r="C706" s="221"/>
      <c r="D706" s="222"/>
      <c r="E706" s="222"/>
      <c r="F706" s="222"/>
      <c r="G706" s="222"/>
      <c r="H706" s="222"/>
    </row>
    <row r="707" ht="15.75" customHeight="1">
      <c r="A707" s="47"/>
      <c r="B707" s="48"/>
      <c r="C707" s="221"/>
      <c r="D707" s="222"/>
      <c r="E707" s="222"/>
      <c r="F707" s="222"/>
      <c r="G707" s="222"/>
      <c r="H707" s="222"/>
    </row>
    <row r="708" ht="15.75" customHeight="1">
      <c r="A708" s="47"/>
      <c r="B708" s="48"/>
      <c r="C708" s="221"/>
      <c r="D708" s="222"/>
      <c r="E708" s="222"/>
      <c r="F708" s="222"/>
      <c r="G708" s="222"/>
      <c r="H708" s="222"/>
    </row>
    <row r="709" ht="15.75" customHeight="1">
      <c r="A709" s="47"/>
      <c r="B709" s="48"/>
      <c r="C709" s="221"/>
      <c r="D709" s="222"/>
      <c r="E709" s="222"/>
      <c r="F709" s="222"/>
      <c r="G709" s="222"/>
      <c r="H709" s="222"/>
    </row>
    <row r="710" ht="15.75" customHeight="1">
      <c r="A710" s="47"/>
      <c r="B710" s="48"/>
      <c r="C710" s="221"/>
      <c r="D710" s="222"/>
      <c r="E710" s="222"/>
      <c r="F710" s="222"/>
      <c r="G710" s="222"/>
      <c r="H710" s="222"/>
    </row>
    <row r="711" ht="15.75" customHeight="1">
      <c r="A711" s="47"/>
      <c r="B711" s="48"/>
      <c r="C711" s="221"/>
      <c r="D711" s="222"/>
      <c r="E711" s="222"/>
      <c r="F711" s="222"/>
      <c r="G711" s="222"/>
      <c r="H711" s="222"/>
    </row>
    <row r="712" ht="15.75" customHeight="1">
      <c r="A712" s="47"/>
      <c r="B712" s="48"/>
      <c r="C712" s="221"/>
      <c r="D712" s="222"/>
      <c r="E712" s="222"/>
      <c r="F712" s="222"/>
      <c r="G712" s="222"/>
      <c r="H712" s="222"/>
    </row>
    <row r="713" ht="15.75" customHeight="1">
      <c r="A713" s="47"/>
      <c r="B713" s="48"/>
      <c r="C713" s="221"/>
      <c r="D713" s="222"/>
      <c r="E713" s="222"/>
      <c r="F713" s="222"/>
      <c r="G713" s="222"/>
      <c r="H713" s="222"/>
    </row>
    <row r="714" ht="15.75" customHeight="1">
      <c r="A714" s="47"/>
      <c r="B714" s="48"/>
      <c r="C714" s="221"/>
      <c r="D714" s="222"/>
      <c r="E714" s="222"/>
      <c r="F714" s="222"/>
      <c r="G714" s="222"/>
      <c r="H714" s="222"/>
    </row>
    <row r="715" ht="15.75" customHeight="1">
      <c r="A715" s="47"/>
      <c r="B715" s="48"/>
      <c r="C715" s="221"/>
      <c r="D715" s="222"/>
      <c r="E715" s="222"/>
      <c r="F715" s="222"/>
      <c r="G715" s="222"/>
      <c r="H715" s="222"/>
    </row>
    <row r="716" ht="15.75" customHeight="1">
      <c r="A716" s="47"/>
      <c r="B716" s="48"/>
      <c r="C716" s="221"/>
      <c r="D716" s="222"/>
      <c r="E716" s="222"/>
      <c r="F716" s="222"/>
      <c r="G716" s="222"/>
      <c r="H716" s="222"/>
    </row>
    <row r="717" ht="15.75" customHeight="1">
      <c r="A717" s="47"/>
      <c r="B717" s="48"/>
      <c r="C717" s="221"/>
      <c r="D717" s="222"/>
      <c r="E717" s="222"/>
      <c r="F717" s="222"/>
      <c r="G717" s="222"/>
      <c r="H717" s="222"/>
    </row>
    <row r="718" ht="15.75" customHeight="1">
      <c r="A718" s="47"/>
      <c r="B718" s="48"/>
      <c r="C718" s="221"/>
      <c r="D718" s="222"/>
      <c r="E718" s="222"/>
      <c r="F718" s="222"/>
      <c r="G718" s="222"/>
      <c r="H718" s="222"/>
    </row>
    <row r="719" ht="15.75" customHeight="1">
      <c r="A719" s="47"/>
      <c r="B719" s="48"/>
      <c r="C719" s="221"/>
      <c r="D719" s="222"/>
      <c r="E719" s="222"/>
      <c r="F719" s="222"/>
      <c r="G719" s="222"/>
      <c r="H719" s="222"/>
    </row>
    <row r="720" ht="15.75" customHeight="1">
      <c r="A720" s="47"/>
      <c r="B720" s="48"/>
      <c r="C720" s="221"/>
      <c r="D720" s="222"/>
      <c r="E720" s="222"/>
      <c r="F720" s="222"/>
      <c r="G720" s="222"/>
      <c r="H720" s="222"/>
    </row>
    <row r="721" ht="15.75" customHeight="1">
      <c r="A721" s="47"/>
      <c r="B721" s="48"/>
      <c r="C721" s="221"/>
      <c r="D721" s="222"/>
      <c r="E721" s="222"/>
      <c r="F721" s="222"/>
      <c r="G721" s="222"/>
      <c r="H721" s="222"/>
    </row>
    <row r="722" ht="15.75" customHeight="1">
      <c r="A722" s="47"/>
      <c r="B722" s="48"/>
      <c r="C722" s="221"/>
      <c r="D722" s="222"/>
      <c r="E722" s="222"/>
      <c r="F722" s="222"/>
      <c r="G722" s="222"/>
      <c r="H722" s="222"/>
    </row>
    <row r="723" ht="15.75" customHeight="1">
      <c r="A723" s="47"/>
      <c r="B723" s="48"/>
      <c r="C723" s="221"/>
      <c r="D723" s="222"/>
      <c r="E723" s="222"/>
      <c r="F723" s="222"/>
      <c r="G723" s="222"/>
      <c r="H723" s="222"/>
    </row>
    <row r="724" ht="15.75" customHeight="1">
      <c r="A724" s="47"/>
      <c r="B724" s="48"/>
      <c r="C724" s="221"/>
      <c r="D724" s="222"/>
      <c r="E724" s="222"/>
      <c r="F724" s="222"/>
      <c r="G724" s="222"/>
      <c r="H724" s="222"/>
    </row>
    <row r="725" ht="15.75" customHeight="1">
      <c r="A725" s="47"/>
      <c r="B725" s="48"/>
      <c r="C725" s="221"/>
      <c r="D725" s="222"/>
      <c r="E725" s="222"/>
      <c r="F725" s="222"/>
      <c r="G725" s="222"/>
      <c r="H725" s="222"/>
    </row>
    <row r="726" ht="15.75" customHeight="1">
      <c r="A726" s="47"/>
      <c r="B726" s="48"/>
      <c r="C726" s="221"/>
      <c r="D726" s="222"/>
      <c r="E726" s="222"/>
      <c r="F726" s="222"/>
      <c r="G726" s="222"/>
      <c r="H726" s="222"/>
    </row>
    <row r="727" ht="15.75" customHeight="1">
      <c r="A727" s="47"/>
      <c r="B727" s="48"/>
      <c r="C727" s="221"/>
      <c r="D727" s="222"/>
      <c r="E727" s="222"/>
      <c r="F727" s="222"/>
      <c r="G727" s="222"/>
      <c r="H727" s="222"/>
    </row>
    <row r="728" ht="15.75" customHeight="1">
      <c r="A728" s="47"/>
      <c r="B728" s="48"/>
      <c r="C728" s="221"/>
      <c r="D728" s="222"/>
      <c r="E728" s="222"/>
      <c r="F728" s="222"/>
      <c r="G728" s="222"/>
      <c r="H728" s="222"/>
    </row>
    <row r="729" ht="15.75" customHeight="1">
      <c r="A729" s="47"/>
      <c r="B729" s="48"/>
      <c r="C729" s="221"/>
      <c r="D729" s="222"/>
      <c r="E729" s="222"/>
      <c r="F729" s="222"/>
      <c r="G729" s="222"/>
      <c r="H729" s="222"/>
    </row>
    <row r="730" ht="15.75" customHeight="1">
      <c r="A730" s="47"/>
      <c r="B730" s="48"/>
      <c r="C730" s="221"/>
      <c r="D730" s="222"/>
      <c r="E730" s="222"/>
      <c r="F730" s="222"/>
      <c r="G730" s="222"/>
      <c r="H730" s="222"/>
    </row>
    <row r="731" ht="15.75" customHeight="1">
      <c r="A731" s="47"/>
      <c r="B731" s="48"/>
      <c r="C731" s="221"/>
      <c r="D731" s="222"/>
      <c r="E731" s="222"/>
      <c r="F731" s="222"/>
      <c r="G731" s="222"/>
      <c r="H731" s="222"/>
    </row>
    <row r="732" ht="15.75" customHeight="1">
      <c r="A732" s="47"/>
      <c r="B732" s="48"/>
      <c r="C732" s="221"/>
      <c r="D732" s="222"/>
      <c r="E732" s="222"/>
      <c r="F732" s="222"/>
      <c r="G732" s="222"/>
      <c r="H732" s="222"/>
    </row>
    <row r="733" ht="15.75" customHeight="1">
      <c r="A733" s="47"/>
      <c r="B733" s="48"/>
      <c r="C733" s="221"/>
      <c r="D733" s="222"/>
      <c r="E733" s="222"/>
      <c r="F733" s="222"/>
      <c r="G733" s="222"/>
      <c r="H733" s="22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24</v>
      </c>
      <c r="C1" s="224" t="s">
        <v>25</v>
      </c>
      <c r="D1" s="131" t="s">
        <v>26</v>
      </c>
      <c r="E1" s="131" t="s">
        <v>27</v>
      </c>
      <c r="F1" s="225" t="s">
        <v>28</v>
      </c>
      <c r="G1" s="224" t="s">
        <v>29</v>
      </c>
      <c r="H1" s="141"/>
      <c r="I1" s="141"/>
      <c r="J1" s="141"/>
      <c r="K1" s="141"/>
      <c r="L1" s="141"/>
      <c r="M1" s="141"/>
      <c r="N1" s="141"/>
      <c r="O1" s="141"/>
      <c r="P1" s="141"/>
      <c r="Q1" s="141"/>
      <c r="R1" s="141"/>
      <c r="S1" s="141"/>
    </row>
    <row r="2">
      <c r="A2" s="226" t="s">
        <v>4100</v>
      </c>
      <c r="B2" s="227"/>
      <c r="C2" s="227"/>
      <c r="D2" s="228"/>
      <c r="E2" s="228"/>
      <c r="F2" s="229"/>
      <c r="G2" s="227"/>
      <c r="H2" s="141"/>
      <c r="I2" s="141"/>
      <c r="J2" s="141"/>
      <c r="K2" s="141"/>
      <c r="L2" s="141"/>
      <c r="M2" s="141"/>
      <c r="N2" s="141"/>
      <c r="O2" s="141"/>
      <c r="P2" s="141"/>
      <c r="Q2" s="141"/>
      <c r="R2" s="141"/>
      <c r="S2" s="141"/>
    </row>
    <row r="3">
      <c r="A3" s="230" t="s">
        <v>4101</v>
      </c>
      <c r="B3" s="231"/>
      <c r="C3" s="231"/>
      <c r="D3" s="232"/>
      <c r="E3" s="232"/>
      <c r="F3" s="233"/>
      <c r="G3" s="130"/>
      <c r="H3" s="141"/>
      <c r="I3" s="141"/>
      <c r="J3" s="141"/>
      <c r="K3" s="141"/>
      <c r="L3" s="141"/>
      <c r="M3" s="141"/>
      <c r="N3" s="141"/>
      <c r="O3" s="141"/>
      <c r="P3" s="141"/>
      <c r="Q3" s="141"/>
      <c r="R3" s="141"/>
      <c r="S3" s="141"/>
    </row>
    <row r="4">
      <c r="A4" s="196" t="s">
        <v>4102</v>
      </c>
      <c r="B4" s="196" t="s">
        <v>4103</v>
      </c>
      <c r="C4" s="234" t="s">
        <v>4104</v>
      </c>
      <c r="D4" s="102" t="s">
        <v>4105</v>
      </c>
      <c r="E4" s="102" t="s">
        <v>4106</v>
      </c>
      <c r="F4" s="173">
        <v>0.21</v>
      </c>
      <c r="G4" s="141"/>
      <c r="H4" s="141"/>
      <c r="I4" s="141"/>
      <c r="J4" s="141"/>
      <c r="K4" s="141"/>
      <c r="L4" s="141"/>
      <c r="M4" s="141"/>
      <c r="N4" s="141"/>
      <c r="O4" s="141"/>
      <c r="P4" s="141"/>
      <c r="Q4" s="141"/>
      <c r="R4" s="141"/>
      <c r="S4" s="141"/>
    </row>
    <row r="5">
      <c r="A5" s="199" t="s">
        <v>4102</v>
      </c>
      <c r="B5" s="199" t="s">
        <v>4107</v>
      </c>
      <c r="C5" s="235" t="s">
        <v>4108</v>
      </c>
      <c r="D5" s="105" t="s">
        <v>4109</v>
      </c>
      <c r="E5" s="105" t="s">
        <v>4110</v>
      </c>
      <c r="F5" s="106">
        <v>0.21</v>
      </c>
      <c r="G5" s="141"/>
      <c r="H5" s="141"/>
      <c r="I5" s="141"/>
      <c r="J5" s="141"/>
      <c r="K5" s="141"/>
      <c r="L5" s="141"/>
      <c r="M5" s="141"/>
      <c r="N5" s="141"/>
      <c r="O5" s="141"/>
      <c r="P5" s="141"/>
      <c r="Q5" s="141"/>
      <c r="R5" s="141"/>
      <c r="S5" s="141"/>
    </row>
    <row r="6">
      <c r="A6" s="196" t="s">
        <v>4102</v>
      </c>
      <c r="B6" s="196" t="s">
        <v>4111</v>
      </c>
      <c r="C6" s="234" t="s">
        <v>4108</v>
      </c>
      <c r="D6" s="102" t="s">
        <v>4112</v>
      </c>
      <c r="E6" s="102" t="s">
        <v>4113</v>
      </c>
      <c r="F6" s="173">
        <v>0.21</v>
      </c>
      <c r="G6" s="141"/>
      <c r="H6" s="141"/>
      <c r="I6" s="141"/>
      <c r="J6" s="141"/>
      <c r="K6" s="141"/>
      <c r="L6" s="141"/>
      <c r="M6" s="141"/>
      <c r="N6" s="141"/>
      <c r="O6" s="141"/>
      <c r="P6" s="141"/>
      <c r="Q6" s="141"/>
      <c r="R6" s="141"/>
      <c r="S6" s="141"/>
    </row>
    <row r="7">
      <c r="A7" s="199" t="s">
        <v>4102</v>
      </c>
      <c r="B7" s="199" t="s">
        <v>4114</v>
      </c>
      <c r="C7" s="235" t="s">
        <v>4104</v>
      </c>
      <c r="D7" s="105" t="s">
        <v>4115</v>
      </c>
      <c r="E7" s="105" t="s">
        <v>4116</v>
      </c>
      <c r="F7" s="106">
        <v>0.21</v>
      </c>
      <c r="G7" s="141"/>
      <c r="H7" s="141"/>
      <c r="I7" s="141"/>
      <c r="J7" s="141"/>
      <c r="K7" s="141"/>
      <c r="L7" s="141"/>
      <c r="M7" s="141"/>
      <c r="N7" s="141"/>
      <c r="O7" s="141"/>
      <c r="P7" s="141"/>
      <c r="Q7" s="141"/>
      <c r="R7" s="141"/>
      <c r="S7" s="141"/>
    </row>
    <row r="8">
      <c r="A8" s="196" t="s">
        <v>4102</v>
      </c>
      <c r="B8" s="196" t="s">
        <v>4117</v>
      </c>
      <c r="C8" s="234" t="s">
        <v>4118</v>
      </c>
      <c r="D8" s="102" t="s">
        <v>4119</v>
      </c>
      <c r="E8" s="102" t="s">
        <v>4120</v>
      </c>
      <c r="F8" s="173">
        <v>0.21</v>
      </c>
      <c r="G8" s="141"/>
      <c r="H8" s="141"/>
      <c r="I8" s="141"/>
      <c r="J8" s="141"/>
      <c r="K8" s="141"/>
      <c r="L8" s="141"/>
      <c r="M8" s="141"/>
      <c r="N8" s="141"/>
      <c r="O8" s="141"/>
      <c r="P8" s="141"/>
      <c r="Q8" s="141"/>
      <c r="R8" s="141"/>
      <c r="S8" s="141"/>
    </row>
    <row r="9">
      <c r="A9" s="230" t="s">
        <v>4121</v>
      </c>
      <c r="B9" s="231"/>
      <c r="C9" s="231"/>
      <c r="D9" s="232"/>
      <c r="E9" s="232"/>
      <c r="F9" s="233"/>
      <c r="G9" s="130"/>
      <c r="H9" s="141"/>
      <c r="I9" s="141"/>
      <c r="J9" s="141"/>
      <c r="K9" s="141"/>
      <c r="L9" s="141"/>
      <c r="M9" s="141"/>
      <c r="N9" s="141"/>
      <c r="O9" s="141"/>
      <c r="P9" s="141"/>
      <c r="Q9" s="141"/>
      <c r="R9" s="141"/>
      <c r="S9" s="141"/>
    </row>
    <row r="10">
      <c r="A10" s="196" t="s">
        <v>4102</v>
      </c>
      <c r="B10" s="196" t="s">
        <v>4122</v>
      </c>
      <c r="C10" s="234" t="s">
        <v>4123</v>
      </c>
      <c r="D10" s="102" t="s">
        <v>4124</v>
      </c>
      <c r="E10" s="102" t="s">
        <v>4125</v>
      </c>
      <c r="F10" s="173">
        <v>0.21</v>
      </c>
      <c r="G10" s="141"/>
      <c r="H10" s="141"/>
      <c r="I10" s="141"/>
      <c r="J10" s="141"/>
      <c r="K10" s="141"/>
      <c r="L10" s="141"/>
      <c r="M10" s="141"/>
      <c r="N10" s="141"/>
      <c r="O10" s="141"/>
      <c r="P10" s="141"/>
      <c r="Q10" s="141"/>
      <c r="R10" s="141"/>
      <c r="S10" s="141"/>
    </row>
    <row r="11">
      <c r="A11" s="199" t="s">
        <v>4102</v>
      </c>
      <c r="B11" s="199" t="s">
        <v>4126</v>
      </c>
      <c r="C11" s="235" t="s">
        <v>4127</v>
      </c>
      <c r="D11" s="105" t="s">
        <v>4128</v>
      </c>
      <c r="E11" s="105" t="s">
        <v>4129</v>
      </c>
      <c r="F11" s="106">
        <v>0.21</v>
      </c>
      <c r="G11" s="141"/>
      <c r="H11" s="141"/>
      <c r="I11" s="141"/>
      <c r="J11" s="141"/>
      <c r="K11" s="141"/>
      <c r="L11" s="141"/>
      <c r="M11" s="141"/>
      <c r="N11" s="141"/>
      <c r="O11" s="141"/>
      <c r="P11" s="141"/>
      <c r="Q11" s="141"/>
      <c r="R11" s="141"/>
      <c r="S11" s="141"/>
    </row>
    <row r="12">
      <c r="A12" s="196" t="s">
        <v>4102</v>
      </c>
      <c r="B12" s="196" t="s">
        <v>4130</v>
      </c>
      <c r="C12" s="234" t="s">
        <v>4131</v>
      </c>
      <c r="D12" s="102" t="s">
        <v>4132</v>
      </c>
      <c r="E12" s="102" t="s">
        <v>4133</v>
      </c>
      <c r="F12" s="173">
        <v>0.21</v>
      </c>
      <c r="G12" s="141"/>
      <c r="H12" s="141"/>
      <c r="I12" s="141"/>
      <c r="J12" s="141"/>
      <c r="K12" s="141"/>
      <c r="L12" s="141"/>
      <c r="M12" s="141"/>
      <c r="N12" s="141"/>
      <c r="O12" s="141"/>
      <c r="P12" s="141"/>
      <c r="Q12" s="141"/>
      <c r="R12" s="141"/>
      <c r="S12" s="141"/>
    </row>
    <row r="13">
      <c r="A13" s="199" t="s">
        <v>4102</v>
      </c>
      <c r="B13" s="199" t="s">
        <v>4134</v>
      </c>
      <c r="C13" s="235" t="s">
        <v>4135</v>
      </c>
      <c r="D13" s="105" t="s">
        <v>4136</v>
      </c>
      <c r="E13" s="105" t="s">
        <v>4137</v>
      </c>
      <c r="F13" s="106">
        <v>0.21</v>
      </c>
      <c r="G13" s="141"/>
      <c r="H13" s="141"/>
      <c r="I13" s="141"/>
      <c r="J13" s="141"/>
      <c r="K13" s="141"/>
      <c r="L13" s="141"/>
      <c r="M13" s="141"/>
      <c r="N13" s="141"/>
      <c r="O13" s="141"/>
      <c r="P13" s="141"/>
      <c r="Q13" s="141"/>
      <c r="R13" s="141"/>
      <c r="S13" s="141"/>
    </row>
    <row r="14">
      <c r="A14" s="196" t="s">
        <v>4102</v>
      </c>
      <c r="B14" s="196" t="s">
        <v>4138</v>
      </c>
      <c r="C14" s="234" t="s">
        <v>4139</v>
      </c>
      <c r="D14" s="102" t="s">
        <v>4140</v>
      </c>
      <c r="E14" s="102" t="s">
        <v>4141</v>
      </c>
      <c r="F14" s="173">
        <v>0.21</v>
      </c>
      <c r="G14" s="141"/>
      <c r="H14" s="141"/>
      <c r="I14" s="141"/>
      <c r="J14" s="141"/>
      <c r="K14" s="141"/>
      <c r="L14" s="141"/>
      <c r="M14" s="141"/>
      <c r="N14" s="141"/>
      <c r="O14" s="141"/>
      <c r="P14" s="141"/>
      <c r="Q14" s="141"/>
      <c r="R14" s="141"/>
      <c r="S14" s="141"/>
    </row>
    <row r="15">
      <c r="A15" s="230" t="s">
        <v>4142</v>
      </c>
      <c r="B15" s="231"/>
      <c r="C15" s="231"/>
      <c r="D15" s="232"/>
      <c r="E15" s="232"/>
      <c r="F15" s="233"/>
      <c r="G15" s="130"/>
      <c r="H15" s="141"/>
      <c r="I15" s="141"/>
      <c r="J15" s="141"/>
      <c r="K15" s="141"/>
      <c r="L15" s="141"/>
      <c r="M15" s="141"/>
      <c r="N15" s="141"/>
      <c r="O15" s="141"/>
      <c r="P15" s="141"/>
      <c r="Q15" s="141"/>
      <c r="R15" s="141"/>
      <c r="S15" s="141"/>
    </row>
    <row r="16">
      <c r="A16" s="196" t="s">
        <v>4102</v>
      </c>
      <c r="B16" s="196" t="s">
        <v>4143</v>
      </c>
      <c r="C16" s="234" t="s">
        <v>4144</v>
      </c>
      <c r="D16" s="102" t="s">
        <v>4145</v>
      </c>
      <c r="E16" s="102" t="s">
        <v>4146</v>
      </c>
      <c r="F16" s="173">
        <v>0.21</v>
      </c>
      <c r="G16" s="141"/>
      <c r="H16" s="141"/>
      <c r="I16" s="141"/>
      <c r="J16" s="141"/>
      <c r="K16" s="141"/>
      <c r="L16" s="141"/>
      <c r="M16" s="141"/>
      <c r="N16" s="141"/>
      <c r="O16" s="141"/>
      <c r="P16" s="141"/>
      <c r="Q16" s="141"/>
      <c r="R16" s="141"/>
      <c r="S16" s="141"/>
    </row>
    <row r="17">
      <c r="A17" s="199" t="s">
        <v>4102</v>
      </c>
      <c r="B17" s="199" t="s">
        <v>4147</v>
      </c>
      <c r="C17" s="235" t="s">
        <v>4148</v>
      </c>
      <c r="D17" s="105" t="s">
        <v>4149</v>
      </c>
      <c r="E17" s="105" t="s">
        <v>4150</v>
      </c>
      <c r="F17" s="106">
        <v>0.21</v>
      </c>
      <c r="G17" s="141"/>
      <c r="H17" s="141"/>
      <c r="I17" s="141"/>
      <c r="J17" s="141"/>
      <c r="K17" s="141"/>
      <c r="L17" s="141"/>
      <c r="M17" s="141"/>
      <c r="N17" s="141"/>
      <c r="O17" s="141"/>
      <c r="P17" s="141"/>
      <c r="Q17" s="141"/>
      <c r="R17" s="141"/>
      <c r="S17" s="141"/>
    </row>
    <row r="18">
      <c r="A18" s="196" t="s">
        <v>4102</v>
      </c>
      <c r="B18" s="196" t="s">
        <v>4151</v>
      </c>
      <c r="C18" s="234" t="s">
        <v>4152</v>
      </c>
      <c r="D18" s="102" t="s">
        <v>2095</v>
      </c>
      <c r="E18" s="102" t="s">
        <v>2095</v>
      </c>
      <c r="F18" s="173">
        <v>0.21</v>
      </c>
      <c r="G18" s="141"/>
      <c r="H18" s="141"/>
      <c r="I18" s="141"/>
      <c r="J18" s="141"/>
      <c r="K18" s="141"/>
      <c r="L18" s="141"/>
      <c r="M18" s="141"/>
      <c r="N18" s="141"/>
      <c r="O18" s="141"/>
      <c r="P18" s="141"/>
      <c r="Q18" s="141"/>
      <c r="R18" s="141"/>
      <c r="S18" s="141"/>
    </row>
    <row r="19">
      <c r="A19" s="230" t="s">
        <v>4153</v>
      </c>
      <c r="B19" s="231"/>
      <c r="C19" s="231"/>
      <c r="D19" s="232"/>
      <c r="E19" s="232"/>
      <c r="F19" s="233"/>
      <c r="G19" s="130"/>
      <c r="H19" s="141"/>
      <c r="I19" s="141"/>
      <c r="J19" s="141"/>
      <c r="K19" s="141"/>
      <c r="L19" s="141"/>
      <c r="M19" s="141"/>
      <c r="N19" s="141"/>
      <c r="O19" s="141"/>
      <c r="P19" s="141"/>
      <c r="Q19" s="141"/>
      <c r="R19" s="141"/>
      <c r="S19" s="141"/>
    </row>
    <row r="20">
      <c r="A20" s="196" t="s">
        <v>4102</v>
      </c>
      <c r="B20" s="196" t="s">
        <v>4154</v>
      </c>
      <c r="C20" s="234" t="s">
        <v>4155</v>
      </c>
      <c r="D20" s="102" t="s">
        <v>4156</v>
      </c>
      <c r="E20" s="102" t="s">
        <v>4157</v>
      </c>
      <c r="F20" s="173">
        <v>0.21</v>
      </c>
      <c r="G20" s="141"/>
      <c r="H20" s="141"/>
      <c r="I20" s="141"/>
      <c r="J20" s="141"/>
      <c r="K20" s="141"/>
      <c r="L20" s="141"/>
      <c r="M20" s="141"/>
      <c r="N20" s="141"/>
      <c r="O20" s="141"/>
      <c r="P20" s="141"/>
      <c r="Q20" s="141"/>
      <c r="R20" s="141"/>
      <c r="S20" s="141"/>
    </row>
    <row r="21">
      <c r="A21" s="199" t="s">
        <v>4102</v>
      </c>
      <c r="B21" s="199" t="s">
        <v>4158</v>
      </c>
      <c r="C21" s="235" t="s">
        <v>4159</v>
      </c>
      <c r="D21" s="105" t="s">
        <v>4160</v>
      </c>
      <c r="E21" s="105" t="s">
        <v>4161</v>
      </c>
      <c r="F21" s="106">
        <v>0.21</v>
      </c>
      <c r="G21" s="141"/>
      <c r="H21" s="141"/>
      <c r="I21" s="141"/>
      <c r="J21" s="141"/>
      <c r="K21" s="141"/>
      <c r="L21" s="141"/>
      <c r="M21" s="141"/>
      <c r="N21" s="141"/>
      <c r="O21" s="141"/>
      <c r="P21" s="141"/>
      <c r="Q21" s="141"/>
      <c r="R21" s="141"/>
      <c r="S21" s="141"/>
    </row>
    <row r="22">
      <c r="A22" s="196" t="s">
        <v>4102</v>
      </c>
      <c r="B22" s="196" t="s">
        <v>4162</v>
      </c>
      <c r="C22" s="234" t="s">
        <v>4163</v>
      </c>
      <c r="D22" s="102" t="s">
        <v>4164</v>
      </c>
      <c r="E22" s="102" t="s">
        <v>4165</v>
      </c>
      <c r="F22" s="173">
        <v>0.21</v>
      </c>
      <c r="G22" s="141"/>
      <c r="H22" s="141"/>
      <c r="I22" s="141"/>
      <c r="J22" s="141"/>
      <c r="K22" s="141"/>
      <c r="L22" s="141"/>
      <c r="M22" s="141"/>
      <c r="N22" s="141"/>
      <c r="O22" s="141"/>
      <c r="P22" s="141"/>
      <c r="Q22" s="141"/>
      <c r="R22" s="141"/>
      <c r="S22" s="141"/>
    </row>
    <row r="23">
      <c r="A23" s="199" t="s">
        <v>4102</v>
      </c>
      <c r="B23" s="199" t="s">
        <v>4166</v>
      </c>
      <c r="C23" s="235" t="s">
        <v>4167</v>
      </c>
      <c r="D23" s="105" t="s">
        <v>4168</v>
      </c>
      <c r="E23" s="105" t="s">
        <v>4169</v>
      </c>
      <c r="F23" s="106">
        <v>0.21</v>
      </c>
      <c r="G23" s="141"/>
      <c r="H23" s="141"/>
      <c r="I23" s="141"/>
      <c r="J23" s="141"/>
      <c r="K23" s="141"/>
      <c r="L23" s="141"/>
      <c r="M23" s="141"/>
      <c r="N23" s="141"/>
      <c r="O23" s="141"/>
      <c r="P23" s="141"/>
      <c r="Q23" s="141"/>
      <c r="R23" s="141"/>
      <c r="S23" s="141"/>
    </row>
    <row r="24">
      <c r="A24" s="196" t="s">
        <v>4102</v>
      </c>
      <c r="B24" s="196" t="s">
        <v>4170</v>
      </c>
      <c r="C24" s="234" t="s">
        <v>4171</v>
      </c>
      <c r="D24" s="102" t="s">
        <v>4172</v>
      </c>
      <c r="E24" s="102" t="s">
        <v>4173</v>
      </c>
      <c r="F24" s="173">
        <v>0.21</v>
      </c>
      <c r="G24" s="141"/>
      <c r="H24" s="141"/>
      <c r="I24" s="141"/>
      <c r="J24" s="141"/>
      <c r="K24" s="141"/>
      <c r="L24" s="141"/>
      <c r="M24" s="141"/>
      <c r="N24" s="141"/>
      <c r="O24" s="141"/>
      <c r="P24" s="141"/>
      <c r="Q24" s="141"/>
      <c r="R24" s="141"/>
      <c r="S24" s="141"/>
    </row>
    <row r="25">
      <c r="A25" s="199" t="s">
        <v>4102</v>
      </c>
      <c r="B25" s="199" t="s">
        <v>4174</v>
      </c>
      <c r="C25" s="235" t="s">
        <v>4175</v>
      </c>
      <c r="D25" s="105" t="s">
        <v>4176</v>
      </c>
      <c r="E25" s="105" t="s">
        <v>4177</v>
      </c>
      <c r="F25" s="106">
        <v>0.21</v>
      </c>
      <c r="G25" s="141"/>
      <c r="H25" s="141"/>
      <c r="I25" s="141"/>
      <c r="J25" s="141"/>
      <c r="K25" s="141"/>
      <c r="L25" s="141"/>
      <c r="M25" s="141"/>
      <c r="N25" s="141"/>
      <c r="O25" s="141"/>
      <c r="P25" s="141"/>
      <c r="Q25" s="141"/>
      <c r="R25" s="141"/>
      <c r="S25" s="141"/>
    </row>
    <row r="26">
      <c r="A26" s="196" t="s">
        <v>4102</v>
      </c>
      <c r="B26" s="196" t="s">
        <v>4178</v>
      </c>
      <c r="C26" s="234" t="s">
        <v>4179</v>
      </c>
      <c r="D26" s="102" t="s">
        <v>4176</v>
      </c>
      <c r="E26" s="102" t="s">
        <v>4177</v>
      </c>
      <c r="F26" s="173">
        <v>0.21</v>
      </c>
      <c r="G26" s="141"/>
      <c r="H26" s="141"/>
      <c r="I26" s="141"/>
      <c r="J26" s="141"/>
      <c r="K26" s="141"/>
      <c r="L26" s="141"/>
      <c r="M26" s="141"/>
      <c r="N26" s="141"/>
      <c r="O26" s="141"/>
      <c r="P26" s="141"/>
      <c r="Q26" s="141"/>
      <c r="R26" s="141"/>
      <c r="S26" s="141"/>
    </row>
    <row r="27">
      <c r="A27" s="230" t="s">
        <v>4180</v>
      </c>
      <c r="B27" s="231"/>
      <c r="C27" s="231"/>
      <c r="D27" s="232"/>
      <c r="E27" s="232"/>
      <c r="F27" s="233"/>
      <c r="G27" s="130"/>
      <c r="H27" s="141"/>
      <c r="I27" s="141"/>
      <c r="J27" s="141"/>
      <c r="K27" s="141"/>
      <c r="L27" s="141"/>
      <c r="M27" s="141"/>
      <c r="N27" s="141"/>
      <c r="O27" s="141"/>
      <c r="P27" s="141"/>
      <c r="Q27" s="141"/>
      <c r="R27" s="141"/>
      <c r="S27" s="141"/>
    </row>
    <row r="28">
      <c r="A28" s="196" t="s">
        <v>4102</v>
      </c>
      <c r="B28" s="196" t="s">
        <v>4181</v>
      </c>
      <c r="C28" s="234" t="s">
        <v>4182</v>
      </c>
      <c r="D28" s="102" t="s">
        <v>4183</v>
      </c>
      <c r="E28" s="102" t="s">
        <v>4184</v>
      </c>
      <c r="F28" s="173">
        <v>0.21</v>
      </c>
      <c r="G28" s="141"/>
      <c r="H28" s="141"/>
      <c r="I28" s="141"/>
      <c r="J28" s="141"/>
      <c r="K28" s="141"/>
      <c r="L28" s="141"/>
      <c r="M28" s="141"/>
      <c r="N28" s="141"/>
      <c r="O28" s="141"/>
      <c r="P28" s="141"/>
      <c r="Q28" s="141"/>
      <c r="R28" s="141"/>
      <c r="S28" s="141"/>
    </row>
    <row r="29">
      <c r="A29" s="199" t="s">
        <v>4102</v>
      </c>
      <c r="B29" s="199" t="s">
        <v>4185</v>
      </c>
      <c r="C29" s="235" t="s">
        <v>4186</v>
      </c>
      <c r="D29" s="105" t="s">
        <v>4187</v>
      </c>
      <c r="E29" s="105" t="s">
        <v>4188</v>
      </c>
      <c r="F29" s="106">
        <v>0.21</v>
      </c>
      <c r="G29" s="141"/>
      <c r="H29" s="141"/>
      <c r="I29" s="141"/>
      <c r="J29" s="141"/>
      <c r="K29" s="141"/>
      <c r="L29" s="141"/>
      <c r="M29" s="141"/>
      <c r="N29" s="141"/>
      <c r="O29" s="141"/>
      <c r="P29" s="141"/>
      <c r="Q29" s="141"/>
      <c r="R29" s="141"/>
      <c r="S29" s="141"/>
    </row>
    <row r="30">
      <c r="A30" s="196" t="s">
        <v>4102</v>
      </c>
      <c r="B30" s="196" t="s">
        <v>4189</v>
      </c>
      <c r="C30" s="234" t="s">
        <v>4190</v>
      </c>
      <c r="D30" s="102" t="s">
        <v>4191</v>
      </c>
      <c r="E30" s="102" t="s">
        <v>4192</v>
      </c>
      <c r="F30" s="173">
        <v>0.21</v>
      </c>
      <c r="G30" s="141"/>
      <c r="H30" s="141"/>
      <c r="I30" s="141"/>
      <c r="J30" s="141"/>
      <c r="K30" s="141"/>
      <c r="L30" s="141"/>
      <c r="M30" s="141"/>
      <c r="N30" s="141"/>
      <c r="O30" s="141"/>
      <c r="P30" s="141"/>
      <c r="Q30" s="141"/>
      <c r="R30" s="141"/>
      <c r="S30" s="141"/>
    </row>
    <row r="31">
      <c r="A31" s="199" t="s">
        <v>4102</v>
      </c>
      <c r="B31" s="199" t="s">
        <v>4193</v>
      </c>
      <c r="C31" s="235" t="s">
        <v>4194</v>
      </c>
      <c r="D31" s="105" t="s">
        <v>4195</v>
      </c>
      <c r="E31" s="105" t="s">
        <v>4196</v>
      </c>
      <c r="F31" s="106">
        <v>0.21</v>
      </c>
      <c r="G31" s="141"/>
      <c r="H31" s="141"/>
      <c r="I31" s="141"/>
      <c r="J31" s="141"/>
      <c r="K31" s="141"/>
      <c r="L31" s="141"/>
      <c r="M31" s="141"/>
      <c r="N31" s="141"/>
      <c r="O31" s="141"/>
      <c r="P31" s="141"/>
      <c r="Q31" s="141"/>
      <c r="R31" s="141"/>
      <c r="S31" s="141"/>
    </row>
    <row r="32">
      <c r="A32" s="196" t="s">
        <v>4102</v>
      </c>
      <c r="B32" s="196" t="s">
        <v>4197</v>
      </c>
      <c r="C32" s="234" t="s">
        <v>4198</v>
      </c>
      <c r="D32" s="102" t="s">
        <v>4199</v>
      </c>
      <c r="E32" s="102" t="s">
        <v>4200</v>
      </c>
      <c r="F32" s="173">
        <v>0.21</v>
      </c>
      <c r="G32" s="141"/>
      <c r="H32" s="141"/>
      <c r="I32" s="141"/>
      <c r="J32" s="141"/>
      <c r="K32" s="141"/>
      <c r="L32" s="141"/>
      <c r="M32" s="141"/>
      <c r="N32" s="141"/>
      <c r="O32" s="141"/>
      <c r="P32" s="141"/>
      <c r="Q32" s="141"/>
      <c r="R32" s="141"/>
      <c r="S32" s="141"/>
    </row>
    <row r="33">
      <c r="A33" s="230" t="s">
        <v>4201</v>
      </c>
      <c r="B33" s="231"/>
      <c r="C33" s="231"/>
      <c r="D33" s="232"/>
      <c r="E33" s="232"/>
      <c r="F33" s="233"/>
      <c r="G33" s="130"/>
      <c r="H33" s="141"/>
      <c r="I33" s="141"/>
      <c r="J33" s="141"/>
      <c r="K33" s="141"/>
      <c r="L33" s="141"/>
      <c r="M33" s="141"/>
      <c r="N33" s="141"/>
      <c r="O33" s="141"/>
      <c r="P33" s="141"/>
      <c r="Q33" s="141"/>
      <c r="R33" s="141"/>
      <c r="S33" s="141"/>
    </row>
    <row r="34">
      <c r="A34" s="196" t="s">
        <v>4102</v>
      </c>
      <c r="B34" s="196" t="s">
        <v>4202</v>
      </c>
      <c r="C34" s="234" t="s">
        <v>4203</v>
      </c>
      <c r="D34" s="102" t="s">
        <v>4204</v>
      </c>
      <c r="E34" s="102" t="s">
        <v>4205</v>
      </c>
      <c r="F34" s="173">
        <v>0.21</v>
      </c>
      <c r="G34" s="141"/>
      <c r="H34" s="141"/>
      <c r="I34" s="141"/>
      <c r="J34" s="141"/>
      <c r="K34" s="141"/>
      <c r="L34" s="141"/>
      <c r="M34" s="141"/>
      <c r="N34" s="141"/>
      <c r="O34" s="141"/>
      <c r="P34" s="141"/>
      <c r="Q34" s="141"/>
      <c r="R34" s="141"/>
      <c r="S34" s="141"/>
    </row>
    <row r="35">
      <c r="A35" s="199" t="s">
        <v>4102</v>
      </c>
      <c r="B35" s="199" t="s">
        <v>4206</v>
      </c>
      <c r="C35" s="235" t="s">
        <v>4207</v>
      </c>
      <c r="D35" s="105" t="s">
        <v>4208</v>
      </c>
      <c r="E35" s="105" t="s">
        <v>4209</v>
      </c>
      <c r="F35" s="106">
        <v>0.21</v>
      </c>
      <c r="G35" s="141"/>
      <c r="H35" s="141"/>
      <c r="I35" s="141"/>
      <c r="J35" s="141"/>
      <c r="K35" s="141"/>
      <c r="L35" s="141"/>
      <c r="M35" s="141"/>
      <c r="N35" s="141"/>
      <c r="O35" s="141"/>
      <c r="P35" s="141"/>
      <c r="Q35" s="141"/>
      <c r="R35" s="141"/>
      <c r="S35" s="141"/>
    </row>
    <row r="36">
      <c r="A36" s="196" t="s">
        <v>4102</v>
      </c>
      <c r="B36" s="196" t="s">
        <v>4210</v>
      </c>
      <c r="C36" s="234" t="s">
        <v>4207</v>
      </c>
      <c r="D36" s="236"/>
      <c r="E36" s="236"/>
      <c r="F36" s="237"/>
      <c r="G36" s="141"/>
      <c r="H36" s="141"/>
      <c r="I36" s="141"/>
      <c r="J36" s="141"/>
      <c r="K36" s="141"/>
      <c r="L36" s="141"/>
      <c r="M36" s="141"/>
      <c r="N36" s="141"/>
      <c r="O36" s="141"/>
      <c r="P36" s="141"/>
      <c r="Q36" s="141"/>
      <c r="R36" s="141"/>
      <c r="S36" s="141"/>
    </row>
    <row r="37">
      <c r="A37" s="199" t="s">
        <v>4102</v>
      </c>
      <c r="B37" s="199" t="s">
        <v>4211</v>
      </c>
      <c r="C37" s="235" t="s">
        <v>4212</v>
      </c>
      <c r="D37" s="105" t="s">
        <v>4213</v>
      </c>
      <c r="E37" s="105" t="s">
        <v>4214</v>
      </c>
      <c r="F37" s="106">
        <v>0.21</v>
      </c>
      <c r="G37" s="141"/>
      <c r="H37" s="141"/>
      <c r="I37" s="141"/>
      <c r="J37" s="141"/>
      <c r="K37" s="141"/>
      <c r="L37" s="141"/>
      <c r="M37" s="141"/>
      <c r="N37" s="141"/>
      <c r="O37" s="141"/>
      <c r="P37" s="141"/>
      <c r="Q37" s="141"/>
      <c r="R37" s="141"/>
      <c r="S37" s="141"/>
    </row>
    <row r="38">
      <c r="A38" s="196" t="s">
        <v>4102</v>
      </c>
      <c r="B38" s="196" t="s">
        <v>4215</v>
      </c>
      <c r="C38" s="234" t="s">
        <v>4216</v>
      </c>
      <c r="D38" s="102" t="s">
        <v>4217</v>
      </c>
      <c r="E38" s="102" t="s">
        <v>4218</v>
      </c>
      <c r="F38" s="173">
        <v>0.21</v>
      </c>
      <c r="G38" s="141"/>
      <c r="H38" s="141"/>
      <c r="I38" s="141"/>
      <c r="J38" s="141"/>
      <c r="K38" s="141"/>
      <c r="L38" s="141"/>
      <c r="M38" s="141"/>
      <c r="N38" s="141"/>
      <c r="O38" s="141"/>
      <c r="P38" s="141"/>
      <c r="Q38" s="141"/>
      <c r="R38" s="141"/>
      <c r="S38" s="141"/>
    </row>
    <row r="39">
      <c r="A39" s="199" t="s">
        <v>4102</v>
      </c>
      <c r="B39" s="199" t="s">
        <v>4219</v>
      </c>
      <c r="C39" s="235" t="s">
        <v>4220</v>
      </c>
      <c r="D39" s="105" t="s">
        <v>4217</v>
      </c>
      <c r="E39" s="105" t="s">
        <v>4218</v>
      </c>
      <c r="F39" s="106">
        <v>0.21</v>
      </c>
      <c r="G39" s="141"/>
      <c r="H39" s="141"/>
      <c r="I39" s="141"/>
      <c r="J39" s="141"/>
      <c r="K39" s="141"/>
      <c r="L39" s="141"/>
      <c r="M39" s="141"/>
      <c r="N39" s="141"/>
      <c r="O39" s="141"/>
      <c r="P39" s="141"/>
      <c r="Q39" s="141"/>
      <c r="R39" s="141"/>
      <c r="S39" s="141"/>
    </row>
    <row r="40">
      <c r="A40" s="196" t="s">
        <v>4102</v>
      </c>
      <c r="B40" s="196" t="s">
        <v>4221</v>
      </c>
      <c r="C40" s="234" t="s">
        <v>4222</v>
      </c>
      <c r="D40" s="102" t="s">
        <v>4223</v>
      </c>
      <c r="E40" s="102" t="s">
        <v>4224</v>
      </c>
      <c r="F40" s="173">
        <v>0.21</v>
      </c>
      <c r="G40" s="141"/>
      <c r="H40" s="141"/>
      <c r="I40" s="141"/>
      <c r="J40" s="141"/>
      <c r="K40" s="141"/>
      <c r="L40" s="141"/>
      <c r="M40" s="141"/>
      <c r="N40" s="141"/>
      <c r="O40" s="141"/>
      <c r="P40" s="141"/>
      <c r="Q40" s="141"/>
      <c r="R40" s="141"/>
      <c r="S40" s="141"/>
    </row>
    <row r="41">
      <c r="A41" s="199" t="s">
        <v>4102</v>
      </c>
      <c r="B41" s="199" t="s">
        <v>4225</v>
      </c>
      <c r="C41" s="235" t="s">
        <v>4226</v>
      </c>
      <c r="D41" s="105" t="s">
        <v>4223</v>
      </c>
      <c r="E41" s="105" t="s">
        <v>4224</v>
      </c>
      <c r="F41" s="106">
        <v>0.21</v>
      </c>
      <c r="G41" s="141"/>
      <c r="H41" s="141"/>
      <c r="I41" s="141"/>
      <c r="J41" s="141"/>
      <c r="K41" s="141"/>
      <c r="L41" s="141"/>
      <c r="M41" s="141"/>
      <c r="N41" s="141"/>
      <c r="O41" s="141"/>
      <c r="P41" s="141"/>
      <c r="Q41" s="141"/>
      <c r="R41" s="141"/>
      <c r="S41" s="141"/>
    </row>
    <row r="42">
      <c r="A42" s="230" t="s">
        <v>4227</v>
      </c>
      <c r="B42" s="231"/>
      <c r="C42" s="231"/>
      <c r="D42" s="232"/>
      <c r="E42" s="232"/>
      <c r="F42" s="233"/>
      <c r="G42" s="130"/>
      <c r="H42" s="141"/>
      <c r="I42" s="141"/>
      <c r="J42" s="141"/>
      <c r="K42" s="141"/>
      <c r="L42" s="141"/>
      <c r="M42" s="141"/>
      <c r="N42" s="141"/>
      <c r="O42" s="141"/>
      <c r="P42" s="141"/>
      <c r="Q42" s="141"/>
      <c r="R42" s="141"/>
      <c r="S42" s="141"/>
    </row>
    <row r="43">
      <c r="A43" s="196" t="s">
        <v>4102</v>
      </c>
      <c r="B43" s="196" t="s">
        <v>4228</v>
      </c>
      <c r="C43" s="234" t="s">
        <v>4229</v>
      </c>
      <c r="D43" s="102" t="s">
        <v>4230</v>
      </c>
      <c r="E43" s="102" t="s">
        <v>4231</v>
      </c>
      <c r="F43" s="173">
        <v>0.21</v>
      </c>
      <c r="G43" s="141"/>
      <c r="H43" s="141"/>
      <c r="I43" s="141"/>
      <c r="J43" s="141"/>
      <c r="K43" s="141"/>
      <c r="L43" s="141"/>
      <c r="M43" s="141"/>
      <c r="N43" s="141"/>
      <c r="O43" s="141"/>
      <c r="P43" s="141"/>
      <c r="Q43" s="141"/>
      <c r="R43" s="141"/>
      <c r="S43" s="141"/>
    </row>
    <row r="44">
      <c r="A44" s="199" t="s">
        <v>4102</v>
      </c>
      <c r="B44" s="199" t="s">
        <v>4232</v>
      </c>
      <c r="C44" s="235" t="s">
        <v>4233</v>
      </c>
      <c r="D44" s="105" t="s">
        <v>4234</v>
      </c>
      <c r="E44" s="105" t="s">
        <v>4235</v>
      </c>
      <c r="F44" s="106">
        <v>0.21</v>
      </c>
      <c r="G44" s="141"/>
      <c r="H44" s="141"/>
      <c r="I44" s="141"/>
      <c r="J44" s="141"/>
      <c r="K44" s="141"/>
      <c r="L44" s="141"/>
      <c r="M44" s="141"/>
      <c r="N44" s="141"/>
      <c r="O44" s="141"/>
      <c r="P44" s="141"/>
      <c r="Q44" s="141"/>
      <c r="R44" s="141"/>
      <c r="S44" s="141"/>
    </row>
    <row r="45">
      <c r="A45" s="141"/>
      <c r="B45" s="141"/>
      <c r="C45" s="141"/>
      <c r="D45" s="92"/>
      <c r="E45" s="92"/>
      <c r="F45" s="141"/>
      <c r="G45" s="141"/>
      <c r="H45" s="141"/>
      <c r="I45" s="141"/>
      <c r="J45" s="141"/>
      <c r="K45" s="141"/>
      <c r="L45" s="141"/>
      <c r="M45" s="141"/>
      <c r="N45" s="141"/>
      <c r="O45" s="141"/>
      <c r="P45" s="141"/>
      <c r="Q45" s="141"/>
      <c r="R45" s="141"/>
      <c r="S45" s="141"/>
    </row>
    <row r="46">
      <c r="A46" s="141"/>
      <c r="B46" s="141"/>
      <c r="C46" s="141"/>
      <c r="D46" s="238"/>
      <c r="E46" s="92"/>
      <c r="F46" s="239"/>
      <c r="G46" s="141"/>
      <c r="H46" s="141"/>
      <c r="I46" s="141"/>
      <c r="J46" s="141"/>
      <c r="K46" s="141"/>
      <c r="L46" s="141"/>
      <c r="M46" s="141"/>
      <c r="N46" s="141"/>
      <c r="O46" s="141"/>
      <c r="P46" s="141"/>
      <c r="Q46" s="141"/>
      <c r="R46" s="141"/>
      <c r="S46" s="141"/>
    </row>
    <row r="47">
      <c r="A47" s="141"/>
      <c r="B47" s="141"/>
      <c r="C47" s="141"/>
      <c r="D47" s="92"/>
      <c r="E47" s="92"/>
      <c r="F47" s="141"/>
      <c r="G47" s="141"/>
      <c r="H47" s="141"/>
      <c r="I47" s="141"/>
      <c r="J47" s="141"/>
      <c r="K47" s="141"/>
      <c r="L47" s="141"/>
      <c r="M47" s="141"/>
      <c r="N47" s="141"/>
      <c r="O47" s="141"/>
      <c r="P47" s="141"/>
      <c r="Q47" s="141"/>
      <c r="R47" s="141"/>
      <c r="S47" s="141"/>
    </row>
    <row r="48">
      <c r="A48" s="141"/>
      <c r="B48" s="141"/>
      <c r="C48" s="141"/>
      <c r="D48" s="238"/>
      <c r="E48" s="92"/>
      <c r="F48" s="239"/>
      <c r="G48" s="141"/>
      <c r="H48" s="141"/>
      <c r="I48" s="141"/>
      <c r="J48" s="141"/>
      <c r="K48" s="141"/>
      <c r="L48" s="141"/>
      <c r="M48" s="141"/>
      <c r="N48" s="141"/>
      <c r="O48" s="141"/>
      <c r="P48" s="141"/>
      <c r="Q48" s="141"/>
      <c r="R48" s="141"/>
      <c r="S48" s="141"/>
    </row>
    <row r="49">
      <c r="A49" s="141"/>
      <c r="B49" s="141"/>
      <c r="C49" s="141"/>
      <c r="D49" s="92"/>
      <c r="E49" s="92"/>
      <c r="F49" s="141"/>
      <c r="G49" s="141"/>
      <c r="H49" s="141"/>
      <c r="I49" s="141"/>
      <c r="J49" s="141"/>
      <c r="K49" s="141"/>
      <c r="L49" s="141"/>
      <c r="M49" s="141"/>
      <c r="N49" s="141"/>
      <c r="O49" s="141"/>
      <c r="P49" s="141"/>
      <c r="Q49" s="141"/>
      <c r="R49" s="141"/>
      <c r="S49" s="141"/>
    </row>
    <row r="50">
      <c r="A50" s="141"/>
      <c r="B50" s="141"/>
      <c r="C50" s="141"/>
      <c r="D50" s="238"/>
      <c r="E50" s="92"/>
      <c r="F50" s="239"/>
      <c r="G50" s="141"/>
      <c r="H50" s="141"/>
      <c r="I50" s="141"/>
      <c r="J50" s="141"/>
      <c r="K50" s="141"/>
      <c r="L50" s="141"/>
      <c r="M50" s="141"/>
      <c r="N50" s="141"/>
      <c r="O50" s="141"/>
      <c r="P50" s="141"/>
      <c r="Q50" s="141"/>
      <c r="R50" s="141"/>
      <c r="S50" s="141"/>
    </row>
    <row r="51">
      <c r="A51" s="141"/>
      <c r="B51" s="141"/>
      <c r="C51" s="141"/>
      <c r="D51" s="92"/>
      <c r="E51" s="92"/>
      <c r="F51" s="141"/>
      <c r="G51" s="141"/>
      <c r="H51" s="141"/>
      <c r="I51" s="141"/>
      <c r="J51" s="141"/>
      <c r="K51" s="141"/>
      <c r="L51" s="141"/>
      <c r="M51" s="141"/>
      <c r="N51" s="141"/>
      <c r="O51" s="141"/>
      <c r="P51" s="141"/>
      <c r="Q51" s="141"/>
      <c r="R51" s="141"/>
      <c r="S51" s="141"/>
    </row>
    <row r="52">
      <c r="A52" s="141"/>
      <c r="B52" s="141"/>
      <c r="C52" s="141"/>
      <c r="D52" s="92"/>
      <c r="E52" s="92"/>
      <c r="F52" s="141"/>
      <c r="G52" s="141"/>
      <c r="H52" s="141"/>
      <c r="I52" s="141"/>
      <c r="J52" s="141"/>
      <c r="K52" s="141"/>
      <c r="L52" s="141"/>
      <c r="M52" s="141"/>
      <c r="N52" s="141"/>
      <c r="O52" s="141"/>
      <c r="P52" s="141"/>
      <c r="Q52" s="141"/>
      <c r="R52" s="141"/>
      <c r="S52" s="141"/>
    </row>
    <row r="53">
      <c r="A53" s="141"/>
      <c r="B53" s="141"/>
      <c r="C53" s="141"/>
      <c r="D53" s="238"/>
      <c r="E53" s="92"/>
      <c r="F53" s="239"/>
      <c r="G53" s="141"/>
      <c r="H53" s="141"/>
      <c r="I53" s="141"/>
      <c r="J53" s="141"/>
      <c r="K53" s="141"/>
      <c r="L53" s="141"/>
      <c r="M53" s="141"/>
      <c r="N53" s="141"/>
      <c r="O53" s="141"/>
      <c r="P53" s="141"/>
      <c r="Q53" s="141"/>
      <c r="R53" s="141"/>
      <c r="S53" s="141"/>
    </row>
    <row r="54">
      <c r="A54" s="141"/>
      <c r="B54" s="141"/>
      <c r="C54" s="141"/>
      <c r="D54" s="92"/>
      <c r="E54" s="92"/>
      <c r="F54" s="141"/>
      <c r="G54" s="141"/>
      <c r="H54" s="141"/>
      <c r="I54" s="141"/>
      <c r="J54" s="141"/>
      <c r="K54" s="141"/>
      <c r="L54" s="141"/>
      <c r="M54" s="141"/>
      <c r="N54" s="141"/>
      <c r="O54" s="141"/>
      <c r="P54" s="141"/>
      <c r="Q54" s="141"/>
      <c r="R54" s="141"/>
      <c r="S54" s="141"/>
    </row>
    <row r="55">
      <c r="A55" s="141"/>
      <c r="B55" s="141"/>
      <c r="C55" s="141"/>
      <c r="D55" s="238"/>
      <c r="E55" s="92"/>
      <c r="F55" s="239"/>
      <c r="G55" s="141"/>
      <c r="H55" s="141"/>
      <c r="I55" s="141"/>
      <c r="J55" s="141"/>
      <c r="K55" s="141"/>
      <c r="L55" s="141"/>
      <c r="M55" s="141"/>
      <c r="N55" s="141"/>
      <c r="O55" s="141"/>
      <c r="P55" s="141"/>
      <c r="Q55" s="141"/>
      <c r="R55" s="141"/>
      <c r="S55" s="141"/>
    </row>
    <row r="56">
      <c r="A56" s="141"/>
      <c r="B56" s="141"/>
      <c r="C56" s="141"/>
      <c r="D56" s="92"/>
      <c r="E56" s="92"/>
      <c r="F56" s="141"/>
      <c r="G56" s="141"/>
      <c r="H56" s="141"/>
      <c r="I56" s="141"/>
      <c r="J56" s="141"/>
      <c r="K56" s="141"/>
      <c r="L56" s="141"/>
      <c r="M56" s="141"/>
      <c r="N56" s="141"/>
      <c r="O56" s="141"/>
      <c r="P56" s="141"/>
      <c r="Q56" s="141"/>
      <c r="R56" s="141"/>
      <c r="S56" s="141"/>
    </row>
    <row r="57">
      <c r="A57" s="141"/>
      <c r="B57" s="141"/>
      <c r="C57" s="141"/>
      <c r="D57" s="238"/>
      <c r="E57" s="92"/>
      <c r="F57" s="239"/>
      <c r="G57" s="141"/>
      <c r="H57" s="141"/>
      <c r="I57" s="141"/>
      <c r="J57" s="141"/>
      <c r="K57" s="141"/>
      <c r="L57" s="141"/>
      <c r="M57" s="141"/>
      <c r="N57" s="141"/>
      <c r="O57" s="141"/>
      <c r="P57" s="141"/>
      <c r="Q57" s="141"/>
      <c r="R57" s="141"/>
      <c r="S57" s="141"/>
    </row>
    <row r="58">
      <c r="A58" s="141"/>
      <c r="B58" s="141"/>
      <c r="C58" s="141"/>
      <c r="D58" s="92"/>
      <c r="E58" s="92"/>
      <c r="F58" s="141"/>
      <c r="G58" s="141"/>
      <c r="H58" s="141"/>
      <c r="I58" s="141"/>
      <c r="J58" s="141"/>
      <c r="K58" s="141"/>
      <c r="L58" s="141"/>
      <c r="M58" s="141"/>
      <c r="N58" s="141"/>
      <c r="O58" s="141"/>
      <c r="P58" s="141"/>
      <c r="Q58" s="141"/>
      <c r="R58" s="141"/>
      <c r="S58" s="141"/>
    </row>
    <row r="59">
      <c r="A59" s="141"/>
      <c r="B59" s="141"/>
      <c r="C59" s="141"/>
      <c r="D59" s="238"/>
      <c r="E59" s="92"/>
      <c r="F59" s="239"/>
      <c r="G59" s="141"/>
      <c r="H59" s="141"/>
      <c r="I59" s="141"/>
      <c r="J59" s="141"/>
      <c r="K59" s="141"/>
      <c r="L59" s="141"/>
      <c r="M59" s="141"/>
      <c r="N59" s="141"/>
      <c r="O59" s="141"/>
      <c r="P59" s="141"/>
      <c r="Q59" s="141"/>
      <c r="R59" s="141"/>
      <c r="S59" s="141"/>
    </row>
    <row r="60">
      <c r="A60" s="141"/>
      <c r="B60" s="141"/>
      <c r="C60" s="141"/>
      <c r="D60" s="92"/>
      <c r="E60" s="92"/>
      <c r="F60" s="141"/>
      <c r="G60" s="141"/>
      <c r="H60" s="141"/>
      <c r="I60" s="141"/>
      <c r="J60" s="141"/>
      <c r="K60" s="141"/>
      <c r="L60" s="141"/>
      <c r="M60" s="141"/>
      <c r="N60" s="141"/>
      <c r="O60" s="141"/>
      <c r="P60" s="141"/>
      <c r="Q60" s="141"/>
      <c r="R60" s="141"/>
      <c r="S60" s="141"/>
    </row>
    <row r="61">
      <c r="A61" s="141"/>
      <c r="B61" s="141"/>
      <c r="C61" s="141"/>
      <c r="D61" s="92"/>
      <c r="E61" s="92"/>
      <c r="F61" s="239"/>
      <c r="G61" s="141"/>
      <c r="H61" s="141"/>
      <c r="I61" s="141"/>
      <c r="J61" s="141"/>
      <c r="K61" s="141"/>
      <c r="L61" s="141"/>
      <c r="M61" s="141"/>
      <c r="N61" s="141"/>
      <c r="O61" s="141"/>
      <c r="P61" s="141"/>
      <c r="Q61" s="141"/>
      <c r="R61" s="141"/>
      <c r="S61" s="141"/>
    </row>
    <row r="62">
      <c r="A62" s="141"/>
      <c r="B62" s="141"/>
      <c r="C62" s="141"/>
      <c r="D62" s="92"/>
      <c r="E62" s="92"/>
      <c r="F62" s="141"/>
      <c r="G62" s="141"/>
      <c r="H62" s="141"/>
      <c r="I62" s="141"/>
      <c r="J62" s="141"/>
      <c r="K62" s="141"/>
      <c r="L62" s="141"/>
      <c r="M62" s="141"/>
      <c r="N62" s="141"/>
      <c r="O62" s="141"/>
      <c r="P62" s="141"/>
      <c r="Q62" s="141"/>
      <c r="R62" s="141"/>
      <c r="S62" s="141"/>
    </row>
    <row r="63">
      <c r="A63" s="141"/>
      <c r="B63" s="141"/>
      <c r="C63" s="186"/>
      <c r="D63" s="238"/>
      <c r="E63" s="92"/>
      <c r="F63" s="240"/>
      <c r="G63" s="141"/>
      <c r="H63" s="141"/>
      <c r="I63" s="141"/>
      <c r="J63" s="141"/>
      <c r="K63" s="141"/>
      <c r="L63" s="141"/>
      <c r="M63" s="141"/>
      <c r="N63" s="141"/>
      <c r="O63" s="141"/>
      <c r="P63" s="141"/>
      <c r="Q63" s="141"/>
      <c r="R63" s="141"/>
      <c r="S63" s="141"/>
    </row>
    <row r="64">
      <c r="A64" s="141"/>
      <c r="B64" s="141"/>
      <c r="C64" s="141"/>
      <c r="D64" s="92"/>
      <c r="E64" s="92"/>
      <c r="F64" s="239"/>
      <c r="G64" s="141"/>
      <c r="H64" s="141"/>
      <c r="I64" s="141"/>
      <c r="J64" s="141"/>
      <c r="K64" s="141"/>
      <c r="L64" s="141"/>
      <c r="M64" s="141"/>
      <c r="N64" s="141"/>
      <c r="O64" s="141"/>
      <c r="P64" s="141"/>
      <c r="Q64" s="141"/>
      <c r="R64" s="141"/>
      <c r="S64" s="141"/>
    </row>
    <row r="65">
      <c r="A65" s="141"/>
      <c r="B65" s="141"/>
      <c r="C65" s="141"/>
      <c r="D65" s="92"/>
      <c r="E65" s="92"/>
      <c r="F65" s="239"/>
      <c r="G65" s="141"/>
      <c r="H65" s="141"/>
      <c r="I65" s="141"/>
      <c r="J65" s="141"/>
      <c r="K65" s="141"/>
      <c r="L65" s="141"/>
      <c r="M65" s="141"/>
      <c r="N65" s="141"/>
      <c r="O65" s="141"/>
      <c r="P65" s="141"/>
      <c r="Q65" s="141"/>
      <c r="R65" s="141"/>
      <c r="S65" s="141"/>
    </row>
    <row r="66">
      <c r="A66" s="141"/>
      <c r="B66" s="141"/>
      <c r="C66" s="141"/>
      <c r="D66" s="92"/>
      <c r="E66" s="92"/>
      <c r="F66" s="239"/>
      <c r="G66" s="141"/>
      <c r="H66" s="141"/>
      <c r="I66" s="141"/>
      <c r="J66" s="141"/>
      <c r="K66" s="141"/>
      <c r="L66" s="141"/>
      <c r="M66" s="141"/>
      <c r="N66" s="141"/>
      <c r="O66" s="141"/>
      <c r="P66" s="141"/>
      <c r="Q66" s="141"/>
      <c r="R66" s="141"/>
      <c r="S66" s="141"/>
    </row>
    <row r="67">
      <c r="A67" s="141"/>
      <c r="B67" s="141"/>
      <c r="C67" s="141"/>
      <c r="D67" s="92"/>
      <c r="E67" s="92"/>
      <c r="F67" s="141"/>
      <c r="G67" s="141"/>
      <c r="H67" s="141"/>
      <c r="I67" s="141"/>
      <c r="J67" s="141"/>
      <c r="K67" s="141"/>
      <c r="L67" s="141"/>
      <c r="M67" s="141"/>
      <c r="N67" s="141"/>
      <c r="O67" s="141"/>
      <c r="P67" s="141"/>
      <c r="Q67" s="141"/>
      <c r="R67" s="141"/>
      <c r="S67" s="141"/>
    </row>
    <row r="68">
      <c r="A68" s="141"/>
      <c r="B68" s="141"/>
      <c r="C68" s="141"/>
      <c r="D68" s="92"/>
      <c r="E68" s="92"/>
      <c r="F68" s="141"/>
      <c r="G68" s="141"/>
      <c r="H68" s="141"/>
      <c r="I68" s="141"/>
      <c r="J68" s="141"/>
      <c r="K68" s="141"/>
      <c r="L68" s="141"/>
      <c r="M68" s="141"/>
      <c r="N68" s="141"/>
      <c r="O68" s="141"/>
      <c r="P68" s="141"/>
      <c r="Q68" s="141"/>
      <c r="R68" s="141"/>
      <c r="S68" s="141"/>
    </row>
    <row r="69">
      <c r="A69" s="141"/>
      <c r="B69" s="141"/>
      <c r="C69" s="141"/>
      <c r="D69" s="92"/>
      <c r="E69" s="92"/>
      <c r="F69" s="141"/>
      <c r="G69" s="141"/>
      <c r="H69" s="141"/>
      <c r="I69" s="141"/>
      <c r="J69" s="141"/>
      <c r="K69" s="141"/>
      <c r="L69" s="141"/>
      <c r="M69" s="141"/>
      <c r="N69" s="141"/>
      <c r="O69" s="141"/>
      <c r="P69" s="141"/>
      <c r="Q69" s="141"/>
      <c r="R69" s="141"/>
      <c r="S69" s="141"/>
    </row>
    <row r="70">
      <c r="A70" s="141"/>
      <c r="B70" s="141"/>
      <c r="C70" s="141"/>
      <c r="D70" s="238"/>
      <c r="E70" s="92"/>
      <c r="F70" s="141"/>
      <c r="G70" s="141"/>
      <c r="H70" s="141"/>
      <c r="I70" s="141"/>
      <c r="J70" s="141"/>
      <c r="K70" s="141"/>
      <c r="L70" s="141"/>
      <c r="M70" s="141"/>
      <c r="N70" s="141"/>
      <c r="O70" s="141"/>
      <c r="P70" s="141"/>
      <c r="Q70" s="141"/>
      <c r="R70" s="141"/>
      <c r="S70" s="141"/>
    </row>
    <row r="71">
      <c r="A71" s="141"/>
      <c r="B71" s="141"/>
      <c r="C71" s="141"/>
      <c r="D71" s="238"/>
      <c r="E71" s="92"/>
      <c r="F71" s="141"/>
      <c r="G71" s="141"/>
      <c r="H71" s="141"/>
      <c r="I71" s="141"/>
      <c r="J71" s="141"/>
      <c r="K71" s="141"/>
      <c r="L71" s="141"/>
      <c r="M71" s="141"/>
      <c r="N71" s="141"/>
      <c r="O71" s="141"/>
      <c r="P71" s="141"/>
      <c r="Q71" s="141"/>
      <c r="R71" s="141"/>
      <c r="S71" s="141"/>
    </row>
    <row r="72">
      <c r="A72" s="141"/>
      <c r="B72" s="141"/>
      <c r="C72" s="141"/>
      <c r="D72" s="92"/>
      <c r="E72" s="92"/>
      <c r="F72" s="141"/>
      <c r="G72" s="141"/>
      <c r="H72" s="141"/>
      <c r="I72" s="141"/>
      <c r="J72" s="141"/>
      <c r="K72" s="141"/>
      <c r="L72" s="141"/>
      <c r="M72" s="141"/>
      <c r="N72" s="141"/>
      <c r="O72" s="141"/>
      <c r="P72" s="141"/>
      <c r="Q72" s="141"/>
      <c r="R72" s="141"/>
      <c r="S72" s="141"/>
    </row>
    <row r="73">
      <c r="A73" s="141"/>
      <c r="B73" s="141"/>
      <c r="C73" s="141"/>
      <c r="D73" s="92"/>
      <c r="E73" s="92"/>
      <c r="F73" s="141"/>
      <c r="G73" s="141"/>
      <c r="H73" s="141"/>
      <c r="I73" s="141"/>
      <c r="J73" s="141"/>
      <c r="K73" s="141"/>
      <c r="L73" s="141"/>
      <c r="M73" s="141"/>
      <c r="N73" s="141"/>
      <c r="O73" s="141"/>
      <c r="P73" s="141"/>
      <c r="Q73" s="141"/>
      <c r="R73" s="141"/>
      <c r="S73" s="141"/>
    </row>
    <row r="74">
      <c r="A74" s="141"/>
      <c r="B74" s="141"/>
      <c r="C74" s="141"/>
      <c r="D74" s="92"/>
      <c r="E74" s="92"/>
      <c r="F74" s="141"/>
      <c r="G74" s="141"/>
      <c r="H74" s="141"/>
      <c r="I74" s="141"/>
      <c r="J74" s="141"/>
      <c r="K74" s="141"/>
      <c r="L74" s="141"/>
      <c r="M74" s="141"/>
      <c r="N74" s="141"/>
      <c r="O74" s="141"/>
      <c r="P74" s="141"/>
      <c r="Q74" s="141"/>
      <c r="R74" s="141"/>
      <c r="S74" s="141"/>
    </row>
    <row r="75">
      <c r="A75" s="141"/>
      <c r="B75" s="141"/>
      <c r="C75" s="141"/>
      <c r="D75" s="92"/>
      <c r="E75" s="92"/>
      <c r="F75" s="141"/>
      <c r="G75" s="141"/>
      <c r="H75" s="141"/>
      <c r="I75" s="141"/>
      <c r="J75" s="141"/>
      <c r="K75" s="141"/>
      <c r="L75" s="141"/>
      <c r="M75" s="141"/>
      <c r="N75" s="141"/>
      <c r="O75" s="141"/>
      <c r="P75" s="141"/>
      <c r="Q75" s="141"/>
      <c r="R75" s="141"/>
      <c r="S75" s="141"/>
    </row>
    <row r="76">
      <c r="A76" s="141"/>
      <c r="B76" s="141"/>
      <c r="C76" s="141"/>
      <c r="D76" s="238"/>
      <c r="E76" s="92"/>
      <c r="F76" s="141"/>
      <c r="G76" s="141"/>
      <c r="H76" s="141"/>
      <c r="I76" s="141"/>
      <c r="J76" s="141"/>
      <c r="K76" s="141"/>
      <c r="L76" s="141"/>
      <c r="M76" s="141"/>
      <c r="N76" s="141"/>
      <c r="O76" s="141"/>
      <c r="P76" s="141"/>
      <c r="Q76" s="141"/>
      <c r="R76" s="141"/>
      <c r="S76" s="141"/>
    </row>
    <row r="77">
      <c r="A77" s="141"/>
      <c r="B77" s="141"/>
      <c r="C77" s="141"/>
      <c r="D77" s="238"/>
      <c r="E77" s="92"/>
      <c r="F77" s="141"/>
      <c r="G77" s="141"/>
      <c r="H77" s="141"/>
      <c r="I77" s="141"/>
      <c r="J77" s="141"/>
      <c r="K77" s="141"/>
      <c r="L77" s="141"/>
      <c r="M77" s="141"/>
      <c r="N77" s="141"/>
      <c r="O77" s="141"/>
      <c r="P77" s="141"/>
      <c r="Q77" s="141"/>
      <c r="R77" s="141"/>
      <c r="S77" s="141"/>
    </row>
    <row r="78">
      <c r="A78" s="141"/>
      <c r="B78" s="141"/>
      <c r="C78" s="141"/>
      <c r="D78" s="92"/>
      <c r="E78" s="92"/>
      <c r="F78" s="141"/>
      <c r="G78" s="141"/>
      <c r="H78" s="141"/>
      <c r="I78" s="141"/>
      <c r="J78" s="141"/>
      <c r="K78" s="141"/>
      <c r="L78" s="141"/>
      <c r="M78" s="141"/>
      <c r="N78" s="141"/>
      <c r="O78" s="141"/>
      <c r="P78" s="141"/>
      <c r="Q78" s="141"/>
      <c r="R78" s="141"/>
      <c r="S78" s="141"/>
    </row>
    <row r="79">
      <c r="A79" s="141"/>
      <c r="B79" s="141"/>
      <c r="C79" s="141"/>
      <c r="D79" s="92"/>
      <c r="E79" s="92"/>
      <c r="F79" s="141"/>
      <c r="G79" s="141"/>
      <c r="H79" s="141"/>
      <c r="I79" s="141"/>
      <c r="J79" s="141"/>
      <c r="K79" s="141"/>
      <c r="L79" s="141"/>
      <c r="M79" s="141"/>
      <c r="N79" s="141"/>
      <c r="O79" s="141"/>
      <c r="P79" s="141"/>
      <c r="Q79" s="141"/>
      <c r="R79" s="141"/>
      <c r="S79" s="141"/>
    </row>
    <row r="80">
      <c r="A80" s="141"/>
      <c r="B80" s="141"/>
      <c r="C80" s="141"/>
      <c r="D80" s="238"/>
      <c r="E80" s="92"/>
      <c r="F80" s="141"/>
      <c r="G80" s="141"/>
      <c r="H80" s="141"/>
      <c r="I80" s="141"/>
      <c r="J80" s="141"/>
      <c r="K80" s="141"/>
      <c r="L80" s="141"/>
      <c r="M80" s="141"/>
      <c r="N80" s="141"/>
      <c r="O80" s="141"/>
      <c r="P80" s="141"/>
      <c r="Q80" s="141"/>
      <c r="R80" s="141"/>
      <c r="S80" s="141"/>
    </row>
    <row r="81">
      <c r="A81" s="141"/>
      <c r="B81" s="141"/>
      <c r="C81" s="141"/>
      <c r="D81" s="238"/>
      <c r="E81" s="92"/>
      <c r="F81" s="141"/>
      <c r="G81" s="141"/>
      <c r="H81" s="141"/>
      <c r="I81" s="141"/>
      <c r="J81" s="141"/>
      <c r="K81" s="141"/>
      <c r="L81" s="141"/>
      <c r="M81" s="141"/>
      <c r="N81" s="141"/>
      <c r="O81" s="141"/>
      <c r="P81" s="141"/>
      <c r="Q81" s="141"/>
      <c r="R81" s="141"/>
      <c r="S81" s="141"/>
    </row>
    <row r="82">
      <c r="A82" s="141"/>
      <c r="B82" s="141"/>
      <c r="C82" s="141"/>
      <c r="D82" s="92"/>
      <c r="E82" s="92"/>
      <c r="F82" s="141"/>
      <c r="G82" s="141"/>
      <c r="H82" s="141"/>
      <c r="I82" s="141"/>
      <c r="J82" s="141"/>
      <c r="K82" s="141"/>
      <c r="L82" s="141"/>
      <c r="M82" s="141"/>
      <c r="N82" s="141"/>
      <c r="O82" s="141"/>
      <c r="P82" s="141"/>
      <c r="Q82" s="141"/>
      <c r="R82" s="141"/>
      <c r="S82" s="141"/>
    </row>
    <row r="83">
      <c r="A83" s="141"/>
      <c r="B83" s="141"/>
      <c r="C83" s="141"/>
      <c r="D83" s="238"/>
      <c r="E83" s="92"/>
      <c r="F83" s="141"/>
      <c r="G83" s="141"/>
      <c r="H83" s="141"/>
      <c r="I83" s="141"/>
      <c r="J83" s="141"/>
      <c r="K83" s="141"/>
      <c r="L83" s="141"/>
      <c r="M83" s="141"/>
      <c r="N83" s="141"/>
      <c r="O83" s="141"/>
      <c r="P83" s="141"/>
      <c r="Q83" s="141"/>
      <c r="R83" s="141"/>
      <c r="S83" s="141"/>
    </row>
    <row r="84">
      <c r="A84" s="141"/>
      <c r="B84" s="141"/>
      <c r="C84" s="141"/>
      <c r="D84" s="238"/>
      <c r="E84" s="92"/>
      <c r="F84" s="141"/>
      <c r="G84" s="141"/>
      <c r="H84" s="141"/>
      <c r="I84" s="141"/>
      <c r="J84" s="141"/>
      <c r="K84" s="141"/>
      <c r="L84" s="141"/>
      <c r="M84" s="141"/>
      <c r="N84" s="141"/>
      <c r="O84" s="141"/>
      <c r="P84" s="141"/>
      <c r="Q84" s="141"/>
      <c r="R84" s="141"/>
      <c r="S84" s="141"/>
    </row>
    <row r="85">
      <c r="A85" s="141"/>
      <c r="B85" s="141"/>
      <c r="C85" s="141"/>
      <c r="D85" s="238"/>
      <c r="E85" s="92"/>
      <c r="F85" s="141"/>
      <c r="G85" s="141"/>
      <c r="H85" s="141"/>
      <c r="I85" s="141"/>
      <c r="J85" s="141"/>
      <c r="K85" s="141"/>
      <c r="L85" s="141"/>
      <c r="M85" s="141"/>
      <c r="N85" s="141"/>
      <c r="O85" s="141"/>
      <c r="P85" s="141"/>
      <c r="Q85" s="141"/>
      <c r="R85" s="141"/>
      <c r="S85" s="141"/>
    </row>
    <row r="86">
      <c r="A86" s="141"/>
      <c r="B86" s="141"/>
      <c r="C86" s="141"/>
      <c r="D86" s="238"/>
      <c r="E86" s="92"/>
      <c r="F86" s="141"/>
      <c r="G86" s="141"/>
      <c r="H86" s="141"/>
      <c r="I86" s="141"/>
      <c r="J86" s="141"/>
      <c r="K86" s="141"/>
      <c r="L86" s="141"/>
      <c r="M86" s="141"/>
      <c r="N86" s="141"/>
      <c r="O86" s="141"/>
      <c r="P86" s="141"/>
      <c r="Q86" s="141"/>
      <c r="R86" s="141"/>
      <c r="S86" s="141"/>
    </row>
    <row r="87">
      <c r="A87" s="141"/>
      <c r="B87" s="141"/>
      <c r="C87" s="141"/>
      <c r="D87" s="238"/>
      <c r="E87" s="92"/>
      <c r="F87" s="141"/>
      <c r="G87" s="141"/>
      <c r="H87" s="141"/>
      <c r="I87" s="141"/>
      <c r="J87" s="141"/>
      <c r="K87" s="141"/>
      <c r="L87" s="141"/>
      <c r="M87" s="141"/>
      <c r="N87" s="141"/>
      <c r="O87" s="141"/>
      <c r="P87" s="141"/>
      <c r="Q87" s="141"/>
      <c r="R87" s="141"/>
      <c r="S87" s="141"/>
    </row>
    <row r="88">
      <c r="A88" s="141"/>
      <c r="B88" s="141"/>
      <c r="C88" s="141"/>
      <c r="D88" s="238"/>
      <c r="E88" s="92"/>
      <c r="F88" s="141"/>
      <c r="G88" s="141"/>
      <c r="H88" s="141"/>
      <c r="I88" s="141"/>
      <c r="J88" s="141"/>
      <c r="K88" s="141"/>
      <c r="L88" s="141"/>
      <c r="M88" s="141"/>
      <c r="N88" s="141"/>
      <c r="O88" s="141"/>
      <c r="P88" s="141"/>
      <c r="Q88" s="141"/>
      <c r="R88" s="141"/>
      <c r="S88" s="141"/>
    </row>
    <row r="89">
      <c r="A89" s="141"/>
      <c r="B89" s="141"/>
      <c r="C89" s="141"/>
      <c r="D89" s="238"/>
      <c r="E89" s="92"/>
      <c r="F89" s="141"/>
      <c r="G89" s="141"/>
      <c r="H89" s="141"/>
      <c r="I89" s="141"/>
      <c r="J89" s="141"/>
      <c r="K89" s="141"/>
      <c r="L89" s="141"/>
      <c r="M89" s="141"/>
      <c r="N89" s="141"/>
      <c r="O89" s="141"/>
      <c r="P89" s="141"/>
      <c r="Q89" s="141"/>
      <c r="R89" s="141"/>
      <c r="S89" s="141"/>
    </row>
    <row r="90">
      <c r="A90" s="141"/>
      <c r="B90" s="141"/>
      <c r="C90" s="141"/>
      <c r="D90" s="238"/>
      <c r="E90" s="92"/>
      <c r="F90" s="141"/>
      <c r="G90" s="141"/>
      <c r="H90" s="141"/>
      <c r="I90" s="141"/>
      <c r="J90" s="141"/>
      <c r="K90" s="141"/>
      <c r="L90" s="141"/>
      <c r="M90" s="141"/>
      <c r="N90" s="141"/>
      <c r="O90" s="141"/>
      <c r="P90" s="141"/>
      <c r="Q90" s="141"/>
      <c r="R90" s="141"/>
      <c r="S90" s="141"/>
    </row>
    <row r="91">
      <c r="A91" s="141"/>
      <c r="B91" s="141"/>
      <c r="C91" s="141"/>
      <c r="D91" s="238"/>
      <c r="E91" s="92"/>
      <c r="F91" s="141"/>
      <c r="G91" s="141"/>
      <c r="H91" s="141"/>
      <c r="I91" s="141"/>
      <c r="J91" s="141"/>
      <c r="K91" s="141"/>
      <c r="L91" s="141"/>
      <c r="M91" s="141"/>
      <c r="N91" s="141"/>
      <c r="O91" s="141"/>
      <c r="P91" s="141"/>
      <c r="Q91" s="141"/>
      <c r="R91" s="141"/>
      <c r="S91" s="141"/>
    </row>
    <row r="92">
      <c r="A92" s="141"/>
      <c r="B92" s="141"/>
      <c r="C92" s="141"/>
      <c r="D92" s="238"/>
      <c r="E92" s="92"/>
      <c r="F92" s="141"/>
      <c r="G92" s="141"/>
      <c r="H92" s="141"/>
      <c r="I92" s="141"/>
      <c r="J92" s="141"/>
      <c r="K92" s="141"/>
      <c r="L92" s="141"/>
      <c r="M92" s="141"/>
      <c r="N92" s="141"/>
      <c r="O92" s="141"/>
      <c r="P92" s="141"/>
      <c r="Q92" s="141"/>
      <c r="R92" s="141"/>
      <c r="S92" s="141"/>
    </row>
    <row r="93">
      <c r="A93" s="141"/>
      <c r="B93" s="141"/>
      <c r="C93" s="141"/>
      <c r="D93" s="238"/>
      <c r="E93" s="92"/>
      <c r="F93" s="141"/>
      <c r="G93" s="141"/>
      <c r="H93" s="141"/>
      <c r="I93" s="141"/>
      <c r="J93" s="141"/>
      <c r="K93" s="141"/>
      <c r="L93" s="141"/>
      <c r="M93" s="141"/>
      <c r="N93" s="141"/>
      <c r="O93" s="141"/>
      <c r="P93" s="141"/>
      <c r="Q93" s="141"/>
      <c r="R93" s="141"/>
      <c r="S93" s="141"/>
    </row>
    <row r="94">
      <c r="A94" s="141"/>
      <c r="B94" s="141"/>
      <c r="C94" s="141"/>
      <c r="D94" s="238"/>
      <c r="E94" s="92"/>
      <c r="F94" s="141"/>
      <c r="G94" s="141"/>
      <c r="H94" s="141"/>
      <c r="I94" s="141"/>
      <c r="J94" s="141"/>
      <c r="K94" s="141"/>
      <c r="L94" s="141"/>
      <c r="M94" s="141"/>
      <c r="N94" s="141"/>
      <c r="O94" s="141"/>
      <c r="P94" s="141"/>
      <c r="Q94" s="141"/>
      <c r="R94" s="141"/>
      <c r="S94" s="141"/>
    </row>
    <row r="95">
      <c r="A95" s="141"/>
      <c r="B95" s="141"/>
      <c r="C95" s="141"/>
      <c r="D95" s="238"/>
      <c r="E95" s="92"/>
      <c r="F95" s="141"/>
      <c r="G95" s="141"/>
      <c r="H95" s="141"/>
      <c r="I95" s="141"/>
      <c r="J95" s="141"/>
      <c r="K95" s="141"/>
      <c r="L95" s="141"/>
      <c r="M95" s="141"/>
      <c r="N95" s="141"/>
      <c r="O95" s="141"/>
      <c r="P95" s="141"/>
      <c r="Q95" s="141"/>
      <c r="R95" s="141"/>
      <c r="S95" s="141"/>
    </row>
    <row r="96">
      <c r="A96" s="141"/>
      <c r="B96" s="141"/>
      <c r="C96" s="141"/>
      <c r="D96" s="238"/>
      <c r="E96" s="92"/>
      <c r="F96" s="141"/>
      <c r="G96" s="141"/>
      <c r="H96" s="141"/>
      <c r="I96" s="141"/>
      <c r="J96" s="141"/>
      <c r="K96" s="141"/>
      <c r="L96" s="141"/>
      <c r="M96" s="141"/>
      <c r="N96" s="141"/>
      <c r="O96" s="141"/>
      <c r="P96" s="141"/>
      <c r="Q96" s="141"/>
      <c r="R96" s="141"/>
      <c r="S96" s="141"/>
    </row>
    <row r="97">
      <c r="A97" s="141"/>
      <c r="B97" s="141"/>
      <c r="C97" s="141"/>
      <c r="D97" s="92"/>
      <c r="E97" s="92"/>
      <c r="F97" s="141"/>
      <c r="G97" s="141"/>
      <c r="H97" s="141"/>
      <c r="I97" s="141"/>
      <c r="J97" s="141"/>
      <c r="K97" s="141"/>
      <c r="L97" s="141"/>
      <c r="M97" s="141"/>
      <c r="N97" s="141"/>
      <c r="O97" s="141"/>
      <c r="P97" s="141"/>
      <c r="Q97" s="141"/>
      <c r="R97" s="141"/>
      <c r="S97" s="141"/>
    </row>
    <row r="98">
      <c r="A98" s="141"/>
      <c r="B98" s="141"/>
      <c r="C98" s="141"/>
      <c r="D98" s="92"/>
      <c r="E98" s="92"/>
      <c r="F98" s="141"/>
      <c r="G98" s="141"/>
      <c r="H98" s="141"/>
      <c r="I98" s="141"/>
      <c r="J98" s="141"/>
      <c r="K98" s="141"/>
      <c r="L98" s="141"/>
      <c r="M98" s="141"/>
      <c r="N98" s="141"/>
      <c r="O98" s="141"/>
      <c r="P98" s="141"/>
      <c r="Q98" s="141"/>
      <c r="R98" s="141"/>
      <c r="S98" s="141"/>
    </row>
    <row r="99">
      <c r="A99" s="141"/>
      <c r="B99" s="141"/>
      <c r="C99" s="141"/>
      <c r="D99" s="92"/>
      <c r="E99" s="92"/>
      <c r="F99" s="141"/>
      <c r="G99" s="141"/>
      <c r="H99" s="141"/>
      <c r="I99" s="141"/>
      <c r="J99" s="141"/>
      <c r="K99" s="141"/>
      <c r="L99" s="141"/>
      <c r="M99" s="141"/>
      <c r="N99" s="141"/>
      <c r="O99" s="141"/>
      <c r="P99" s="141"/>
      <c r="Q99" s="141"/>
      <c r="R99" s="141"/>
      <c r="S99" s="141"/>
    </row>
    <row r="100">
      <c r="A100" s="141"/>
      <c r="B100" s="141"/>
      <c r="C100" s="141"/>
      <c r="D100" s="92"/>
      <c r="E100" s="92"/>
      <c r="F100" s="141"/>
      <c r="G100" s="141"/>
      <c r="H100" s="141"/>
      <c r="I100" s="141"/>
      <c r="J100" s="141"/>
      <c r="K100" s="141"/>
      <c r="L100" s="141"/>
      <c r="M100" s="141"/>
      <c r="N100" s="141"/>
      <c r="O100" s="141"/>
      <c r="P100" s="141"/>
      <c r="Q100" s="141"/>
      <c r="R100" s="141"/>
      <c r="S100" s="141"/>
    </row>
    <row r="101">
      <c r="A101" s="141"/>
      <c r="B101" s="141"/>
      <c r="C101" s="141"/>
      <c r="D101" s="238"/>
      <c r="E101" s="92"/>
      <c r="F101" s="141"/>
      <c r="G101" s="141"/>
      <c r="H101" s="141"/>
      <c r="I101" s="141"/>
      <c r="J101" s="141"/>
      <c r="K101" s="141"/>
      <c r="L101" s="141"/>
      <c r="M101" s="141"/>
      <c r="N101" s="141"/>
      <c r="O101" s="141"/>
      <c r="P101" s="141"/>
      <c r="Q101" s="141"/>
      <c r="R101" s="141"/>
      <c r="S101" s="141"/>
    </row>
    <row r="102">
      <c r="A102" s="141"/>
      <c r="B102" s="141"/>
      <c r="C102" s="141"/>
      <c r="D102" s="92"/>
      <c r="E102" s="92"/>
      <c r="F102" s="141"/>
      <c r="G102" s="141"/>
      <c r="H102" s="141"/>
      <c r="I102" s="141"/>
      <c r="J102" s="141"/>
      <c r="K102" s="141"/>
      <c r="L102" s="141"/>
      <c r="M102" s="141"/>
      <c r="N102" s="141"/>
      <c r="O102" s="141"/>
      <c r="P102" s="141"/>
      <c r="Q102" s="141"/>
      <c r="R102" s="141"/>
      <c r="S102" s="141"/>
    </row>
    <row r="103">
      <c r="A103" s="141"/>
      <c r="B103" s="141"/>
      <c r="C103" s="141"/>
      <c r="D103" s="92"/>
      <c r="E103" s="92"/>
      <c r="F103" s="141"/>
      <c r="G103" s="141"/>
      <c r="H103" s="141"/>
      <c r="I103" s="141"/>
      <c r="J103" s="141"/>
      <c r="K103" s="141"/>
      <c r="L103" s="141"/>
      <c r="M103" s="141"/>
      <c r="N103" s="141"/>
      <c r="O103" s="141"/>
      <c r="P103" s="141"/>
      <c r="Q103" s="141"/>
      <c r="R103" s="141"/>
      <c r="S103" s="141"/>
    </row>
    <row r="104">
      <c r="A104" s="141"/>
      <c r="B104" s="141"/>
      <c r="C104" s="141"/>
      <c r="D104" s="238"/>
      <c r="E104" s="92"/>
      <c r="F104" s="141"/>
      <c r="G104" s="141"/>
      <c r="H104" s="141"/>
      <c r="I104" s="141"/>
      <c r="J104" s="141"/>
      <c r="K104" s="141"/>
      <c r="L104" s="141"/>
      <c r="M104" s="141"/>
      <c r="N104" s="141"/>
      <c r="O104" s="141"/>
      <c r="P104" s="141"/>
      <c r="Q104" s="141"/>
      <c r="R104" s="141"/>
      <c r="S104" s="141"/>
    </row>
    <row r="105">
      <c r="A105" s="141"/>
      <c r="B105" s="141"/>
      <c r="C105" s="141"/>
      <c r="D105" s="92"/>
      <c r="E105" s="92"/>
      <c r="F105" s="141"/>
      <c r="G105" s="141"/>
      <c r="H105" s="141"/>
      <c r="I105" s="141"/>
      <c r="J105" s="141"/>
      <c r="K105" s="141"/>
      <c r="L105" s="141"/>
      <c r="M105" s="141"/>
      <c r="N105" s="141"/>
      <c r="O105" s="141"/>
      <c r="P105" s="141"/>
      <c r="Q105" s="141"/>
      <c r="R105" s="141"/>
      <c r="S105" s="141"/>
    </row>
    <row r="106">
      <c r="A106" s="141"/>
      <c r="B106" s="141"/>
      <c r="C106" s="141"/>
      <c r="D106" s="92"/>
      <c r="E106" s="92"/>
      <c r="F106" s="141"/>
      <c r="G106" s="141"/>
      <c r="H106" s="141"/>
      <c r="I106" s="141"/>
      <c r="J106" s="141"/>
      <c r="K106" s="141"/>
      <c r="L106" s="141"/>
      <c r="M106" s="141"/>
      <c r="N106" s="141"/>
      <c r="O106" s="141"/>
      <c r="P106" s="141"/>
      <c r="Q106" s="141"/>
      <c r="R106" s="141"/>
      <c r="S106" s="141"/>
    </row>
    <row r="107">
      <c r="A107" s="141"/>
      <c r="B107" s="141"/>
      <c r="C107" s="141"/>
      <c r="D107" s="92"/>
      <c r="E107" s="92"/>
      <c r="F107" s="141"/>
      <c r="G107" s="141"/>
      <c r="H107" s="141"/>
      <c r="I107" s="141"/>
      <c r="J107" s="141"/>
      <c r="K107" s="141"/>
      <c r="L107" s="141"/>
      <c r="M107" s="141"/>
      <c r="N107" s="141"/>
      <c r="O107" s="141"/>
      <c r="P107" s="141"/>
      <c r="Q107" s="141"/>
      <c r="R107" s="141"/>
      <c r="S107" s="141"/>
    </row>
    <row r="108">
      <c r="A108" s="141"/>
      <c r="B108" s="141"/>
      <c r="C108" s="141"/>
      <c r="D108" s="238"/>
      <c r="E108" s="92"/>
      <c r="F108" s="141"/>
      <c r="G108" s="141"/>
      <c r="H108" s="141"/>
      <c r="I108" s="141"/>
      <c r="J108" s="141"/>
      <c r="K108" s="141"/>
      <c r="L108" s="141"/>
      <c r="M108" s="141"/>
      <c r="N108" s="141"/>
      <c r="O108" s="141"/>
      <c r="P108" s="141"/>
      <c r="Q108" s="141"/>
      <c r="R108" s="141"/>
      <c r="S108" s="141"/>
    </row>
    <row r="109">
      <c r="A109" s="141"/>
      <c r="B109" s="141"/>
      <c r="C109" s="141"/>
      <c r="D109" s="92"/>
      <c r="E109" s="92"/>
      <c r="F109" s="141"/>
      <c r="G109" s="141"/>
      <c r="H109" s="141"/>
      <c r="I109" s="141"/>
      <c r="J109" s="141"/>
      <c r="K109" s="141"/>
      <c r="L109" s="141"/>
      <c r="M109" s="141"/>
      <c r="N109" s="141"/>
      <c r="O109" s="141"/>
      <c r="P109" s="141"/>
      <c r="Q109" s="141"/>
      <c r="R109" s="141"/>
      <c r="S109" s="141"/>
    </row>
    <row r="110">
      <c r="A110" s="141"/>
      <c r="B110" s="141"/>
      <c r="C110" s="141"/>
      <c r="D110" s="92"/>
      <c r="E110" s="92"/>
      <c r="F110" s="141"/>
      <c r="G110" s="141"/>
      <c r="H110" s="141"/>
      <c r="I110" s="141"/>
      <c r="J110" s="141"/>
      <c r="K110" s="141"/>
      <c r="L110" s="141"/>
      <c r="M110" s="141"/>
      <c r="N110" s="141"/>
      <c r="O110" s="141"/>
      <c r="P110" s="141"/>
      <c r="Q110" s="141"/>
      <c r="R110" s="141"/>
      <c r="S110" s="141"/>
    </row>
    <row r="111">
      <c r="A111" s="141"/>
      <c r="B111" s="141"/>
      <c r="C111" s="141"/>
      <c r="D111" s="92"/>
      <c r="E111" s="92"/>
      <c r="F111" s="141"/>
      <c r="G111" s="141"/>
      <c r="H111" s="141"/>
      <c r="I111" s="141"/>
      <c r="J111" s="141"/>
      <c r="K111" s="141"/>
      <c r="L111" s="141"/>
      <c r="M111" s="141"/>
      <c r="N111" s="141"/>
      <c r="O111" s="141"/>
      <c r="P111" s="141"/>
      <c r="Q111" s="141"/>
      <c r="R111" s="141"/>
      <c r="S111" s="141"/>
    </row>
    <row r="112">
      <c r="A112" s="141"/>
      <c r="B112" s="141"/>
      <c r="C112" s="141"/>
      <c r="D112" s="238"/>
      <c r="E112" s="92"/>
      <c r="F112" s="141"/>
      <c r="G112" s="141"/>
      <c r="H112" s="141"/>
      <c r="I112" s="141"/>
      <c r="J112" s="141"/>
      <c r="K112" s="141"/>
      <c r="L112" s="141"/>
      <c r="M112" s="141"/>
      <c r="N112" s="141"/>
      <c r="O112" s="141"/>
      <c r="P112" s="141"/>
      <c r="Q112" s="141"/>
      <c r="R112" s="141"/>
      <c r="S112" s="141"/>
    </row>
    <row r="113">
      <c r="A113" s="141"/>
      <c r="B113" s="141"/>
      <c r="C113" s="141"/>
      <c r="D113" s="92"/>
      <c r="E113" s="92"/>
      <c r="F113" s="141"/>
      <c r="G113" s="141"/>
      <c r="H113" s="141"/>
      <c r="I113" s="141"/>
      <c r="J113" s="141"/>
      <c r="K113" s="141"/>
      <c r="L113" s="141"/>
      <c r="M113" s="141"/>
      <c r="N113" s="141"/>
      <c r="O113" s="141"/>
      <c r="P113" s="141"/>
      <c r="Q113" s="141"/>
      <c r="R113" s="141"/>
      <c r="S113" s="141"/>
    </row>
    <row r="114">
      <c r="A114" s="141"/>
      <c r="B114" s="141"/>
      <c r="C114" s="141"/>
      <c r="D114" s="238"/>
      <c r="E114" s="92"/>
      <c r="F114" s="141"/>
      <c r="G114" s="141"/>
      <c r="H114" s="141"/>
      <c r="I114" s="141"/>
      <c r="J114" s="141"/>
      <c r="K114" s="141"/>
      <c r="L114" s="141"/>
      <c r="M114" s="141"/>
      <c r="N114" s="141"/>
      <c r="O114" s="141"/>
      <c r="P114" s="141"/>
      <c r="Q114" s="141"/>
      <c r="R114" s="141"/>
      <c r="S114" s="141"/>
    </row>
    <row r="115">
      <c r="A115" s="141"/>
      <c r="B115" s="141"/>
      <c r="C115" s="141"/>
      <c r="D115" s="92"/>
      <c r="E115" s="92"/>
      <c r="F115" s="141"/>
      <c r="G115" s="141"/>
      <c r="H115" s="141"/>
      <c r="I115" s="141"/>
      <c r="J115" s="141"/>
      <c r="K115" s="141"/>
      <c r="L115" s="141"/>
      <c r="M115" s="141"/>
      <c r="N115" s="141"/>
      <c r="O115" s="141"/>
      <c r="P115" s="141"/>
      <c r="Q115" s="141"/>
      <c r="R115" s="141"/>
      <c r="S115" s="141"/>
    </row>
    <row r="116">
      <c r="A116" s="141"/>
      <c r="B116" s="141"/>
      <c r="C116" s="141"/>
      <c r="D116" s="238"/>
      <c r="E116" s="92"/>
      <c r="F116" s="141"/>
      <c r="G116" s="141"/>
      <c r="H116" s="141"/>
      <c r="I116" s="141"/>
      <c r="J116" s="141"/>
      <c r="K116" s="141"/>
      <c r="L116" s="141"/>
      <c r="M116" s="141"/>
      <c r="N116" s="141"/>
      <c r="O116" s="141"/>
      <c r="P116" s="141"/>
      <c r="Q116" s="141"/>
      <c r="R116" s="141"/>
      <c r="S116" s="141"/>
    </row>
    <row r="117">
      <c r="A117" s="141"/>
      <c r="B117" s="141"/>
      <c r="C117" s="141"/>
      <c r="D117" s="92"/>
      <c r="E117" s="92"/>
      <c r="F117" s="141"/>
      <c r="G117" s="141"/>
      <c r="H117" s="141"/>
      <c r="I117" s="141"/>
      <c r="J117" s="141"/>
      <c r="K117" s="141"/>
      <c r="L117" s="141"/>
      <c r="M117" s="141"/>
      <c r="N117" s="141"/>
      <c r="O117" s="141"/>
      <c r="P117" s="141"/>
      <c r="Q117" s="141"/>
      <c r="R117" s="141"/>
      <c r="S117" s="141"/>
    </row>
    <row r="118">
      <c r="A118" s="141"/>
      <c r="B118" s="141"/>
      <c r="C118" s="141"/>
      <c r="D118" s="238"/>
      <c r="E118" s="92"/>
      <c r="F118" s="141"/>
      <c r="G118" s="141"/>
      <c r="H118" s="141"/>
      <c r="I118" s="141"/>
      <c r="J118" s="141"/>
      <c r="K118" s="141"/>
      <c r="L118" s="141"/>
      <c r="M118" s="141"/>
      <c r="N118" s="141"/>
      <c r="O118" s="141"/>
      <c r="P118" s="141"/>
      <c r="Q118" s="141"/>
      <c r="R118" s="141"/>
      <c r="S118" s="141"/>
    </row>
    <row r="119">
      <c r="A119" s="141"/>
      <c r="B119" s="141"/>
      <c r="C119" s="141"/>
      <c r="D119" s="92"/>
      <c r="E119" s="92"/>
      <c r="F119" s="141"/>
      <c r="G119" s="141"/>
      <c r="H119" s="141"/>
      <c r="I119" s="141"/>
      <c r="J119" s="141"/>
      <c r="K119" s="141"/>
      <c r="L119" s="141"/>
      <c r="M119" s="141"/>
      <c r="N119" s="141"/>
      <c r="O119" s="141"/>
      <c r="P119" s="141"/>
      <c r="Q119" s="141"/>
      <c r="R119" s="141"/>
      <c r="S119" s="141"/>
    </row>
    <row r="120">
      <c r="A120" s="141"/>
      <c r="B120" s="141"/>
      <c r="C120" s="141"/>
      <c r="D120" s="238"/>
      <c r="E120" s="92"/>
      <c r="F120" s="141"/>
      <c r="G120" s="141"/>
      <c r="H120" s="141"/>
      <c r="I120" s="141"/>
      <c r="J120" s="141"/>
      <c r="K120" s="141"/>
      <c r="L120" s="141"/>
      <c r="M120" s="141"/>
      <c r="N120" s="141"/>
      <c r="O120" s="141"/>
      <c r="P120" s="141"/>
      <c r="Q120" s="141"/>
      <c r="R120" s="141"/>
      <c r="S120" s="141"/>
    </row>
    <row r="121">
      <c r="A121" s="141"/>
      <c r="B121" s="141"/>
      <c r="C121" s="141"/>
      <c r="D121" s="92"/>
      <c r="E121" s="92"/>
      <c r="F121" s="141"/>
      <c r="G121" s="141"/>
      <c r="H121" s="141"/>
      <c r="I121" s="141"/>
      <c r="J121" s="141"/>
      <c r="K121" s="141"/>
      <c r="L121" s="141"/>
      <c r="M121" s="141"/>
      <c r="N121" s="141"/>
      <c r="O121" s="141"/>
      <c r="P121" s="141"/>
      <c r="Q121" s="141"/>
      <c r="R121" s="141"/>
      <c r="S121" s="141"/>
    </row>
    <row r="122">
      <c r="A122" s="141"/>
      <c r="B122" s="141"/>
      <c r="C122" s="141"/>
      <c r="D122" s="238"/>
      <c r="E122" s="92"/>
      <c r="F122" s="141"/>
      <c r="G122" s="141"/>
      <c r="H122" s="141"/>
      <c r="I122" s="141"/>
      <c r="J122" s="141"/>
      <c r="K122" s="141"/>
      <c r="L122" s="141"/>
      <c r="M122" s="141"/>
      <c r="N122" s="141"/>
      <c r="O122" s="141"/>
      <c r="P122" s="141"/>
      <c r="Q122" s="141"/>
      <c r="R122" s="141"/>
      <c r="S122" s="141"/>
    </row>
    <row r="123">
      <c r="A123" s="141"/>
      <c r="B123" s="141"/>
      <c r="C123" s="141"/>
      <c r="D123" s="92"/>
      <c r="E123" s="92"/>
      <c r="F123" s="141"/>
      <c r="G123" s="141"/>
      <c r="H123" s="141"/>
      <c r="I123" s="141"/>
      <c r="J123" s="141"/>
      <c r="K123" s="141"/>
      <c r="L123" s="141"/>
      <c r="M123" s="141"/>
      <c r="N123" s="141"/>
      <c r="O123" s="141"/>
      <c r="P123" s="141"/>
      <c r="Q123" s="141"/>
      <c r="R123" s="141"/>
      <c r="S123" s="141"/>
    </row>
    <row r="124">
      <c r="A124" s="141"/>
      <c r="B124" s="141"/>
      <c r="C124" s="141"/>
      <c r="D124" s="238"/>
      <c r="E124" s="92"/>
      <c r="F124" s="141"/>
      <c r="G124" s="141"/>
      <c r="H124" s="141"/>
      <c r="I124" s="141"/>
      <c r="J124" s="141"/>
      <c r="K124" s="141"/>
      <c r="L124" s="141"/>
      <c r="M124" s="141"/>
      <c r="N124" s="141"/>
      <c r="O124" s="141"/>
      <c r="P124" s="141"/>
      <c r="Q124" s="141"/>
      <c r="R124" s="141"/>
      <c r="S124" s="141"/>
    </row>
    <row r="125">
      <c r="A125" s="141"/>
      <c r="B125" s="141"/>
      <c r="C125" s="141"/>
      <c r="D125" s="92"/>
      <c r="E125" s="92"/>
      <c r="F125" s="141"/>
      <c r="G125" s="141"/>
      <c r="H125" s="141"/>
      <c r="I125" s="141"/>
      <c r="J125" s="141"/>
      <c r="K125" s="141"/>
      <c r="L125" s="141"/>
      <c r="M125" s="141"/>
      <c r="N125" s="141"/>
      <c r="O125" s="141"/>
      <c r="P125" s="141"/>
      <c r="Q125" s="141"/>
      <c r="R125" s="141"/>
      <c r="S125" s="141"/>
    </row>
    <row r="126">
      <c r="A126" s="141"/>
      <c r="B126" s="141"/>
      <c r="C126" s="141"/>
      <c r="D126" s="92"/>
      <c r="E126" s="92"/>
      <c r="F126" s="141"/>
      <c r="G126" s="141"/>
      <c r="H126" s="141"/>
      <c r="I126" s="141"/>
      <c r="J126" s="141"/>
      <c r="K126" s="141"/>
      <c r="L126" s="141"/>
      <c r="M126" s="141"/>
      <c r="N126" s="141"/>
      <c r="O126" s="141"/>
      <c r="P126" s="141"/>
      <c r="Q126" s="141"/>
      <c r="R126" s="141"/>
      <c r="S126" s="141"/>
    </row>
    <row r="127">
      <c r="A127" s="141"/>
      <c r="B127" s="141"/>
      <c r="C127" s="141"/>
      <c r="D127" s="238"/>
      <c r="E127" s="92"/>
      <c r="F127" s="141"/>
      <c r="G127" s="141"/>
      <c r="H127" s="141"/>
      <c r="I127" s="141"/>
      <c r="J127" s="141"/>
      <c r="K127" s="141"/>
      <c r="L127" s="141"/>
      <c r="M127" s="141"/>
      <c r="N127" s="141"/>
      <c r="O127" s="141"/>
      <c r="P127" s="141"/>
      <c r="Q127" s="141"/>
      <c r="R127" s="141"/>
      <c r="S127" s="141"/>
    </row>
    <row r="128">
      <c r="A128" s="141"/>
      <c r="B128" s="141"/>
      <c r="C128" s="141"/>
      <c r="D128" s="92"/>
      <c r="E128" s="92"/>
      <c r="F128" s="141"/>
      <c r="G128" s="141"/>
      <c r="H128" s="141"/>
      <c r="I128" s="141"/>
      <c r="J128" s="141"/>
      <c r="K128" s="141"/>
      <c r="L128" s="141"/>
      <c r="M128" s="141"/>
      <c r="N128" s="141"/>
      <c r="O128" s="141"/>
      <c r="P128" s="141"/>
      <c r="Q128" s="141"/>
      <c r="R128" s="141"/>
      <c r="S128" s="141"/>
    </row>
    <row r="129">
      <c r="A129" s="141"/>
      <c r="B129" s="141"/>
      <c r="C129" s="141"/>
      <c r="D129" s="238"/>
      <c r="E129" s="92"/>
      <c r="F129" s="141"/>
      <c r="G129" s="141"/>
      <c r="H129" s="141"/>
      <c r="I129" s="141"/>
      <c r="J129" s="141"/>
      <c r="K129" s="141"/>
      <c r="L129" s="141"/>
      <c r="M129" s="141"/>
      <c r="N129" s="141"/>
      <c r="O129" s="141"/>
      <c r="P129" s="141"/>
      <c r="Q129" s="141"/>
      <c r="R129" s="141"/>
      <c r="S129" s="141"/>
    </row>
    <row r="130">
      <c r="A130" s="141"/>
      <c r="B130" s="141"/>
      <c r="C130" s="141"/>
      <c r="D130" s="92"/>
      <c r="E130" s="92"/>
      <c r="F130" s="141"/>
      <c r="G130" s="141"/>
      <c r="H130" s="141"/>
      <c r="I130" s="141"/>
      <c r="J130" s="141"/>
      <c r="K130" s="141"/>
      <c r="L130" s="141"/>
      <c r="M130" s="141"/>
      <c r="N130" s="141"/>
      <c r="O130" s="141"/>
      <c r="P130" s="141"/>
      <c r="Q130" s="141"/>
      <c r="R130" s="141"/>
      <c r="S130" s="141"/>
    </row>
    <row r="131">
      <c r="A131" s="141"/>
      <c r="B131" s="141"/>
      <c r="C131" s="141"/>
      <c r="D131" s="92"/>
      <c r="E131" s="92"/>
      <c r="F131" s="141"/>
      <c r="G131" s="141"/>
      <c r="H131" s="141"/>
      <c r="I131" s="141"/>
      <c r="J131" s="141"/>
      <c r="K131" s="141"/>
      <c r="L131" s="141"/>
      <c r="M131" s="141"/>
      <c r="N131" s="141"/>
      <c r="O131" s="141"/>
      <c r="P131" s="141"/>
      <c r="Q131" s="141"/>
      <c r="R131" s="141"/>
      <c r="S131" s="141"/>
    </row>
    <row r="132">
      <c r="A132" s="141"/>
      <c r="B132" s="141"/>
      <c r="C132" s="141"/>
      <c r="D132" s="238"/>
      <c r="E132" s="92"/>
      <c r="F132" s="141"/>
      <c r="G132" s="141"/>
      <c r="H132" s="141"/>
      <c r="I132" s="141"/>
      <c r="J132" s="141"/>
      <c r="K132" s="141"/>
      <c r="L132" s="141"/>
      <c r="M132" s="141"/>
      <c r="N132" s="141"/>
      <c r="O132" s="141"/>
      <c r="P132" s="141"/>
      <c r="Q132" s="141"/>
      <c r="R132" s="141"/>
      <c r="S132" s="141"/>
    </row>
    <row r="133">
      <c r="A133" s="141"/>
      <c r="B133" s="141"/>
      <c r="C133" s="141"/>
      <c r="D133" s="92"/>
      <c r="E133" s="92"/>
      <c r="F133" s="141"/>
      <c r="G133" s="141"/>
      <c r="H133" s="141"/>
      <c r="I133" s="141"/>
      <c r="J133" s="141"/>
      <c r="K133" s="141"/>
      <c r="L133" s="141"/>
      <c r="M133" s="141"/>
      <c r="N133" s="141"/>
      <c r="O133" s="141"/>
      <c r="P133" s="141"/>
      <c r="Q133" s="141"/>
      <c r="R133" s="141"/>
      <c r="S133" s="141"/>
    </row>
    <row r="134">
      <c r="A134" s="141"/>
      <c r="B134" s="141"/>
      <c r="C134" s="141"/>
      <c r="D134" s="92"/>
      <c r="E134" s="92"/>
      <c r="F134" s="141"/>
      <c r="G134" s="141"/>
      <c r="H134" s="141"/>
      <c r="I134" s="141"/>
      <c r="J134" s="141"/>
      <c r="K134" s="141"/>
      <c r="L134" s="141"/>
      <c r="M134" s="141"/>
      <c r="N134" s="141"/>
      <c r="O134" s="141"/>
      <c r="P134" s="141"/>
      <c r="Q134" s="141"/>
      <c r="R134" s="141"/>
      <c r="S134" s="141"/>
    </row>
    <row r="135">
      <c r="A135" s="141"/>
      <c r="B135" s="141"/>
      <c r="C135" s="141"/>
      <c r="D135" s="92"/>
      <c r="E135" s="92"/>
      <c r="F135" s="141"/>
      <c r="G135" s="141"/>
      <c r="H135" s="141"/>
      <c r="I135" s="141"/>
      <c r="J135" s="141"/>
      <c r="K135" s="141"/>
      <c r="L135" s="141"/>
      <c r="M135" s="141"/>
      <c r="N135" s="141"/>
      <c r="O135" s="141"/>
      <c r="P135" s="141"/>
      <c r="Q135" s="141"/>
      <c r="R135" s="141"/>
      <c r="S135" s="141"/>
    </row>
    <row r="136">
      <c r="A136" s="141"/>
      <c r="B136" s="141"/>
      <c r="C136" s="141"/>
      <c r="D136" s="238"/>
      <c r="E136" s="92"/>
      <c r="F136" s="141"/>
      <c r="G136" s="141"/>
      <c r="H136" s="141"/>
      <c r="I136" s="141"/>
      <c r="J136" s="141"/>
      <c r="K136" s="141"/>
      <c r="L136" s="141"/>
      <c r="M136" s="141"/>
      <c r="N136" s="141"/>
      <c r="O136" s="141"/>
      <c r="P136" s="141"/>
      <c r="Q136" s="141"/>
      <c r="R136" s="141"/>
      <c r="S136" s="141"/>
    </row>
    <row r="137">
      <c r="A137" s="141"/>
      <c r="B137" s="141"/>
      <c r="C137" s="141"/>
      <c r="D137" s="92"/>
      <c r="E137" s="92"/>
      <c r="F137" s="141"/>
      <c r="G137" s="141"/>
      <c r="H137" s="141"/>
      <c r="I137" s="141"/>
      <c r="J137" s="141"/>
      <c r="K137" s="141"/>
      <c r="L137" s="141"/>
      <c r="M137" s="141"/>
      <c r="N137" s="141"/>
      <c r="O137" s="141"/>
      <c r="P137" s="141"/>
      <c r="Q137" s="141"/>
      <c r="R137" s="141"/>
      <c r="S137" s="141"/>
    </row>
    <row r="138">
      <c r="A138" s="141"/>
      <c r="B138" s="141"/>
      <c r="C138" s="141"/>
      <c r="D138" s="238"/>
      <c r="E138" s="92"/>
      <c r="F138" s="141"/>
      <c r="G138" s="141"/>
      <c r="H138" s="141"/>
      <c r="I138" s="141"/>
      <c r="J138" s="141"/>
      <c r="K138" s="141"/>
      <c r="L138" s="141"/>
      <c r="M138" s="141"/>
      <c r="N138" s="141"/>
      <c r="O138" s="141"/>
      <c r="P138" s="141"/>
      <c r="Q138" s="141"/>
      <c r="R138" s="141"/>
      <c r="S138" s="141"/>
    </row>
    <row r="139">
      <c r="A139" s="141"/>
      <c r="B139" s="141"/>
      <c r="C139" s="141"/>
      <c r="D139" s="92"/>
      <c r="E139" s="92"/>
      <c r="F139" s="141"/>
      <c r="G139" s="141"/>
      <c r="H139" s="141"/>
      <c r="I139" s="141"/>
      <c r="J139" s="141"/>
      <c r="K139" s="141"/>
      <c r="L139" s="141"/>
      <c r="M139" s="141"/>
      <c r="N139" s="141"/>
      <c r="O139" s="141"/>
      <c r="P139" s="141"/>
      <c r="Q139" s="141"/>
      <c r="R139" s="141"/>
      <c r="S139" s="141"/>
    </row>
    <row r="140">
      <c r="A140" s="141"/>
      <c r="B140" s="141"/>
      <c r="C140" s="141"/>
      <c r="D140" s="92"/>
      <c r="E140" s="92"/>
      <c r="F140" s="141"/>
      <c r="G140" s="141"/>
      <c r="H140" s="141"/>
      <c r="I140" s="141"/>
      <c r="J140" s="141"/>
      <c r="K140" s="141"/>
      <c r="L140" s="141"/>
      <c r="M140" s="141"/>
      <c r="N140" s="141"/>
      <c r="O140" s="141"/>
      <c r="P140" s="141"/>
      <c r="Q140" s="141"/>
      <c r="R140" s="141"/>
      <c r="S140" s="141"/>
    </row>
    <row r="141">
      <c r="A141" s="141"/>
      <c r="B141" s="141"/>
      <c r="C141" s="141"/>
      <c r="D141" s="92"/>
      <c r="E141" s="92"/>
      <c r="F141" s="141"/>
      <c r="G141" s="141"/>
      <c r="H141" s="141"/>
      <c r="I141" s="141"/>
      <c r="J141" s="141"/>
      <c r="K141" s="141"/>
      <c r="L141" s="141"/>
      <c r="M141" s="141"/>
      <c r="N141" s="141"/>
      <c r="O141" s="141"/>
      <c r="P141" s="141"/>
      <c r="Q141" s="141"/>
      <c r="R141" s="141"/>
      <c r="S141" s="141"/>
    </row>
    <row r="142">
      <c r="A142" s="141"/>
      <c r="B142" s="141"/>
      <c r="C142" s="141"/>
      <c r="D142" s="238"/>
      <c r="E142" s="92"/>
      <c r="F142" s="141"/>
      <c r="G142" s="141"/>
      <c r="H142" s="141"/>
      <c r="I142" s="141"/>
      <c r="J142" s="141"/>
      <c r="K142" s="141"/>
      <c r="L142" s="141"/>
      <c r="M142" s="141"/>
      <c r="N142" s="141"/>
      <c r="O142" s="141"/>
      <c r="P142" s="141"/>
      <c r="Q142" s="141"/>
      <c r="R142" s="141"/>
      <c r="S142" s="141"/>
    </row>
    <row r="143">
      <c r="A143" s="141"/>
      <c r="B143" s="141"/>
      <c r="C143" s="141"/>
      <c r="D143" s="92"/>
      <c r="E143" s="92"/>
      <c r="F143" s="141"/>
      <c r="G143" s="141"/>
      <c r="H143" s="141"/>
      <c r="I143" s="141"/>
      <c r="J143" s="141"/>
      <c r="K143" s="141"/>
      <c r="L143" s="141"/>
      <c r="M143" s="141"/>
      <c r="N143" s="141"/>
      <c r="O143" s="141"/>
      <c r="P143" s="141"/>
      <c r="Q143" s="141"/>
      <c r="R143" s="141"/>
      <c r="S143" s="141"/>
    </row>
    <row r="144">
      <c r="A144" s="141"/>
      <c r="B144" s="141"/>
      <c r="C144" s="141"/>
      <c r="D144" s="238"/>
      <c r="E144" s="92"/>
      <c r="F144" s="141"/>
      <c r="G144" s="141"/>
      <c r="H144" s="141"/>
      <c r="I144" s="141"/>
      <c r="J144" s="141"/>
      <c r="K144" s="141"/>
      <c r="L144" s="141"/>
      <c r="M144" s="141"/>
      <c r="N144" s="141"/>
      <c r="O144" s="141"/>
      <c r="P144" s="141"/>
      <c r="Q144" s="141"/>
      <c r="R144" s="141"/>
      <c r="S144" s="141"/>
    </row>
    <row r="145">
      <c r="A145" s="141"/>
      <c r="B145" s="141"/>
      <c r="C145" s="141"/>
      <c r="D145" s="92"/>
      <c r="E145" s="92"/>
      <c r="F145" s="141"/>
      <c r="G145" s="141"/>
      <c r="H145" s="141"/>
      <c r="I145" s="141"/>
      <c r="J145" s="141"/>
      <c r="K145" s="141"/>
      <c r="L145" s="141"/>
      <c r="M145" s="141"/>
      <c r="N145" s="141"/>
      <c r="O145" s="141"/>
      <c r="P145" s="141"/>
      <c r="Q145" s="141"/>
      <c r="R145" s="141"/>
      <c r="S145" s="141"/>
    </row>
    <row r="146">
      <c r="A146" s="141"/>
      <c r="B146" s="141"/>
      <c r="C146" s="141"/>
      <c r="D146" s="92"/>
      <c r="E146" s="92"/>
      <c r="F146" s="141"/>
      <c r="G146" s="141"/>
      <c r="H146" s="141"/>
      <c r="I146" s="141"/>
      <c r="J146" s="141"/>
      <c r="K146" s="141"/>
      <c r="L146" s="141"/>
      <c r="M146" s="141"/>
      <c r="N146" s="141"/>
      <c r="O146" s="141"/>
      <c r="P146" s="141"/>
      <c r="Q146" s="141"/>
      <c r="R146" s="141"/>
      <c r="S146" s="141"/>
    </row>
    <row r="147">
      <c r="A147" s="141"/>
      <c r="B147" s="141"/>
      <c r="C147" s="141"/>
      <c r="D147" s="92"/>
      <c r="E147" s="92"/>
      <c r="F147" s="141"/>
      <c r="G147" s="141"/>
      <c r="H147" s="141"/>
      <c r="I147" s="141"/>
      <c r="J147" s="141"/>
      <c r="K147" s="141"/>
      <c r="L147" s="141"/>
      <c r="M147" s="141"/>
      <c r="N147" s="141"/>
      <c r="O147" s="141"/>
      <c r="P147" s="141"/>
      <c r="Q147" s="141"/>
      <c r="R147" s="141"/>
      <c r="S147" s="141"/>
    </row>
    <row r="148">
      <c r="A148" s="141"/>
      <c r="B148" s="141"/>
      <c r="C148" s="141"/>
      <c r="D148" s="92"/>
      <c r="E148" s="92"/>
      <c r="F148" s="141"/>
      <c r="G148" s="141"/>
      <c r="H148" s="141"/>
      <c r="I148" s="141"/>
      <c r="J148" s="141"/>
      <c r="K148" s="141"/>
      <c r="L148" s="141"/>
      <c r="M148" s="141"/>
      <c r="N148" s="141"/>
      <c r="O148" s="141"/>
      <c r="P148" s="141"/>
      <c r="Q148" s="141"/>
      <c r="R148" s="141"/>
      <c r="S148" s="141"/>
    </row>
    <row r="149">
      <c r="A149" s="141"/>
      <c r="B149" s="141"/>
      <c r="C149" s="141"/>
      <c r="D149" s="92"/>
      <c r="E149" s="92"/>
      <c r="F149" s="141"/>
      <c r="G149" s="141"/>
      <c r="H149" s="141"/>
      <c r="I149" s="141"/>
      <c r="J149" s="141"/>
      <c r="K149" s="141"/>
      <c r="L149" s="141"/>
      <c r="M149" s="141"/>
      <c r="N149" s="141"/>
      <c r="O149" s="141"/>
      <c r="P149" s="141"/>
      <c r="Q149" s="141"/>
      <c r="R149" s="141"/>
      <c r="S149" s="141"/>
    </row>
    <row r="150">
      <c r="A150" s="141"/>
      <c r="B150" s="141"/>
      <c r="C150" s="141"/>
      <c r="D150" s="92"/>
      <c r="E150" s="92"/>
      <c r="F150" s="141"/>
      <c r="G150" s="141"/>
      <c r="H150" s="141"/>
      <c r="I150" s="141"/>
      <c r="J150" s="141"/>
      <c r="K150" s="141"/>
      <c r="L150" s="141"/>
      <c r="M150" s="141"/>
      <c r="N150" s="141"/>
      <c r="O150" s="141"/>
      <c r="P150" s="141"/>
      <c r="Q150" s="141"/>
      <c r="R150" s="141"/>
      <c r="S150" s="141"/>
    </row>
    <row r="151">
      <c r="A151" s="141"/>
      <c r="B151" s="141"/>
      <c r="C151" s="141"/>
      <c r="D151" s="92"/>
      <c r="E151" s="92"/>
      <c r="F151" s="141"/>
      <c r="G151" s="141"/>
      <c r="H151" s="141"/>
      <c r="I151" s="141"/>
      <c r="J151" s="141"/>
      <c r="K151" s="141"/>
      <c r="L151" s="141"/>
      <c r="M151" s="141"/>
      <c r="N151" s="141"/>
      <c r="O151" s="141"/>
      <c r="P151" s="141"/>
      <c r="Q151" s="141"/>
      <c r="R151" s="141"/>
      <c r="S151" s="141"/>
    </row>
    <row r="152">
      <c r="A152" s="141"/>
      <c r="B152" s="141"/>
      <c r="C152" s="141"/>
      <c r="D152" s="92"/>
      <c r="E152" s="92"/>
      <c r="F152" s="141"/>
      <c r="G152" s="141"/>
      <c r="H152" s="141"/>
      <c r="I152" s="141"/>
      <c r="J152" s="141"/>
      <c r="K152" s="141"/>
      <c r="L152" s="141"/>
      <c r="M152" s="141"/>
      <c r="N152" s="141"/>
      <c r="O152" s="141"/>
      <c r="P152" s="141"/>
      <c r="Q152" s="141"/>
      <c r="R152" s="141"/>
      <c r="S152" s="141"/>
    </row>
    <row r="153">
      <c r="A153" s="141"/>
      <c r="B153" s="141"/>
      <c r="C153" s="141"/>
      <c r="D153" s="92"/>
      <c r="E153" s="92"/>
      <c r="F153" s="141"/>
      <c r="G153" s="141"/>
      <c r="H153" s="141"/>
      <c r="I153" s="141"/>
      <c r="J153" s="141"/>
      <c r="K153" s="141"/>
      <c r="L153" s="141"/>
      <c r="M153" s="141"/>
      <c r="N153" s="141"/>
      <c r="O153" s="141"/>
      <c r="P153" s="141"/>
      <c r="Q153" s="141"/>
      <c r="R153" s="141"/>
      <c r="S153" s="141"/>
    </row>
    <row r="154">
      <c r="A154" s="141"/>
      <c r="B154" s="141"/>
      <c r="C154" s="141"/>
      <c r="D154" s="92"/>
      <c r="E154" s="92"/>
      <c r="F154" s="141"/>
      <c r="G154" s="141"/>
      <c r="H154" s="141"/>
      <c r="I154" s="141"/>
      <c r="J154" s="141"/>
      <c r="K154" s="141"/>
      <c r="L154" s="141"/>
      <c r="M154" s="141"/>
      <c r="N154" s="141"/>
      <c r="O154" s="141"/>
      <c r="P154" s="141"/>
      <c r="Q154" s="141"/>
      <c r="R154" s="141"/>
      <c r="S154" s="141"/>
    </row>
    <row r="155">
      <c r="A155" s="141"/>
      <c r="B155" s="141"/>
      <c r="C155" s="141"/>
      <c r="D155" s="92"/>
      <c r="E155" s="92"/>
      <c r="F155" s="141"/>
      <c r="G155" s="141"/>
      <c r="H155" s="141"/>
      <c r="I155" s="141"/>
      <c r="J155" s="141"/>
      <c r="K155" s="141"/>
      <c r="L155" s="141"/>
      <c r="M155" s="141"/>
      <c r="N155" s="141"/>
      <c r="O155" s="141"/>
      <c r="P155" s="141"/>
      <c r="Q155" s="141"/>
      <c r="R155" s="141"/>
      <c r="S155" s="141"/>
    </row>
    <row r="156">
      <c r="A156" s="141"/>
      <c r="B156" s="141"/>
      <c r="C156" s="141"/>
      <c r="D156" s="92"/>
      <c r="E156" s="92"/>
      <c r="F156" s="141"/>
      <c r="G156" s="141"/>
      <c r="H156" s="141"/>
      <c r="I156" s="141"/>
      <c r="J156" s="141"/>
      <c r="K156" s="141"/>
      <c r="L156" s="141"/>
      <c r="M156" s="141"/>
      <c r="N156" s="141"/>
      <c r="O156" s="141"/>
      <c r="P156" s="141"/>
      <c r="Q156" s="141"/>
      <c r="R156" s="141"/>
      <c r="S156" s="141"/>
    </row>
    <row r="157">
      <c r="A157" s="141"/>
      <c r="B157" s="141"/>
      <c r="C157" s="141"/>
      <c r="D157" s="92"/>
      <c r="E157" s="92"/>
      <c r="F157" s="141"/>
      <c r="G157" s="141"/>
      <c r="H157" s="141"/>
      <c r="I157" s="141"/>
      <c r="J157" s="141"/>
      <c r="K157" s="141"/>
      <c r="L157" s="141"/>
      <c r="M157" s="141"/>
      <c r="N157" s="141"/>
      <c r="O157" s="141"/>
      <c r="P157" s="141"/>
      <c r="Q157" s="141"/>
      <c r="R157" s="141"/>
      <c r="S157" s="141"/>
    </row>
    <row r="158">
      <c r="A158" s="141"/>
      <c r="B158" s="141"/>
      <c r="C158" s="141"/>
      <c r="D158" s="92"/>
      <c r="E158" s="92"/>
      <c r="F158" s="141"/>
      <c r="G158" s="141"/>
      <c r="H158" s="141"/>
      <c r="I158" s="141"/>
      <c r="J158" s="141"/>
      <c r="K158" s="141"/>
      <c r="L158" s="141"/>
      <c r="M158" s="141"/>
      <c r="N158" s="141"/>
      <c r="O158" s="141"/>
      <c r="P158" s="141"/>
      <c r="Q158" s="141"/>
      <c r="R158" s="141"/>
      <c r="S158" s="141"/>
    </row>
    <row r="159">
      <c r="A159" s="141"/>
      <c r="B159" s="141"/>
      <c r="C159" s="141"/>
      <c r="D159" s="92"/>
      <c r="E159" s="92"/>
      <c r="F159" s="141"/>
      <c r="G159" s="141"/>
      <c r="H159" s="141"/>
      <c r="I159" s="141"/>
      <c r="J159" s="141"/>
      <c r="K159" s="141"/>
      <c r="L159" s="141"/>
      <c r="M159" s="141"/>
      <c r="N159" s="141"/>
      <c r="O159" s="141"/>
      <c r="P159" s="141"/>
      <c r="Q159" s="141"/>
      <c r="R159" s="141"/>
      <c r="S159" s="141"/>
    </row>
    <row r="160">
      <c r="A160" s="141"/>
      <c r="B160" s="141"/>
      <c r="C160" s="141"/>
      <c r="D160" s="92"/>
      <c r="E160" s="92"/>
      <c r="F160" s="141"/>
      <c r="G160" s="141"/>
      <c r="H160" s="141"/>
      <c r="I160" s="141"/>
      <c r="J160" s="141"/>
      <c r="K160" s="141"/>
      <c r="L160" s="141"/>
      <c r="M160" s="141"/>
      <c r="N160" s="141"/>
      <c r="O160" s="141"/>
      <c r="P160" s="141"/>
      <c r="Q160" s="141"/>
      <c r="R160" s="141"/>
      <c r="S160" s="141"/>
    </row>
    <row r="161">
      <c r="A161" s="141"/>
      <c r="B161" s="141"/>
      <c r="C161" s="141"/>
      <c r="D161" s="92"/>
      <c r="E161" s="92"/>
      <c r="F161" s="141"/>
      <c r="G161" s="141"/>
      <c r="H161" s="141"/>
      <c r="I161" s="141"/>
      <c r="J161" s="141"/>
      <c r="K161" s="141"/>
      <c r="L161" s="141"/>
      <c r="M161" s="141"/>
      <c r="N161" s="141"/>
      <c r="O161" s="141"/>
      <c r="P161" s="141"/>
      <c r="Q161" s="141"/>
      <c r="R161" s="141"/>
      <c r="S161" s="141"/>
    </row>
    <row r="162">
      <c r="A162" s="141"/>
      <c r="B162" s="141"/>
      <c r="C162" s="141"/>
      <c r="D162" s="92"/>
      <c r="E162" s="92"/>
      <c r="F162" s="141"/>
      <c r="G162" s="141"/>
      <c r="H162" s="141"/>
      <c r="I162" s="141"/>
      <c r="J162" s="141"/>
      <c r="K162" s="141"/>
      <c r="L162" s="141"/>
      <c r="M162" s="141"/>
      <c r="N162" s="141"/>
      <c r="O162" s="141"/>
      <c r="P162" s="141"/>
      <c r="Q162" s="141"/>
      <c r="R162" s="141"/>
      <c r="S162" s="141"/>
    </row>
    <row r="163">
      <c r="A163" s="141"/>
      <c r="B163" s="141"/>
      <c r="C163" s="141"/>
      <c r="D163" s="92"/>
      <c r="E163" s="92"/>
      <c r="F163" s="141"/>
      <c r="G163" s="141"/>
      <c r="H163" s="141"/>
      <c r="I163" s="141"/>
      <c r="J163" s="141"/>
      <c r="K163" s="141"/>
      <c r="L163" s="141"/>
      <c r="M163" s="141"/>
      <c r="N163" s="141"/>
      <c r="O163" s="141"/>
      <c r="P163" s="141"/>
      <c r="Q163" s="141"/>
      <c r="R163" s="141"/>
      <c r="S163" s="141"/>
    </row>
    <row r="164">
      <c r="A164" s="141"/>
      <c r="B164" s="141"/>
      <c r="C164" s="141"/>
      <c r="D164" s="92"/>
      <c r="E164" s="92"/>
      <c r="F164" s="141"/>
      <c r="G164" s="141"/>
      <c r="H164" s="141"/>
      <c r="I164" s="141"/>
      <c r="J164" s="141"/>
      <c r="K164" s="141"/>
      <c r="L164" s="141"/>
      <c r="M164" s="141"/>
      <c r="N164" s="141"/>
      <c r="O164" s="141"/>
      <c r="P164" s="141"/>
      <c r="Q164" s="141"/>
      <c r="R164" s="141"/>
      <c r="S164" s="141"/>
    </row>
    <row r="165">
      <c r="A165" s="141"/>
      <c r="B165" s="141"/>
      <c r="C165" s="141"/>
      <c r="D165" s="92"/>
      <c r="E165" s="92"/>
      <c r="F165" s="141"/>
      <c r="G165" s="141"/>
      <c r="H165" s="141"/>
      <c r="I165" s="141"/>
      <c r="J165" s="141"/>
      <c r="K165" s="141"/>
      <c r="L165" s="141"/>
      <c r="M165" s="141"/>
      <c r="N165" s="141"/>
      <c r="O165" s="141"/>
      <c r="P165" s="141"/>
      <c r="Q165" s="141"/>
      <c r="R165" s="141"/>
      <c r="S165" s="141"/>
    </row>
    <row r="166">
      <c r="A166" s="141"/>
      <c r="B166" s="141"/>
      <c r="C166" s="141"/>
      <c r="D166" s="92"/>
      <c r="E166" s="92"/>
      <c r="F166" s="141"/>
      <c r="G166" s="141"/>
      <c r="H166" s="141"/>
      <c r="I166" s="141"/>
      <c r="J166" s="141"/>
      <c r="K166" s="141"/>
      <c r="L166" s="141"/>
      <c r="M166" s="141"/>
      <c r="N166" s="141"/>
      <c r="O166" s="141"/>
      <c r="P166" s="141"/>
      <c r="Q166" s="141"/>
      <c r="R166" s="141"/>
      <c r="S166" s="141"/>
    </row>
    <row r="167">
      <c r="A167" s="141"/>
      <c r="B167" s="141"/>
      <c r="C167" s="141"/>
      <c r="D167" s="92"/>
      <c r="E167" s="92"/>
      <c r="F167" s="141"/>
      <c r="G167" s="141"/>
      <c r="H167" s="141"/>
      <c r="I167" s="141"/>
      <c r="J167" s="141"/>
      <c r="K167" s="141"/>
      <c r="L167" s="141"/>
      <c r="M167" s="141"/>
      <c r="N167" s="141"/>
      <c r="O167" s="141"/>
      <c r="P167" s="141"/>
      <c r="Q167" s="141"/>
      <c r="R167" s="141"/>
      <c r="S167" s="141"/>
    </row>
    <row r="168">
      <c r="A168" s="141"/>
      <c r="B168" s="141"/>
      <c r="C168" s="141"/>
      <c r="D168" s="92"/>
      <c r="E168" s="92"/>
      <c r="F168" s="141"/>
      <c r="G168" s="141"/>
      <c r="H168" s="141"/>
      <c r="I168" s="141"/>
      <c r="J168" s="141"/>
      <c r="K168" s="141"/>
      <c r="L168" s="141"/>
      <c r="M168" s="141"/>
      <c r="N168" s="141"/>
      <c r="O168" s="141"/>
      <c r="P168" s="141"/>
      <c r="Q168" s="141"/>
      <c r="R168" s="141"/>
      <c r="S168" s="141"/>
    </row>
    <row r="169">
      <c r="A169" s="141"/>
      <c r="B169" s="141"/>
      <c r="C169" s="141"/>
      <c r="D169" s="92"/>
      <c r="E169" s="92"/>
      <c r="F169" s="141"/>
      <c r="G169" s="141"/>
      <c r="H169" s="141"/>
      <c r="I169" s="141"/>
      <c r="J169" s="141"/>
      <c r="K169" s="141"/>
      <c r="L169" s="141"/>
      <c r="M169" s="141"/>
      <c r="N169" s="141"/>
      <c r="O169" s="141"/>
      <c r="P169" s="141"/>
      <c r="Q169" s="141"/>
      <c r="R169" s="141"/>
      <c r="S169" s="141"/>
    </row>
    <row r="170">
      <c r="A170" s="141"/>
      <c r="B170" s="141"/>
      <c r="C170" s="141"/>
      <c r="D170" s="92"/>
      <c r="E170" s="92"/>
      <c r="F170" s="141"/>
      <c r="G170" s="141"/>
      <c r="H170" s="141"/>
      <c r="I170" s="141"/>
      <c r="J170" s="141"/>
      <c r="K170" s="141"/>
      <c r="L170" s="141"/>
      <c r="M170" s="141"/>
      <c r="N170" s="141"/>
      <c r="O170" s="141"/>
      <c r="P170" s="141"/>
      <c r="Q170" s="141"/>
      <c r="R170" s="141"/>
      <c r="S170" s="141"/>
    </row>
    <row r="171">
      <c r="A171" s="141"/>
      <c r="B171" s="141"/>
      <c r="C171" s="141"/>
      <c r="D171" s="92"/>
      <c r="E171" s="92"/>
      <c r="F171" s="141"/>
      <c r="G171" s="141"/>
      <c r="H171" s="141"/>
      <c r="I171" s="141"/>
      <c r="J171" s="141"/>
      <c r="K171" s="141"/>
      <c r="L171" s="141"/>
      <c r="M171" s="141"/>
      <c r="N171" s="141"/>
      <c r="O171" s="141"/>
      <c r="P171" s="141"/>
      <c r="Q171" s="141"/>
      <c r="R171" s="141"/>
      <c r="S171" s="141"/>
    </row>
    <row r="172">
      <c r="A172" s="141"/>
      <c r="B172" s="141"/>
      <c r="C172" s="141"/>
      <c r="D172" s="92"/>
      <c r="E172" s="92"/>
      <c r="F172" s="141"/>
      <c r="G172" s="141"/>
      <c r="H172" s="141"/>
      <c r="I172" s="141"/>
      <c r="J172" s="141"/>
      <c r="K172" s="141"/>
      <c r="L172" s="141"/>
      <c r="M172" s="141"/>
      <c r="N172" s="141"/>
      <c r="O172" s="141"/>
      <c r="P172" s="141"/>
      <c r="Q172" s="141"/>
      <c r="R172" s="141"/>
      <c r="S172" s="141"/>
    </row>
    <row r="173">
      <c r="A173" s="141"/>
      <c r="B173" s="141"/>
      <c r="C173" s="141"/>
      <c r="D173" s="92"/>
      <c r="E173" s="92"/>
      <c r="F173" s="141"/>
      <c r="G173" s="141"/>
      <c r="H173" s="141"/>
      <c r="I173" s="141"/>
      <c r="J173" s="141"/>
      <c r="K173" s="141"/>
      <c r="L173" s="141"/>
      <c r="M173" s="141"/>
      <c r="N173" s="141"/>
      <c r="O173" s="141"/>
      <c r="P173" s="141"/>
      <c r="Q173" s="141"/>
      <c r="R173" s="141"/>
      <c r="S173" s="141"/>
    </row>
    <row r="174">
      <c r="A174" s="141"/>
      <c r="B174" s="141"/>
      <c r="C174" s="141"/>
      <c r="D174" s="92"/>
      <c r="E174" s="92"/>
      <c r="F174" s="141"/>
      <c r="G174" s="141"/>
      <c r="H174" s="141"/>
      <c r="I174" s="141"/>
      <c r="J174" s="141"/>
      <c r="K174" s="141"/>
      <c r="L174" s="141"/>
      <c r="M174" s="141"/>
      <c r="N174" s="141"/>
      <c r="O174" s="141"/>
      <c r="P174" s="141"/>
      <c r="Q174" s="141"/>
      <c r="R174" s="141"/>
      <c r="S174" s="141"/>
    </row>
    <row r="175">
      <c r="A175" s="141"/>
      <c r="B175" s="141"/>
      <c r="C175" s="141"/>
      <c r="D175" s="92"/>
      <c r="E175" s="92"/>
      <c r="F175" s="141"/>
      <c r="G175" s="141"/>
      <c r="H175" s="141"/>
      <c r="I175" s="141"/>
      <c r="J175" s="141"/>
      <c r="K175" s="141"/>
      <c r="L175" s="141"/>
      <c r="M175" s="141"/>
      <c r="N175" s="141"/>
      <c r="O175" s="141"/>
      <c r="P175" s="141"/>
      <c r="Q175" s="141"/>
      <c r="R175" s="141"/>
      <c r="S175" s="141"/>
    </row>
    <row r="176">
      <c r="A176" s="141"/>
      <c r="B176" s="141"/>
      <c r="C176" s="141"/>
      <c r="D176" s="92"/>
      <c r="E176" s="92"/>
      <c r="F176" s="141"/>
      <c r="G176" s="141"/>
      <c r="H176" s="141"/>
      <c r="I176" s="141"/>
      <c r="J176" s="141"/>
      <c r="K176" s="141"/>
      <c r="L176" s="141"/>
      <c r="M176" s="141"/>
      <c r="N176" s="141"/>
      <c r="O176" s="141"/>
      <c r="P176" s="141"/>
      <c r="Q176" s="141"/>
      <c r="R176" s="141"/>
      <c r="S176" s="141"/>
    </row>
    <row r="177">
      <c r="A177" s="141"/>
      <c r="B177" s="141"/>
      <c r="C177" s="141"/>
      <c r="D177" s="92"/>
      <c r="E177" s="92"/>
      <c r="F177" s="141"/>
      <c r="G177" s="141"/>
      <c r="H177" s="141"/>
      <c r="I177" s="141"/>
      <c r="J177" s="141"/>
      <c r="K177" s="141"/>
      <c r="L177" s="141"/>
      <c r="M177" s="141"/>
      <c r="N177" s="141"/>
      <c r="O177" s="141"/>
      <c r="P177" s="141"/>
      <c r="Q177" s="141"/>
      <c r="R177" s="141"/>
      <c r="S177" s="141"/>
    </row>
    <row r="178">
      <c r="A178" s="141"/>
      <c r="B178" s="141"/>
      <c r="C178" s="141"/>
      <c r="D178" s="92"/>
      <c r="E178" s="92"/>
      <c r="F178" s="141"/>
      <c r="G178" s="141"/>
      <c r="H178" s="141"/>
      <c r="I178" s="141"/>
      <c r="J178" s="141"/>
      <c r="K178" s="141"/>
      <c r="L178" s="141"/>
      <c r="M178" s="141"/>
      <c r="N178" s="141"/>
      <c r="O178" s="141"/>
      <c r="P178" s="141"/>
      <c r="Q178" s="141"/>
      <c r="R178" s="141"/>
      <c r="S178" s="141"/>
    </row>
    <row r="179">
      <c r="A179" s="141"/>
      <c r="B179" s="141"/>
      <c r="C179" s="141"/>
      <c r="D179" s="92"/>
      <c r="E179" s="92"/>
      <c r="F179" s="141"/>
      <c r="G179" s="141"/>
      <c r="H179" s="141"/>
      <c r="I179" s="141"/>
      <c r="J179" s="141"/>
      <c r="K179" s="141"/>
      <c r="L179" s="141"/>
      <c r="M179" s="141"/>
      <c r="N179" s="141"/>
      <c r="O179" s="141"/>
      <c r="P179" s="141"/>
      <c r="Q179" s="141"/>
      <c r="R179" s="141"/>
      <c r="S179" s="141"/>
    </row>
    <row r="180">
      <c r="A180" s="141"/>
      <c r="B180" s="141"/>
      <c r="C180" s="141"/>
      <c r="D180" s="92"/>
      <c r="E180" s="92"/>
      <c r="F180" s="141"/>
      <c r="G180" s="141"/>
      <c r="H180" s="141"/>
      <c r="I180" s="141"/>
      <c r="J180" s="141"/>
      <c r="K180" s="141"/>
      <c r="L180" s="141"/>
      <c r="M180" s="141"/>
      <c r="N180" s="141"/>
      <c r="O180" s="141"/>
      <c r="P180" s="141"/>
      <c r="Q180" s="141"/>
      <c r="R180" s="141"/>
      <c r="S180" s="141"/>
    </row>
    <row r="181">
      <c r="A181" s="141"/>
      <c r="B181" s="141"/>
      <c r="C181" s="141"/>
      <c r="D181" s="92"/>
      <c r="E181" s="92"/>
      <c r="F181" s="141"/>
      <c r="G181" s="141"/>
      <c r="H181" s="141"/>
      <c r="I181" s="141"/>
      <c r="J181" s="141"/>
      <c r="K181" s="141"/>
      <c r="L181" s="141"/>
      <c r="M181" s="141"/>
      <c r="N181" s="141"/>
      <c r="O181" s="141"/>
      <c r="P181" s="141"/>
      <c r="Q181" s="141"/>
      <c r="R181" s="141"/>
      <c r="S181" s="141"/>
    </row>
    <row r="182">
      <c r="A182" s="141"/>
      <c r="B182" s="141"/>
      <c r="C182" s="141"/>
      <c r="D182" s="92"/>
      <c r="E182" s="92"/>
      <c r="F182" s="141"/>
      <c r="G182" s="141"/>
      <c r="H182" s="141"/>
      <c r="I182" s="141"/>
      <c r="J182" s="141"/>
      <c r="K182" s="141"/>
      <c r="L182" s="141"/>
      <c r="M182" s="141"/>
      <c r="N182" s="141"/>
      <c r="O182" s="141"/>
      <c r="P182" s="141"/>
      <c r="Q182" s="141"/>
      <c r="R182" s="141"/>
      <c r="S182" s="141"/>
    </row>
    <row r="183">
      <c r="A183" s="141"/>
      <c r="B183" s="141"/>
      <c r="C183" s="141"/>
      <c r="D183" s="92"/>
      <c r="E183" s="92"/>
      <c r="F183" s="141"/>
      <c r="G183" s="141"/>
      <c r="H183" s="141"/>
      <c r="I183" s="141"/>
      <c r="J183" s="141"/>
      <c r="K183" s="141"/>
      <c r="L183" s="141"/>
      <c r="M183" s="141"/>
      <c r="N183" s="141"/>
      <c r="O183" s="141"/>
      <c r="P183" s="141"/>
      <c r="Q183" s="141"/>
      <c r="R183" s="141"/>
      <c r="S183" s="141"/>
    </row>
    <row r="184">
      <c r="A184" s="141"/>
      <c r="B184" s="141"/>
      <c r="C184" s="141"/>
      <c r="D184" s="92"/>
      <c r="E184" s="92"/>
      <c r="F184" s="141"/>
      <c r="G184" s="141"/>
      <c r="H184" s="141"/>
      <c r="I184" s="141"/>
      <c r="J184" s="141"/>
      <c r="K184" s="141"/>
      <c r="L184" s="141"/>
      <c r="M184" s="141"/>
      <c r="N184" s="141"/>
      <c r="O184" s="141"/>
      <c r="P184" s="141"/>
      <c r="Q184" s="141"/>
      <c r="R184" s="141"/>
      <c r="S184" s="141"/>
    </row>
    <row r="185">
      <c r="A185" s="141"/>
      <c r="B185" s="141"/>
      <c r="C185" s="141"/>
      <c r="D185" s="92"/>
      <c r="E185" s="92"/>
      <c r="F185" s="141"/>
      <c r="G185" s="141"/>
      <c r="H185" s="141"/>
      <c r="I185" s="141"/>
      <c r="J185" s="141"/>
      <c r="K185" s="141"/>
      <c r="L185" s="141"/>
      <c r="M185" s="141"/>
      <c r="N185" s="141"/>
      <c r="O185" s="141"/>
      <c r="P185" s="141"/>
      <c r="Q185" s="141"/>
      <c r="R185" s="141"/>
      <c r="S185" s="141"/>
    </row>
    <row r="186">
      <c r="A186" s="141"/>
      <c r="B186" s="141"/>
      <c r="C186" s="141"/>
      <c r="D186" s="92"/>
      <c r="E186" s="92"/>
      <c r="F186" s="141"/>
      <c r="G186" s="141"/>
      <c r="H186" s="141"/>
      <c r="I186" s="141"/>
      <c r="J186" s="141"/>
      <c r="K186" s="141"/>
      <c r="L186" s="141"/>
      <c r="M186" s="141"/>
      <c r="N186" s="141"/>
      <c r="O186" s="141"/>
      <c r="P186" s="141"/>
      <c r="Q186" s="141"/>
      <c r="R186" s="141"/>
      <c r="S186" s="141"/>
    </row>
    <row r="187">
      <c r="A187" s="141"/>
      <c r="B187" s="141"/>
      <c r="C187" s="141"/>
      <c r="D187" s="92"/>
      <c r="E187" s="92"/>
      <c r="F187" s="141"/>
      <c r="G187" s="141"/>
      <c r="H187" s="141"/>
      <c r="I187" s="141"/>
      <c r="J187" s="141"/>
      <c r="K187" s="141"/>
      <c r="L187" s="141"/>
      <c r="M187" s="141"/>
      <c r="N187" s="141"/>
      <c r="O187" s="141"/>
      <c r="P187" s="141"/>
      <c r="Q187" s="141"/>
      <c r="R187" s="141"/>
      <c r="S187" s="141"/>
    </row>
    <row r="188">
      <c r="A188" s="141"/>
      <c r="B188" s="141"/>
      <c r="C188" s="141"/>
      <c r="D188" s="92"/>
      <c r="E188" s="92"/>
      <c r="F188" s="141"/>
      <c r="G188" s="141"/>
      <c r="H188" s="141"/>
      <c r="I188" s="141"/>
      <c r="J188" s="141"/>
      <c r="K188" s="141"/>
      <c r="L188" s="141"/>
      <c r="M188" s="141"/>
      <c r="N188" s="141"/>
      <c r="O188" s="141"/>
      <c r="P188" s="141"/>
      <c r="Q188" s="141"/>
      <c r="R188" s="141"/>
      <c r="S188" s="141"/>
    </row>
    <row r="189">
      <c r="A189" s="141"/>
      <c r="B189" s="141"/>
      <c r="C189" s="141"/>
      <c r="D189" s="92"/>
      <c r="E189" s="92"/>
      <c r="F189" s="141"/>
      <c r="G189" s="141"/>
      <c r="H189" s="141"/>
      <c r="I189" s="141"/>
      <c r="J189" s="141"/>
      <c r="K189" s="141"/>
      <c r="L189" s="141"/>
      <c r="M189" s="141"/>
      <c r="N189" s="141"/>
      <c r="O189" s="141"/>
      <c r="P189" s="141"/>
      <c r="Q189" s="141"/>
      <c r="R189" s="141"/>
      <c r="S189" s="141"/>
    </row>
    <row r="190">
      <c r="A190" s="141"/>
      <c r="B190" s="141"/>
      <c r="C190" s="141"/>
      <c r="D190" s="92"/>
      <c r="E190" s="92"/>
      <c r="F190" s="141"/>
      <c r="G190" s="141"/>
      <c r="H190" s="141"/>
      <c r="I190" s="141"/>
      <c r="J190" s="141"/>
      <c r="K190" s="141"/>
      <c r="L190" s="141"/>
      <c r="M190" s="141"/>
      <c r="N190" s="141"/>
      <c r="O190" s="141"/>
      <c r="P190" s="141"/>
      <c r="Q190" s="141"/>
      <c r="R190" s="141"/>
      <c r="S190" s="141"/>
    </row>
    <row r="191">
      <c r="A191" s="141"/>
      <c r="B191" s="141"/>
      <c r="C191" s="141"/>
      <c r="D191" s="92"/>
      <c r="E191" s="92"/>
      <c r="F191" s="141"/>
      <c r="G191" s="141"/>
      <c r="H191" s="141"/>
      <c r="I191" s="141"/>
      <c r="J191" s="141"/>
      <c r="K191" s="141"/>
      <c r="L191" s="141"/>
      <c r="M191" s="141"/>
      <c r="N191" s="141"/>
      <c r="O191" s="141"/>
      <c r="P191" s="141"/>
      <c r="Q191" s="141"/>
      <c r="R191" s="141"/>
      <c r="S191" s="141"/>
    </row>
    <row r="192">
      <c r="A192" s="141"/>
      <c r="B192" s="141"/>
      <c r="C192" s="141"/>
      <c r="D192" s="92"/>
      <c r="E192" s="92"/>
      <c r="F192" s="141"/>
      <c r="G192" s="141"/>
      <c r="H192" s="141"/>
      <c r="I192" s="141"/>
      <c r="J192" s="141"/>
      <c r="K192" s="141"/>
      <c r="L192" s="141"/>
      <c r="M192" s="141"/>
      <c r="N192" s="141"/>
      <c r="O192" s="141"/>
      <c r="P192" s="141"/>
      <c r="Q192" s="141"/>
      <c r="R192" s="141"/>
      <c r="S192" s="141"/>
    </row>
    <row r="193">
      <c r="A193" s="141"/>
      <c r="B193" s="141"/>
      <c r="C193" s="141"/>
      <c r="D193" s="92"/>
      <c r="E193" s="92"/>
      <c r="F193" s="141"/>
      <c r="G193" s="141"/>
      <c r="H193" s="141"/>
      <c r="I193" s="141"/>
      <c r="J193" s="141"/>
      <c r="K193" s="141"/>
      <c r="L193" s="141"/>
      <c r="M193" s="141"/>
      <c r="N193" s="141"/>
      <c r="O193" s="141"/>
      <c r="P193" s="141"/>
      <c r="Q193" s="141"/>
      <c r="R193" s="141"/>
      <c r="S193" s="141"/>
    </row>
    <row r="194">
      <c r="A194" s="141"/>
      <c r="B194" s="141"/>
      <c r="C194" s="141"/>
      <c r="D194" s="92"/>
      <c r="E194" s="92"/>
      <c r="F194" s="141"/>
      <c r="G194" s="141"/>
      <c r="H194" s="141"/>
      <c r="I194" s="141"/>
      <c r="J194" s="141"/>
      <c r="K194" s="141"/>
      <c r="L194" s="141"/>
      <c r="M194" s="141"/>
      <c r="N194" s="141"/>
      <c r="O194" s="141"/>
      <c r="P194" s="141"/>
      <c r="Q194" s="141"/>
      <c r="R194" s="141"/>
      <c r="S194" s="141"/>
    </row>
    <row r="195">
      <c r="A195" s="141"/>
      <c r="B195" s="141"/>
      <c r="C195" s="141"/>
      <c r="D195" s="92"/>
      <c r="E195" s="92"/>
      <c r="F195" s="141"/>
      <c r="G195" s="141"/>
      <c r="H195" s="141"/>
      <c r="I195" s="141"/>
      <c r="J195" s="141"/>
      <c r="K195" s="141"/>
      <c r="L195" s="141"/>
      <c r="M195" s="141"/>
      <c r="N195" s="141"/>
      <c r="O195" s="141"/>
      <c r="P195" s="141"/>
      <c r="Q195" s="141"/>
      <c r="R195" s="141"/>
      <c r="S195" s="141"/>
    </row>
    <row r="196">
      <c r="A196" s="141"/>
      <c r="B196" s="141"/>
      <c r="C196" s="141"/>
      <c r="D196" s="92"/>
      <c r="E196" s="92"/>
      <c r="F196" s="141"/>
      <c r="G196" s="141"/>
      <c r="H196" s="141"/>
      <c r="I196" s="141"/>
      <c r="J196" s="141"/>
      <c r="K196" s="141"/>
      <c r="L196" s="141"/>
      <c r="M196" s="141"/>
      <c r="N196" s="141"/>
      <c r="O196" s="141"/>
      <c r="P196" s="141"/>
      <c r="Q196" s="141"/>
      <c r="R196" s="141"/>
      <c r="S196" s="141"/>
    </row>
    <row r="197">
      <c r="A197" s="141"/>
      <c r="B197" s="141"/>
      <c r="C197" s="141"/>
      <c r="D197" s="92"/>
      <c r="E197" s="92"/>
      <c r="F197" s="141"/>
      <c r="G197" s="141"/>
      <c r="H197" s="141"/>
      <c r="I197" s="141"/>
      <c r="J197" s="141"/>
      <c r="K197" s="141"/>
      <c r="L197" s="141"/>
      <c r="M197" s="141"/>
      <c r="N197" s="141"/>
      <c r="O197" s="141"/>
      <c r="P197" s="141"/>
      <c r="Q197" s="141"/>
      <c r="R197" s="141"/>
      <c r="S197" s="141"/>
    </row>
    <row r="198">
      <c r="A198" s="141"/>
      <c r="B198" s="141"/>
      <c r="C198" s="141"/>
      <c r="D198" s="92"/>
      <c r="E198" s="92"/>
      <c r="F198" s="141"/>
      <c r="G198" s="141"/>
      <c r="H198" s="141"/>
      <c r="I198" s="141"/>
      <c r="J198" s="141"/>
      <c r="K198" s="141"/>
      <c r="L198" s="141"/>
      <c r="M198" s="141"/>
      <c r="N198" s="141"/>
      <c r="O198" s="141"/>
      <c r="P198" s="141"/>
      <c r="Q198" s="141"/>
      <c r="R198" s="141"/>
      <c r="S198" s="141"/>
    </row>
    <row r="199">
      <c r="A199" s="141"/>
      <c r="B199" s="141"/>
      <c r="C199" s="141"/>
      <c r="D199" s="92"/>
      <c r="E199" s="92"/>
      <c r="F199" s="141"/>
      <c r="G199" s="141"/>
      <c r="H199" s="141"/>
      <c r="I199" s="141"/>
      <c r="J199" s="141"/>
      <c r="K199" s="141"/>
      <c r="L199" s="141"/>
      <c r="M199" s="141"/>
      <c r="N199" s="141"/>
      <c r="O199" s="141"/>
      <c r="P199" s="141"/>
      <c r="Q199" s="141"/>
      <c r="R199" s="141"/>
      <c r="S199" s="141"/>
    </row>
    <row r="200">
      <c r="A200" s="141"/>
      <c r="B200" s="141"/>
      <c r="C200" s="141"/>
      <c r="D200" s="92"/>
      <c r="E200" s="92"/>
      <c r="F200" s="141"/>
      <c r="G200" s="141"/>
      <c r="H200" s="141"/>
      <c r="I200" s="141"/>
      <c r="J200" s="141"/>
      <c r="K200" s="141"/>
      <c r="L200" s="141"/>
      <c r="M200" s="141"/>
      <c r="N200" s="141"/>
      <c r="O200" s="141"/>
      <c r="P200" s="141"/>
      <c r="Q200" s="141"/>
      <c r="R200" s="141"/>
      <c r="S200" s="141"/>
    </row>
    <row r="201">
      <c r="A201" s="141"/>
      <c r="B201" s="141"/>
      <c r="C201" s="141"/>
      <c r="D201" s="92"/>
      <c r="E201" s="92"/>
      <c r="F201" s="141"/>
      <c r="G201" s="141"/>
      <c r="H201" s="141"/>
      <c r="I201" s="141"/>
      <c r="J201" s="141"/>
      <c r="K201" s="141"/>
      <c r="L201" s="141"/>
      <c r="M201" s="141"/>
      <c r="N201" s="141"/>
      <c r="O201" s="141"/>
      <c r="P201" s="141"/>
      <c r="Q201" s="141"/>
      <c r="R201" s="141"/>
      <c r="S201" s="141"/>
    </row>
    <row r="202">
      <c r="A202" s="141"/>
      <c r="B202" s="141"/>
      <c r="C202" s="141"/>
      <c r="D202" s="92"/>
      <c r="E202" s="92"/>
      <c r="F202" s="141"/>
      <c r="G202" s="141"/>
      <c r="H202" s="141"/>
      <c r="I202" s="141"/>
      <c r="J202" s="141"/>
      <c r="K202" s="141"/>
      <c r="L202" s="141"/>
      <c r="M202" s="141"/>
      <c r="N202" s="141"/>
      <c r="O202" s="141"/>
      <c r="P202" s="141"/>
      <c r="Q202" s="141"/>
      <c r="R202" s="141"/>
      <c r="S202" s="141"/>
    </row>
    <row r="203">
      <c r="A203" s="141"/>
      <c r="B203" s="141"/>
      <c r="C203" s="141"/>
      <c r="D203" s="92"/>
      <c r="E203" s="92"/>
      <c r="F203" s="141"/>
      <c r="G203" s="141"/>
      <c r="H203" s="141"/>
      <c r="I203" s="141"/>
      <c r="J203" s="141"/>
      <c r="K203" s="141"/>
      <c r="L203" s="141"/>
      <c r="M203" s="141"/>
      <c r="N203" s="141"/>
      <c r="O203" s="141"/>
      <c r="P203" s="141"/>
      <c r="Q203" s="141"/>
      <c r="R203" s="141"/>
      <c r="S203" s="141"/>
    </row>
    <row r="204">
      <c r="A204" s="141"/>
      <c r="B204" s="141"/>
      <c r="C204" s="141"/>
      <c r="D204" s="92"/>
      <c r="E204" s="92"/>
      <c r="F204" s="141"/>
      <c r="G204" s="141"/>
      <c r="H204" s="141"/>
      <c r="I204" s="141"/>
      <c r="J204" s="141"/>
      <c r="K204" s="141"/>
      <c r="L204" s="141"/>
      <c r="M204" s="141"/>
      <c r="N204" s="141"/>
      <c r="O204" s="141"/>
      <c r="P204" s="141"/>
      <c r="Q204" s="141"/>
      <c r="R204" s="141"/>
      <c r="S204" s="141"/>
    </row>
    <row r="205">
      <c r="A205" s="141"/>
      <c r="B205" s="141"/>
      <c r="C205" s="141"/>
      <c r="D205" s="92"/>
      <c r="E205" s="92"/>
      <c r="F205" s="141"/>
      <c r="G205" s="141"/>
      <c r="H205" s="141"/>
      <c r="I205" s="141"/>
      <c r="J205" s="141"/>
      <c r="K205" s="141"/>
      <c r="L205" s="141"/>
      <c r="M205" s="141"/>
      <c r="N205" s="141"/>
      <c r="O205" s="141"/>
      <c r="P205" s="141"/>
      <c r="Q205" s="141"/>
      <c r="R205" s="141"/>
      <c r="S205" s="141"/>
    </row>
    <row r="206">
      <c r="A206" s="141"/>
      <c r="B206" s="141"/>
      <c r="C206" s="141"/>
      <c r="D206" s="92"/>
      <c r="E206" s="92"/>
      <c r="F206" s="141"/>
      <c r="G206" s="141"/>
      <c r="H206" s="141"/>
      <c r="I206" s="141"/>
      <c r="J206" s="141"/>
      <c r="K206" s="141"/>
      <c r="L206" s="141"/>
      <c r="M206" s="141"/>
      <c r="N206" s="141"/>
      <c r="O206" s="141"/>
      <c r="P206" s="141"/>
      <c r="Q206" s="141"/>
      <c r="R206" s="141"/>
      <c r="S206" s="141"/>
    </row>
    <row r="207">
      <c r="A207" s="141"/>
      <c r="B207" s="141"/>
      <c r="C207" s="141"/>
      <c r="D207" s="92"/>
      <c r="E207" s="92"/>
      <c r="F207" s="141"/>
      <c r="G207" s="141"/>
      <c r="H207" s="141"/>
      <c r="I207" s="141"/>
      <c r="J207" s="141"/>
      <c r="K207" s="141"/>
      <c r="L207" s="141"/>
      <c r="M207" s="141"/>
      <c r="N207" s="141"/>
      <c r="O207" s="141"/>
      <c r="P207" s="141"/>
      <c r="Q207" s="141"/>
      <c r="R207" s="141"/>
      <c r="S207" s="141"/>
    </row>
    <row r="208">
      <c r="A208" s="141"/>
      <c r="B208" s="141"/>
      <c r="C208" s="141"/>
      <c r="D208" s="92"/>
      <c r="E208" s="92"/>
      <c r="F208" s="141"/>
      <c r="G208" s="141"/>
      <c r="H208" s="141"/>
      <c r="I208" s="141"/>
      <c r="J208" s="141"/>
      <c r="K208" s="141"/>
      <c r="L208" s="141"/>
      <c r="M208" s="141"/>
      <c r="N208" s="141"/>
      <c r="O208" s="141"/>
      <c r="P208" s="141"/>
      <c r="Q208" s="141"/>
      <c r="R208" s="141"/>
      <c r="S208" s="141"/>
    </row>
    <row r="209">
      <c r="A209" s="141"/>
      <c r="B209" s="141"/>
      <c r="C209" s="141"/>
      <c r="D209" s="92"/>
      <c r="E209" s="92"/>
      <c r="F209" s="141"/>
      <c r="G209" s="141"/>
      <c r="H209" s="141"/>
      <c r="I209" s="141"/>
      <c r="J209" s="141"/>
      <c r="K209" s="141"/>
      <c r="L209" s="141"/>
      <c r="M209" s="141"/>
      <c r="N209" s="141"/>
      <c r="O209" s="141"/>
      <c r="P209" s="141"/>
      <c r="Q209" s="141"/>
      <c r="R209" s="141"/>
      <c r="S209" s="141"/>
    </row>
    <row r="210">
      <c r="A210" s="141"/>
      <c r="B210" s="141"/>
      <c r="C210" s="141"/>
      <c r="D210" s="92"/>
      <c r="E210" s="92"/>
      <c r="F210" s="141"/>
      <c r="G210" s="141"/>
      <c r="H210" s="141"/>
      <c r="I210" s="141"/>
      <c r="J210" s="141"/>
      <c r="K210" s="141"/>
      <c r="L210" s="141"/>
      <c r="M210" s="141"/>
      <c r="N210" s="141"/>
      <c r="O210" s="141"/>
      <c r="P210" s="141"/>
      <c r="Q210" s="141"/>
      <c r="R210" s="141"/>
      <c r="S210" s="141"/>
    </row>
    <row r="211">
      <c r="A211" s="141"/>
      <c r="B211" s="141"/>
      <c r="C211" s="141"/>
      <c r="D211" s="92"/>
      <c r="E211" s="92"/>
      <c r="F211" s="141"/>
      <c r="G211" s="141"/>
      <c r="H211" s="141"/>
      <c r="I211" s="141"/>
      <c r="J211" s="141"/>
      <c r="K211" s="141"/>
      <c r="L211" s="141"/>
      <c r="M211" s="141"/>
      <c r="N211" s="141"/>
      <c r="O211" s="141"/>
      <c r="P211" s="141"/>
      <c r="Q211" s="141"/>
      <c r="R211" s="141"/>
      <c r="S211" s="141"/>
    </row>
    <row r="212">
      <c r="A212" s="141"/>
      <c r="B212" s="141"/>
      <c r="C212" s="141"/>
      <c r="D212" s="92"/>
      <c r="E212" s="92"/>
      <c r="F212" s="141"/>
      <c r="G212" s="141"/>
      <c r="H212" s="141"/>
      <c r="I212" s="141"/>
      <c r="J212" s="141"/>
      <c r="K212" s="141"/>
      <c r="L212" s="141"/>
      <c r="M212" s="141"/>
      <c r="N212" s="141"/>
      <c r="O212" s="141"/>
      <c r="P212" s="141"/>
      <c r="Q212" s="141"/>
      <c r="R212" s="141"/>
      <c r="S212" s="141"/>
    </row>
    <row r="213">
      <c r="A213" s="141"/>
      <c r="B213" s="141"/>
      <c r="C213" s="141"/>
      <c r="D213" s="92"/>
      <c r="E213" s="92"/>
      <c r="F213" s="141"/>
      <c r="G213" s="141"/>
      <c r="H213" s="141"/>
      <c r="I213" s="141"/>
      <c r="J213" s="141"/>
      <c r="K213" s="141"/>
      <c r="L213" s="141"/>
      <c r="M213" s="141"/>
      <c r="N213" s="141"/>
      <c r="O213" s="141"/>
      <c r="P213" s="141"/>
      <c r="Q213" s="141"/>
      <c r="R213" s="141"/>
      <c r="S213" s="141"/>
    </row>
    <row r="214">
      <c r="A214" s="141"/>
      <c r="B214" s="141"/>
      <c r="C214" s="141"/>
      <c r="D214" s="92"/>
      <c r="E214" s="92"/>
      <c r="F214" s="141"/>
      <c r="G214" s="141"/>
      <c r="H214" s="141"/>
      <c r="I214" s="141"/>
      <c r="J214" s="141"/>
      <c r="K214" s="141"/>
      <c r="L214" s="141"/>
      <c r="M214" s="141"/>
      <c r="N214" s="141"/>
      <c r="O214" s="141"/>
      <c r="P214" s="141"/>
      <c r="Q214" s="141"/>
      <c r="R214" s="141"/>
      <c r="S214" s="141"/>
    </row>
    <row r="215">
      <c r="A215" s="141"/>
      <c r="B215" s="141"/>
      <c r="C215" s="141"/>
      <c r="D215" s="92"/>
      <c r="E215" s="92"/>
      <c r="F215" s="141"/>
      <c r="G215" s="141"/>
      <c r="H215" s="141"/>
      <c r="I215" s="141"/>
      <c r="J215" s="141"/>
      <c r="K215" s="141"/>
      <c r="L215" s="141"/>
      <c r="M215" s="141"/>
      <c r="N215" s="141"/>
      <c r="O215" s="141"/>
      <c r="P215" s="141"/>
      <c r="Q215" s="141"/>
      <c r="R215" s="141"/>
      <c r="S215" s="141"/>
    </row>
    <row r="216">
      <c r="A216" s="141"/>
      <c r="B216" s="141"/>
      <c r="C216" s="141"/>
      <c r="D216" s="92"/>
      <c r="E216" s="92"/>
      <c r="F216" s="141"/>
      <c r="G216" s="141"/>
      <c r="H216" s="141"/>
      <c r="I216" s="141"/>
      <c r="J216" s="141"/>
      <c r="K216" s="141"/>
      <c r="L216" s="141"/>
      <c r="M216" s="141"/>
      <c r="N216" s="141"/>
      <c r="O216" s="141"/>
      <c r="P216" s="141"/>
      <c r="Q216" s="141"/>
      <c r="R216" s="141"/>
      <c r="S216" s="141"/>
    </row>
    <row r="217">
      <c r="A217" s="141"/>
      <c r="B217" s="141"/>
      <c r="C217" s="141"/>
      <c r="D217" s="92"/>
      <c r="E217" s="92"/>
      <c r="F217" s="141"/>
      <c r="G217" s="141"/>
      <c r="H217" s="141"/>
      <c r="I217" s="141"/>
      <c r="J217" s="141"/>
      <c r="K217" s="141"/>
      <c r="L217" s="141"/>
      <c r="M217" s="141"/>
      <c r="N217" s="141"/>
      <c r="O217" s="141"/>
      <c r="P217" s="141"/>
      <c r="Q217" s="141"/>
      <c r="R217" s="141"/>
      <c r="S217" s="141"/>
    </row>
    <row r="218">
      <c r="A218" s="141"/>
      <c r="B218" s="141"/>
      <c r="C218" s="141"/>
      <c r="D218" s="92"/>
      <c r="E218" s="92"/>
      <c r="F218" s="141"/>
      <c r="G218" s="141"/>
      <c r="H218" s="141"/>
      <c r="I218" s="141"/>
      <c r="J218" s="141"/>
      <c r="K218" s="141"/>
      <c r="L218" s="141"/>
      <c r="M218" s="141"/>
      <c r="N218" s="141"/>
      <c r="O218" s="141"/>
      <c r="P218" s="141"/>
      <c r="Q218" s="141"/>
      <c r="R218" s="141"/>
      <c r="S218" s="141"/>
    </row>
    <row r="219">
      <c r="A219" s="141"/>
      <c r="B219" s="141"/>
      <c r="C219" s="141"/>
      <c r="D219" s="92"/>
      <c r="E219" s="92"/>
      <c r="F219" s="141"/>
      <c r="G219" s="141"/>
      <c r="H219" s="141"/>
      <c r="I219" s="141"/>
      <c r="J219" s="141"/>
      <c r="K219" s="141"/>
      <c r="L219" s="141"/>
      <c r="M219" s="141"/>
      <c r="N219" s="141"/>
      <c r="O219" s="141"/>
      <c r="P219" s="141"/>
      <c r="Q219" s="141"/>
      <c r="R219" s="141"/>
      <c r="S219" s="141"/>
    </row>
    <row r="220">
      <c r="A220" s="141"/>
      <c r="B220" s="141"/>
      <c r="C220" s="141"/>
      <c r="D220" s="92"/>
      <c r="E220" s="92"/>
      <c r="F220" s="141"/>
      <c r="G220" s="141"/>
      <c r="H220" s="141"/>
      <c r="I220" s="141"/>
      <c r="J220" s="141"/>
      <c r="K220" s="141"/>
      <c r="L220" s="141"/>
      <c r="M220" s="141"/>
      <c r="N220" s="141"/>
      <c r="O220" s="141"/>
      <c r="P220" s="141"/>
      <c r="Q220" s="141"/>
      <c r="R220" s="141"/>
      <c r="S220" s="141"/>
    </row>
    <row r="221">
      <c r="A221" s="141"/>
      <c r="B221" s="141"/>
      <c r="C221" s="141"/>
      <c r="D221" s="92"/>
      <c r="E221" s="92"/>
      <c r="F221" s="141"/>
      <c r="G221" s="141"/>
      <c r="H221" s="141"/>
      <c r="I221" s="141"/>
      <c r="J221" s="141"/>
      <c r="K221" s="141"/>
      <c r="L221" s="141"/>
      <c r="M221" s="141"/>
      <c r="N221" s="141"/>
      <c r="O221" s="141"/>
      <c r="P221" s="141"/>
      <c r="Q221" s="141"/>
      <c r="R221" s="141"/>
      <c r="S221" s="141"/>
    </row>
    <row r="222">
      <c r="A222" s="141"/>
      <c r="B222" s="141"/>
      <c r="C222" s="141"/>
      <c r="D222" s="92"/>
      <c r="E222" s="92"/>
      <c r="F222" s="141"/>
      <c r="G222" s="141"/>
      <c r="H222" s="141"/>
      <c r="I222" s="141"/>
      <c r="J222" s="141"/>
      <c r="K222" s="141"/>
      <c r="L222" s="141"/>
      <c r="M222" s="141"/>
      <c r="N222" s="141"/>
      <c r="O222" s="141"/>
      <c r="P222" s="141"/>
      <c r="Q222" s="141"/>
      <c r="R222" s="141"/>
      <c r="S222" s="141"/>
    </row>
    <row r="223">
      <c r="A223" s="141"/>
      <c r="B223" s="141"/>
      <c r="C223" s="141"/>
      <c r="D223" s="92"/>
      <c r="E223" s="92"/>
      <c r="F223" s="141"/>
      <c r="G223" s="141"/>
      <c r="H223" s="141"/>
      <c r="I223" s="141"/>
      <c r="J223" s="141"/>
      <c r="K223" s="141"/>
      <c r="L223" s="141"/>
      <c r="M223" s="141"/>
      <c r="N223" s="141"/>
      <c r="O223" s="141"/>
      <c r="P223" s="141"/>
      <c r="Q223" s="141"/>
      <c r="R223" s="141"/>
      <c r="S223" s="141"/>
    </row>
    <row r="224">
      <c r="A224" s="141"/>
      <c r="B224" s="141"/>
      <c r="C224" s="141"/>
      <c r="D224" s="92"/>
      <c r="E224" s="92"/>
      <c r="F224" s="141"/>
      <c r="G224" s="141"/>
      <c r="H224" s="141"/>
      <c r="I224" s="141"/>
      <c r="J224" s="141"/>
      <c r="K224" s="141"/>
      <c r="L224" s="141"/>
      <c r="M224" s="141"/>
      <c r="N224" s="141"/>
      <c r="O224" s="141"/>
      <c r="P224" s="141"/>
      <c r="Q224" s="141"/>
      <c r="R224" s="141"/>
      <c r="S224" s="141"/>
    </row>
    <row r="225">
      <c r="A225" s="141"/>
      <c r="B225" s="141"/>
      <c r="C225" s="141"/>
      <c r="D225" s="92"/>
      <c r="E225" s="92"/>
      <c r="F225" s="141"/>
      <c r="G225" s="141"/>
      <c r="H225" s="141"/>
      <c r="I225" s="141"/>
      <c r="J225" s="141"/>
      <c r="K225" s="141"/>
      <c r="L225" s="141"/>
      <c r="M225" s="141"/>
      <c r="N225" s="141"/>
      <c r="O225" s="141"/>
      <c r="P225" s="141"/>
      <c r="Q225" s="141"/>
      <c r="R225" s="141"/>
      <c r="S225" s="141"/>
    </row>
    <row r="226">
      <c r="A226" s="141"/>
      <c r="B226" s="141"/>
      <c r="C226" s="141"/>
      <c r="D226" s="92"/>
      <c r="E226" s="92"/>
      <c r="F226" s="141"/>
      <c r="G226" s="141"/>
      <c r="H226" s="141"/>
      <c r="I226" s="141"/>
      <c r="J226" s="141"/>
      <c r="K226" s="141"/>
      <c r="L226" s="141"/>
      <c r="M226" s="141"/>
      <c r="N226" s="141"/>
      <c r="O226" s="141"/>
      <c r="P226" s="141"/>
      <c r="Q226" s="141"/>
      <c r="R226" s="141"/>
      <c r="S226" s="141"/>
    </row>
    <row r="227">
      <c r="A227" s="141"/>
      <c r="B227" s="141"/>
      <c r="C227" s="141"/>
      <c r="D227" s="92"/>
      <c r="E227" s="92"/>
      <c r="F227" s="141"/>
      <c r="G227" s="141"/>
      <c r="H227" s="141"/>
      <c r="I227" s="141"/>
      <c r="J227" s="141"/>
      <c r="K227" s="141"/>
      <c r="L227" s="141"/>
      <c r="M227" s="141"/>
      <c r="N227" s="141"/>
      <c r="O227" s="141"/>
      <c r="P227" s="141"/>
      <c r="Q227" s="141"/>
      <c r="R227" s="141"/>
      <c r="S227" s="141"/>
    </row>
    <row r="228">
      <c r="A228" s="141"/>
      <c r="B228" s="141"/>
      <c r="C228" s="141"/>
      <c r="D228" s="92"/>
      <c r="E228" s="92"/>
      <c r="F228" s="141"/>
      <c r="G228" s="141"/>
      <c r="H228" s="141"/>
      <c r="I228" s="141"/>
      <c r="J228" s="141"/>
      <c r="K228" s="141"/>
      <c r="L228" s="141"/>
      <c r="M228" s="141"/>
      <c r="N228" s="141"/>
      <c r="O228" s="141"/>
      <c r="P228" s="141"/>
      <c r="Q228" s="141"/>
      <c r="R228" s="141"/>
      <c r="S228" s="141"/>
    </row>
    <row r="229">
      <c r="A229" s="141"/>
      <c r="B229" s="141"/>
      <c r="C229" s="141"/>
      <c r="D229" s="92"/>
      <c r="E229" s="92"/>
      <c r="F229" s="141"/>
      <c r="G229" s="141"/>
      <c r="H229" s="141"/>
      <c r="I229" s="141"/>
      <c r="J229" s="141"/>
      <c r="K229" s="141"/>
      <c r="L229" s="141"/>
      <c r="M229" s="141"/>
      <c r="N229" s="141"/>
      <c r="O229" s="141"/>
      <c r="P229" s="141"/>
      <c r="Q229" s="141"/>
      <c r="R229" s="141"/>
      <c r="S229" s="141"/>
    </row>
    <row r="230">
      <c r="A230" s="141"/>
      <c r="B230" s="141"/>
      <c r="C230" s="141"/>
      <c r="D230" s="92"/>
      <c r="E230" s="92"/>
      <c r="F230" s="141"/>
      <c r="G230" s="141"/>
      <c r="H230" s="141"/>
      <c r="I230" s="141"/>
      <c r="J230" s="141"/>
      <c r="K230" s="141"/>
      <c r="L230" s="141"/>
      <c r="M230" s="141"/>
      <c r="N230" s="141"/>
      <c r="O230" s="141"/>
      <c r="P230" s="141"/>
      <c r="Q230" s="141"/>
      <c r="R230" s="141"/>
      <c r="S230" s="141"/>
    </row>
    <row r="231">
      <c r="A231" s="141"/>
      <c r="B231" s="141"/>
      <c r="C231" s="141"/>
      <c r="D231" s="92"/>
      <c r="E231" s="92"/>
      <c r="F231" s="141"/>
      <c r="G231" s="141"/>
      <c r="H231" s="141"/>
      <c r="I231" s="141"/>
      <c r="J231" s="141"/>
      <c r="K231" s="141"/>
      <c r="L231" s="141"/>
      <c r="M231" s="141"/>
      <c r="N231" s="141"/>
      <c r="O231" s="141"/>
      <c r="P231" s="141"/>
      <c r="Q231" s="141"/>
      <c r="R231" s="141"/>
      <c r="S231" s="141"/>
    </row>
    <row r="232">
      <c r="A232" s="141"/>
      <c r="B232" s="141"/>
      <c r="C232" s="141"/>
      <c r="D232" s="92"/>
      <c r="E232" s="92"/>
      <c r="F232" s="141"/>
      <c r="G232" s="141"/>
      <c r="H232" s="141"/>
      <c r="I232" s="141"/>
      <c r="J232" s="141"/>
      <c r="K232" s="141"/>
      <c r="L232" s="141"/>
      <c r="M232" s="141"/>
      <c r="N232" s="141"/>
      <c r="O232" s="141"/>
      <c r="P232" s="141"/>
      <c r="Q232" s="141"/>
      <c r="R232" s="141"/>
      <c r="S232" s="141"/>
    </row>
    <row r="233">
      <c r="A233" s="141"/>
      <c r="B233" s="141"/>
      <c r="C233" s="141"/>
      <c r="D233" s="92"/>
      <c r="E233" s="92"/>
      <c r="F233" s="141"/>
      <c r="G233" s="141"/>
      <c r="H233" s="141"/>
      <c r="I233" s="141"/>
      <c r="J233" s="141"/>
      <c r="K233" s="141"/>
      <c r="L233" s="141"/>
      <c r="M233" s="141"/>
      <c r="N233" s="141"/>
      <c r="O233" s="141"/>
      <c r="P233" s="141"/>
      <c r="Q233" s="141"/>
      <c r="R233" s="141"/>
      <c r="S233" s="141"/>
    </row>
    <row r="234">
      <c r="A234" s="141"/>
      <c r="B234" s="141"/>
      <c r="C234" s="141"/>
      <c r="D234" s="92"/>
      <c r="E234" s="92"/>
      <c r="F234" s="141"/>
      <c r="G234" s="141"/>
      <c r="H234" s="141"/>
      <c r="I234" s="141"/>
      <c r="J234" s="141"/>
      <c r="K234" s="141"/>
      <c r="L234" s="141"/>
      <c r="M234" s="141"/>
      <c r="N234" s="141"/>
      <c r="O234" s="141"/>
      <c r="P234" s="141"/>
      <c r="Q234" s="141"/>
      <c r="R234" s="141"/>
      <c r="S234" s="141"/>
    </row>
    <row r="235">
      <c r="A235" s="141"/>
      <c r="B235" s="141"/>
      <c r="C235" s="141"/>
      <c r="D235" s="92"/>
      <c r="E235" s="92"/>
      <c r="F235" s="141"/>
      <c r="G235" s="141"/>
      <c r="H235" s="141"/>
      <c r="I235" s="141"/>
      <c r="J235" s="141"/>
      <c r="K235" s="141"/>
      <c r="L235" s="141"/>
      <c r="M235" s="141"/>
      <c r="N235" s="141"/>
      <c r="O235" s="141"/>
      <c r="P235" s="141"/>
      <c r="Q235" s="141"/>
      <c r="R235" s="141"/>
      <c r="S235" s="141"/>
    </row>
    <row r="236">
      <c r="A236" s="141"/>
      <c r="B236" s="141"/>
      <c r="C236" s="141"/>
      <c r="D236" s="92"/>
      <c r="E236" s="92"/>
      <c r="F236" s="141"/>
      <c r="G236" s="141"/>
      <c r="H236" s="141"/>
      <c r="I236" s="141"/>
      <c r="J236" s="141"/>
      <c r="K236" s="141"/>
      <c r="L236" s="141"/>
      <c r="M236" s="141"/>
      <c r="N236" s="141"/>
      <c r="O236" s="141"/>
      <c r="P236" s="141"/>
      <c r="Q236" s="141"/>
      <c r="R236" s="141"/>
      <c r="S236" s="141"/>
    </row>
    <row r="237">
      <c r="A237" s="141"/>
      <c r="B237" s="141"/>
      <c r="C237" s="141"/>
      <c r="D237" s="92"/>
      <c r="E237" s="92"/>
      <c r="F237" s="141"/>
      <c r="G237" s="141"/>
      <c r="H237" s="141"/>
      <c r="I237" s="141"/>
      <c r="J237" s="141"/>
      <c r="K237" s="141"/>
      <c r="L237" s="141"/>
      <c r="M237" s="141"/>
      <c r="N237" s="141"/>
      <c r="O237" s="141"/>
      <c r="P237" s="141"/>
      <c r="Q237" s="141"/>
      <c r="R237" s="141"/>
      <c r="S237" s="141"/>
    </row>
    <row r="238">
      <c r="A238" s="141"/>
      <c r="B238" s="141"/>
      <c r="C238" s="141"/>
      <c r="D238" s="92"/>
      <c r="E238" s="92"/>
      <c r="F238" s="141"/>
      <c r="G238" s="141"/>
      <c r="H238" s="141"/>
      <c r="I238" s="141"/>
      <c r="J238" s="141"/>
      <c r="K238" s="141"/>
      <c r="L238" s="141"/>
      <c r="M238" s="141"/>
      <c r="N238" s="141"/>
      <c r="O238" s="141"/>
      <c r="P238" s="141"/>
      <c r="Q238" s="141"/>
      <c r="R238" s="141"/>
      <c r="S238" s="141"/>
    </row>
    <row r="239">
      <c r="A239" s="141"/>
      <c r="B239" s="141"/>
      <c r="C239" s="141"/>
      <c r="D239" s="92"/>
      <c r="E239" s="92"/>
      <c r="F239" s="141"/>
      <c r="G239" s="141"/>
      <c r="H239" s="141"/>
      <c r="I239" s="141"/>
      <c r="J239" s="141"/>
      <c r="K239" s="141"/>
      <c r="L239" s="141"/>
      <c r="M239" s="141"/>
      <c r="N239" s="141"/>
      <c r="O239" s="141"/>
      <c r="P239" s="141"/>
      <c r="Q239" s="141"/>
      <c r="R239" s="141"/>
      <c r="S239" s="141"/>
    </row>
    <row r="240">
      <c r="A240" s="141"/>
      <c r="B240" s="141"/>
      <c r="C240" s="141"/>
      <c r="D240" s="92"/>
      <c r="E240" s="92"/>
      <c r="F240" s="141"/>
      <c r="G240" s="141"/>
      <c r="H240" s="141"/>
      <c r="I240" s="141"/>
      <c r="J240" s="141"/>
      <c r="K240" s="141"/>
      <c r="L240" s="141"/>
      <c r="M240" s="141"/>
      <c r="N240" s="141"/>
      <c r="O240" s="141"/>
      <c r="P240" s="141"/>
      <c r="Q240" s="141"/>
      <c r="R240" s="141"/>
      <c r="S240" s="141"/>
    </row>
    <row r="241">
      <c r="A241" s="141"/>
      <c r="B241" s="141"/>
      <c r="C241" s="141"/>
      <c r="D241" s="92"/>
      <c r="E241" s="92"/>
      <c r="F241" s="141"/>
      <c r="G241" s="141"/>
      <c r="H241" s="141"/>
      <c r="I241" s="141"/>
      <c r="J241" s="141"/>
      <c r="K241" s="141"/>
      <c r="L241" s="141"/>
      <c r="M241" s="141"/>
      <c r="N241" s="141"/>
      <c r="O241" s="141"/>
      <c r="P241" s="141"/>
      <c r="Q241" s="141"/>
      <c r="R241" s="141"/>
      <c r="S241" s="141"/>
    </row>
    <row r="242">
      <c r="A242" s="141"/>
      <c r="B242" s="141"/>
      <c r="C242" s="141"/>
      <c r="D242" s="92"/>
      <c r="E242" s="92"/>
      <c r="F242" s="141"/>
      <c r="G242" s="141"/>
      <c r="H242" s="141"/>
      <c r="I242" s="141"/>
      <c r="J242" s="141"/>
      <c r="K242" s="141"/>
      <c r="L242" s="141"/>
      <c r="M242" s="141"/>
      <c r="N242" s="141"/>
      <c r="O242" s="141"/>
      <c r="P242" s="141"/>
      <c r="Q242" s="141"/>
      <c r="R242" s="141"/>
      <c r="S242" s="141"/>
    </row>
    <row r="243">
      <c r="A243" s="141"/>
      <c r="B243" s="141"/>
      <c r="C243" s="141"/>
      <c r="D243" s="92"/>
      <c r="E243" s="92"/>
      <c r="F243" s="141"/>
      <c r="G243" s="141"/>
      <c r="H243" s="141"/>
      <c r="I243" s="141"/>
      <c r="J243" s="141"/>
      <c r="K243" s="141"/>
      <c r="L243" s="141"/>
      <c r="M243" s="141"/>
      <c r="N243" s="141"/>
      <c r="O243" s="141"/>
      <c r="P243" s="141"/>
      <c r="Q243" s="141"/>
      <c r="R243" s="141"/>
      <c r="S243" s="141"/>
    </row>
    <row r="244">
      <c r="A244" s="141"/>
      <c r="B244" s="141"/>
      <c r="C244" s="141"/>
      <c r="D244" s="92"/>
      <c r="E244" s="92"/>
      <c r="F244" s="141"/>
      <c r="G244" s="141"/>
      <c r="H244" s="141"/>
      <c r="I244" s="141"/>
      <c r="J244" s="141"/>
      <c r="K244" s="141"/>
      <c r="L244" s="141"/>
      <c r="M244" s="141"/>
      <c r="N244" s="141"/>
      <c r="O244" s="141"/>
      <c r="P244" s="141"/>
      <c r="Q244" s="141"/>
      <c r="R244" s="141"/>
      <c r="S244" s="141"/>
    </row>
    <row r="245">
      <c r="A245" s="141"/>
      <c r="B245" s="141"/>
      <c r="C245" s="141"/>
      <c r="D245" s="92"/>
      <c r="E245" s="92"/>
      <c r="F245" s="141"/>
      <c r="G245" s="141"/>
      <c r="H245" s="141"/>
      <c r="I245" s="141"/>
      <c r="J245" s="141"/>
      <c r="K245" s="141"/>
      <c r="L245" s="141"/>
      <c r="M245" s="141"/>
      <c r="N245" s="141"/>
      <c r="O245" s="141"/>
      <c r="P245" s="141"/>
      <c r="Q245" s="141"/>
      <c r="R245" s="141"/>
      <c r="S245" s="141"/>
    </row>
    <row r="246">
      <c r="A246" s="141"/>
      <c r="B246" s="141"/>
      <c r="C246" s="141"/>
      <c r="D246" s="92"/>
      <c r="E246" s="92"/>
      <c r="F246" s="141"/>
      <c r="G246" s="141"/>
      <c r="H246" s="141"/>
      <c r="I246" s="141"/>
      <c r="J246" s="141"/>
      <c r="K246" s="141"/>
      <c r="L246" s="141"/>
      <c r="M246" s="141"/>
      <c r="N246" s="141"/>
      <c r="O246" s="141"/>
      <c r="P246" s="141"/>
      <c r="Q246" s="141"/>
      <c r="R246" s="141"/>
      <c r="S246" s="141"/>
    </row>
    <row r="247">
      <c r="A247" s="141"/>
      <c r="B247" s="141"/>
      <c r="C247" s="141"/>
      <c r="D247" s="92"/>
      <c r="E247" s="92"/>
      <c r="F247" s="141"/>
      <c r="G247" s="141"/>
      <c r="H247" s="141"/>
      <c r="I247" s="141"/>
      <c r="J247" s="141"/>
      <c r="K247" s="141"/>
      <c r="L247" s="141"/>
      <c r="M247" s="141"/>
      <c r="N247" s="141"/>
      <c r="O247" s="141"/>
      <c r="P247" s="141"/>
      <c r="Q247" s="141"/>
      <c r="R247" s="141"/>
      <c r="S247" s="141"/>
    </row>
    <row r="248">
      <c r="A248" s="141"/>
      <c r="B248" s="141"/>
      <c r="C248" s="141"/>
      <c r="D248" s="92"/>
      <c r="E248" s="92"/>
      <c r="F248" s="141"/>
      <c r="G248" s="141"/>
      <c r="H248" s="141"/>
      <c r="I248" s="141"/>
      <c r="J248" s="141"/>
      <c r="K248" s="141"/>
      <c r="L248" s="141"/>
      <c r="M248" s="141"/>
      <c r="N248" s="141"/>
      <c r="O248" s="141"/>
      <c r="P248" s="141"/>
      <c r="Q248" s="141"/>
      <c r="R248" s="141"/>
      <c r="S248" s="141"/>
    </row>
    <row r="249">
      <c r="A249" s="141"/>
      <c r="B249" s="141"/>
      <c r="C249" s="141"/>
      <c r="D249" s="92"/>
      <c r="E249" s="92"/>
      <c r="F249" s="141"/>
      <c r="G249" s="141"/>
      <c r="H249" s="141"/>
      <c r="I249" s="141"/>
      <c r="J249" s="141"/>
      <c r="K249" s="141"/>
      <c r="L249" s="141"/>
      <c r="M249" s="141"/>
      <c r="N249" s="141"/>
      <c r="O249" s="141"/>
      <c r="P249" s="141"/>
      <c r="Q249" s="141"/>
      <c r="R249" s="141"/>
      <c r="S249" s="141"/>
    </row>
    <row r="250">
      <c r="A250" s="141"/>
      <c r="B250" s="141"/>
      <c r="C250" s="141"/>
      <c r="D250" s="92"/>
      <c r="E250" s="92"/>
      <c r="F250" s="141"/>
      <c r="G250" s="141"/>
      <c r="H250" s="141"/>
      <c r="I250" s="141"/>
      <c r="J250" s="141"/>
      <c r="K250" s="141"/>
      <c r="L250" s="141"/>
      <c r="M250" s="141"/>
      <c r="N250" s="141"/>
      <c r="O250" s="141"/>
      <c r="P250" s="141"/>
      <c r="Q250" s="141"/>
      <c r="R250" s="141"/>
      <c r="S250" s="141"/>
    </row>
    <row r="251">
      <c r="A251" s="141"/>
      <c r="B251" s="141"/>
      <c r="C251" s="141"/>
      <c r="D251" s="92"/>
      <c r="E251" s="92"/>
      <c r="F251" s="141"/>
      <c r="G251" s="141"/>
      <c r="H251" s="141"/>
      <c r="I251" s="141"/>
      <c r="J251" s="141"/>
      <c r="K251" s="141"/>
      <c r="L251" s="141"/>
      <c r="M251" s="141"/>
      <c r="N251" s="141"/>
      <c r="O251" s="141"/>
      <c r="P251" s="141"/>
      <c r="Q251" s="141"/>
      <c r="R251" s="141"/>
      <c r="S251" s="141"/>
    </row>
    <row r="252">
      <c r="A252" s="141"/>
      <c r="B252" s="141"/>
      <c r="C252" s="141"/>
      <c r="D252" s="92"/>
      <c r="E252" s="92"/>
      <c r="F252" s="141"/>
      <c r="G252" s="141"/>
      <c r="H252" s="141"/>
      <c r="I252" s="141"/>
      <c r="J252" s="141"/>
      <c r="K252" s="141"/>
      <c r="L252" s="141"/>
      <c r="M252" s="141"/>
      <c r="N252" s="141"/>
      <c r="O252" s="141"/>
      <c r="P252" s="141"/>
      <c r="Q252" s="141"/>
      <c r="R252" s="141"/>
      <c r="S252" s="141"/>
    </row>
    <row r="253">
      <c r="A253" s="141"/>
      <c r="B253" s="141"/>
      <c r="C253" s="141"/>
      <c r="D253" s="92"/>
      <c r="E253" s="92"/>
      <c r="F253" s="141"/>
      <c r="G253" s="141"/>
      <c r="H253" s="141"/>
      <c r="I253" s="141"/>
      <c r="J253" s="141"/>
      <c r="K253" s="141"/>
      <c r="L253" s="141"/>
      <c r="M253" s="141"/>
      <c r="N253" s="141"/>
      <c r="O253" s="141"/>
      <c r="P253" s="141"/>
      <c r="Q253" s="141"/>
      <c r="R253" s="141"/>
      <c r="S253" s="141"/>
    </row>
    <row r="254">
      <c r="A254" s="141"/>
      <c r="B254" s="141"/>
      <c r="C254" s="141"/>
      <c r="D254" s="92"/>
      <c r="E254" s="92"/>
      <c r="F254" s="141"/>
      <c r="G254" s="141"/>
      <c r="H254" s="141"/>
      <c r="I254" s="141"/>
      <c r="J254" s="141"/>
      <c r="K254" s="141"/>
      <c r="L254" s="141"/>
      <c r="M254" s="141"/>
      <c r="N254" s="141"/>
      <c r="O254" s="141"/>
      <c r="P254" s="141"/>
      <c r="Q254" s="141"/>
      <c r="R254" s="141"/>
      <c r="S254" s="141"/>
    </row>
    <row r="255">
      <c r="A255" s="141"/>
      <c r="B255" s="141"/>
      <c r="C255" s="141"/>
      <c r="D255" s="92"/>
      <c r="E255" s="92"/>
      <c r="F255" s="141"/>
      <c r="G255" s="141"/>
      <c r="H255" s="141"/>
      <c r="I255" s="141"/>
      <c r="J255" s="141"/>
      <c r="K255" s="141"/>
      <c r="L255" s="141"/>
      <c r="M255" s="141"/>
      <c r="N255" s="141"/>
      <c r="O255" s="141"/>
      <c r="P255" s="141"/>
      <c r="Q255" s="141"/>
      <c r="R255" s="141"/>
      <c r="S255" s="141"/>
    </row>
    <row r="256">
      <c r="A256" s="141"/>
      <c r="B256" s="141"/>
      <c r="C256" s="141"/>
      <c r="D256" s="92"/>
      <c r="E256" s="92"/>
      <c r="F256" s="141"/>
      <c r="G256" s="141"/>
      <c r="H256" s="141"/>
      <c r="I256" s="141"/>
      <c r="J256" s="141"/>
      <c r="K256" s="141"/>
      <c r="L256" s="141"/>
      <c r="M256" s="141"/>
      <c r="N256" s="141"/>
      <c r="O256" s="141"/>
      <c r="P256" s="141"/>
      <c r="Q256" s="141"/>
      <c r="R256" s="141"/>
      <c r="S256" s="141"/>
    </row>
    <row r="257">
      <c r="A257" s="141"/>
      <c r="B257" s="141"/>
      <c r="C257" s="141"/>
      <c r="D257" s="92"/>
      <c r="E257" s="92"/>
      <c r="F257" s="141"/>
      <c r="G257" s="141"/>
      <c r="H257" s="141"/>
      <c r="I257" s="141"/>
      <c r="J257" s="141"/>
      <c r="K257" s="141"/>
      <c r="L257" s="141"/>
      <c r="M257" s="141"/>
      <c r="N257" s="141"/>
      <c r="O257" s="141"/>
      <c r="P257" s="141"/>
      <c r="Q257" s="141"/>
      <c r="R257" s="141"/>
      <c r="S257" s="141"/>
    </row>
    <row r="258">
      <c r="A258" s="141"/>
      <c r="B258" s="141"/>
      <c r="C258" s="141"/>
      <c r="D258" s="92"/>
      <c r="E258" s="92"/>
      <c r="F258" s="141"/>
      <c r="G258" s="141"/>
      <c r="H258" s="141"/>
      <c r="I258" s="141"/>
      <c r="J258" s="141"/>
      <c r="K258" s="141"/>
      <c r="L258" s="141"/>
      <c r="M258" s="141"/>
      <c r="N258" s="141"/>
      <c r="O258" s="141"/>
      <c r="P258" s="141"/>
      <c r="Q258" s="141"/>
      <c r="R258" s="141"/>
      <c r="S258" s="141"/>
    </row>
    <row r="259">
      <c r="A259" s="141"/>
      <c r="B259" s="141"/>
      <c r="C259" s="141"/>
      <c r="D259" s="92"/>
      <c r="E259" s="92"/>
      <c r="F259" s="141"/>
      <c r="G259" s="141"/>
      <c r="H259" s="141"/>
      <c r="I259" s="141"/>
      <c r="J259" s="141"/>
      <c r="K259" s="141"/>
      <c r="L259" s="141"/>
      <c r="M259" s="141"/>
      <c r="N259" s="141"/>
      <c r="O259" s="141"/>
      <c r="P259" s="141"/>
      <c r="Q259" s="141"/>
      <c r="R259" s="141"/>
      <c r="S259" s="141"/>
    </row>
    <row r="260">
      <c r="A260" s="141"/>
      <c r="B260" s="141"/>
      <c r="C260" s="141"/>
      <c r="D260" s="92"/>
      <c r="E260" s="92"/>
      <c r="F260" s="141"/>
      <c r="G260" s="141"/>
      <c r="H260" s="141"/>
      <c r="I260" s="141"/>
      <c r="J260" s="141"/>
      <c r="K260" s="141"/>
      <c r="L260" s="141"/>
      <c r="M260" s="141"/>
      <c r="N260" s="141"/>
      <c r="O260" s="141"/>
      <c r="P260" s="141"/>
      <c r="Q260" s="141"/>
      <c r="R260" s="141"/>
      <c r="S260" s="141"/>
    </row>
    <row r="261">
      <c r="A261" s="141"/>
      <c r="B261" s="141"/>
      <c r="C261" s="141"/>
      <c r="D261" s="92"/>
      <c r="E261" s="92"/>
      <c r="F261" s="141"/>
      <c r="G261" s="141"/>
      <c r="H261" s="141"/>
      <c r="I261" s="141"/>
      <c r="J261" s="141"/>
      <c r="K261" s="141"/>
      <c r="L261" s="141"/>
      <c r="M261" s="141"/>
      <c r="N261" s="141"/>
      <c r="O261" s="141"/>
      <c r="P261" s="141"/>
      <c r="Q261" s="141"/>
      <c r="R261" s="141"/>
      <c r="S261" s="141"/>
    </row>
    <row r="262">
      <c r="A262" s="141"/>
      <c r="B262" s="141"/>
      <c r="C262" s="141"/>
      <c r="D262" s="92"/>
      <c r="E262" s="92"/>
      <c r="F262" s="141"/>
      <c r="G262" s="141"/>
      <c r="H262" s="141"/>
      <c r="I262" s="141"/>
      <c r="J262" s="141"/>
      <c r="K262" s="141"/>
      <c r="L262" s="141"/>
      <c r="M262" s="141"/>
      <c r="N262" s="141"/>
      <c r="O262" s="141"/>
      <c r="P262" s="141"/>
      <c r="Q262" s="141"/>
      <c r="R262" s="141"/>
      <c r="S262" s="141"/>
    </row>
    <row r="263">
      <c r="A263" s="141"/>
      <c r="B263" s="141"/>
      <c r="C263" s="141"/>
      <c r="D263" s="92"/>
      <c r="E263" s="92"/>
      <c r="F263" s="141"/>
      <c r="G263" s="141"/>
      <c r="H263" s="141"/>
      <c r="I263" s="141"/>
      <c r="J263" s="141"/>
      <c r="K263" s="141"/>
      <c r="L263" s="141"/>
      <c r="M263" s="141"/>
      <c r="N263" s="141"/>
      <c r="O263" s="141"/>
      <c r="P263" s="141"/>
      <c r="Q263" s="141"/>
      <c r="R263" s="141"/>
      <c r="S263" s="141"/>
    </row>
    <row r="264">
      <c r="A264" s="141"/>
      <c r="B264" s="141"/>
      <c r="C264" s="141"/>
      <c r="D264" s="92"/>
      <c r="E264" s="92"/>
      <c r="F264" s="141"/>
      <c r="G264" s="141"/>
      <c r="H264" s="141"/>
      <c r="I264" s="141"/>
      <c r="J264" s="141"/>
      <c r="K264" s="141"/>
      <c r="L264" s="141"/>
      <c r="M264" s="141"/>
      <c r="N264" s="141"/>
      <c r="O264" s="141"/>
      <c r="P264" s="141"/>
      <c r="Q264" s="141"/>
      <c r="R264" s="141"/>
      <c r="S264" s="141"/>
    </row>
    <row r="265">
      <c r="A265" s="141"/>
      <c r="B265" s="141"/>
      <c r="C265" s="141"/>
      <c r="D265" s="92"/>
      <c r="E265" s="92"/>
      <c r="F265" s="141"/>
      <c r="G265" s="141"/>
      <c r="H265" s="141"/>
      <c r="I265" s="141"/>
      <c r="J265" s="141"/>
      <c r="K265" s="141"/>
      <c r="L265" s="141"/>
      <c r="M265" s="141"/>
      <c r="N265" s="141"/>
      <c r="O265" s="141"/>
      <c r="P265" s="141"/>
      <c r="Q265" s="141"/>
      <c r="R265" s="141"/>
      <c r="S265" s="141"/>
    </row>
    <row r="266">
      <c r="A266" s="141"/>
      <c r="B266" s="141"/>
      <c r="C266" s="141"/>
      <c r="D266" s="92"/>
      <c r="E266" s="92"/>
      <c r="F266" s="141"/>
      <c r="G266" s="141"/>
      <c r="H266" s="141"/>
      <c r="I266" s="141"/>
      <c r="J266" s="141"/>
      <c r="K266" s="141"/>
      <c r="L266" s="141"/>
      <c r="M266" s="141"/>
      <c r="N266" s="141"/>
      <c r="O266" s="141"/>
      <c r="P266" s="141"/>
      <c r="Q266" s="141"/>
      <c r="R266" s="141"/>
      <c r="S266" s="141"/>
    </row>
    <row r="267">
      <c r="A267" s="141"/>
      <c r="B267" s="141"/>
      <c r="C267" s="141"/>
      <c r="D267" s="92"/>
      <c r="E267" s="92"/>
      <c r="F267" s="141"/>
      <c r="G267" s="141"/>
      <c r="H267" s="141"/>
      <c r="I267" s="141"/>
      <c r="J267" s="141"/>
      <c r="K267" s="141"/>
      <c r="L267" s="141"/>
      <c r="M267" s="141"/>
      <c r="N267" s="141"/>
      <c r="O267" s="141"/>
      <c r="P267" s="141"/>
      <c r="Q267" s="141"/>
      <c r="R267" s="141"/>
      <c r="S267" s="141"/>
    </row>
    <row r="268">
      <c r="A268" s="141"/>
      <c r="B268" s="141"/>
      <c r="C268" s="141"/>
      <c r="D268" s="92"/>
      <c r="E268" s="92"/>
      <c r="F268" s="141"/>
      <c r="G268" s="141"/>
      <c r="H268" s="141"/>
      <c r="I268" s="141"/>
      <c r="J268" s="141"/>
      <c r="K268" s="141"/>
      <c r="L268" s="141"/>
      <c r="M268" s="141"/>
      <c r="N268" s="141"/>
      <c r="O268" s="141"/>
      <c r="P268" s="141"/>
      <c r="Q268" s="141"/>
      <c r="R268" s="141"/>
      <c r="S268" s="141"/>
    </row>
    <row r="269">
      <c r="A269" s="141"/>
      <c r="B269" s="141"/>
      <c r="C269" s="141"/>
      <c r="D269" s="92"/>
      <c r="E269" s="92"/>
      <c r="F269" s="141"/>
      <c r="G269" s="141"/>
      <c r="H269" s="141"/>
      <c r="I269" s="141"/>
      <c r="J269" s="141"/>
      <c r="K269" s="141"/>
      <c r="L269" s="141"/>
      <c r="M269" s="141"/>
      <c r="N269" s="141"/>
      <c r="O269" s="141"/>
      <c r="P269" s="141"/>
      <c r="Q269" s="141"/>
      <c r="R269" s="141"/>
      <c r="S269" s="141"/>
    </row>
    <row r="270">
      <c r="A270" s="141"/>
      <c r="B270" s="141"/>
      <c r="C270" s="141"/>
      <c r="D270" s="92"/>
      <c r="E270" s="92"/>
      <c r="F270" s="141"/>
      <c r="G270" s="141"/>
      <c r="H270" s="141"/>
      <c r="I270" s="141"/>
      <c r="J270" s="141"/>
      <c r="K270" s="141"/>
      <c r="L270" s="141"/>
      <c r="M270" s="141"/>
      <c r="N270" s="141"/>
      <c r="O270" s="141"/>
      <c r="P270" s="141"/>
      <c r="Q270" s="141"/>
      <c r="R270" s="141"/>
      <c r="S270" s="141"/>
    </row>
    <row r="271">
      <c r="A271" s="141"/>
      <c r="B271" s="141"/>
      <c r="C271" s="141"/>
      <c r="D271" s="92"/>
      <c r="E271" s="92"/>
      <c r="F271" s="141"/>
      <c r="G271" s="141"/>
      <c r="H271" s="141"/>
      <c r="I271" s="141"/>
      <c r="J271" s="141"/>
      <c r="K271" s="141"/>
      <c r="L271" s="141"/>
      <c r="M271" s="141"/>
      <c r="N271" s="141"/>
      <c r="O271" s="141"/>
      <c r="P271" s="141"/>
      <c r="Q271" s="141"/>
      <c r="R271" s="141"/>
      <c r="S271" s="141"/>
    </row>
    <row r="272">
      <c r="A272" s="141"/>
      <c r="B272" s="141"/>
      <c r="C272" s="141"/>
      <c r="D272" s="92"/>
      <c r="E272" s="92"/>
      <c r="F272" s="141"/>
      <c r="G272" s="141"/>
      <c r="H272" s="141"/>
      <c r="I272" s="141"/>
      <c r="J272" s="141"/>
      <c r="K272" s="141"/>
      <c r="L272" s="141"/>
      <c r="M272" s="141"/>
      <c r="N272" s="141"/>
      <c r="O272" s="141"/>
      <c r="P272" s="141"/>
      <c r="Q272" s="141"/>
      <c r="R272" s="141"/>
      <c r="S272" s="141"/>
    </row>
    <row r="273">
      <c r="A273" s="141"/>
      <c r="B273" s="141"/>
      <c r="C273" s="141"/>
      <c r="D273" s="92"/>
      <c r="E273" s="92"/>
      <c r="F273" s="141"/>
      <c r="G273" s="141"/>
      <c r="H273" s="141"/>
      <c r="I273" s="141"/>
      <c r="J273" s="141"/>
      <c r="K273" s="141"/>
      <c r="L273" s="141"/>
      <c r="M273" s="141"/>
      <c r="N273" s="141"/>
      <c r="O273" s="141"/>
      <c r="P273" s="141"/>
      <c r="Q273" s="141"/>
      <c r="R273" s="141"/>
      <c r="S273" s="141"/>
    </row>
    <row r="274">
      <c r="A274" s="141"/>
      <c r="B274" s="141"/>
      <c r="C274" s="141"/>
      <c r="D274" s="92"/>
      <c r="E274" s="92"/>
      <c r="F274" s="141"/>
      <c r="G274" s="141"/>
      <c r="H274" s="141"/>
      <c r="I274" s="141"/>
      <c r="J274" s="141"/>
      <c r="K274" s="141"/>
      <c r="L274" s="141"/>
      <c r="M274" s="141"/>
      <c r="N274" s="141"/>
      <c r="O274" s="141"/>
      <c r="P274" s="141"/>
      <c r="Q274" s="141"/>
      <c r="R274" s="141"/>
      <c r="S274" s="141"/>
    </row>
    <row r="275">
      <c r="A275" s="141"/>
      <c r="B275" s="141"/>
      <c r="C275" s="141"/>
      <c r="D275" s="92"/>
      <c r="E275" s="92"/>
      <c r="F275" s="141"/>
      <c r="G275" s="141"/>
      <c r="H275" s="141"/>
      <c r="I275" s="141"/>
      <c r="J275" s="141"/>
      <c r="K275" s="141"/>
      <c r="L275" s="141"/>
      <c r="M275" s="141"/>
      <c r="N275" s="141"/>
      <c r="O275" s="141"/>
      <c r="P275" s="141"/>
      <c r="Q275" s="141"/>
      <c r="R275" s="141"/>
      <c r="S275" s="141"/>
    </row>
    <row r="276">
      <c r="A276" s="141"/>
      <c r="B276" s="141"/>
      <c r="C276" s="141"/>
      <c r="D276" s="92"/>
      <c r="E276" s="92"/>
      <c r="F276" s="141"/>
      <c r="G276" s="141"/>
      <c r="H276" s="141"/>
      <c r="I276" s="141"/>
      <c r="J276" s="141"/>
      <c r="K276" s="141"/>
      <c r="L276" s="141"/>
      <c r="M276" s="141"/>
      <c r="N276" s="141"/>
      <c r="O276" s="141"/>
      <c r="P276" s="141"/>
      <c r="Q276" s="141"/>
      <c r="R276" s="141"/>
      <c r="S276" s="141"/>
    </row>
    <row r="277">
      <c r="A277" s="141"/>
      <c r="B277" s="141"/>
      <c r="C277" s="141"/>
      <c r="D277" s="92"/>
      <c r="E277" s="92"/>
      <c r="F277" s="141"/>
      <c r="G277" s="141"/>
      <c r="H277" s="141"/>
      <c r="I277" s="141"/>
      <c r="J277" s="141"/>
      <c r="K277" s="141"/>
      <c r="L277" s="141"/>
      <c r="M277" s="141"/>
      <c r="N277" s="141"/>
      <c r="O277" s="141"/>
      <c r="P277" s="141"/>
      <c r="Q277" s="141"/>
      <c r="R277" s="141"/>
      <c r="S277" s="141"/>
    </row>
    <row r="278">
      <c r="A278" s="141"/>
      <c r="B278" s="141"/>
      <c r="C278" s="141"/>
      <c r="D278" s="92"/>
      <c r="E278" s="92"/>
      <c r="F278" s="141"/>
      <c r="G278" s="141"/>
      <c r="H278" s="141"/>
      <c r="I278" s="141"/>
      <c r="J278" s="141"/>
      <c r="K278" s="141"/>
      <c r="L278" s="141"/>
      <c r="M278" s="141"/>
      <c r="N278" s="141"/>
      <c r="O278" s="141"/>
      <c r="P278" s="141"/>
      <c r="Q278" s="141"/>
      <c r="R278" s="141"/>
      <c r="S278" s="141"/>
    </row>
    <row r="279">
      <c r="A279" s="141"/>
      <c r="B279" s="141"/>
      <c r="C279" s="141"/>
      <c r="D279" s="92"/>
      <c r="E279" s="92"/>
      <c r="F279" s="141"/>
      <c r="G279" s="141"/>
      <c r="H279" s="141"/>
      <c r="I279" s="141"/>
      <c r="J279" s="141"/>
      <c r="K279" s="141"/>
      <c r="L279" s="141"/>
      <c r="M279" s="141"/>
      <c r="N279" s="141"/>
      <c r="O279" s="141"/>
      <c r="P279" s="141"/>
      <c r="Q279" s="141"/>
      <c r="R279" s="141"/>
      <c r="S279" s="141"/>
    </row>
    <row r="280">
      <c r="A280" s="141"/>
      <c r="B280" s="141"/>
      <c r="C280" s="141"/>
      <c r="D280" s="92"/>
      <c r="E280" s="92"/>
      <c r="F280" s="141"/>
      <c r="G280" s="141"/>
      <c r="H280" s="141"/>
      <c r="I280" s="141"/>
      <c r="J280" s="141"/>
      <c r="K280" s="141"/>
      <c r="L280" s="141"/>
      <c r="M280" s="141"/>
      <c r="N280" s="141"/>
      <c r="O280" s="141"/>
      <c r="P280" s="141"/>
      <c r="Q280" s="141"/>
      <c r="R280" s="141"/>
      <c r="S280" s="141"/>
    </row>
    <row r="281">
      <c r="A281" s="141"/>
      <c r="B281" s="141"/>
      <c r="C281" s="141"/>
      <c r="D281" s="92"/>
      <c r="E281" s="92"/>
      <c r="F281" s="141"/>
      <c r="G281" s="141"/>
      <c r="H281" s="141"/>
      <c r="I281" s="141"/>
      <c r="J281" s="141"/>
      <c r="K281" s="141"/>
      <c r="L281" s="141"/>
      <c r="M281" s="141"/>
      <c r="N281" s="141"/>
      <c r="O281" s="141"/>
      <c r="P281" s="141"/>
      <c r="Q281" s="141"/>
      <c r="R281" s="141"/>
      <c r="S281" s="141"/>
    </row>
    <row r="282">
      <c r="A282" s="141"/>
      <c r="B282" s="141"/>
      <c r="C282" s="141"/>
      <c r="D282" s="92"/>
      <c r="E282" s="92"/>
      <c r="F282" s="141"/>
      <c r="G282" s="141"/>
      <c r="H282" s="141"/>
      <c r="I282" s="141"/>
      <c r="J282" s="141"/>
      <c r="K282" s="141"/>
      <c r="L282" s="141"/>
      <c r="M282" s="141"/>
      <c r="N282" s="141"/>
      <c r="O282" s="141"/>
      <c r="P282" s="141"/>
      <c r="Q282" s="141"/>
      <c r="R282" s="141"/>
      <c r="S282" s="141"/>
    </row>
    <row r="283">
      <c r="A283" s="141"/>
      <c r="B283" s="141"/>
      <c r="C283" s="141"/>
      <c r="D283" s="92"/>
      <c r="E283" s="92"/>
      <c r="F283" s="141"/>
      <c r="G283" s="141"/>
      <c r="H283" s="141"/>
      <c r="I283" s="141"/>
      <c r="J283" s="141"/>
      <c r="K283" s="141"/>
      <c r="L283" s="141"/>
      <c r="M283" s="141"/>
      <c r="N283" s="141"/>
      <c r="O283" s="141"/>
      <c r="P283" s="141"/>
      <c r="Q283" s="141"/>
      <c r="R283" s="141"/>
      <c r="S283" s="141"/>
    </row>
    <row r="284">
      <c r="A284" s="141"/>
      <c r="B284" s="141"/>
      <c r="C284" s="141"/>
      <c r="D284" s="92"/>
      <c r="E284" s="92"/>
      <c r="F284" s="141"/>
      <c r="G284" s="141"/>
      <c r="H284" s="141"/>
      <c r="I284" s="141"/>
      <c r="J284" s="141"/>
      <c r="K284" s="141"/>
      <c r="L284" s="141"/>
      <c r="M284" s="141"/>
      <c r="N284" s="141"/>
      <c r="O284" s="141"/>
      <c r="P284" s="141"/>
      <c r="Q284" s="141"/>
      <c r="R284" s="141"/>
      <c r="S284" s="141"/>
    </row>
    <row r="285">
      <c r="A285" s="141"/>
      <c r="B285" s="141"/>
      <c r="C285" s="141"/>
      <c r="D285" s="92"/>
      <c r="E285" s="92"/>
      <c r="F285" s="141"/>
      <c r="G285" s="141"/>
      <c r="H285" s="141"/>
      <c r="I285" s="141"/>
      <c r="J285" s="141"/>
      <c r="K285" s="141"/>
      <c r="L285" s="141"/>
      <c r="M285" s="141"/>
      <c r="N285" s="141"/>
      <c r="O285" s="141"/>
      <c r="P285" s="141"/>
      <c r="Q285" s="141"/>
      <c r="R285" s="141"/>
      <c r="S285" s="141"/>
    </row>
    <row r="286">
      <c r="A286" s="141"/>
      <c r="B286" s="141"/>
      <c r="C286" s="141"/>
      <c r="D286" s="92"/>
      <c r="E286" s="92"/>
      <c r="F286" s="141"/>
      <c r="G286" s="141"/>
      <c r="H286" s="141"/>
      <c r="I286" s="141"/>
      <c r="J286" s="141"/>
      <c r="K286" s="141"/>
      <c r="L286" s="141"/>
      <c r="M286" s="141"/>
      <c r="N286" s="141"/>
      <c r="O286" s="141"/>
      <c r="P286" s="141"/>
      <c r="Q286" s="141"/>
      <c r="R286" s="141"/>
      <c r="S286" s="141"/>
    </row>
    <row r="287">
      <c r="A287" s="141"/>
      <c r="B287" s="141"/>
      <c r="C287" s="141"/>
      <c r="D287" s="92"/>
      <c r="E287" s="92"/>
      <c r="F287" s="141"/>
      <c r="G287" s="141"/>
      <c r="H287" s="141"/>
      <c r="I287" s="141"/>
      <c r="J287" s="141"/>
      <c r="K287" s="141"/>
      <c r="L287" s="141"/>
      <c r="M287" s="141"/>
      <c r="N287" s="141"/>
      <c r="O287" s="141"/>
      <c r="P287" s="141"/>
      <c r="Q287" s="141"/>
      <c r="R287" s="141"/>
      <c r="S287" s="141"/>
    </row>
    <row r="288">
      <c r="A288" s="141"/>
      <c r="B288" s="141"/>
      <c r="C288" s="141"/>
      <c r="D288" s="92"/>
      <c r="E288" s="92"/>
      <c r="F288" s="141"/>
      <c r="G288" s="141"/>
      <c r="H288" s="141"/>
      <c r="I288" s="141"/>
      <c r="J288" s="141"/>
      <c r="K288" s="141"/>
      <c r="L288" s="141"/>
      <c r="M288" s="141"/>
      <c r="N288" s="141"/>
      <c r="O288" s="141"/>
      <c r="P288" s="141"/>
      <c r="Q288" s="141"/>
      <c r="R288" s="141"/>
      <c r="S288" s="141"/>
    </row>
    <row r="289">
      <c r="A289" s="141"/>
      <c r="B289" s="141"/>
      <c r="C289" s="141"/>
      <c r="D289" s="92"/>
      <c r="E289" s="92"/>
      <c r="F289" s="141"/>
      <c r="G289" s="141"/>
      <c r="H289" s="141"/>
      <c r="I289" s="141"/>
      <c r="J289" s="141"/>
      <c r="K289" s="141"/>
      <c r="L289" s="141"/>
      <c r="M289" s="141"/>
      <c r="N289" s="141"/>
      <c r="O289" s="141"/>
      <c r="P289" s="141"/>
      <c r="Q289" s="141"/>
      <c r="R289" s="141"/>
      <c r="S289" s="141"/>
    </row>
    <row r="290">
      <c r="A290" s="141"/>
      <c r="B290" s="141"/>
      <c r="C290" s="141"/>
      <c r="D290" s="92"/>
      <c r="E290" s="92"/>
      <c r="F290" s="141"/>
      <c r="G290" s="141"/>
      <c r="H290" s="141"/>
      <c r="I290" s="141"/>
      <c r="J290" s="141"/>
      <c r="K290" s="141"/>
      <c r="L290" s="141"/>
      <c r="M290" s="141"/>
      <c r="N290" s="141"/>
      <c r="O290" s="141"/>
      <c r="P290" s="141"/>
      <c r="Q290" s="141"/>
      <c r="R290" s="141"/>
      <c r="S290" s="141"/>
    </row>
    <row r="291">
      <c r="A291" s="141"/>
      <c r="B291" s="141"/>
      <c r="C291" s="141"/>
      <c r="D291" s="92"/>
      <c r="E291" s="92"/>
      <c r="F291" s="141"/>
      <c r="G291" s="141"/>
      <c r="H291" s="141"/>
      <c r="I291" s="141"/>
      <c r="J291" s="141"/>
      <c r="K291" s="141"/>
      <c r="L291" s="141"/>
      <c r="M291" s="141"/>
      <c r="N291" s="141"/>
      <c r="O291" s="141"/>
      <c r="P291" s="141"/>
      <c r="Q291" s="141"/>
      <c r="R291" s="141"/>
      <c r="S291" s="141"/>
    </row>
    <row r="292">
      <c r="A292" s="141"/>
      <c r="B292" s="141"/>
      <c r="C292" s="141"/>
      <c r="D292" s="92"/>
      <c r="E292" s="92"/>
      <c r="F292" s="141"/>
      <c r="G292" s="141"/>
      <c r="H292" s="141"/>
      <c r="I292" s="141"/>
      <c r="J292" s="141"/>
      <c r="K292" s="141"/>
      <c r="L292" s="141"/>
      <c r="M292" s="141"/>
      <c r="N292" s="141"/>
      <c r="O292" s="141"/>
      <c r="P292" s="141"/>
      <c r="Q292" s="141"/>
      <c r="R292" s="141"/>
      <c r="S292" s="141"/>
    </row>
    <row r="293">
      <c r="A293" s="141"/>
      <c r="B293" s="141"/>
      <c r="C293" s="141"/>
      <c r="D293" s="92"/>
      <c r="E293" s="92"/>
      <c r="F293" s="141"/>
      <c r="G293" s="141"/>
      <c r="H293" s="141"/>
      <c r="I293" s="141"/>
      <c r="J293" s="141"/>
      <c r="K293" s="141"/>
      <c r="L293" s="141"/>
      <c r="M293" s="141"/>
      <c r="N293" s="141"/>
      <c r="O293" s="141"/>
      <c r="P293" s="141"/>
      <c r="Q293" s="141"/>
      <c r="R293" s="141"/>
      <c r="S293" s="141"/>
    </row>
    <row r="294">
      <c r="A294" s="141"/>
      <c r="B294" s="141"/>
      <c r="C294" s="141"/>
      <c r="D294" s="92"/>
      <c r="E294" s="92"/>
      <c r="F294" s="141"/>
      <c r="G294" s="141"/>
      <c r="H294" s="141"/>
      <c r="I294" s="141"/>
      <c r="J294" s="141"/>
      <c r="K294" s="141"/>
      <c r="L294" s="141"/>
      <c r="M294" s="141"/>
      <c r="N294" s="141"/>
      <c r="O294" s="141"/>
      <c r="P294" s="141"/>
      <c r="Q294" s="141"/>
      <c r="R294" s="141"/>
      <c r="S294" s="141"/>
    </row>
    <row r="295">
      <c r="A295" s="141"/>
      <c r="B295" s="141"/>
      <c r="C295" s="141"/>
      <c r="D295" s="92"/>
      <c r="E295" s="92"/>
      <c r="F295" s="141"/>
      <c r="G295" s="141"/>
      <c r="H295" s="141"/>
      <c r="I295" s="141"/>
      <c r="J295" s="141"/>
      <c r="K295" s="141"/>
      <c r="L295" s="141"/>
      <c r="M295" s="141"/>
      <c r="N295" s="141"/>
      <c r="O295" s="141"/>
      <c r="P295" s="141"/>
      <c r="Q295" s="141"/>
      <c r="R295" s="141"/>
      <c r="S295" s="141"/>
    </row>
    <row r="296">
      <c r="A296" s="141"/>
      <c r="B296" s="141"/>
      <c r="C296" s="141"/>
      <c r="D296" s="92"/>
      <c r="E296" s="92"/>
      <c r="F296" s="141"/>
      <c r="G296" s="141"/>
      <c r="H296" s="141"/>
      <c r="I296" s="141"/>
      <c r="J296" s="141"/>
      <c r="K296" s="141"/>
      <c r="L296" s="141"/>
      <c r="M296" s="141"/>
      <c r="N296" s="141"/>
      <c r="O296" s="141"/>
      <c r="P296" s="141"/>
      <c r="Q296" s="141"/>
      <c r="R296" s="141"/>
      <c r="S296" s="141"/>
    </row>
    <row r="297">
      <c r="A297" s="141"/>
      <c r="B297" s="141"/>
      <c r="C297" s="141"/>
      <c r="D297" s="92"/>
      <c r="E297" s="92"/>
      <c r="F297" s="141"/>
      <c r="G297" s="141"/>
      <c r="H297" s="141"/>
      <c r="I297" s="141"/>
      <c r="J297" s="141"/>
      <c r="K297" s="141"/>
      <c r="L297" s="141"/>
      <c r="M297" s="141"/>
      <c r="N297" s="141"/>
      <c r="O297" s="141"/>
      <c r="P297" s="141"/>
      <c r="Q297" s="141"/>
      <c r="R297" s="141"/>
      <c r="S297" s="141"/>
    </row>
    <row r="298">
      <c r="A298" s="141"/>
      <c r="B298" s="141"/>
      <c r="C298" s="141"/>
      <c r="D298" s="92"/>
      <c r="E298" s="92"/>
      <c r="F298" s="141"/>
      <c r="G298" s="141"/>
      <c r="H298" s="141"/>
      <c r="I298" s="141"/>
      <c r="J298" s="141"/>
      <c r="K298" s="141"/>
      <c r="L298" s="141"/>
      <c r="M298" s="141"/>
      <c r="N298" s="141"/>
      <c r="O298" s="141"/>
      <c r="P298" s="141"/>
      <c r="Q298" s="141"/>
      <c r="R298" s="141"/>
      <c r="S298" s="141"/>
    </row>
    <row r="299">
      <c r="A299" s="141"/>
      <c r="B299" s="141"/>
      <c r="C299" s="141"/>
      <c r="D299" s="92"/>
      <c r="E299" s="92"/>
      <c r="F299" s="141"/>
      <c r="G299" s="141"/>
      <c r="H299" s="141"/>
      <c r="I299" s="141"/>
      <c r="J299" s="141"/>
      <c r="K299" s="141"/>
      <c r="L299" s="141"/>
      <c r="M299" s="141"/>
      <c r="N299" s="141"/>
      <c r="O299" s="141"/>
      <c r="P299" s="141"/>
      <c r="Q299" s="141"/>
      <c r="R299" s="141"/>
      <c r="S299" s="141"/>
    </row>
    <row r="300">
      <c r="A300" s="141"/>
      <c r="B300" s="141"/>
      <c r="C300" s="141"/>
      <c r="D300" s="92"/>
      <c r="E300" s="92"/>
      <c r="F300" s="141"/>
      <c r="G300" s="141"/>
      <c r="H300" s="141"/>
      <c r="I300" s="141"/>
      <c r="J300" s="141"/>
      <c r="K300" s="141"/>
      <c r="L300" s="141"/>
      <c r="M300" s="141"/>
      <c r="N300" s="141"/>
      <c r="O300" s="141"/>
      <c r="P300" s="141"/>
      <c r="Q300" s="141"/>
      <c r="R300" s="141"/>
      <c r="S300" s="141"/>
    </row>
    <row r="301">
      <c r="A301" s="141"/>
      <c r="B301" s="141"/>
      <c r="C301" s="141"/>
      <c r="D301" s="92"/>
      <c r="E301" s="92"/>
      <c r="F301" s="141"/>
      <c r="G301" s="141"/>
      <c r="H301" s="141"/>
      <c r="I301" s="141"/>
      <c r="J301" s="141"/>
      <c r="K301" s="141"/>
      <c r="L301" s="141"/>
      <c r="M301" s="141"/>
      <c r="N301" s="141"/>
      <c r="O301" s="141"/>
      <c r="P301" s="141"/>
      <c r="Q301" s="141"/>
      <c r="R301" s="141"/>
      <c r="S301" s="141"/>
    </row>
    <row r="302">
      <c r="A302" s="141"/>
      <c r="B302" s="141"/>
      <c r="C302" s="141"/>
      <c r="D302" s="92"/>
      <c r="E302" s="92"/>
      <c r="F302" s="141"/>
      <c r="G302" s="141"/>
      <c r="H302" s="141"/>
      <c r="I302" s="141"/>
      <c r="J302" s="141"/>
      <c r="K302" s="141"/>
      <c r="L302" s="141"/>
      <c r="M302" s="141"/>
      <c r="N302" s="141"/>
      <c r="O302" s="141"/>
      <c r="P302" s="141"/>
      <c r="Q302" s="141"/>
      <c r="R302" s="141"/>
      <c r="S302" s="141"/>
    </row>
    <row r="303">
      <c r="A303" s="141"/>
      <c r="B303" s="141"/>
      <c r="C303" s="141"/>
      <c r="D303" s="92"/>
      <c r="E303" s="92"/>
      <c r="F303" s="141"/>
      <c r="G303" s="141"/>
      <c r="H303" s="141"/>
      <c r="I303" s="141"/>
      <c r="J303" s="141"/>
      <c r="K303" s="141"/>
      <c r="L303" s="141"/>
      <c r="M303" s="141"/>
      <c r="N303" s="141"/>
      <c r="O303" s="141"/>
      <c r="P303" s="141"/>
      <c r="Q303" s="141"/>
      <c r="R303" s="141"/>
      <c r="S303" s="141"/>
    </row>
    <row r="304">
      <c r="A304" s="141"/>
      <c r="B304" s="141"/>
      <c r="C304" s="141"/>
      <c r="D304" s="92"/>
      <c r="E304" s="92"/>
      <c r="F304" s="141"/>
      <c r="G304" s="141"/>
      <c r="H304" s="141"/>
      <c r="I304" s="141"/>
      <c r="J304" s="141"/>
      <c r="K304" s="141"/>
      <c r="L304" s="141"/>
      <c r="M304" s="141"/>
      <c r="N304" s="141"/>
      <c r="O304" s="141"/>
      <c r="P304" s="141"/>
      <c r="Q304" s="141"/>
      <c r="R304" s="141"/>
      <c r="S304" s="141"/>
    </row>
    <row r="305">
      <c r="A305" s="141"/>
      <c r="B305" s="141"/>
      <c r="C305" s="141"/>
      <c r="D305" s="92"/>
      <c r="E305" s="92"/>
      <c r="F305" s="141"/>
      <c r="G305" s="141"/>
      <c r="H305" s="141"/>
      <c r="I305" s="141"/>
      <c r="J305" s="141"/>
      <c r="K305" s="141"/>
      <c r="L305" s="141"/>
      <c r="M305" s="141"/>
      <c r="N305" s="141"/>
      <c r="O305" s="141"/>
      <c r="P305" s="141"/>
      <c r="Q305" s="141"/>
      <c r="R305" s="141"/>
      <c r="S305" s="141"/>
    </row>
    <row r="306">
      <c r="A306" s="141"/>
      <c r="B306" s="141"/>
      <c r="C306" s="141"/>
      <c r="D306" s="92"/>
      <c r="E306" s="92"/>
      <c r="F306" s="141"/>
      <c r="G306" s="141"/>
      <c r="H306" s="141"/>
      <c r="I306" s="141"/>
      <c r="J306" s="141"/>
      <c r="K306" s="141"/>
      <c r="L306" s="141"/>
      <c r="M306" s="141"/>
      <c r="N306" s="141"/>
      <c r="O306" s="141"/>
      <c r="P306" s="141"/>
      <c r="Q306" s="141"/>
      <c r="R306" s="141"/>
      <c r="S306" s="141"/>
    </row>
    <row r="307">
      <c r="A307" s="141"/>
      <c r="B307" s="141"/>
      <c r="C307" s="141"/>
      <c r="D307" s="92"/>
      <c r="E307" s="92"/>
      <c r="F307" s="141"/>
      <c r="G307" s="141"/>
      <c r="H307" s="141"/>
      <c r="I307" s="141"/>
      <c r="J307" s="141"/>
      <c r="K307" s="141"/>
      <c r="L307" s="141"/>
      <c r="M307" s="141"/>
      <c r="N307" s="141"/>
      <c r="O307" s="141"/>
      <c r="P307" s="141"/>
      <c r="Q307" s="141"/>
      <c r="R307" s="141"/>
      <c r="S307" s="141"/>
    </row>
    <row r="308">
      <c r="A308" s="141"/>
      <c r="B308" s="141"/>
      <c r="C308" s="141"/>
      <c r="D308" s="92"/>
      <c r="E308" s="92"/>
      <c r="F308" s="141"/>
      <c r="G308" s="141"/>
      <c r="H308" s="141"/>
      <c r="I308" s="141"/>
      <c r="J308" s="141"/>
      <c r="K308" s="141"/>
      <c r="L308" s="141"/>
      <c r="M308" s="141"/>
      <c r="N308" s="141"/>
      <c r="O308" s="141"/>
      <c r="P308" s="141"/>
      <c r="Q308" s="141"/>
      <c r="R308" s="141"/>
      <c r="S308" s="141"/>
    </row>
    <row r="309">
      <c r="A309" s="141"/>
      <c r="B309" s="141"/>
      <c r="C309" s="141"/>
      <c r="D309" s="92"/>
      <c r="E309" s="92"/>
      <c r="F309" s="141"/>
      <c r="G309" s="141"/>
      <c r="H309" s="141"/>
      <c r="I309" s="141"/>
      <c r="J309" s="141"/>
      <c r="K309" s="141"/>
      <c r="L309" s="141"/>
      <c r="M309" s="141"/>
      <c r="N309" s="141"/>
      <c r="O309" s="141"/>
      <c r="P309" s="141"/>
      <c r="Q309" s="141"/>
      <c r="R309" s="141"/>
      <c r="S309" s="141"/>
    </row>
    <row r="310">
      <c r="A310" s="141"/>
      <c r="B310" s="141"/>
      <c r="C310" s="141"/>
      <c r="D310" s="92"/>
      <c r="E310" s="92"/>
      <c r="F310" s="141"/>
      <c r="G310" s="141"/>
      <c r="H310" s="141"/>
      <c r="I310" s="141"/>
      <c r="J310" s="141"/>
      <c r="K310" s="141"/>
      <c r="L310" s="141"/>
      <c r="M310" s="141"/>
      <c r="N310" s="141"/>
      <c r="O310" s="141"/>
      <c r="P310" s="141"/>
      <c r="Q310" s="141"/>
      <c r="R310" s="141"/>
      <c r="S310" s="141"/>
    </row>
    <row r="311">
      <c r="A311" s="141"/>
      <c r="B311" s="141"/>
      <c r="C311" s="141"/>
      <c r="D311" s="92"/>
      <c r="E311" s="92"/>
      <c r="F311" s="141"/>
      <c r="G311" s="141"/>
      <c r="H311" s="141"/>
      <c r="I311" s="141"/>
      <c r="J311" s="141"/>
      <c r="K311" s="141"/>
      <c r="L311" s="141"/>
      <c r="M311" s="141"/>
      <c r="N311" s="141"/>
      <c r="O311" s="141"/>
      <c r="P311" s="141"/>
      <c r="Q311" s="141"/>
      <c r="R311" s="141"/>
      <c r="S311" s="141"/>
    </row>
    <row r="312">
      <c r="A312" s="141"/>
      <c r="B312" s="141"/>
      <c r="C312" s="141"/>
      <c r="D312" s="92"/>
      <c r="E312" s="92"/>
      <c r="F312" s="141"/>
      <c r="G312" s="141"/>
      <c r="H312" s="141"/>
      <c r="I312" s="141"/>
      <c r="J312" s="141"/>
      <c r="K312" s="141"/>
      <c r="L312" s="141"/>
      <c r="M312" s="141"/>
      <c r="N312" s="141"/>
      <c r="O312" s="141"/>
      <c r="P312" s="141"/>
      <c r="Q312" s="141"/>
      <c r="R312" s="141"/>
      <c r="S312" s="141"/>
    </row>
    <row r="313">
      <c r="A313" s="141"/>
      <c r="B313" s="141"/>
      <c r="C313" s="141"/>
      <c r="D313" s="92"/>
      <c r="E313" s="92"/>
      <c r="F313" s="141"/>
      <c r="G313" s="141"/>
      <c r="H313" s="141"/>
      <c r="I313" s="141"/>
      <c r="J313" s="141"/>
      <c r="K313" s="141"/>
      <c r="L313" s="141"/>
      <c r="M313" s="141"/>
      <c r="N313" s="141"/>
      <c r="O313" s="141"/>
      <c r="P313" s="141"/>
      <c r="Q313" s="141"/>
      <c r="R313" s="141"/>
      <c r="S313" s="141"/>
    </row>
    <row r="314">
      <c r="A314" s="141"/>
      <c r="B314" s="141"/>
      <c r="C314" s="141"/>
      <c r="D314" s="92"/>
      <c r="E314" s="92"/>
      <c r="F314" s="141"/>
      <c r="G314" s="141"/>
      <c r="H314" s="141"/>
      <c r="I314" s="141"/>
      <c r="J314" s="141"/>
      <c r="K314" s="141"/>
      <c r="L314" s="141"/>
      <c r="M314" s="141"/>
      <c r="N314" s="141"/>
      <c r="O314" s="141"/>
      <c r="P314" s="141"/>
      <c r="Q314" s="141"/>
      <c r="R314" s="141"/>
      <c r="S314" s="141"/>
    </row>
    <row r="315">
      <c r="A315" s="141"/>
      <c r="B315" s="141"/>
      <c r="C315" s="141"/>
      <c r="D315" s="92"/>
      <c r="E315" s="92"/>
      <c r="F315" s="141"/>
      <c r="G315" s="141"/>
      <c r="H315" s="141"/>
      <c r="I315" s="141"/>
      <c r="J315" s="141"/>
      <c r="K315" s="141"/>
      <c r="L315" s="141"/>
      <c r="M315" s="141"/>
      <c r="N315" s="141"/>
      <c r="O315" s="141"/>
      <c r="P315" s="141"/>
      <c r="Q315" s="141"/>
      <c r="R315" s="141"/>
      <c r="S315" s="141"/>
    </row>
    <row r="316">
      <c r="A316" s="141"/>
      <c r="B316" s="141"/>
      <c r="C316" s="141"/>
      <c r="D316" s="92"/>
      <c r="E316" s="92"/>
      <c r="F316" s="141"/>
      <c r="G316" s="141"/>
      <c r="H316" s="141"/>
      <c r="I316" s="141"/>
      <c r="J316" s="141"/>
      <c r="K316" s="141"/>
      <c r="L316" s="141"/>
      <c r="M316" s="141"/>
      <c r="N316" s="141"/>
      <c r="O316" s="141"/>
      <c r="P316" s="141"/>
      <c r="Q316" s="141"/>
      <c r="R316" s="141"/>
      <c r="S316" s="141"/>
    </row>
    <row r="317">
      <c r="A317" s="141"/>
      <c r="B317" s="141"/>
      <c r="C317" s="141"/>
      <c r="D317" s="92"/>
      <c r="E317" s="92"/>
      <c r="F317" s="141"/>
      <c r="G317" s="141"/>
      <c r="H317" s="141"/>
      <c r="I317" s="141"/>
      <c r="J317" s="141"/>
      <c r="K317" s="141"/>
      <c r="L317" s="141"/>
      <c r="M317" s="141"/>
      <c r="N317" s="141"/>
      <c r="O317" s="141"/>
      <c r="P317" s="141"/>
      <c r="Q317" s="141"/>
      <c r="R317" s="141"/>
      <c r="S317" s="141"/>
    </row>
    <row r="318">
      <c r="A318" s="141"/>
      <c r="B318" s="141"/>
      <c r="C318" s="141"/>
      <c r="D318" s="92"/>
      <c r="E318" s="92"/>
      <c r="F318" s="141"/>
      <c r="G318" s="141"/>
      <c r="H318" s="141"/>
      <c r="I318" s="141"/>
      <c r="J318" s="141"/>
      <c r="K318" s="141"/>
      <c r="L318" s="141"/>
      <c r="M318" s="141"/>
      <c r="N318" s="141"/>
      <c r="O318" s="141"/>
      <c r="P318" s="141"/>
      <c r="Q318" s="141"/>
      <c r="R318" s="141"/>
      <c r="S318" s="141"/>
    </row>
    <row r="319">
      <c r="A319" s="141"/>
      <c r="B319" s="141"/>
      <c r="C319" s="141"/>
      <c r="D319" s="92"/>
      <c r="E319" s="92"/>
      <c r="F319" s="141"/>
      <c r="G319" s="141"/>
      <c r="H319" s="141"/>
      <c r="I319" s="141"/>
      <c r="J319" s="141"/>
      <c r="K319" s="141"/>
      <c r="L319" s="141"/>
      <c r="M319" s="141"/>
      <c r="N319" s="141"/>
      <c r="O319" s="141"/>
      <c r="P319" s="141"/>
      <c r="Q319" s="141"/>
      <c r="R319" s="141"/>
      <c r="S319" s="141"/>
    </row>
    <row r="320">
      <c r="A320" s="141"/>
      <c r="B320" s="141"/>
      <c r="C320" s="141"/>
      <c r="D320" s="92"/>
      <c r="E320" s="92"/>
      <c r="F320" s="141"/>
      <c r="G320" s="141"/>
      <c r="H320" s="141"/>
      <c r="I320" s="141"/>
      <c r="J320" s="141"/>
      <c r="K320" s="141"/>
      <c r="L320" s="141"/>
      <c r="M320" s="141"/>
      <c r="N320" s="141"/>
      <c r="O320" s="141"/>
      <c r="P320" s="141"/>
      <c r="Q320" s="141"/>
      <c r="R320" s="141"/>
      <c r="S320" s="141"/>
    </row>
    <row r="321">
      <c r="A321" s="141"/>
      <c r="B321" s="141"/>
      <c r="C321" s="141"/>
      <c r="D321" s="92"/>
      <c r="E321" s="92"/>
      <c r="F321" s="141"/>
      <c r="G321" s="141"/>
      <c r="H321" s="141"/>
      <c r="I321" s="141"/>
      <c r="J321" s="141"/>
      <c r="K321" s="141"/>
      <c r="L321" s="141"/>
      <c r="M321" s="141"/>
      <c r="N321" s="141"/>
      <c r="O321" s="141"/>
      <c r="P321" s="141"/>
      <c r="Q321" s="141"/>
      <c r="R321" s="141"/>
      <c r="S321" s="141"/>
    </row>
    <row r="322">
      <c r="A322" s="141"/>
      <c r="B322" s="141"/>
      <c r="C322" s="141"/>
      <c r="D322" s="92"/>
      <c r="E322" s="92"/>
      <c r="F322" s="141"/>
      <c r="G322" s="141"/>
      <c r="H322" s="141"/>
      <c r="I322" s="141"/>
      <c r="J322" s="141"/>
      <c r="K322" s="141"/>
      <c r="L322" s="141"/>
      <c r="M322" s="141"/>
      <c r="N322" s="141"/>
      <c r="O322" s="141"/>
      <c r="P322" s="141"/>
      <c r="Q322" s="141"/>
      <c r="R322" s="141"/>
      <c r="S322" s="141"/>
    </row>
    <row r="323">
      <c r="A323" s="141"/>
      <c r="B323" s="141"/>
      <c r="C323" s="141"/>
      <c r="D323" s="92"/>
      <c r="E323" s="92"/>
      <c r="F323" s="141"/>
      <c r="G323" s="141"/>
      <c r="H323" s="141"/>
      <c r="I323" s="141"/>
      <c r="J323" s="141"/>
      <c r="K323" s="141"/>
      <c r="L323" s="141"/>
      <c r="M323" s="141"/>
      <c r="N323" s="141"/>
      <c r="O323" s="141"/>
      <c r="P323" s="141"/>
      <c r="Q323" s="141"/>
      <c r="R323" s="141"/>
      <c r="S323" s="141"/>
    </row>
    <row r="324">
      <c r="A324" s="141"/>
      <c r="B324" s="141"/>
      <c r="C324" s="141"/>
      <c r="D324" s="92"/>
      <c r="E324" s="92"/>
      <c r="F324" s="141"/>
      <c r="G324" s="141"/>
      <c r="H324" s="141"/>
      <c r="I324" s="141"/>
      <c r="J324" s="141"/>
      <c r="K324" s="141"/>
      <c r="L324" s="141"/>
      <c r="M324" s="141"/>
      <c r="N324" s="141"/>
      <c r="O324" s="141"/>
      <c r="P324" s="141"/>
      <c r="Q324" s="141"/>
      <c r="R324" s="141"/>
      <c r="S324" s="141"/>
    </row>
    <row r="325">
      <c r="A325" s="141"/>
      <c r="B325" s="141"/>
      <c r="C325" s="141"/>
      <c r="D325" s="92"/>
      <c r="E325" s="92"/>
      <c r="F325" s="141"/>
      <c r="G325" s="141"/>
      <c r="H325" s="141"/>
      <c r="I325" s="141"/>
      <c r="J325" s="141"/>
      <c r="K325" s="141"/>
      <c r="L325" s="141"/>
      <c r="M325" s="141"/>
      <c r="N325" s="141"/>
      <c r="O325" s="141"/>
      <c r="P325" s="141"/>
      <c r="Q325" s="141"/>
      <c r="R325" s="141"/>
      <c r="S325" s="141"/>
    </row>
    <row r="326">
      <c r="A326" s="141"/>
      <c r="B326" s="141"/>
      <c r="C326" s="141"/>
      <c r="D326" s="92"/>
      <c r="E326" s="92"/>
      <c r="F326" s="141"/>
      <c r="G326" s="141"/>
      <c r="H326" s="141"/>
      <c r="I326" s="141"/>
      <c r="J326" s="141"/>
      <c r="K326" s="141"/>
      <c r="L326" s="141"/>
      <c r="M326" s="141"/>
      <c r="N326" s="141"/>
      <c r="O326" s="141"/>
      <c r="P326" s="141"/>
      <c r="Q326" s="141"/>
      <c r="R326" s="141"/>
      <c r="S326" s="141"/>
    </row>
    <row r="327">
      <c r="A327" s="141"/>
      <c r="B327" s="141"/>
      <c r="C327" s="141"/>
      <c r="D327" s="92"/>
      <c r="E327" s="92"/>
      <c r="F327" s="141"/>
      <c r="G327" s="141"/>
      <c r="H327" s="141"/>
      <c r="I327" s="141"/>
      <c r="J327" s="141"/>
      <c r="K327" s="141"/>
      <c r="L327" s="141"/>
      <c r="M327" s="141"/>
      <c r="N327" s="141"/>
      <c r="O327" s="141"/>
      <c r="P327" s="141"/>
      <c r="Q327" s="141"/>
      <c r="R327" s="141"/>
      <c r="S327" s="141"/>
    </row>
    <row r="328">
      <c r="A328" s="141"/>
      <c r="B328" s="141"/>
      <c r="C328" s="141"/>
      <c r="D328" s="92"/>
      <c r="E328" s="92"/>
      <c r="F328" s="141"/>
      <c r="G328" s="141"/>
      <c r="H328" s="141"/>
      <c r="I328" s="141"/>
      <c r="J328" s="141"/>
      <c r="K328" s="141"/>
      <c r="L328" s="141"/>
      <c r="M328" s="141"/>
      <c r="N328" s="141"/>
      <c r="O328" s="141"/>
      <c r="P328" s="141"/>
      <c r="Q328" s="141"/>
      <c r="R328" s="141"/>
      <c r="S328" s="141"/>
    </row>
    <row r="329">
      <c r="A329" s="141"/>
      <c r="B329" s="141"/>
      <c r="C329" s="141"/>
      <c r="D329" s="92"/>
      <c r="E329" s="92"/>
      <c r="F329" s="141"/>
      <c r="G329" s="141"/>
      <c r="H329" s="141"/>
      <c r="I329" s="141"/>
      <c r="J329" s="141"/>
      <c r="K329" s="141"/>
      <c r="L329" s="141"/>
      <c r="M329" s="141"/>
      <c r="N329" s="141"/>
      <c r="O329" s="141"/>
      <c r="P329" s="141"/>
      <c r="Q329" s="141"/>
      <c r="R329" s="141"/>
      <c r="S329" s="141"/>
    </row>
    <row r="330">
      <c r="A330" s="141"/>
      <c r="B330" s="141"/>
      <c r="C330" s="141"/>
      <c r="D330" s="92"/>
      <c r="E330" s="92"/>
      <c r="F330" s="141"/>
      <c r="G330" s="141"/>
      <c r="H330" s="141"/>
      <c r="I330" s="141"/>
      <c r="J330" s="141"/>
      <c r="K330" s="141"/>
      <c r="L330" s="141"/>
      <c r="M330" s="141"/>
      <c r="N330" s="141"/>
      <c r="O330" s="141"/>
      <c r="P330" s="141"/>
      <c r="Q330" s="141"/>
      <c r="R330" s="141"/>
      <c r="S330" s="141"/>
    </row>
    <row r="331">
      <c r="A331" s="141"/>
      <c r="B331" s="141"/>
      <c r="C331" s="141"/>
      <c r="D331" s="92"/>
      <c r="E331" s="92"/>
      <c r="F331" s="141"/>
      <c r="G331" s="141"/>
      <c r="H331" s="141"/>
      <c r="I331" s="141"/>
      <c r="J331" s="141"/>
      <c r="K331" s="141"/>
      <c r="L331" s="141"/>
      <c r="M331" s="141"/>
      <c r="N331" s="141"/>
      <c r="O331" s="141"/>
      <c r="P331" s="141"/>
      <c r="Q331" s="141"/>
      <c r="R331" s="141"/>
      <c r="S331" s="141"/>
    </row>
    <row r="332">
      <c r="A332" s="141"/>
      <c r="B332" s="141"/>
      <c r="C332" s="141"/>
      <c r="D332" s="92"/>
      <c r="E332" s="92"/>
      <c r="F332" s="141"/>
      <c r="G332" s="141"/>
      <c r="H332" s="141"/>
      <c r="I332" s="141"/>
      <c r="J332" s="141"/>
      <c r="K332" s="141"/>
      <c r="L332" s="141"/>
      <c r="M332" s="141"/>
      <c r="N332" s="141"/>
      <c r="O332" s="141"/>
      <c r="P332" s="141"/>
      <c r="Q332" s="141"/>
      <c r="R332" s="141"/>
      <c r="S332" s="141"/>
    </row>
    <row r="333">
      <c r="A333" s="141"/>
      <c r="B333" s="141"/>
      <c r="C333" s="141"/>
      <c r="D333" s="92"/>
      <c r="E333" s="92"/>
      <c r="F333" s="141"/>
      <c r="G333" s="141"/>
      <c r="H333" s="141"/>
      <c r="I333" s="141"/>
      <c r="J333" s="141"/>
      <c r="K333" s="141"/>
      <c r="L333" s="141"/>
      <c r="M333" s="141"/>
      <c r="N333" s="141"/>
      <c r="O333" s="141"/>
      <c r="P333" s="141"/>
      <c r="Q333" s="141"/>
      <c r="R333" s="141"/>
      <c r="S333" s="141"/>
    </row>
    <row r="334">
      <c r="A334" s="141"/>
      <c r="B334" s="141"/>
      <c r="C334" s="141"/>
      <c r="D334" s="92"/>
      <c r="E334" s="92"/>
      <c r="F334" s="141"/>
      <c r="G334" s="141"/>
      <c r="H334" s="141"/>
      <c r="I334" s="141"/>
      <c r="J334" s="141"/>
      <c r="K334" s="141"/>
      <c r="L334" s="141"/>
      <c r="M334" s="141"/>
      <c r="N334" s="141"/>
      <c r="O334" s="141"/>
      <c r="P334" s="141"/>
      <c r="Q334" s="141"/>
      <c r="R334" s="141"/>
      <c r="S334" s="141"/>
    </row>
    <row r="335">
      <c r="A335" s="141"/>
      <c r="B335" s="141"/>
      <c r="C335" s="141"/>
      <c r="D335" s="92"/>
      <c r="E335" s="92"/>
      <c r="F335" s="141"/>
      <c r="G335" s="141"/>
      <c r="H335" s="141"/>
      <c r="I335" s="141"/>
      <c r="J335" s="141"/>
      <c r="K335" s="141"/>
      <c r="L335" s="141"/>
      <c r="M335" s="141"/>
      <c r="N335" s="141"/>
      <c r="O335" s="141"/>
      <c r="P335" s="141"/>
      <c r="Q335" s="141"/>
      <c r="R335" s="141"/>
      <c r="S335" s="141"/>
    </row>
    <row r="336">
      <c r="A336" s="141"/>
      <c r="B336" s="141"/>
      <c r="C336" s="141"/>
      <c r="D336" s="92"/>
      <c r="E336" s="92"/>
      <c r="F336" s="141"/>
      <c r="G336" s="141"/>
      <c r="H336" s="141"/>
      <c r="I336" s="141"/>
      <c r="J336" s="141"/>
      <c r="K336" s="141"/>
      <c r="L336" s="141"/>
      <c r="M336" s="141"/>
      <c r="N336" s="141"/>
      <c r="O336" s="141"/>
      <c r="P336" s="141"/>
      <c r="Q336" s="141"/>
      <c r="R336" s="141"/>
      <c r="S336" s="141"/>
    </row>
    <row r="337">
      <c r="A337" s="141"/>
      <c r="B337" s="141"/>
      <c r="C337" s="141"/>
      <c r="D337" s="92"/>
      <c r="E337" s="92"/>
      <c r="F337" s="141"/>
      <c r="G337" s="141"/>
      <c r="H337" s="141"/>
      <c r="I337" s="141"/>
      <c r="J337" s="141"/>
      <c r="K337" s="141"/>
      <c r="L337" s="141"/>
      <c r="M337" s="141"/>
      <c r="N337" s="141"/>
      <c r="O337" s="141"/>
      <c r="P337" s="141"/>
      <c r="Q337" s="141"/>
      <c r="R337" s="141"/>
      <c r="S337" s="141"/>
    </row>
    <row r="338">
      <c r="A338" s="141"/>
      <c r="B338" s="141"/>
      <c r="C338" s="141"/>
      <c r="D338" s="92"/>
      <c r="E338" s="92"/>
      <c r="F338" s="141"/>
      <c r="G338" s="141"/>
      <c r="H338" s="141"/>
      <c r="I338" s="141"/>
      <c r="J338" s="141"/>
      <c r="K338" s="141"/>
      <c r="L338" s="141"/>
      <c r="M338" s="141"/>
      <c r="N338" s="141"/>
      <c r="O338" s="141"/>
      <c r="P338" s="141"/>
      <c r="Q338" s="141"/>
      <c r="R338" s="141"/>
      <c r="S338" s="141"/>
    </row>
    <row r="339">
      <c r="A339" s="141"/>
      <c r="B339" s="141"/>
      <c r="C339" s="141"/>
      <c r="D339" s="92"/>
      <c r="E339" s="92"/>
      <c r="F339" s="141"/>
      <c r="G339" s="141"/>
      <c r="H339" s="141"/>
      <c r="I339" s="141"/>
      <c r="J339" s="141"/>
      <c r="K339" s="141"/>
      <c r="L339" s="141"/>
      <c r="M339" s="141"/>
      <c r="N339" s="141"/>
      <c r="O339" s="141"/>
      <c r="P339" s="141"/>
      <c r="Q339" s="141"/>
      <c r="R339" s="141"/>
      <c r="S339" s="141"/>
    </row>
    <row r="340">
      <c r="A340" s="141"/>
      <c r="B340" s="141"/>
      <c r="C340" s="141"/>
      <c r="D340" s="92"/>
      <c r="E340" s="92"/>
      <c r="F340" s="141"/>
      <c r="G340" s="141"/>
      <c r="H340" s="141"/>
      <c r="I340" s="141"/>
      <c r="J340" s="141"/>
      <c r="K340" s="141"/>
      <c r="L340" s="141"/>
      <c r="M340" s="141"/>
      <c r="N340" s="141"/>
      <c r="O340" s="141"/>
      <c r="P340" s="141"/>
      <c r="Q340" s="141"/>
      <c r="R340" s="141"/>
      <c r="S340" s="141"/>
    </row>
    <row r="341">
      <c r="A341" s="141"/>
      <c r="B341" s="141"/>
      <c r="C341" s="141"/>
      <c r="D341" s="92"/>
      <c r="E341" s="92"/>
      <c r="F341" s="141"/>
      <c r="G341" s="141"/>
      <c r="H341" s="141"/>
      <c r="I341" s="141"/>
      <c r="J341" s="141"/>
      <c r="K341" s="141"/>
      <c r="L341" s="141"/>
      <c r="M341" s="141"/>
      <c r="N341" s="141"/>
      <c r="O341" s="141"/>
      <c r="P341" s="141"/>
      <c r="Q341" s="141"/>
      <c r="R341" s="141"/>
      <c r="S341" s="141"/>
    </row>
    <row r="342">
      <c r="A342" s="141"/>
      <c r="B342" s="141"/>
      <c r="C342" s="141"/>
      <c r="D342" s="92"/>
      <c r="E342" s="92"/>
      <c r="F342" s="141"/>
      <c r="G342" s="141"/>
      <c r="H342" s="141"/>
      <c r="I342" s="141"/>
      <c r="J342" s="141"/>
      <c r="K342" s="141"/>
      <c r="L342" s="141"/>
      <c r="M342" s="141"/>
      <c r="N342" s="141"/>
      <c r="O342" s="141"/>
      <c r="P342" s="141"/>
      <c r="Q342" s="141"/>
      <c r="R342" s="141"/>
      <c r="S342" s="141"/>
    </row>
    <row r="343">
      <c r="A343" s="141"/>
      <c r="B343" s="141"/>
      <c r="C343" s="141"/>
      <c r="D343" s="92"/>
      <c r="E343" s="92"/>
      <c r="F343" s="141"/>
      <c r="G343" s="141"/>
      <c r="H343" s="141"/>
      <c r="I343" s="141"/>
      <c r="J343" s="141"/>
      <c r="K343" s="141"/>
      <c r="L343" s="141"/>
      <c r="M343" s="141"/>
      <c r="N343" s="141"/>
      <c r="O343" s="141"/>
      <c r="P343" s="141"/>
      <c r="Q343" s="141"/>
      <c r="R343" s="141"/>
      <c r="S343" s="141"/>
    </row>
    <row r="344">
      <c r="A344" s="141"/>
      <c r="B344" s="141"/>
      <c r="C344" s="141"/>
      <c r="D344" s="92"/>
      <c r="E344" s="92"/>
      <c r="F344" s="141"/>
      <c r="G344" s="141"/>
      <c r="H344" s="141"/>
      <c r="I344" s="141"/>
      <c r="J344" s="141"/>
      <c r="K344" s="141"/>
      <c r="L344" s="141"/>
      <c r="M344" s="141"/>
      <c r="N344" s="141"/>
      <c r="O344" s="141"/>
      <c r="P344" s="141"/>
      <c r="Q344" s="141"/>
      <c r="R344" s="141"/>
      <c r="S344" s="141"/>
    </row>
    <row r="345">
      <c r="A345" s="141"/>
      <c r="B345" s="141"/>
      <c r="C345" s="141"/>
      <c r="D345" s="92"/>
      <c r="E345" s="92"/>
      <c r="F345" s="141"/>
      <c r="G345" s="141"/>
      <c r="H345" s="141"/>
      <c r="I345" s="141"/>
      <c r="J345" s="141"/>
      <c r="K345" s="141"/>
      <c r="L345" s="141"/>
      <c r="M345" s="141"/>
      <c r="N345" s="141"/>
      <c r="O345" s="141"/>
      <c r="P345" s="141"/>
      <c r="Q345" s="141"/>
      <c r="R345" s="141"/>
      <c r="S345" s="141"/>
    </row>
    <row r="346">
      <c r="A346" s="141"/>
      <c r="B346" s="141"/>
      <c r="C346" s="141"/>
      <c r="D346" s="92"/>
      <c r="E346" s="92"/>
      <c r="F346" s="141"/>
      <c r="G346" s="141"/>
      <c r="H346" s="141"/>
      <c r="I346" s="141"/>
      <c r="J346" s="141"/>
      <c r="K346" s="141"/>
      <c r="L346" s="141"/>
      <c r="M346" s="141"/>
      <c r="N346" s="141"/>
      <c r="O346" s="141"/>
      <c r="P346" s="141"/>
      <c r="Q346" s="141"/>
      <c r="R346" s="141"/>
      <c r="S346" s="141"/>
    </row>
    <row r="347">
      <c r="A347" s="141"/>
      <c r="B347" s="141"/>
      <c r="C347" s="141"/>
      <c r="D347" s="92"/>
      <c r="E347" s="92"/>
      <c r="F347" s="141"/>
      <c r="G347" s="141"/>
      <c r="H347" s="141"/>
      <c r="I347" s="141"/>
      <c r="J347" s="141"/>
      <c r="K347" s="141"/>
      <c r="L347" s="141"/>
      <c r="M347" s="141"/>
      <c r="N347" s="141"/>
      <c r="O347" s="141"/>
      <c r="P347" s="141"/>
      <c r="Q347" s="141"/>
      <c r="R347" s="141"/>
      <c r="S347" s="141"/>
    </row>
    <row r="348">
      <c r="A348" s="141"/>
      <c r="B348" s="141"/>
      <c r="C348" s="141"/>
      <c r="D348" s="92"/>
      <c r="E348" s="92"/>
      <c r="F348" s="141"/>
      <c r="G348" s="141"/>
      <c r="H348" s="141"/>
      <c r="I348" s="141"/>
      <c r="J348" s="141"/>
      <c r="K348" s="141"/>
      <c r="L348" s="141"/>
      <c r="M348" s="141"/>
      <c r="N348" s="141"/>
      <c r="O348" s="141"/>
      <c r="P348" s="141"/>
      <c r="Q348" s="141"/>
      <c r="R348" s="141"/>
      <c r="S348" s="141"/>
    </row>
    <row r="349">
      <c r="A349" s="141"/>
      <c r="B349" s="141"/>
      <c r="C349" s="141"/>
      <c r="D349" s="92"/>
      <c r="E349" s="92"/>
      <c r="F349" s="141"/>
      <c r="G349" s="141"/>
      <c r="H349" s="141"/>
      <c r="I349" s="141"/>
      <c r="J349" s="141"/>
      <c r="K349" s="141"/>
      <c r="L349" s="141"/>
      <c r="M349" s="141"/>
      <c r="N349" s="141"/>
      <c r="O349" s="141"/>
      <c r="P349" s="141"/>
      <c r="Q349" s="141"/>
      <c r="R349" s="141"/>
      <c r="S349" s="141"/>
    </row>
    <row r="350">
      <c r="A350" s="141"/>
      <c r="B350" s="141"/>
      <c r="C350" s="141"/>
      <c r="D350" s="92"/>
      <c r="E350" s="92"/>
      <c r="F350" s="141"/>
      <c r="G350" s="141"/>
      <c r="H350" s="141"/>
      <c r="I350" s="141"/>
      <c r="J350" s="141"/>
      <c r="K350" s="141"/>
      <c r="L350" s="141"/>
      <c r="M350" s="141"/>
      <c r="N350" s="141"/>
      <c r="O350" s="141"/>
      <c r="P350" s="141"/>
      <c r="Q350" s="141"/>
      <c r="R350" s="141"/>
      <c r="S350" s="141"/>
    </row>
    <row r="351">
      <c r="A351" s="141"/>
      <c r="B351" s="141"/>
      <c r="C351" s="141"/>
      <c r="D351" s="92"/>
      <c r="E351" s="92"/>
      <c r="F351" s="141"/>
      <c r="G351" s="141"/>
      <c r="H351" s="141"/>
      <c r="I351" s="141"/>
      <c r="J351" s="141"/>
      <c r="K351" s="141"/>
      <c r="L351" s="141"/>
      <c r="M351" s="141"/>
      <c r="N351" s="141"/>
      <c r="O351" s="141"/>
      <c r="P351" s="141"/>
      <c r="Q351" s="141"/>
      <c r="R351" s="141"/>
      <c r="S351" s="141"/>
    </row>
    <row r="352">
      <c r="A352" s="141"/>
      <c r="B352" s="141"/>
      <c r="C352" s="141"/>
      <c r="D352" s="92"/>
      <c r="E352" s="92"/>
      <c r="F352" s="141"/>
      <c r="G352" s="141"/>
      <c r="H352" s="141"/>
      <c r="I352" s="141"/>
      <c r="J352" s="141"/>
      <c r="K352" s="141"/>
      <c r="L352" s="141"/>
      <c r="M352" s="141"/>
      <c r="N352" s="141"/>
      <c r="O352" s="141"/>
      <c r="P352" s="141"/>
      <c r="Q352" s="141"/>
      <c r="R352" s="141"/>
      <c r="S352" s="141"/>
    </row>
    <row r="353">
      <c r="A353" s="141"/>
      <c r="B353" s="141"/>
      <c r="C353" s="141"/>
      <c r="D353" s="92"/>
      <c r="E353" s="92"/>
      <c r="F353" s="141"/>
      <c r="G353" s="141"/>
      <c r="H353" s="141"/>
      <c r="I353" s="141"/>
      <c r="J353" s="141"/>
      <c r="K353" s="141"/>
      <c r="L353" s="141"/>
      <c r="M353" s="141"/>
      <c r="N353" s="141"/>
      <c r="O353" s="141"/>
      <c r="P353" s="141"/>
      <c r="Q353" s="141"/>
      <c r="R353" s="141"/>
      <c r="S353" s="141"/>
    </row>
    <row r="354">
      <c r="A354" s="141"/>
      <c r="B354" s="141"/>
      <c r="C354" s="141"/>
      <c r="D354" s="92"/>
      <c r="E354" s="92"/>
      <c r="F354" s="141"/>
      <c r="G354" s="141"/>
      <c r="H354" s="141"/>
      <c r="I354" s="141"/>
      <c r="J354" s="141"/>
      <c r="K354" s="141"/>
      <c r="L354" s="141"/>
      <c r="M354" s="141"/>
      <c r="N354" s="141"/>
      <c r="O354" s="141"/>
      <c r="P354" s="141"/>
      <c r="Q354" s="141"/>
      <c r="R354" s="141"/>
      <c r="S354" s="141"/>
    </row>
    <row r="355">
      <c r="A355" s="141"/>
      <c r="B355" s="141"/>
      <c r="C355" s="141"/>
      <c r="D355" s="92"/>
      <c r="E355" s="92"/>
      <c r="F355" s="141"/>
      <c r="G355" s="141"/>
      <c r="H355" s="141"/>
      <c r="I355" s="141"/>
      <c r="J355" s="141"/>
      <c r="K355" s="141"/>
      <c r="L355" s="141"/>
      <c r="M355" s="141"/>
      <c r="N355" s="141"/>
      <c r="O355" s="141"/>
      <c r="P355" s="141"/>
      <c r="Q355" s="141"/>
      <c r="R355" s="141"/>
      <c r="S355" s="141"/>
    </row>
    <row r="356">
      <c r="A356" s="141"/>
      <c r="B356" s="141"/>
      <c r="C356" s="141"/>
      <c r="D356" s="92"/>
      <c r="E356" s="92"/>
      <c r="F356" s="141"/>
      <c r="G356" s="141"/>
      <c r="H356" s="141"/>
      <c r="I356" s="141"/>
      <c r="J356" s="141"/>
      <c r="K356" s="141"/>
      <c r="L356" s="141"/>
      <c r="M356" s="141"/>
      <c r="N356" s="141"/>
      <c r="O356" s="141"/>
      <c r="P356" s="141"/>
      <c r="Q356" s="141"/>
      <c r="R356" s="141"/>
      <c r="S356" s="141"/>
    </row>
    <row r="357">
      <c r="A357" s="141"/>
      <c r="B357" s="141"/>
      <c r="C357" s="141"/>
      <c r="D357" s="92"/>
      <c r="E357" s="92"/>
      <c r="F357" s="141"/>
      <c r="G357" s="141"/>
      <c r="H357" s="141"/>
      <c r="I357" s="141"/>
      <c r="J357" s="141"/>
      <c r="K357" s="141"/>
      <c r="L357" s="141"/>
      <c r="M357" s="141"/>
      <c r="N357" s="141"/>
      <c r="O357" s="141"/>
      <c r="P357" s="141"/>
      <c r="Q357" s="141"/>
      <c r="R357" s="141"/>
      <c r="S357" s="141"/>
    </row>
    <row r="358">
      <c r="A358" s="141"/>
      <c r="B358" s="141"/>
      <c r="C358" s="141"/>
      <c r="D358" s="92"/>
      <c r="E358" s="92"/>
      <c r="F358" s="141"/>
      <c r="G358" s="141"/>
      <c r="H358" s="141"/>
      <c r="I358" s="141"/>
      <c r="J358" s="141"/>
      <c r="K358" s="141"/>
      <c r="L358" s="141"/>
      <c r="M358" s="141"/>
      <c r="N358" s="141"/>
      <c r="O358" s="141"/>
      <c r="P358" s="141"/>
      <c r="Q358" s="141"/>
      <c r="R358" s="141"/>
      <c r="S358" s="141"/>
    </row>
    <row r="359">
      <c r="A359" s="141"/>
      <c r="B359" s="141"/>
      <c r="C359" s="141"/>
      <c r="D359" s="92"/>
      <c r="E359" s="92"/>
      <c r="F359" s="141"/>
      <c r="G359" s="141"/>
      <c r="H359" s="141"/>
      <c r="I359" s="141"/>
      <c r="J359" s="141"/>
      <c r="K359" s="141"/>
      <c r="L359" s="141"/>
      <c r="M359" s="141"/>
      <c r="N359" s="141"/>
      <c r="O359" s="141"/>
      <c r="P359" s="141"/>
      <c r="Q359" s="141"/>
      <c r="R359" s="141"/>
      <c r="S359" s="141"/>
    </row>
    <row r="360">
      <c r="A360" s="141"/>
      <c r="B360" s="141"/>
      <c r="C360" s="141"/>
      <c r="D360" s="92"/>
      <c r="E360" s="92"/>
      <c r="F360" s="141"/>
      <c r="G360" s="141"/>
      <c r="H360" s="141"/>
      <c r="I360" s="141"/>
      <c r="J360" s="141"/>
      <c r="K360" s="141"/>
      <c r="L360" s="141"/>
      <c r="M360" s="141"/>
      <c r="N360" s="141"/>
      <c r="O360" s="141"/>
      <c r="P360" s="141"/>
      <c r="Q360" s="141"/>
      <c r="R360" s="141"/>
      <c r="S360" s="141"/>
    </row>
    <row r="361">
      <c r="A361" s="141"/>
      <c r="B361" s="141"/>
      <c r="C361" s="141"/>
      <c r="D361" s="92"/>
      <c r="E361" s="92"/>
      <c r="F361" s="141"/>
      <c r="G361" s="141"/>
      <c r="H361" s="141"/>
      <c r="I361" s="141"/>
      <c r="J361" s="141"/>
      <c r="K361" s="141"/>
      <c r="L361" s="141"/>
      <c r="M361" s="141"/>
      <c r="N361" s="141"/>
      <c r="O361" s="141"/>
      <c r="P361" s="141"/>
      <c r="Q361" s="141"/>
      <c r="R361" s="141"/>
      <c r="S361" s="141"/>
    </row>
    <row r="362">
      <c r="A362" s="141"/>
      <c r="B362" s="141"/>
      <c r="C362" s="141"/>
      <c r="D362" s="92"/>
      <c r="E362" s="92"/>
      <c r="F362" s="141"/>
      <c r="G362" s="141"/>
      <c r="H362" s="141"/>
      <c r="I362" s="141"/>
      <c r="J362" s="141"/>
      <c r="K362" s="141"/>
      <c r="L362" s="141"/>
      <c r="M362" s="141"/>
      <c r="N362" s="141"/>
      <c r="O362" s="141"/>
      <c r="P362" s="141"/>
      <c r="Q362" s="141"/>
      <c r="R362" s="141"/>
      <c r="S362" s="141"/>
    </row>
    <row r="363">
      <c r="A363" s="141"/>
      <c r="B363" s="141"/>
      <c r="C363" s="141"/>
      <c r="D363" s="92"/>
      <c r="E363" s="92"/>
      <c r="F363" s="141"/>
      <c r="G363" s="141"/>
      <c r="H363" s="141"/>
      <c r="I363" s="141"/>
      <c r="J363" s="141"/>
      <c r="K363" s="141"/>
      <c r="L363" s="141"/>
      <c r="M363" s="141"/>
      <c r="N363" s="141"/>
      <c r="O363" s="141"/>
      <c r="P363" s="141"/>
      <c r="Q363" s="141"/>
      <c r="R363" s="141"/>
      <c r="S363" s="141"/>
    </row>
    <row r="364">
      <c r="A364" s="141"/>
      <c r="B364" s="141"/>
      <c r="C364" s="141"/>
      <c r="D364" s="92"/>
      <c r="E364" s="92"/>
      <c r="F364" s="141"/>
      <c r="G364" s="141"/>
      <c r="H364" s="141"/>
      <c r="I364" s="141"/>
      <c r="J364" s="141"/>
      <c r="K364" s="141"/>
      <c r="L364" s="141"/>
      <c r="M364" s="141"/>
      <c r="N364" s="141"/>
      <c r="O364" s="141"/>
      <c r="P364" s="141"/>
      <c r="Q364" s="141"/>
      <c r="R364" s="141"/>
      <c r="S364" s="141"/>
    </row>
    <row r="365">
      <c r="A365" s="141"/>
      <c r="B365" s="141"/>
      <c r="C365" s="141"/>
      <c r="D365" s="92"/>
      <c r="E365" s="92"/>
      <c r="F365" s="141"/>
      <c r="G365" s="141"/>
      <c r="H365" s="141"/>
      <c r="I365" s="141"/>
      <c r="J365" s="141"/>
      <c r="K365" s="141"/>
      <c r="L365" s="141"/>
      <c r="M365" s="141"/>
      <c r="N365" s="141"/>
      <c r="O365" s="141"/>
      <c r="P365" s="141"/>
      <c r="Q365" s="141"/>
      <c r="R365" s="141"/>
      <c r="S365" s="141"/>
    </row>
    <row r="366">
      <c r="A366" s="141"/>
      <c r="B366" s="141"/>
      <c r="C366" s="141"/>
      <c r="D366" s="92"/>
      <c r="E366" s="92"/>
      <c r="F366" s="141"/>
      <c r="G366" s="141"/>
      <c r="H366" s="141"/>
      <c r="I366" s="141"/>
      <c r="J366" s="141"/>
      <c r="K366" s="141"/>
      <c r="L366" s="141"/>
      <c r="M366" s="141"/>
      <c r="N366" s="141"/>
      <c r="O366" s="141"/>
      <c r="P366" s="141"/>
      <c r="Q366" s="141"/>
      <c r="R366" s="141"/>
      <c r="S366" s="141"/>
    </row>
    <row r="367">
      <c r="A367" s="141"/>
      <c r="B367" s="141"/>
      <c r="C367" s="141"/>
      <c r="D367" s="92"/>
      <c r="E367" s="92"/>
      <c r="F367" s="141"/>
      <c r="G367" s="141"/>
      <c r="H367" s="141"/>
      <c r="I367" s="141"/>
      <c r="J367" s="141"/>
      <c r="K367" s="141"/>
      <c r="L367" s="141"/>
      <c r="M367" s="141"/>
      <c r="N367" s="141"/>
      <c r="O367" s="141"/>
      <c r="P367" s="141"/>
      <c r="Q367" s="141"/>
      <c r="R367" s="141"/>
      <c r="S367" s="141"/>
    </row>
    <row r="368">
      <c r="A368" s="141"/>
      <c r="B368" s="141"/>
      <c r="C368" s="141"/>
      <c r="D368" s="92"/>
      <c r="E368" s="92"/>
      <c r="F368" s="141"/>
      <c r="G368" s="141"/>
      <c r="H368" s="141"/>
      <c r="I368" s="141"/>
      <c r="J368" s="141"/>
      <c r="K368" s="141"/>
      <c r="L368" s="141"/>
      <c r="M368" s="141"/>
      <c r="N368" s="141"/>
      <c r="O368" s="141"/>
      <c r="P368" s="141"/>
      <c r="Q368" s="141"/>
      <c r="R368" s="141"/>
      <c r="S368" s="141"/>
    </row>
    <row r="369">
      <c r="A369" s="141"/>
      <c r="B369" s="141"/>
      <c r="C369" s="141"/>
      <c r="D369" s="92"/>
      <c r="E369" s="92"/>
      <c r="F369" s="141"/>
      <c r="G369" s="141"/>
      <c r="H369" s="141"/>
      <c r="I369" s="141"/>
      <c r="J369" s="141"/>
      <c r="K369" s="141"/>
      <c r="L369" s="141"/>
      <c r="M369" s="141"/>
      <c r="N369" s="141"/>
      <c r="O369" s="141"/>
      <c r="P369" s="141"/>
      <c r="Q369" s="141"/>
      <c r="R369" s="141"/>
      <c r="S369" s="141"/>
    </row>
    <row r="370">
      <c r="A370" s="141"/>
      <c r="B370" s="141"/>
      <c r="C370" s="141"/>
      <c r="D370" s="92"/>
      <c r="E370" s="92"/>
      <c r="F370" s="141"/>
      <c r="G370" s="141"/>
      <c r="H370" s="141"/>
      <c r="I370" s="141"/>
      <c r="J370" s="141"/>
      <c r="K370" s="141"/>
      <c r="L370" s="141"/>
      <c r="M370" s="141"/>
      <c r="N370" s="141"/>
      <c r="O370" s="141"/>
      <c r="P370" s="141"/>
      <c r="Q370" s="141"/>
      <c r="R370" s="141"/>
      <c r="S370" s="141"/>
    </row>
    <row r="371">
      <c r="A371" s="141"/>
      <c r="B371" s="141"/>
      <c r="C371" s="141"/>
      <c r="D371" s="92"/>
      <c r="E371" s="92"/>
      <c r="F371" s="141"/>
      <c r="G371" s="141"/>
      <c r="H371" s="141"/>
      <c r="I371" s="141"/>
      <c r="J371" s="141"/>
      <c r="K371" s="141"/>
      <c r="L371" s="141"/>
      <c r="M371" s="141"/>
      <c r="N371" s="141"/>
      <c r="O371" s="141"/>
      <c r="P371" s="141"/>
      <c r="Q371" s="141"/>
      <c r="R371" s="141"/>
      <c r="S371" s="141"/>
    </row>
    <row r="372">
      <c r="A372" s="141"/>
      <c r="B372" s="141"/>
      <c r="C372" s="141"/>
      <c r="D372" s="92"/>
      <c r="E372" s="92"/>
      <c r="F372" s="141"/>
      <c r="G372" s="141"/>
      <c r="H372" s="141"/>
      <c r="I372" s="141"/>
      <c r="J372" s="141"/>
      <c r="K372" s="141"/>
      <c r="L372" s="141"/>
      <c r="M372" s="141"/>
      <c r="N372" s="141"/>
      <c r="O372" s="141"/>
      <c r="P372" s="141"/>
      <c r="Q372" s="141"/>
      <c r="R372" s="141"/>
      <c r="S372" s="141"/>
    </row>
    <row r="373">
      <c r="A373" s="141"/>
      <c r="B373" s="141"/>
      <c r="C373" s="141"/>
      <c r="D373" s="92"/>
      <c r="E373" s="92"/>
      <c r="F373" s="141"/>
      <c r="G373" s="141"/>
      <c r="H373" s="141"/>
      <c r="I373" s="141"/>
      <c r="J373" s="141"/>
      <c r="K373" s="141"/>
      <c r="L373" s="141"/>
      <c r="M373" s="141"/>
      <c r="N373" s="141"/>
      <c r="O373" s="141"/>
      <c r="P373" s="141"/>
      <c r="Q373" s="141"/>
      <c r="R373" s="141"/>
      <c r="S373" s="141"/>
    </row>
    <row r="374">
      <c r="A374" s="141"/>
      <c r="B374" s="141"/>
      <c r="C374" s="141"/>
      <c r="D374" s="92"/>
      <c r="E374" s="92"/>
      <c r="F374" s="141"/>
      <c r="G374" s="141"/>
      <c r="H374" s="141"/>
      <c r="I374" s="141"/>
      <c r="J374" s="141"/>
      <c r="K374" s="141"/>
      <c r="L374" s="141"/>
      <c r="M374" s="141"/>
      <c r="N374" s="141"/>
      <c r="O374" s="141"/>
      <c r="P374" s="141"/>
      <c r="Q374" s="141"/>
      <c r="R374" s="141"/>
      <c r="S374" s="141"/>
    </row>
    <row r="375">
      <c r="A375" s="141"/>
      <c r="B375" s="141"/>
      <c r="C375" s="141"/>
      <c r="D375" s="92"/>
      <c r="E375" s="92"/>
      <c r="F375" s="141"/>
      <c r="G375" s="141"/>
      <c r="H375" s="141"/>
      <c r="I375" s="141"/>
      <c r="J375" s="141"/>
      <c r="K375" s="141"/>
      <c r="L375" s="141"/>
      <c r="M375" s="141"/>
      <c r="N375" s="141"/>
      <c r="O375" s="141"/>
      <c r="P375" s="141"/>
      <c r="Q375" s="141"/>
      <c r="R375" s="141"/>
      <c r="S375" s="141"/>
    </row>
    <row r="376">
      <c r="A376" s="141"/>
      <c r="B376" s="141"/>
      <c r="C376" s="141"/>
      <c r="D376" s="92"/>
      <c r="E376" s="92"/>
      <c r="F376" s="141"/>
      <c r="G376" s="141"/>
      <c r="H376" s="141"/>
      <c r="I376" s="141"/>
      <c r="J376" s="141"/>
      <c r="K376" s="141"/>
      <c r="L376" s="141"/>
      <c r="M376" s="141"/>
      <c r="N376" s="141"/>
      <c r="O376" s="141"/>
      <c r="P376" s="141"/>
      <c r="Q376" s="141"/>
      <c r="R376" s="141"/>
      <c r="S376" s="141"/>
    </row>
    <row r="377">
      <c r="A377" s="141"/>
      <c r="B377" s="141"/>
      <c r="C377" s="141"/>
      <c r="D377" s="92"/>
      <c r="E377" s="92"/>
      <c r="F377" s="141"/>
      <c r="G377" s="141"/>
      <c r="H377" s="141"/>
      <c r="I377" s="141"/>
      <c r="J377" s="141"/>
      <c r="K377" s="141"/>
      <c r="L377" s="141"/>
      <c r="M377" s="141"/>
      <c r="N377" s="141"/>
      <c r="O377" s="141"/>
      <c r="P377" s="141"/>
      <c r="Q377" s="141"/>
      <c r="R377" s="141"/>
      <c r="S377" s="141"/>
    </row>
    <row r="378">
      <c r="A378" s="141"/>
      <c r="B378" s="141"/>
      <c r="C378" s="141"/>
      <c r="D378" s="92"/>
      <c r="E378" s="92"/>
      <c r="F378" s="141"/>
      <c r="G378" s="141"/>
      <c r="H378" s="141"/>
      <c r="I378" s="141"/>
      <c r="J378" s="141"/>
      <c r="K378" s="141"/>
      <c r="L378" s="141"/>
      <c r="M378" s="141"/>
      <c r="N378" s="141"/>
      <c r="O378" s="141"/>
      <c r="P378" s="141"/>
      <c r="Q378" s="141"/>
      <c r="R378" s="141"/>
      <c r="S378" s="141"/>
    </row>
    <row r="379">
      <c r="A379" s="141"/>
      <c r="B379" s="141"/>
      <c r="C379" s="141"/>
      <c r="D379" s="92"/>
      <c r="E379" s="92"/>
      <c r="F379" s="141"/>
      <c r="G379" s="141"/>
      <c r="H379" s="141"/>
      <c r="I379" s="141"/>
      <c r="J379" s="141"/>
      <c r="K379" s="141"/>
      <c r="L379" s="141"/>
      <c r="M379" s="141"/>
      <c r="N379" s="141"/>
      <c r="O379" s="141"/>
      <c r="P379" s="141"/>
      <c r="Q379" s="141"/>
      <c r="R379" s="141"/>
      <c r="S379" s="141"/>
    </row>
    <row r="380">
      <c r="A380" s="141"/>
      <c r="B380" s="141"/>
      <c r="C380" s="141"/>
      <c r="D380" s="92"/>
      <c r="E380" s="92"/>
      <c r="F380" s="141"/>
      <c r="G380" s="141"/>
      <c r="H380" s="141"/>
      <c r="I380" s="141"/>
      <c r="J380" s="141"/>
      <c r="K380" s="141"/>
      <c r="L380" s="141"/>
      <c r="M380" s="141"/>
      <c r="N380" s="141"/>
      <c r="O380" s="141"/>
      <c r="P380" s="141"/>
      <c r="Q380" s="141"/>
      <c r="R380" s="141"/>
      <c r="S380" s="141"/>
    </row>
    <row r="381">
      <c r="A381" s="141"/>
      <c r="B381" s="141"/>
      <c r="C381" s="141"/>
      <c r="D381" s="92"/>
      <c r="E381" s="92"/>
      <c r="F381" s="141"/>
      <c r="G381" s="141"/>
      <c r="H381" s="141"/>
      <c r="I381" s="141"/>
      <c r="J381" s="141"/>
      <c r="K381" s="141"/>
      <c r="L381" s="141"/>
      <c r="M381" s="141"/>
      <c r="N381" s="141"/>
      <c r="O381" s="141"/>
      <c r="P381" s="141"/>
      <c r="Q381" s="141"/>
      <c r="R381" s="141"/>
      <c r="S381" s="141"/>
    </row>
    <row r="382">
      <c r="A382" s="141"/>
      <c r="B382" s="141"/>
      <c r="C382" s="141"/>
      <c r="D382" s="92"/>
      <c r="E382" s="92"/>
      <c r="F382" s="141"/>
      <c r="G382" s="141"/>
      <c r="H382" s="141"/>
      <c r="I382" s="141"/>
      <c r="J382" s="141"/>
      <c r="K382" s="141"/>
      <c r="L382" s="141"/>
      <c r="M382" s="141"/>
      <c r="N382" s="141"/>
      <c r="O382" s="141"/>
      <c r="P382" s="141"/>
      <c r="Q382" s="141"/>
      <c r="R382" s="141"/>
      <c r="S382" s="141"/>
    </row>
    <row r="383">
      <c r="A383" s="141"/>
      <c r="B383" s="141"/>
      <c r="C383" s="141"/>
      <c r="D383" s="92"/>
      <c r="E383" s="92"/>
      <c r="F383" s="141"/>
      <c r="G383" s="141"/>
      <c r="H383" s="141"/>
      <c r="I383" s="141"/>
      <c r="J383" s="141"/>
      <c r="K383" s="141"/>
      <c r="L383" s="141"/>
      <c r="M383" s="141"/>
      <c r="N383" s="141"/>
      <c r="O383" s="141"/>
      <c r="P383" s="141"/>
      <c r="Q383" s="141"/>
      <c r="R383" s="141"/>
      <c r="S383" s="141"/>
    </row>
    <row r="384">
      <c r="A384" s="141"/>
      <c r="B384" s="141"/>
      <c r="C384" s="141"/>
      <c r="D384" s="92"/>
      <c r="E384" s="92"/>
      <c r="F384" s="141"/>
      <c r="G384" s="141"/>
      <c r="H384" s="141"/>
      <c r="I384" s="141"/>
      <c r="J384" s="141"/>
      <c r="K384" s="141"/>
      <c r="L384" s="141"/>
      <c r="M384" s="141"/>
      <c r="N384" s="141"/>
      <c r="O384" s="141"/>
      <c r="P384" s="141"/>
      <c r="Q384" s="141"/>
      <c r="R384" s="141"/>
      <c r="S384" s="141"/>
    </row>
    <row r="385">
      <c r="A385" s="141"/>
      <c r="B385" s="141"/>
      <c r="C385" s="141"/>
      <c r="D385" s="92"/>
      <c r="E385" s="92"/>
      <c r="F385" s="141"/>
      <c r="G385" s="141"/>
      <c r="H385" s="141"/>
      <c r="I385" s="141"/>
      <c r="J385" s="141"/>
      <c r="K385" s="141"/>
      <c r="L385" s="141"/>
      <c r="M385" s="141"/>
      <c r="N385" s="141"/>
      <c r="O385" s="141"/>
      <c r="P385" s="141"/>
      <c r="Q385" s="141"/>
      <c r="R385" s="141"/>
      <c r="S385" s="141"/>
    </row>
    <row r="386">
      <c r="A386" s="141"/>
      <c r="B386" s="141"/>
      <c r="C386" s="141"/>
      <c r="D386" s="92"/>
      <c r="E386" s="92"/>
      <c r="F386" s="141"/>
      <c r="G386" s="141"/>
      <c r="H386" s="141"/>
      <c r="I386" s="141"/>
      <c r="J386" s="141"/>
      <c r="K386" s="141"/>
      <c r="L386" s="141"/>
      <c r="M386" s="141"/>
      <c r="N386" s="141"/>
      <c r="O386" s="141"/>
      <c r="P386" s="141"/>
      <c r="Q386" s="141"/>
      <c r="R386" s="141"/>
      <c r="S386" s="141"/>
    </row>
    <row r="387">
      <c r="A387" s="141"/>
      <c r="B387" s="141"/>
      <c r="C387" s="141"/>
      <c r="D387" s="92"/>
      <c r="E387" s="92"/>
      <c r="F387" s="141"/>
      <c r="G387" s="141"/>
      <c r="H387" s="141"/>
      <c r="I387" s="141"/>
      <c r="J387" s="141"/>
      <c r="K387" s="141"/>
      <c r="L387" s="141"/>
      <c r="M387" s="141"/>
      <c r="N387" s="141"/>
      <c r="O387" s="141"/>
      <c r="P387" s="141"/>
      <c r="Q387" s="141"/>
      <c r="R387" s="141"/>
      <c r="S387" s="141"/>
    </row>
    <row r="388">
      <c r="A388" s="141"/>
      <c r="B388" s="141"/>
      <c r="C388" s="141"/>
      <c r="D388" s="92"/>
      <c r="E388" s="92"/>
      <c r="F388" s="141"/>
      <c r="G388" s="141"/>
      <c r="H388" s="141"/>
      <c r="I388" s="141"/>
      <c r="J388" s="141"/>
      <c r="K388" s="141"/>
      <c r="L388" s="141"/>
      <c r="M388" s="141"/>
      <c r="N388" s="141"/>
      <c r="O388" s="141"/>
      <c r="P388" s="141"/>
      <c r="Q388" s="141"/>
      <c r="R388" s="141"/>
      <c r="S388" s="141"/>
    </row>
    <row r="389">
      <c r="A389" s="141"/>
      <c r="B389" s="141"/>
      <c r="C389" s="141"/>
      <c r="D389" s="92"/>
      <c r="E389" s="92"/>
      <c r="F389" s="141"/>
      <c r="G389" s="141"/>
      <c r="H389" s="141"/>
      <c r="I389" s="141"/>
      <c r="J389" s="141"/>
      <c r="K389" s="141"/>
      <c r="L389" s="141"/>
      <c r="M389" s="141"/>
      <c r="N389" s="141"/>
      <c r="O389" s="141"/>
      <c r="P389" s="141"/>
      <c r="Q389" s="141"/>
      <c r="R389" s="141"/>
      <c r="S389" s="141"/>
    </row>
    <row r="390">
      <c r="A390" s="141"/>
      <c r="B390" s="141"/>
      <c r="C390" s="141"/>
      <c r="D390" s="92"/>
      <c r="E390" s="92"/>
      <c r="F390" s="141"/>
      <c r="G390" s="141"/>
      <c r="H390" s="141"/>
      <c r="I390" s="141"/>
      <c r="J390" s="141"/>
      <c r="K390" s="141"/>
      <c r="L390" s="141"/>
      <c r="M390" s="141"/>
      <c r="N390" s="141"/>
      <c r="O390" s="141"/>
      <c r="P390" s="141"/>
      <c r="Q390" s="141"/>
      <c r="R390" s="141"/>
      <c r="S390" s="141"/>
    </row>
    <row r="391">
      <c r="A391" s="141"/>
      <c r="B391" s="141"/>
      <c r="C391" s="141"/>
      <c r="D391" s="92"/>
      <c r="E391" s="92"/>
      <c r="F391" s="141"/>
      <c r="G391" s="141"/>
      <c r="H391" s="141"/>
      <c r="I391" s="141"/>
      <c r="J391" s="141"/>
      <c r="K391" s="141"/>
      <c r="L391" s="141"/>
      <c r="M391" s="141"/>
      <c r="N391" s="141"/>
      <c r="O391" s="141"/>
      <c r="P391" s="141"/>
      <c r="Q391" s="141"/>
      <c r="R391" s="141"/>
      <c r="S391" s="141"/>
    </row>
    <row r="392">
      <c r="A392" s="141"/>
      <c r="B392" s="141"/>
      <c r="C392" s="141"/>
      <c r="D392" s="92"/>
      <c r="E392" s="92"/>
      <c r="F392" s="141"/>
      <c r="G392" s="141"/>
      <c r="H392" s="141"/>
      <c r="I392" s="141"/>
      <c r="J392" s="141"/>
      <c r="K392" s="141"/>
      <c r="L392" s="141"/>
      <c r="M392" s="141"/>
      <c r="N392" s="141"/>
      <c r="O392" s="141"/>
      <c r="P392" s="141"/>
      <c r="Q392" s="141"/>
      <c r="R392" s="141"/>
      <c r="S392" s="141"/>
    </row>
    <row r="393">
      <c r="A393" s="141"/>
      <c r="B393" s="141"/>
      <c r="C393" s="141"/>
      <c r="D393" s="92"/>
      <c r="E393" s="92"/>
      <c r="F393" s="141"/>
      <c r="G393" s="141"/>
      <c r="H393" s="141"/>
      <c r="I393" s="141"/>
      <c r="J393" s="141"/>
      <c r="K393" s="141"/>
      <c r="L393" s="141"/>
      <c r="M393" s="141"/>
      <c r="N393" s="141"/>
      <c r="O393" s="141"/>
      <c r="P393" s="141"/>
      <c r="Q393" s="141"/>
      <c r="R393" s="141"/>
      <c r="S393" s="141"/>
    </row>
    <row r="394">
      <c r="A394" s="141"/>
      <c r="B394" s="141"/>
      <c r="C394" s="141"/>
      <c r="D394" s="92"/>
      <c r="E394" s="92"/>
      <c r="F394" s="141"/>
      <c r="G394" s="141"/>
      <c r="H394" s="141"/>
      <c r="I394" s="141"/>
      <c r="J394" s="141"/>
      <c r="K394" s="141"/>
      <c r="L394" s="141"/>
      <c r="M394" s="141"/>
      <c r="N394" s="141"/>
      <c r="O394" s="141"/>
      <c r="P394" s="141"/>
      <c r="Q394" s="141"/>
      <c r="R394" s="141"/>
      <c r="S394" s="141"/>
    </row>
    <row r="395">
      <c r="A395" s="141"/>
      <c r="B395" s="141"/>
      <c r="C395" s="141"/>
      <c r="D395" s="92"/>
      <c r="E395" s="92"/>
      <c r="F395" s="141"/>
      <c r="G395" s="141"/>
      <c r="H395" s="141"/>
      <c r="I395" s="141"/>
      <c r="J395" s="141"/>
      <c r="K395" s="141"/>
      <c r="L395" s="141"/>
      <c r="M395" s="141"/>
      <c r="N395" s="141"/>
      <c r="O395" s="141"/>
      <c r="P395" s="141"/>
      <c r="Q395" s="141"/>
      <c r="R395" s="141"/>
      <c r="S395" s="141"/>
    </row>
    <row r="396">
      <c r="A396" s="141"/>
      <c r="B396" s="141"/>
      <c r="C396" s="141"/>
      <c r="D396" s="92"/>
      <c r="E396" s="92"/>
      <c r="F396" s="141"/>
      <c r="G396" s="141"/>
      <c r="H396" s="141"/>
      <c r="I396" s="141"/>
      <c r="J396" s="141"/>
      <c r="K396" s="141"/>
      <c r="L396" s="141"/>
      <c r="M396" s="141"/>
      <c r="N396" s="141"/>
      <c r="O396" s="141"/>
      <c r="P396" s="141"/>
      <c r="Q396" s="141"/>
      <c r="R396" s="141"/>
      <c r="S396" s="141"/>
    </row>
    <row r="397">
      <c r="A397" s="141"/>
      <c r="B397" s="141"/>
      <c r="C397" s="141"/>
      <c r="D397" s="92"/>
      <c r="E397" s="92"/>
      <c r="F397" s="141"/>
      <c r="G397" s="141"/>
      <c r="H397" s="141"/>
      <c r="I397" s="141"/>
      <c r="J397" s="141"/>
      <c r="K397" s="141"/>
      <c r="L397" s="141"/>
      <c r="M397" s="141"/>
      <c r="N397" s="141"/>
      <c r="O397" s="141"/>
      <c r="P397" s="141"/>
      <c r="Q397" s="141"/>
      <c r="R397" s="141"/>
      <c r="S397" s="141"/>
    </row>
    <row r="398">
      <c r="A398" s="141"/>
      <c r="B398" s="141"/>
      <c r="C398" s="141"/>
      <c r="D398" s="92"/>
      <c r="E398" s="92"/>
      <c r="F398" s="141"/>
      <c r="G398" s="141"/>
      <c r="H398" s="141"/>
      <c r="I398" s="141"/>
      <c r="J398" s="141"/>
      <c r="K398" s="141"/>
      <c r="L398" s="141"/>
      <c r="M398" s="141"/>
      <c r="N398" s="141"/>
      <c r="O398" s="141"/>
      <c r="P398" s="141"/>
      <c r="Q398" s="141"/>
      <c r="R398" s="141"/>
      <c r="S398" s="141"/>
    </row>
    <row r="399">
      <c r="A399" s="141"/>
      <c r="B399" s="141"/>
      <c r="C399" s="141"/>
      <c r="D399" s="92"/>
      <c r="E399" s="92"/>
      <c r="F399" s="141"/>
      <c r="G399" s="141"/>
      <c r="H399" s="141"/>
      <c r="I399" s="141"/>
      <c r="J399" s="141"/>
      <c r="K399" s="141"/>
      <c r="L399" s="141"/>
      <c r="M399" s="141"/>
      <c r="N399" s="141"/>
      <c r="O399" s="141"/>
      <c r="P399" s="141"/>
      <c r="Q399" s="141"/>
      <c r="R399" s="141"/>
      <c r="S399" s="141"/>
    </row>
    <row r="400">
      <c r="A400" s="141"/>
      <c r="B400" s="141"/>
      <c r="C400" s="141"/>
      <c r="D400" s="92"/>
      <c r="E400" s="92"/>
      <c r="F400" s="141"/>
      <c r="G400" s="141"/>
      <c r="H400" s="141"/>
      <c r="I400" s="141"/>
      <c r="J400" s="141"/>
      <c r="K400" s="141"/>
      <c r="L400" s="141"/>
      <c r="M400" s="141"/>
      <c r="N400" s="141"/>
      <c r="O400" s="141"/>
      <c r="P400" s="141"/>
      <c r="Q400" s="141"/>
      <c r="R400" s="141"/>
      <c r="S400" s="141"/>
    </row>
    <row r="401">
      <c r="A401" s="141"/>
      <c r="B401" s="141"/>
      <c r="C401" s="141"/>
      <c r="D401" s="92"/>
      <c r="E401" s="92"/>
      <c r="F401" s="141"/>
      <c r="G401" s="141"/>
      <c r="H401" s="141"/>
      <c r="I401" s="141"/>
      <c r="J401" s="141"/>
      <c r="K401" s="141"/>
      <c r="L401" s="141"/>
      <c r="M401" s="141"/>
      <c r="N401" s="141"/>
      <c r="O401" s="141"/>
      <c r="P401" s="141"/>
      <c r="Q401" s="141"/>
      <c r="R401" s="141"/>
      <c r="S401" s="141"/>
    </row>
    <row r="402">
      <c r="A402" s="141"/>
      <c r="B402" s="141"/>
      <c r="C402" s="141"/>
      <c r="D402" s="92"/>
      <c r="E402" s="92"/>
      <c r="F402" s="141"/>
      <c r="G402" s="141"/>
      <c r="H402" s="141"/>
      <c r="I402" s="141"/>
      <c r="J402" s="141"/>
      <c r="K402" s="141"/>
      <c r="L402" s="141"/>
      <c r="M402" s="141"/>
      <c r="N402" s="141"/>
      <c r="O402" s="141"/>
      <c r="P402" s="141"/>
      <c r="Q402" s="141"/>
      <c r="R402" s="141"/>
      <c r="S402" s="141"/>
    </row>
    <row r="403">
      <c r="A403" s="141"/>
      <c r="B403" s="141"/>
      <c r="C403" s="141"/>
      <c r="D403" s="92"/>
      <c r="E403" s="92"/>
      <c r="F403" s="141"/>
      <c r="G403" s="141"/>
      <c r="H403" s="141"/>
      <c r="I403" s="141"/>
      <c r="J403" s="141"/>
      <c r="K403" s="141"/>
      <c r="L403" s="141"/>
      <c r="M403" s="141"/>
      <c r="N403" s="141"/>
      <c r="O403" s="141"/>
      <c r="P403" s="141"/>
      <c r="Q403" s="141"/>
      <c r="R403" s="141"/>
      <c r="S403" s="141"/>
    </row>
    <row r="404">
      <c r="A404" s="141"/>
      <c r="B404" s="141"/>
      <c r="C404" s="141"/>
      <c r="D404" s="92"/>
      <c r="E404" s="92"/>
      <c r="F404" s="141"/>
      <c r="G404" s="141"/>
      <c r="H404" s="141"/>
      <c r="I404" s="141"/>
      <c r="J404" s="141"/>
      <c r="K404" s="141"/>
      <c r="L404" s="141"/>
      <c r="M404" s="141"/>
      <c r="N404" s="141"/>
      <c r="O404" s="141"/>
      <c r="P404" s="141"/>
      <c r="Q404" s="141"/>
      <c r="R404" s="141"/>
      <c r="S404" s="141"/>
    </row>
    <row r="405">
      <c r="A405" s="141"/>
      <c r="B405" s="141"/>
      <c r="C405" s="141"/>
      <c r="D405" s="92"/>
      <c r="E405" s="92"/>
      <c r="F405" s="141"/>
      <c r="G405" s="141"/>
      <c r="H405" s="141"/>
      <c r="I405" s="141"/>
      <c r="J405" s="141"/>
      <c r="K405" s="141"/>
      <c r="L405" s="141"/>
      <c r="M405" s="141"/>
      <c r="N405" s="141"/>
      <c r="O405" s="141"/>
      <c r="P405" s="141"/>
      <c r="Q405" s="141"/>
      <c r="R405" s="141"/>
      <c r="S405" s="141"/>
    </row>
    <row r="406">
      <c r="A406" s="141"/>
      <c r="B406" s="141"/>
      <c r="C406" s="141"/>
      <c r="D406" s="92"/>
      <c r="E406" s="92"/>
      <c r="F406" s="141"/>
      <c r="G406" s="141"/>
      <c r="H406" s="141"/>
      <c r="I406" s="141"/>
      <c r="J406" s="141"/>
      <c r="K406" s="141"/>
      <c r="L406" s="141"/>
      <c r="M406" s="141"/>
      <c r="N406" s="141"/>
      <c r="O406" s="141"/>
      <c r="P406" s="141"/>
      <c r="Q406" s="141"/>
      <c r="R406" s="141"/>
      <c r="S406" s="141"/>
    </row>
    <row r="407">
      <c r="A407" s="141"/>
      <c r="B407" s="141"/>
      <c r="C407" s="141"/>
      <c r="D407" s="92"/>
      <c r="E407" s="92"/>
      <c r="F407" s="141"/>
      <c r="G407" s="141"/>
      <c r="H407" s="141"/>
      <c r="I407" s="141"/>
      <c r="J407" s="141"/>
      <c r="K407" s="141"/>
      <c r="L407" s="141"/>
      <c r="M407" s="141"/>
      <c r="N407" s="141"/>
      <c r="O407" s="141"/>
      <c r="P407" s="141"/>
      <c r="Q407" s="141"/>
      <c r="R407" s="141"/>
      <c r="S407" s="141"/>
    </row>
    <row r="408">
      <c r="A408" s="141"/>
      <c r="B408" s="141"/>
      <c r="C408" s="141"/>
      <c r="D408" s="92"/>
      <c r="E408" s="92"/>
      <c r="F408" s="141"/>
      <c r="G408" s="141"/>
      <c r="H408" s="141"/>
      <c r="I408" s="141"/>
      <c r="J408" s="141"/>
      <c r="K408" s="141"/>
      <c r="L408" s="141"/>
      <c r="M408" s="141"/>
      <c r="N408" s="141"/>
      <c r="O408" s="141"/>
      <c r="P408" s="141"/>
      <c r="Q408" s="141"/>
      <c r="R408" s="141"/>
      <c r="S408" s="141"/>
    </row>
    <row r="409">
      <c r="A409" s="141"/>
      <c r="B409" s="141"/>
      <c r="C409" s="141"/>
      <c r="D409" s="92"/>
      <c r="E409" s="92"/>
      <c r="F409" s="141"/>
      <c r="G409" s="141"/>
      <c r="H409" s="141"/>
      <c r="I409" s="141"/>
      <c r="J409" s="141"/>
      <c r="K409" s="141"/>
      <c r="L409" s="141"/>
      <c r="M409" s="141"/>
      <c r="N409" s="141"/>
      <c r="O409" s="141"/>
      <c r="P409" s="141"/>
      <c r="Q409" s="141"/>
      <c r="R409" s="141"/>
      <c r="S409" s="141"/>
    </row>
    <row r="410">
      <c r="A410" s="141"/>
      <c r="B410" s="141"/>
      <c r="C410" s="141"/>
      <c r="D410" s="92"/>
      <c r="E410" s="92"/>
      <c r="F410" s="141"/>
      <c r="G410" s="141"/>
      <c r="H410" s="141"/>
      <c r="I410" s="141"/>
      <c r="J410" s="141"/>
      <c r="K410" s="141"/>
      <c r="L410" s="141"/>
      <c r="M410" s="141"/>
      <c r="N410" s="141"/>
      <c r="O410" s="141"/>
      <c r="P410" s="141"/>
      <c r="Q410" s="141"/>
      <c r="R410" s="141"/>
      <c r="S410" s="141"/>
    </row>
    <row r="411">
      <c r="A411" s="141"/>
      <c r="B411" s="141"/>
      <c r="C411" s="141"/>
      <c r="D411" s="92"/>
      <c r="E411" s="92"/>
      <c r="F411" s="141"/>
      <c r="G411" s="141"/>
      <c r="H411" s="141"/>
      <c r="I411" s="141"/>
      <c r="J411" s="141"/>
      <c r="K411" s="141"/>
      <c r="L411" s="141"/>
      <c r="M411" s="141"/>
      <c r="N411" s="141"/>
      <c r="O411" s="141"/>
      <c r="P411" s="141"/>
      <c r="Q411" s="141"/>
      <c r="R411" s="141"/>
      <c r="S411" s="141"/>
    </row>
    <row r="412">
      <c r="A412" s="141"/>
      <c r="B412" s="141"/>
      <c r="C412" s="141"/>
      <c r="D412" s="92"/>
      <c r="E412" s="92"/>
      <c r="F412" s="141"/>
      <c r="G412" s="141"/>
      <c r="H412" s="141"/>
      <c r="I412" s="141"/>
      <c r="J412" s="141"/>
      <c r="K412" s="141"/>
      <c r="L412" s="141"/>
      <c r="M412" s="141"/>
      <c r="N412" s="141"/>
      <c r="O412" s="141"/>
      <c r="P412" s="141"/>
      <c r="Q412" s="141"/>
      <c r="R412" s="141"/>
      <c r="S412" s="141"/>
    </row>
    <row r="413">
      <c r="A413" s="141"/>
      <c r="B413" s="141"/>
      <c r="C413" s="141"/>
      <c r="D413" s="92"/>
      <c r="E413" s="92"/>
      <c r="F413" s="141"/>
      <c r="G413" s="141"/>
      <c r="H413" s="141"/>
      <c r="I413" s="141"/>
      <c r="J413" s="141"/>
      <c r="K413" s="141"/>
      <c r="L413" s="141"/>
      <c r="M413" s="141"/>
      <c r="N413" s="141"/>
      <c r="O413" s="141"/>
      <c r="P413" s="141"/>
      <c r="Q413" s="141"/>
      <c r="R413" s="141"/>
      <c r="S413" s="141"/>
    </row>
    <row r="414">
      <c r="A414" s="141"/>
      <c r="B414" s="141"/>
      <c r="C414" s="141"/>
      <c r="D414" s="92"/>
      <c r="E414" s="92"/>
      <c r="F414" s="141"/>
      <c r="G414" s="141"/>
      <c r="H414" s="141"/>
      <c r="I414" s="141"/>
      <c r="J414" s="141"/>
      <c r="K414" s="141"/>
      <c r="L414" s="141"/>
      <c r="M414" s="141"/>
      <c r="N414" s="141"/>
      <c r="O414" s="141"/>
      <c r="P414" s="141"/>
      <c r="Q414" s="141"/>
      <c r="R414" s="141"/>
      <c r="S414" s="141"/>
    </row>
    <row r="415">
      <c r="A415" s="141"/>
      <c r="B415" s="141"/>
      <c r="C415" s="141"/>
      <c r="D415" s="92"/>
      <c r="E415" s="92"/>
      <c r="F415" s="141"/>
      <c r="G415" s="141"/>
      <c r="H415" s="141"/>
      <c r="I415" s="141"/>
      <c r="J415" s="141"/>
      <c r="K415" s="141"/>
      <c r="L415" s="141"/>
      <c r="M415" s="141"/>
      <c r="N415" s="141"/>
      <c r="O415" s="141"/>
      <c r="P415" s="141"/>
      <c r="Q415" s="141"/>
      <c r="R415" s="141"/>
      <c r="S415" s="141"/>
    </row>
    <row r="416">
      <c r="A416" s="141"/>
      <c r="B416" s="141"/>
      <c r="C416" s="141"/>
      <c r="D416" s="92"/>
      <c r="E416" s="92"/>
      <c r="F416" s="141"/>
      <c r="G416" s="141"/>
      <c r="H416" s="141"/>
      <c r="I416" s="141"/>
      <c r="J416" s="141"/>
      <c r="K416" s="141"/>
      <c r="L416" s="141"/>
      <c r="M416" s="141"/>
      <c r="N416" s="141"/>
      <c r="O416" s="141"/>
      <c r="P416" s="141"/>
      <c r="Q416" s="141"/>
      <c r="R416" s="141"/>
      <c r="S416" s="141"/>
    </row>
    <row r="417">
      <c r="A417" s="141"/>
      <c r="B417" s="141"/>
      <c r="C417" s="141"/>
      <c r="D417" s="92"/>
      <c r="E417" s="92"/>
      <c r="F417" s="141"/>
      <c r="G417" s="141"/>
      <c r="H417" s="141"/>
      <c r="I417" s="141"/>
      <c r="J417" s="141"/>
      <c r="K417" s="141"/>
      <c r="L417" s="141"/>
      <c r="M417" s="141"/>
      <c r="N417" s="141"/>
      <c r="O417" s="141"/>
      <c r="P417" s="141"/>
      <c r="Q417" s="141"/>
      <c r="R417" s="141"/>
      <c r="S417" s="141"/>
    </row>
    <row r="418">
      <c r="A418" s="141"/>
      <c r="B418" s="141"/>
      <c r="C418" s="141"/>
      <c r="D418" s="92"/>
      <c r="E418" s="92"/>
      <c r="F418" s="141"/>
      <c r="G418" s="141"/>
      <c r="H418" s="141"/>
      <c r="I418" s="141"/>
      <c r="J418" s="141"/>
      <c r="K418" s="141"/>
      <c r="L418" s="141"/>
      <c r="M418" s="141"/>
      <c r="N418" s="141"/>
      <c r="O418" s="141"/>
      <c r="P418" s="141"/>
      <c r="Q418" s="141"/>
      <c r="R418" s="141"/>
      <c r="S418" s="141"/>
    </row>
    <row r="419">
      <c r="A419" s="141"/>
      <c r="B419" s="141"/>
      <c r="C419" s="141"/>
      <c r="D419" s="92"/>
      <c r="E419" s="92"/>
      <c r="F419" s="141"/>
      <c r="G419" s="141"/>
      <c r="H419" s="141"/>
      <c r="I419" s="141"/>
      <c r="J419" s="141"/>
      <c r="K419" s="141"/>
      <c r="L419" s="141"/>
      <c r="M419" s="141"/>
      <c r="N419" s="141"/>
      <c r="O419" s="141"/>
      <c r="P419" s="141"/>
      <c r="Q419" s="141"/>
      <c r="R419" s="141"/>
      <c r="S419" s="141"/>
    </row>
    <row r="420">
      <c r="A420" s="141"/>
      <c r="B420" s="141"/>
      <c r="C420" s="141"/>
      <c r="D420" s="92"/>
      <c r="E420" s="92"/>
      <c r="F420" s="141"/>
      <c r="G420" s="141"/>
      <c r="H420" s="141"/>
      <c r="I420" s="141"/>
      <c r="J420" s="141"/>
      <c r="K420" s="141"/>
      <c r="L420" s="141"/>
      <c r="M420" s="141"/>
      <c r="N420" s="141"/>
      <c r="O420" s="141"/>
      <c r="P420" s="141"/>
      <c r="Q420" s="141"/>
      <c r="R420" s="141"/>
      <c r="S420" s="141"/>
    </row>
    <row r="421">
      <c r="A421" s="141"/>
      <c r="B421" s="141"/>
      <c r="C421" s="141"/>
      <c r="D421" s="92"/>
      <c r="E421" s="92"/>
      <c r="F421" s="141"/>
      <c r="G421" s="141"/>
      <c r="H421" s="141"/>
      <c r="I421" s="141"/>
      <c r="J421" s="141"/>
      <c r="K421" s="141"/>
      <c r="L421" s="141"/>
      <c r="M421" s="141"/>
      <c r="N421" s="141"/>
      <c r="O421" s="141"/>
      <c r="P421" s="141"/>
      <c r="Q421" s="141"/>
      <c r="R421" s="141"/>
      <c r="S421" s="141"/>
    </row>
    <row r="422">
      <c r="A422" s="141"/>
      <c r="B422" s="141"/>
      <c r="C422" s="141"/>
      <c r="D422" s="92"/>
      <c r="E422" s="92"/>
      <c r="F422" s="141"/>
      <c r="G422" s="141"/>
      <c r="H422" s="141"/>
      <c r="I422" s="141"/>
      <c r="J422" s="141"/>
      <c r="K422" s="141"/>
      <c r="L422" s="141"/>
      <c r="M422" s="141"/>
      <c r="N422" s="141"/>
      <c r="O422" s="141"/>
      <c r="P422" s="141"/>
      <c r="Q422" s="141"/>
      <c r="R422" s="141"/>
      <c r="S422" s="141"/>
    </row>
    <row r="423">
      <c r="A423" s="141"/>
      <c r="B423" s="141"/>
      <c r="C423" s="141"/>
      <c r="D423" s="92"/>
      <c r="E423" s="92"/>
      <c r="F423" s="141"/>
      <c r="G423" s="141"/>
      <c r="H423" s="141"/>
      <c r="I423" s="141"/>
      <c r="J423" s="141"/>
      <c r="K423" s="141"/>
      <c r="L423" s="141"/>
      <c r="M423" s="141"/>
      <c r="N423" s="141"/>
      <c r="O423" s="141"/>
      <c r="P423" s="141"/>
      <c r="Q423" s="141"/>
      <c r="R423" s="141"/>
      <c r="S423" s="141"/>
    </row>
    <row r="424">
      <c r="A424" s="141"/>
      <c r="B424" s="141"/>
      <c r="C424" s="141"/>
      <c r="D424" s="92"/>
      <c r="E424" s="92"/>
      <c r="F424" s="141"/>
      <c r="G424" s="141"/>
      <c r="H424" s="141"/>
      <c r="I424" s="141"/>
      <c r="J424" s="141"/>
      <c r="K424" s="141"/>
      <c r="L424" s="141"/>
      <c r="M424" s="141"/>
      <c r="N424" s="141"/>
      <c r="O424" s="141"/>
      <c r="P424" s="141"/>
      <c r="Q424" s="141"/>
      <c r="R424" s="141"/>
      <c r="S424" s="141"/>
    </row>
    <row r="425">
      <c r="A425" s="141"/>
      <c r="B425" s="141"/>
      <c r="C425" s="141"/>
      <c r="D425" s="92"/>
      <c r="E425" s="92"/>
      <c r="F425" s="141"/>
      <c r="G425" s="141"/>
      <c r="H425" s="141"/>
      <c r="I425" s="141"/>
      <c r="J425" s="141"/>
      <c r="K425" s="141"/>
      <c r="L425" s="141"/>
      <c r="M425" s="141"/>
      <c r="N425" s="141"/>
      <c r="O425" s="141"/>
      <c r="P425" s="141"/>
      <c r="Q425" s="141"/>
      <c r="R425" s="141"/>
      <c r="S425" s="141"/>
    </row>
    <row r="426">
      <c r="A426" s="141"/>
      <c r="B426" s="141"/>
      <c r="C426" s="141"/>
      <c r="D426" s="92"/>
      <c r="E426" s="92"/>
      <c r="F426" s="141"/>
      <c r="G426" s="141"/>
      <c r="H426" s="141"/>
      <c r="I426" s="141"/>
      <c r="J426" s="141"/>
      <c r="K426" s="141"/>
      <c r="L426" s="141"/>
      <c r="M426" s="141"/>
      <c r="N426" s="141"/>
      <c r="O426" s="141"/>
      <c r="P426" s="141"/>
      <c r="Q426" s="141"/>
      <c r="R426" s="141"/>
      <c r="S426" s="141"/>
    </row>
    <row r="427">
      <c r="A427" s="141"/>
      <c r="B427" s="141"/>
      <c r="C427" s="141"/>
      <c r="D427" s="92"/>
      <c r="E427" s="92"/>
      <c r="F427" s="141"/>
      <c r="G427" s="141"/>
      <c r="H427" s="141"/>
      <c r="I427" s="141"/>
      <c r="J427" s="141"/>
      <c r="K427" s="141"/>
      <c r="L427" s="141"/>
      <c r="M427" s="141"/>
      <c r="N427" s="141"/>
      <c r="O427" s="141"/>
      <c r="P427" s="141"/>
      <c r="Q427" s="141"/>
      <c r="R427" s="141"/>
      <c r="S427" s="141"/>
    </row>
    <row r="428">
      <c r="A428" s="141"/>
      <c r="B428" s="141"/>
      <c r="C428" s="141"/>
      <c r="D428" s="92"/>
      <c r="E428" s="92"/>
      <c r="F428" s="141"/>
      <c r="G428" s="141"/>
      <c r="H428" s="141"/>
      <c r="I428" s="141"/>
      <c r="J428" s="141"/>
      <c r="K428" s="141"/>
      <c r="L428" s="141"/>
      <c r="M428" s="141"/>
      <c r="N428" s="141"/>
      <c r="O428" s="141"/>
      <c r="P428" s="141"/>
      <c r="Q428" s="141"/>
      <c r="R428" s="141"/>
      <c r="S428" s="141"/>
    </row>
    <row r="429">
      <c r="A429" s="141"/>
      <c r="B429" s="141"/>
      <c r="C429" s="141"/>
      <c r="D429" s="92"/>
      <c r="E429" s="92"/>
      <c r="F429" s="141"/>
      <c r="G429" s="141"/>
      <c r="H429" s="141"/>
      <c r="I429" s="141"/>
      <c r="J429" s="141"/>
      <c r="K429" s="141"/>
      <c r="L429" s="141"/>
      <c r="M429" s="141"/>
      <c r="N429" s="141"/>
      <c r="O429" s="141"/>
      <c r="P429" s="141"/>
      <c r="Q429" s="141"/>
      <c r="R429" s="141"/>
      <c r="S429" s="141"/>
    </row>
    <row r="430">
      <c r="A430" s="141"/>
      <c r="B430" s="141"/>
      <c r="C430" s="141"/>
      <c r="D430" s="92"/>
      <c r="E430" s="92"/>
      <c r="F430" s="141"/>
      <c r="G430" s="141"/>
      <c r="H430" s="141"/>
      <c r="I430" s="141"/>
      <c r="J430" s="141"/>
      <c r="K430" s="141"/>
      <c r="L430" s="141"/>
      <c r="M430" s="141"/>
      <c r="N430" s="141"/>
      <c r="O430" s="141"/>
      <c r="P430" s="141"/>
      <c r="Q430" s="141"/>
      <c r="R430" s="141"/>
      <c r="S430" s="141"/>
    </row>
    <row r="431">
      <c r="A431" s="141"/>
      <c r="B431" s="141"/>
      <c r="C431" s="141"/>
      <c r="D431" s="92"/>
      <c r="E431" s="92"/>
      <c r="F431" s="141"/>
      <c r="G431" s="141"/>
      <c r="H431" s="141"/>
      <c r="I431" s="141"/>
      <c r="J431" s="141"/>
      <c r="K431" s="141"/>
      <c r="L431" s="141"/>
      <c r="M431" s="141"/>
      <c r="N431" s="141"/>
      <c r="O431" s="141"/>
      <c r="P431" s="141"/>
      <c r="Q431" s="141"/>
      <c r="R431" s="141"/>
      <c r="S431" s="141"/>
    </row>
    <row r="432">
      <c r="A432" s="141"/>
      <c r="B432" s="141"/>
      <c r="C432" s="141"/>
      <c r="D432" s="92"/>
      <c r="E432" s="92"/>
      <c r="F432" s="141"/>
      <c r="G432" s="141"/>
      <c r="H432" s="141"/>
      <c r="I432" s="141"/>
      <c r="J432" s="141"/>
      <c r="K432" s="141"/>
      <c r="L432" s="141"/>
      <c r="M432" s="141"/>
      <c r="N432" s="141"/>
      <c r="O432" s="141"/>
      <c r="P432" s="141"/>
      <c r="Q432" s="141"/>
      <c r="R432" s="141"/>
      <c r="S432" s="141"/>
    </row>
    <row r="433">
      <c r="A433" s="141"/>
      <c r="B433" s="141"/>
      <c r="C433" s="141"/>
      <c r="D433" s="92"/>
      <c r="E433" s="92"/>
      <c r="F433" s="141"/>
      <c r="G433" s="141"/>
      <c r="H433" s="141"/>
      <c r="I433" s="141"/>
      <c r="J433" s="141"/>
      <c r="K433" s="141"/>
      <c r="L433" s="141"/>
      <c r="M433" s="141"/>
      <c r="N433" s="141"/>
      <c r="O433" s="141"/>
      <c r="P433" s="141"/>
      <c r="Q433" s="141"/>
      <c r="R433" s="141"/>
      <c r="S433" s="141"/>
    </row>
    <row r="434">
      <c r="A434" s="141"/>
      <c r="B434" s="141"/>
      <c r="C434" s="141"/>
      <c r="D434" s="92"/>
      <c r="E434" s="92"/>
      <c r="F434" s="141"/>
      <c r="G434" s="141"/>
      <c r="H434" s="141"/>
      <c r="I434" s="141"/>
      <c r="J434" s="141"/>
      <c r="K434" s="141"/>
      <c r="L434" s="141"/>
      <c r="M434" s="141"/>
      <c r="N434" s="141"/>
      <c r="O434" s="141"/>
      <c r="P434" s="141"/>
      <c r="Q434" s="141"/>
      <c r="R434" s="141"/>
      <c r="S434" s="141"/>
    </row>
    <row r="435">
      <c r="A435" s="141"/>
      <c r="B435" s="141"/>
      <c r="C435" s="141"/>
      <c r="D435" s="92"/>
      <c r="E435" s="92"/>
      <c r="F435" s="141"/>
      <c r="G435" s="141"/>
      <c r="H435" s="141"/>
      <c r="I435" s="141"/>
      <c r="J435" s="141"/>
      <c r="K435" s="141"/>
      <c r="L435" s="141"/>
      <c r="M435" s="141"/>
      <c r="N435" s="141"/>
      <c r="O435" s="141"/>
      <c r="P435" s="141"/>
      <c r="Q435" s="141"/>
      <c r="R435" s="141"/>
      <c r="S435" s="141"/>
    </row>
    <row r="436">
      <c r="A436" s="141"/>
      <c r="B436" s="141"/>
      <c r="C436" s="141"/>
      <c r="D436" s="92"/>
      <c r="E436" s="92"/>
      <c r="F436" s="141"/>
      <c r="G436" s="141"/>
      <c r="H436" s="141"/>
      <c r="I436" s="141"/>
      <c r="J436" s="141"/>
      <c r="K436" s="141"/>
      <c r="L436" s="141"/>
      <c r="M436" s="141"/>
      <c r="N436" s="141"/>
      <c r="O436" s="141"/>
      <c r="P436" s="141"/>
      <c r="Q436" s="141"/>
      <c r="R436" s="141"/>
      <c r="S436" s="141"/>
    </row>
    <row r="437">
      <c r="A437" s="141"/>
      <c r="B437" s="141"/>
      <c r="C437" s="141"/>
      <c r="D437" s="92"/>
      <c r="E437" s="92"/>
      <c r="F437" s="141"/>
      <c r="G437" s="141"/>
      <c r="H437" s="141"/>
      <c r="I437" s="141"/>
      <c r="J437" s="141"/>
      <c r="K437" s="141"/>
      <c r="L437" s="141"/>
      <c r="M437" s="141"/>
      <c r="N437" s="141"/>
      <c r="O437" s="141"/>
      <c r="P437" s="141"/>
      <c r="Q437" s="141"/>
      <c r="R437" s="141"/>
      <c r="S437" s="141"/>
    </row>
    <row r="438">
      <c r="A438" s="141"/>
      <c r="B438" s="141"/>
      <c r="C438" s="141"/>
      <c r="D438" s="92"/>
      <c r="E438" s="92"/>
      <c r="F438" s="141"/>
      <c r="G438" s="141"/>
      <c r="H438" s="141"/>
      <c r="I438" s="141"/>
      <c r="J438" s="141"/>
      <c r="K438" s="141"/>
      <c r="L438" s="141"/>
      <c r="M438" s="141"/>
      <c r="N438" s="141"/>
      <c r="O438" s="141"/>
      <c r="P438" s="141"/>
      <c r="Q438" s="141"/>
      <c r="R438" s="141"/>
      <c r="S438" s="141"/>
    </row>
    <row r="439">
      <c r="A439" s="141"/>
      <c r="B439" s="141"/>
      <c r="C439" s="141"/>
      <c r="D439" s="92"/>
      <c r="E439" s="92"/>
      <c r="F439" s="141"/>
      <c r="G439" s="141"/>
      <c r="H439" s="141"/>
      <c r="I439" s="141"/>
      <c r="J439" s="141"/>
      <c r="K439" s="141"/>
      <c r="L439" s="141"/>
      <c r="M439" s="141"/>
      <c r="N439" s="141"/>
      <c r="O439" s="141"/>
      <c r="P439" s="141"/>
      <c r="Q439" s="141"/>
      <c r="R439" s="141"/>
      <c r="S439" s="141"/>
    </row>
    <row r="440">
      <c r="A440" s="141"/>
      <c r="B440" s="141"/>
      <c r="C440" s="141"/>
      <c r="D440" s="92"/>
      <c r="E440" s="92"/>
      <c r="F440" s="141"/>
      <c r="G440" s="141"/>
      <c r="H440" s="141"/>
      <c r="I440" s="141"/>
      <c r="J440" s="141"/>
      <c r="K440" s="141"/>
      <c r="L440" s="141"/>
      <c r="M440" s="141"/>
      <c r="N440" s="141"/>
      <c r="O440" s="141"/>
      <c r="P440" s="141"/>
      <c r="Q440" s="141"/>
      <c r="R440" s="141"/>
      <c r="S440" s="141"/>
    </row>
    <row r="441">
      <c r="A441" s="141"/>
      <c r="B441" s="141"/>
      <c r="C441" s="141"/>
      <c r="D441" s="92"/>
      <c r="E441" s="92"/>
      <c r="F441" s="141"/>
      <c r="G441" s="141"/>
      <c r="H441" s="141"/>
      <c r="I441" s="141"/>
      <c r="J441" s="141"/>
      <c r="K441" s="141"/>
      <c r="L441" s="141"/>
      <c r="M441" s="141"/>
      <c r="N441" s="141"/>
      <c r="O441" s="141"/>
      <c r="P441" s="141"/>
      <c r="Q441" s="141"/>
      <c r="R441" s="141"/>
      <c r="S441" s="141"/>
    </row>
    <row r="442">
      <c r="A442" s="141"/>
      <c r="B442" s="141"/>
      <c r="C442" s="141"/>
      <c r="D442" s="92"/>
      <c r="E442" s="92"/>
      <c r="F442" s="141"/>
      <c r="G442" s="141"/>
      <c r="H442" s="141"/>
      <c r="I442" s="141"/>
      <c r="J442" s="141"/>
      <c r="K442" s="141"/>
      <c r="L442" s="141"/>
      <c r="M442" s="141"/>
      <c r="N442" s="141"/>
      <c r="O442" s="141"/>
      <c r="P442" s="141"/>
      <c r="Q442" s="141"/>
      <c r="R442" s="141"/>
      <c r="S442" s="141"/>
    </row>
    <row r="443">
      <c r="A443" s="141"/>
      <c r="B443" s="141"/>
      <c r="C443" s="141"/>
      <c r="D443" s="92"/>
      <c r="E443" s="92"/>
      <c r="F443" s="141"/>
      <c r="G443" s="141"/>
      <c r="H443" s="141"/>
      <c r="I443" s="141"/>
      <c r="J443" s="141"/>
      <c r="K443" s="141"/>
      <c r="L443" s="141"/>
      <c r="M443" s="141"/>
      <c r="N443" s="141"/>
      <c r="O443" s="141"/>
      <c r="P443" s="141"/>
      <c r="Q443" s="141"/>
      <c r="R443" s="141"/>
      <c r="S443" s="141"/>
    </row>
    <row r="444">
      <c r="A444" s="141"/>
      <c r="B444" s="141"/>
      <c r="C444" s="141"/>
      <c r="D444" s="92"/>
      <c r="E444" s="92"/>
      <c r="F444" s="141"/>
      <c r="G444" s="141"/>
      <c r="H444" s="141"/>
      <c r="I444" s="141"/>
      <c r="J444" s="141"/>
      <c r="K444" s="141"/>
      <c r="L444" s="141"/>
      <c r="M444" s="141"/>
      <c r="N444" s="141"/>
      <c r="O444" s="141"/>
      <c r="P444" s="141"/>
      <c r="Q444" s="141"/>
      <c r="R444" s="141"/>
      <c r="S444" s="141"/>
    </row>
    <row r="445">
      <c r="A445" s="141"/>
      <c r="B445" s="141"/>
      <c r="C445" s="141"/>
      <c r="D445" s="92"/>
      <c r="E445" s="92"/>
      <c r="F445" s="141"/>
      <c r="G445" s="141"/>
      <c r="H445" s="141"/>
      <c r="I445" s="141"/>
      <c r="J445" s="141"/>
      <c r="K445" s="141"/>
      <c r="L445" s="141"/>
      <c r="M445" s="141"/>
      <c r="N445" s="141"/>
      <c r="O445" s="141"/>
      <c r="P445" s="141"/>
      <c r="Q445" s="141"/>
      <c r="R445" s="141"/>
      <c r="S445" s="141"/>
    </row>
    <row r="446">
      <c r="A446" s="141"/>
      <c r="B446" s="141"/>
      <c r="C446" s="141"/>
      <c r="D446" s="92"/>
      <c r="E446" s="92"/>
      <c r="F446" s="141"/>
      <c r="G446" s="141"/>
      <c r="H446" s="141"/>
      <c r="I446" s="141"/>
      <c r="J446" s="141"/>
      <c r="K446" s="141"/>
      <c r="L446" s="141"/>
      <c r="M446" s="141"/>
      <c r="N446" s="141"/>
      <c r="O446" s="141"/>
      <c r="P446" s="141"/>
      <c r="Q446" s="141"/>
      <c r="R446" s="141"/>
      <c r="S446" s="141"/>
    </row>
    <row r="447">
      <c r="A447" s="141"/>
      <c r="B447" s="141"/>
      <c r="C447" s="141"/>
      <c r="D447" s="92"/>
      <c r="E447" s="92"/>
      <c r="F447" s="141"/>
      <c r="G447" s="141"/>
      <c r="H447" s="141"/>
      <c r="I447" s="141"/>
      <c r="J447" s="141"/>
      <c r="K447" s="141"/>
      <c r="L447" s="141"/>
      <c r="M447" s="141"/>
      <c r="N447" s="141"/>
      <c r="O447" s="141"/>
      <c r="P447" s="141"/>
      <c r="Q447" s="141"/>
      <c r="R447" s="141"/>
      <c r="S447" s="141"/>
    </row>
    <row r="448">
      <c r="A448" s="141"/>
      <c r="B448" s="141"/>
      <c r="C448" s="141"/>
      <c r="D448" s="92"/>
      <c r="E448" s="92"/>
      <c r="F448" s="141"/>
      <c r="G448" s="141"/>
      <c r="H448" s="141"/>
      <c r="I448" s="141"/>
      <c r="J448" s="141"/>
      <c r="K448" s="141"/>
      <c r="L448" s="141"/>
      <c r="M448" s="141"/>
      <c r="N448" s="141"/>
      <c r="O448" s="141"/>
      <c r="P448" s="141"/>
      <c r="Q448" s="141"/>
      <c r="R448" s="141"/>
      <c r="S448" s="141"/>
    </row>
    <row r="449">
      <c r="A449" s="141"/>
      <c r="B449" s="141"/>
      <c r="C449" s="141"/>
      <c r="D449" s="92"/>
      <c r="E449" s="92"/>
      <c r="F449" s="141"/>
      <c r="G449" s="141"/>
      <c r="H449" s="141"/>
      <c r="I449" s="141"/>
      <c r="J449" s="141"/>
      <c r="K449" s="141"/>
      <c r="L449" s="141"/>
      <c r="M449" s="141"/>
      <c r="N449" s="141"/>
      <c r="O449" s="141"/>
      <c r="P449" s="141"/>
      <c r="Q449" s="141"/>
      <c r="R449" s="141"/>
      <c r="S449" s="141"/>
    </row>
    <row r="450">
      <c r="A450" s="141"/>
      <c r="B450" s="141"/>
      <c r="C450" s="141"/>
      <c r="D450" s="92"/>
      <c r="E450" s="92"/>
      <c r="F450" s="141"/>
      <c r="G450" s="141"/>
      <c r="H450" s="141"/>
      <c r="I450" s="141"/>
      <c r="J450" s="141"/>
      <c r="K450" s="141"/>
      <c r="L450" s="141"/>
      <c r="M450" s="141"/>
      <c r="N450" s="141"/>
      <c r="O450" s="141"/>
      <c r="P450" s="141"/>
      <c r="Q450" s="141"/>
      <c r="R450" s="141"/>
      <c r="S450" s="141"/>
    </row>
    <row r="451">
      <c r="A451" s="141"/>
      <c r="B451" s="141"/>
      <c r="C451" s="141"/>
      <c r="D451" s="92"/>
      <c r="E451" s="92"/>
      <c r="F451" s="141"/>
      <c r="G451" s="141"/>
      <c r="H451" s="141"/>
      <c r="I451" s="141"/>
      <c r="J451" s="141"/>
      <c r="K451" s="141"/>
      <c r="L451" s="141"/>
      <c r="M451" s="141"/>
      <c r="N451" s="141"/>
      <c r="O451" s="141"/>
      <c r="P451" s="141"/>
      <c r="Q451" s="141"/>
      <c r="R451" s="141"/>
      <c r="S451" s="141"/>
    </row>
    <row r="452">
      <c r="A452" s="141"/>
      <c r="B452" s="141"/>
      <c r="C452" s="141"/>
      <c r="D452" s="92"/>
      <c r="E452" s="92"/>
      <c r="F452" s="141"/>
      <c r="G452" s="141"/>
      <c r="H452" s="141"/>
      <c r="I452" s="141"/>
      <c r="J452" s="141"/>
      <c r="K452" s="141"/>
      <c r="L452" s="141"/>
      <c r="M452" s="141"/>
      <c r="N452" s="141"/>
      <c r="O452" s="141"/>
      <c r="P452" s="141"/>
      <c r="Q452" s="141"/>
      <c r="R452" s="141"/>
      <c r="S452" s="141"/>
    </row>
    <row r="453">
      <c r="A453" s="141"/>
      <c r="B453" s="141"/>
      <c r="C453" s="141"/>
      <c r="D453" s="92"/>
      <c r="E453" s="92"/>
      <c r="F453" s="141"/>
      <c r="G453" s="141"/>
      <c r="H453" s="141"/>
      <c r="I453" s="141"/>
      <c r="J453" s="141"/>
      <c r="K453" s="141"/>
      <c r="L453" s="141"/>
      <c r="M453" s="141"/>
      <c r="N453" s="141"/>
      <c r="O453" s="141"/>
      <c r="P453" s="141"/>
      <c r="Q453" s="141"/>
      <c r="R453" s="141"/>
      <c r="S453" s="141"/>
    </row>
    <row r="454">
      <c r="A454" s="141"/>
      <c r="B454" s="141"/>
      <c r="C454" s="141"/>
      <c r="D454" s="92"/>
      <c r="E454" s="92"/>
      <c r="F454" s="141"/>
      <c r="G454" s="141"/>
      <c r="H454" s="141"/>
      <c r="I454" s="141"/>
      <c r="J454" s="141"/>
      <c r="K454" s="141"/>
      <c r="L454" s="141"/>
      <c r="M454" s="141"/>
      <c r="N454" s="141"/>
      <c r="O454" s="141"/>
      <c r="P454" s="141"/>
      <c r="Q454" s="141"/>
      <c r="R454" s="141"/>
      <c r="S454" s="141"/>
    </row>
    <row r="455">
      <c r="A455" s="141"/>
      <c r="B455" s="141"/>
      <c r="C455" s="141"/>
      <c r="D455" s="92"/>
      <c r="E455" s="92"/>
      <c r="F455" s="141"/>
      <c r="G455" s="141"/>
      <c r="H455" s="141"/>
      <c r="I455" s="141"/>
      <c r="J455" s="141"/>
      <c r="K455" s="141"/>
      <c r="L455" s="141"/>
      <c r="M455" s="141"/>
      <c r="N455" s="141"/>
      <c r="O455" s="141"/>
      <c r="P455" s="141"/>
      <c r="Q455" s="141"/>
      <c r="R455" s="141"/>
      <c r="S455" s="141"/>
    </row>
    <row r="456">
      <c r="A456" s="141"/>
      <c r="B456" s="141"/>
      <c r="C456" s="141"/>
      <c r="D456" s="92"/>
      <c r="E456" s="92"/>
      <c r="F456" s="141"/>
      <c r="G456" s="141"/>
      <c r="H456" s="141"/>
      <c r="I456" s="141"/>
      <c r="J456" s="141"/>
      <c r="K456" s="141"/>
      <c r="L456" s="141"/>
      <c r="M456" s="141"/>
      <c r="N456" s="141"/>
      <c r="O456" s="141"/>
      <c r="P456" s="141"/>
      <c r="Q456" s="141"/>
      <c r="R456" s="141"/>
      <c r="S456" s="141"/>
    </row>
    <row r="457">
      <c r="A457" s="141"/>
      <c r="B457" s="141"/>
      <c r="C457" s="141"/>
      <c r="D457" s="92"/>
      <c r="E457" s="92"/>
      <c r="F457" s="141"/>
      <c r="G457" s="141"/>
      <c r="H457" s="141"/>
      <c r="I457" s="141"/>
      <c r="J457" s="141"/>
      <c r="K457" s="141"/>
      <c r="L457" s="141"/>
      <c r="M457" s="141"/>
      <c r="N457" s="141"/>
      <c r="O457" s="141"/>
      <c r="P457" s="141"/>
      <c r="Q457" s="141"/>
      <c r="R457" s="141"/>
      <c r="S457" s="141"/>
    </row>
    <row r="458">
      <c r="A458" s="141"/>
      <c r="B458" s="141"/>
      <c r="C458" s="141"/>
      <c r="D458" s="92"/>
      <c r="E458" s="92"/>
      <c r="F458" s="141"/>
      <c r="G458" s="141"/>
      <c r="H458" s="141"/>
      <c r="I458" s="141"/>
      <c r="J458" s="141"/>
      <c r="K458" s="141"/>
      <c r="L458" s="141"/>
      <c r="M458" s="141"/>
      <c r="N458" s="141"/>
      <c r="O458" s="141"/>
      <c r="P458" s="141"/>
      <c r="Q458" s="141"/>
      <c r="R458" s="141"/>
      <c r="S458" s="141"/>
    </row>
    <row r="459">
      <c r="A459" s="141"/>
      <c r="B459" s="141"/>
      <c r="C459" s="141"/>
      <c r="D459" s="92"/>
      <c r="E459" s="92"/>
      <c r="F459" s="141"/>
      <c r="G459" s="141"/>
      <c r="H459" s="141"/>
      <c r="I459" s="141"/>
      <c r="J459" s="141"/>
      <c r="K459" s="141"/>
      <c r="L459" s="141"/>
      <c r="M459" s="141"/>
      <c r="N459" s="141"/>
      <c r="O459" s="141"/>
      <c r="P459" s="141"/>
      <c r="Q459" s="141"/>
      <c r="R459" s="141"/>
      <c r="S459" s="141"/>
    </row>
    <row r="460">
      <c r="A460" s="141"/>
      <c r="B460" s="141"/>
      <c r="C460" s="141"/>
      <c r="D460" s="92"/>
      <c r="E460" s="92"/>
      <c r="F460" s="141"/>
      <c r="G460" s="141"/>
      <c r="H460" s="141"/>
      <c r="I460" s="141"/>
      <c r="J460" s="141"/>
      <c r="K460" s="141"/>
      <c r="L460" s="141"/>
      <c r="M460" s="141"/>
      <c r="N460" s="141"/>
      <c r="O460" s="141"/>
      <c r="P460" s="141"/>
      <c r="Q460" s="141"/>
      <c r="R460" s="141"/>
      <c r="S460" s="141"/>
    </row>
    <row r="461">
      <c r="A461" s="141"/>
      <c r="B461" s="141"/>
      <c r="C461" s="141"/>
      <c r="D461" s="92"/>
      <c r="E461" s="92"/>
      <c r="F461" s="141"/>
      <c r="G461" s="141"/>
      <c r="H461" s="141"/>
      <c r="I461" s="141"/>
      <c r="J461" s="141"/>
      <c r="K461" s="141"/>
      <c r="L461" s="141"/>
      <c r="M461" s="141"/>
      <c r="N461" s="141"/>
      <c r="O461" s="141"/>
      <c r="P461" s="141"/>
      <c r="Q461" s="141"/>
      <c r="R461" s="141"/>
      <c r="S461" s="141"/>
    </row>
    <row r="462">
      <c r="A462" s="141"/>
      <c r="B462" s="141"/>
      <c r="C462" s="141"/>
      <c r="D462" s="92"/>
      <c r="E462" s="92"/>
      <c r="F462" s="141"/>
      <c r="G462" s="141"/>
      <c r="H462" s="141"/>
      <c r="I462" s="141"/>
      <c r="J462" s="141"/>
      <c r="K462" s="141"/>
      <c r="L462" s="141"/>
      <c r="M462" s="141"/>
      <c r="N462" s="141"/>
      <c r="O462" s="141"/>
      <c r="P462" s="141"/>
      <c r="Q462" s="141"/>
      <c r="R462" s="141"/>
      <c r="S462" s="141"/>
    </row>
    <row r="463">
      <c r="A463" s="141"/>
      <c r="B463" s="141"/>
      <c r="C463" s="141"/>
      <c r="D463" s="92"/>
      <c r="E463" s="92"/>
      <c r="F463" s="141"/>
      <c r="G463" s="141"/>
      <c r="H463" s="141"/>
      <c r="I463" s="141"/>
      <c r="J463" s="141"/>
      <c r="K463" s="141"/>
      <c r="L463" s="141"/>
      <c r="M463" s="141"/>
      <c r="N463" s="141"/>
      <c r="O463" s="141"/>
      <c r="P463" s="141"/>
      <c r="Q463" s="141"/>
      <c r="R463" s="141"/>
      <c r="S463" s="141"/>
    </row>
    <row r="464">
      <c r="A464" s="141"/>
      <c r="B464" s="141"/>
      <c r="C464" s="141"/>
      <c r="D464" s="92"/>
      <c r="E464" s="92"/>
      <c r="F464" s="141"/>
      <c r="G464" s="141"/>
      <c r="H464" s="141"/>
      <c r="I464" s="141"/>
      <c r="J464" s="141"/>
      <c r="K464" s="141"/>
      <c r="L464" s="141"/>
      <c r="M464" s="141"/>
      <c r="N464" s="141"/>
      <c r="O464" s="141"/>
      <c r="P464" s="141"/>
      <c r="Q464" s="141"/>
      <c r="R464" s="141"/>
      <c r="S464" s="141"/>
    </row>
    <row r="465">
      <c r="A465" s="141"/>
      <c r="B465" s="141"/>
      <c r="C465" s="141"/>
      <c r="D465" s="92"/>
      <c r="E465" s="92"/>
      <c r="F465" s="141"/>
      <c r="G465" s="141"/>
      <c r="H465" s="141"/>
      <c r="I465" s="141"/>
      <c r="J465" s="141"/>
      <c r="K465" s="141"/>
      <c r="L465" s="141"/>
      <c r="M465" s="141"/>
      <c r="N465" s="141"/>
      <c r="O465" s="141"/>
      <c r="P465" s="141"/>
      <c r="Q465" s="141"/>
      <c r="R465" s="141"/>
      <c r="S465" s="141"/>
    </row>
    <row r="466">
      <c r="A466" s="141"/>
      <c r="B466" s="141"/>
      <c r="C466" s="141"/>
      <c r="D466" s="92"/>
      <c r="E466" s="92"/>
      <c r="F466" s="141"/>
      <c r="G466" s="141"/>
      <c r="H466" s="141"/>
      <c r="I466" s="141"/>
      <c r="J466" s="141"/>
      <c r="K466" s="141"/>
      <c r="L466" s="141"/>
      <c r="M466" s="141"/>
      <c r="N466" s="141"/>
      <c r="O466" s="141"/>
      <c r="P466" s="141"/>
      <c r="Q466" s="141"/>
      <c r="R466" s="141"/>
      <c r="S466" s="141"/>
    </row>
    <row r="467">
      <c r="A467" s="141"/>
      <c r="B467" s="141"/>
      <c r="C467" s="141"/>
      <c r="D467" s="92"/>
      <c r="E467" s="92"/>
      <c r="F467" s="141"/>
      <c r="G467" s="141"/>
      <c r="H467" s="141"/>
      <c r="I467" s="141"/>
      <c r="J467" s="141"/>
      <c r="K467" s="141"/>
      <c r="L467" s="141"/>
      <c r="M467" s="141"/>
      <c r="N467" s="141"/>
      <c r="O467" s="141"/>
      <c r="P467" s="141"/>
      <c r="Q467" s="141"/>
      <c r="R467" s="141"/>
      <c r="S467" s="141"/>
    </row>
    <row r="468">
      <c r="A468" s="141"/>
      <c r="B468" s="141"/>
      <c r="C468" s="141"/>
      <c r="D468" s="92"/>
      <c r="E468" s="92"/>
      <c r="F468" s="141"/>
      <c r="G468" s="141"/>
      <c r="H468" s="141"/>
      <c r="I468" s="141"/>
      <c r="J468" s="141"/>
      <c r="K468" s="141"/>
      <c r="L468" s="141"/>
      <c r="M468" s="141"/>
      <c r="N468" s="141"/>
      <c r="O468" s="141"/>
      <c r="P468" s="141"/>
      <c r="Q468" s="141"/>
      <c r="R468" s="141"/>
      <c r="S468" s="141"/>
    </row>
    <row r="469">
      <c r="A469" s="141"/>
      <c r="B469" s="141"/>
      <c r="C469" s="141"/>
      <c r="D469" s="92"/>
      <c r="E469" s="92"/>
      <c r="F469" s="141"/>
      <c r="G469" s="141"/>
      <c r="H469" s="141"/>
      <c r="I469" s="141"/>
      <c r="J469" s="141"/>
      <c r="K469" s="141"/>
      <c r="L469" s="141"/>
      <c r="M469" s="141"/>
      <c r="N469" s="141"/>
      <c r="O469" s="141"/>
      <c r="P469" s="141"/>
      <c r="Q469" s="141"/>
      <c r="R469" s="141"/>
      <c r="S469" s="141"/>
    </row>
    <row r="470">
      <c r="A470" s="141"/>
      <c r="B470" s="141"/>
      <c r="C470" s="141"/>
      <c r="D470" s="92"/>
      <c r="E470" s="92"/>
      <c r="F470" s="141"/>
      <c r="G470" s="141"/>
      <c r="H470" s="141"/>
      <c r="I470" s="141"/>
      <c r="J470" s="141"/>
      <c r="K470" s="141"/>
      <c r="L470" s="141"/>
      <c r="M470" s="141"/>
      <c r="N470" s="141"/>
      <c r="O470" s="141"/>
      <c r="P470" s="141"/>
      <c r="Q470" s="141"/>
      <c r="R470" s="141"/>
      <c r="S470" s="141"/>
    </row>
    <row r="471">
      <c r="A471" s="141"/>
      <c r="B471" s="141"/>
      <c r="C471" s="141"/>
      <c r="D471" s="92"/>
      <c r="E471" s="92"/>
      <c r="F471" s="141"/>
      <c r="G471" s="141"/>
      <c r="H471" s="141"/>
      <c r="I471" s="141"/>
      <c r="J471" s="141"/>
      <c r="K471" s="141"/>
      <c r="L471" s="141"/>
      <c r="M471" s="141"/>
      <c r="N471" s="141"/>
      <c r="O471" s="141"/>
      <c r="P471" s="141"/>
      <c r="Q471" s="141"/>
      <c r="R471" s="141"/>
      <c r="S471" s="141"/>
    </row>
    <row r="472">
      <c r="A472" s="141"/>
      <c r="B472" s="141"/>
      <c r="C472" s="141"/>
      <c r="D472" s="92"/>
      <c r="E472" s="92"/>
      <c r="F472" s="141"/>
      <c r="G472" s="141"/>
      <c r="H472" s="141"/>
      <c r="I472" s="141"/>
      <c r="J472" s="141"/>
      <c r="K472" s="141"/>
      <c r="L472" s="141"/>
      <c r="M472" s="141"/>
      <c r="N472" s="141"/>
      <c r="O472" s="141"/>
      <c r="P472" s="141"/>
      <c r="Q472" s="141"/>
      <c r="R472" s="141"/>
      <c r="S472" s="141"/>
    </row>
    <row r="473">
      <c r="A473" s="141"/>
      <c r="B473" s="141"/>
      <c r="C473" s="141"/>
      <c r="D473" s="92"/>
      <c r="E473" s="92"/>
      <c r="F473" s="141"/>
      <c r="G473" s="141"/>
      <c r="H473" s="141"/>
      <c r="I473" s="141"/>
      <c r="J473" s="141"/>
      <c r="K473" s="141"/>
      <c r="L473" s="141"/>
      <c r="M473" s="141"/>
      <c r="N473" s="141"/>
      <c r="O473" s="141"/>
      <c r="P473" s="141"/>
      <c r="Q473" s="141"/>
      <c r="R473" s="141"/>
      <c r="S473" s="141"/>
    </row>
    <row r="474">
      <c r="A474" s="141"/>
      <c r="B474" s="141"/>
      <c r="C474" s="141"/>
      <c r="D474" s="92"/>
      <c r="E474" s="92"/>
      <c r="F474" s="141"/>
      <c r="G474" s="141"/>
      <c r="H474" s="141"/>
      <c r="I474" s="141"/>
      <c r="J474" s="141"/>
      <c r="K474" s="141"/>
      <c r="L474" s="141"/>
      <c r="M474" s="141"/>
      <c r="N474" s="141"/>
      <c r="O474" s="141"/>
      <c r="P474" s="141"/>
      <c r="Q474" s="141"/>
      <c r="R474" s="141"/>
      <c r="S474" s="141"/>
    </row>
    <row r="475">
      <c r="A475" s="141"/>
      <c r="B475" s="141"/>
      <c r="C475" s="141"/>
      <c r="D475" s="92"/>
      <c r="E475" s="92"/>
      <c r="F475" s="141"/>
      <c r="G475" s="141"/>
      <c r="H475" s="141"/>
      <c r="I475" s="141"/>
      <c r="J475" s="141"/>
      <c r="K475" s="141"/>
      <c r="L475" s="141"/>
      <c r="M475" s="141"/>
      <c r="N475" s="141"/>
      <c r="O475" s="141"/>
      <c r="P475" s="141"/>
      <c r="Q475" s="141"/>
      <c r="R475" s="141"/>
      <c r="S475" s="141"/>
    </row>
    <row r="476">
      <c r="A476" s="141"/>
      <c r="B476" s="141"/>
      <c r="C476" s="141"/>
      <c r="D476" s="92"/>
      <c r="E476" s="92"/>
      <c r="F476" s="141"/>
      <c r="G476" s="141"/>
      <c r="H476" s="141"/>
      <c r="I476" s="141"/>
      <c r="J476" s="141"/>
      <c r="K476" s="141"/>
      <c r="L476" s="141"/>
      <c r="M476" s="141"/>
      <c r="N476" s="141"/>
      <c r="O476" s="141"/>
      <c r="P476" s="141"/>
      <c r="Q476" s="141"/>
      <c r="R476" s="141"/>
      <c r="S476" s="141"/>
    </row>
    <row r="477">
      <c r="A477" s="141"/>
      <c r="B477" s="141"/>
      <c r="C477" s="141"/>
      <c r="D477" s="92"/>
      <c r="E477" s="92"/>
      <c r="F477" s="141"/>
      <c r="G477" s="141"/>
      <c r="H477" s="141"/>
      <c r="I477" s="141"/>
      <c r="J477" s="141"/>
      <c r="K477" s="141"/>
      <c r="L477" s="141"/>
      <c r="M477" s="141"/>
      <c r="N477" s="141"/>
      <c r="O477" s="141"/>
      <c r="P477" s="141"/>
      <c r="Q477" s="141"/>
      <c r="R477" s="141"/>
      <c r="S477" s="141"/>
    </row>
    <row r="478">
      <c r="A478" s="141"/>
      <c r="B478" s="141"/>
      <c r="C478" s="141"/>
      <c r="D478" s="92"/>
      <c r="E478" s="92"/>
      <c r="F478" s="141"/>
      <c r="G478" s="141"/>
      <c r="H478" s="141"/>
      <c r="I478" s="141"/>
      <c r="J478" s="141"/>
      <c r="K478" s="141"/>
      <c r="L478" s="141"/>
      <c r="M478" s="141"/>
      <c r="N478" s="141"/>
      <c r="O478" s="141"/>
      <c r="P478" s="141"/>
      <c r="Q478" s="141"/>
      <c r="R478" s="141"/>
      <c r="S478" s="141"/>
    </row>
    <row r="479">
      <c r="A479" s="141"/>
      <c r="B479" s="141"/>
      <c r="C479" s="141"/>
      <c r="D479" s="92"/>
      <c r="E479" s="92"/>
      <c r="F479" s="141"/>
      <c r="G479" s="141"/>
      <c r="H479" s="141"/>
      <c r="I479" s="141"/>
      <c r="J479" s="141"/>
      <c r="K479" s="141"/>
      <c r="L479" s="141"/>
      <c r="M479" s="141"/>
      <c r="N479" s="141"/>
      <c r="O479" s="141"/>
      <c r="P479" s="141"/>
      <c r="Q479" s="141"/>
      <c r="R479" s="141"/>
      <c r="S479" s="141"/>
    </row>
    <row r="480">
      <c r="A480" s="141"/>
      <c r="B480" s="141"/>
      <c r="C480" s="141"/>
      <c r="D480" s="92"/>
      <c r="E480" s="92"/>
      <c r="F480" s="141"/>
      <c r="G480" s="141"/>
      <c r="H480" s="141"/>
      <c r="I480" s="141"/>
      <c r="J480" s="141"/>
      <c r="K480" s="141"/>
      <c r="L480" s="141"/>
      <c r="M480" s="141"/>
      <c r="N480" s="141"/>
      <c r="O480" s="141"/>
      <c r="P480" s="141"/>
      <c r="Q480" s="141"/>
      <c r="R480" s="141"/>
      <c r="S480" s="141"/>
    </row>
    <row r="481">
      <c r="A481" s="141"/>
      <c r="B481" s="141"/>
      <c r="C481" s="141"/>
      <c r="D481" s="92"/>
      <c r="E481" s="92"/>
      <c r="F481" s="141"/>
      <c r="G481" s="141"/>
      <c r="H481" s="141"/>
      <c r="I481" s="141"/>
      <c r="J481" s="141"/>
      <c r="K481" s="141"/>
      <c r="L481" s="141"/>
      <c r="M481" s="141"/>
      <c r="N481" s="141"/>
      <c r="O481" s="141"/>
      <c r="P481" s="141"/>
      <c r="Q481" s="141"/>
      <c r="R481" s="141"/>
      <c r="S481" s="141"/>
    </row>
    <row r="482">
      <c r="A482" s="141"/>
      <c r="B482" s="141"/>
      <c r="C482" s="141"/>
      <c r="D482" s="92"/>
      <c r="E482" s="92"/>
      <c r="F482" s="141"/>
      <c r="G482" s="141"/>
      <c r="H482" s="141"/>
      <c r="I482" s="141"/>
      <c r="J482" s="141"/>
      <c r="K482" s="141"/>
      <c r="L482" s="141"/>
      <c r="M482" s="141"/>
      <c r="N482" s="141"/>
      <c r="O482" s="141"/>
      <c r="P482" s="141"/>
      <c r="Q482" s="141"/>
      <c r="R482" s="141"/>
      <c r="S482" s="141"/>
    </row>
    <row r="483">
      <c r="A483" s="141"/>
      <c r="B483" s="141"/>
      <c r="C483" s="141"/>
      <c r="D483" s="92"/>
      <c r="E483" s="92"/>
      <c r="F483" s="141"/>
      <c r="G483" s="141"/>
      <c r="H483" s="141"/>
      <c r="I483" s="141"/>
      <c r="J483" s="141"/>
      <c r="K483" s="141"/>
      <c r="L483" s="141"/>
      <c r="M483" s="141"/>
      <c r="N483" s="141"/>
      <c r="O483" s="141"/>
      <c r="P483" s="141"/>
      <c r="Q483" s="141"/>
      <c r="R483" s="141"/>
      <c r="S483" s="141"/>
    </row>
    <row r="484">
      <c r="A484" s="141"/>
      <c r="B484" s="141"/>
      <c r="C484" s="141"/>
      <c r="D484" s="92"/>
      <c r="E484" s="92"/>
      <c r="F484" s="141"/>
      <c r="G484" s="141"/>
      <c r="H484" s="141"/>
      <c r="I484" s="141"/>
      <c r="J484" s="141"/>
      <c r="K484" s="141"/>
      <c r="L484" s="141"/>
      <c r="M484" s="141"/>
      <c r="N484" s="141"/>
      <c r="O484" s="141"/>
      <c r="P484" s="141"/>
      <c r="Q484" s="141"/>
      <c r="R484" s="141"/>
      <c r="S484" s="141"/>
    </row>
    <row r="485">
      <c r="A485" s="141"/>
      <c r="B485" s="141"/>
      <c r="C485" s="141"/>
      <c r="D485" s="92"/>
      <c r="E485" s="92"/>
      <c r="F485" s="141"/>
      <c r="G485" s="141"/>
      <c r="H485" s="141"/>
      <c r="I485" s="141"/>
      <c r="J485" s="141"/>
      <c r="K485" s="141"/>
      <c r="L485" s="141"/>
      <c r="M485" s="141"/>
      <c r="N485" s="141"/>
      <c r="O485" s="141"/>
      <c r="P485" s="141"/>
      <c r="Q485" s="141"/>
      <c r="R485" s="141"/>
      <c r="S485" s="141"/>
    </row>
    <row r="486">
      <c r="A486" s="141"/>
      <c r="B486" s="141"/>
      <c r="C486" s="141"/>
      <c r="D486" s="92"/>
      <c r="E486" s="92"/>
      <c r="F486" s="141"/>
      <c r="G486" s="141"/>
      <c r="H486" s="141"/>
      <c r="I486" s="141"/>
      <c r="J486" s="141"/>
      <c r="K486" s="141"/>
      <c r="L486" s="141"/>
      <c r="M486" s="141"/>
      <c r="N486" s="141"/>
      <c r="O486" s="141"/>
      <c r="P486" s="141"/>
      <c r="Q486" s="141"/>
      <c r="R486" s="141"/>
      <c r="S486" s="141"/>
    </row>
    <row r="487">
      <c r="A487" s="141"/>
      <c r="B487" s="141"/>
      <c r="C487" s="141"/>
      <c r="D487" s="92"/>
      <c r="E487" s="92"/>
      <c r="F487" s="141"/>
      <c r="G487" s="141"/>
      <c r="H487" s="141"/>
      <c r="I487" s="141"/>
      <c r="J487" s="141"/>
      <c r="K487" s="141"/>
      <c r="L487" s="141"/>
      <c r="M487" s="141"/>
      <c r="N487" s="141"/>
      <c r="O487" s="141"/>
      <c r="P487" s="141"/>
      <c r="Q487" s="141"/>
      <c r="R487" s="141"/>
      <c r="S487" s="141"/>
    </row>
    <row r="488">
      <c r="A488" s="141"/>
      <c r="B488" s="141"/>
      <c r="C488" s="141"/>
      <c r="D488" s="92"/>
      <c r="E488" s="92"/>
      <c r="F488" s="141"/>
      <c r="G488" s="141"/>
      <c r="H488" s="141"/>
      <c r="I488" s="141"/>
      <c r="J488" s="141"/>
      <c r="K488" s="141"/>
      <c r="L488" s="141"/>
      <c r="M488" s="141"/>
      <c r="N488" s="141"/>
      <c r="O488" s="141"/>
      <c r="P488" s="141"/>
      <c r="Q488" s="141"/>
      <c r="R488" s="141"/>
      <c r="S488" s="141"/>
    </row>
    <row r="489">
      <c r="A489" s="141"/>
      <c r="B489" s="141"/>
      <c r="C489" s="141"/>
      <c r="D489" s="92"/>
      <c r="E489" s="92"/>
      <c r="F489" s="141"/>
      <c r="G489" s="141"/>
      <c r="H489" s="141"/>
      <c r="I489" s="141"/>
      <c r="J489" s="141"/>
      <c r="K489" s="141"/>
      <c r="L489" s="141"/>
      <c r="M489" s="141"/>
      <c r="N489" s="141"/>
      <c r="O489" s="141"/>
      <c r="P489" s="141"/>
      <c r="Q489" s="141"/>
      <c r="R489" s="141"/>
      <c r="S489" s="141"/>
    </row>
    <row r="490">
      <c r="A490" s="141"/>
      <c r="B490" s="141"/>
      <c r="C490" s="141"/>
      <c r="D490" s="92"/>
      <c r="E490" s="92"/>
      <c r="F490" s="141"/>
      <c r="G490" s="141"/>
      <c r="H490" s="141"/>
      <c r="I490" s="141"/>
      <c r="J490" s="141"/>
      <c r="K490" s="141"/>
      <c r="L490" s="141"/>
      <c r="M490" s="141"/>
      <c r="N490" s="141"/>
      <c r="O490" s="141"/>
      <c r="P490" s="141"/>
      <c r="Q490" s="141"/>
      <c r="R490" s="141"/>
      <c r="S490" s="141"/>
    </row>
    <row r="491">
      <c r="A491" s="141"/>
      <c r="B491" s="141"/>
      <c r="C491" s="141"/>
      <c r="D491" s="92"/>
      <c r="E491" s="92"/>
      <c r="F491" s="141"/>
      <c r="G491" s="141"/>
      <c r="H491" s="141"/>
      <c r="I491" s="141"/>
      <c r="J491" s="141"/>
      <c r="K491" s="141"/>
      <c r="L491" s="141"/>
      <c r="M491" s="141"/>
      <c r="N491" s="141"/>
      <c r="O491" s="141"/>
      <c r="P491" s="141"/>
      <c r="Q491" s="141"/>
      <c r="R491" s="141"/>
      <c r="S491" s="141"/>
    </row>
    <row r="492">
      <c r="A492" s="141"/>
      <c r="B492" s="141"/>
      <c r="C492" s="141"/>
      <c r="D492" s="92"/>
      <c r="E492" s="92"/>
      <c r="F492" s="141"/>
      <c r="G492" s="141"/>
      <c r="H492" s="141"/>
      <c r="I492" s="141"/>
      <c r="J492" s="141"/>
      <c r="K492" s="141"/>
      <c r="L492" s="141"/>
      <c r="M492" s="141"/>
      <c r="N492" s="141"/>
      <c r="O492" s="141"/>
      <c r="P492" s="141"/>
      <c r="Q492" s="141"/>
      <c r="R492" s="141"/>
      <c r="S492" s="141"/>
    </row>
    <row r="493">
      <c r="A493" s="141"/>
      <c r="B493" s="141"/>
      <c r="C493" s="141"/>
      <c r="D493" s="92"/>
      <c r="E493" s="92"/>
      <c r="F493" s="141"/>
      <c r="G493" s="141"/>
      <c r="H493" s="141"/>
      <c r="I493" s="141"/>
      <c r="J493" s="141"/>
      <c r="K493" s="141"/>
      <c r="L493" s="141"/>
      <c r="M493" s="141"/>
      <c r="N493" s="141"/>
      <c r="O493" s="141"/>
      <c r="P493" s="141"/>
      <c r="Q493" s="141"/>
      <c r="R493" s="141"/>
      <c r="S493" s="141"/>
    </row>
    <row r="494">
      <c r="A494" s="141"/>
      <c r="B494" s="141"/>
      <c r="C494" s="141"/>
      <c r="D494" s="92"/>
      <c r="E494" s="92"/>
      <c r="F494" s="141"/>
      <c r="G494" s="141"/>
      <c r="H494" s="141"/>
      <c r="I494" s="141"/>
      <c r="J494" s="141"/>
      <c r="K494" s="141"/>
      <c r="L494" s="141"/>
      <c r="M494" s="141"/>
      <c r="N494" s="141"/>
      <c r="O494" s="141"/>
      <c r="P494" s="141"/>
      <c r="Q494" s="141"/>
      <c r="R494" s="141"/>
      <c r="S494" s="141"/>
    </row>
    <row r="495">
      <c r="A495" s="141"/>
      <c r="B495" s="141"/>
      <c r="C495" s="141"/>
      <c r="D495" s="92"/>
      <c r="E495" s="92"/>
      <c r="F495" s="141"/>
      <c r="G495" s="141"/>
      <c r="H495" s="141"/>
      <c r="I495" s="141"/>
      <c r="J495" s="141"/>
      <c r="K495" s="141"/>
      <c r="L495" s="141"/>
      <c r="M495" s="141"/>
      <c r="N495" s="141"/>
      <c r="O495" s="141"/>
      <c r="P495" s="141"/>
      <c r="Q495" s="141"/>
      <c r="R495" s="141"/>
      <c r="S495" s="141"/>
    </row>
    <row r="496">
      <c r="A496" s="141"/>
      <c r="B496" s="141"/>
      <c r="C496" s="141"/>
      <c r="D496" s="92"/>
      <c r="E496" s="92"/>
      <c r="F496" s="141"/>
      <c r="G496" s="141"/>
      <c r="H496" s="141"/>
      <c r="I496" s="141"/>
      <c r="J496" s="141"/>
      <c r="K496" s="141"/>
      <c r="L496" s="141"/>
      <c r="M496" s="141"/>
      <c r="N496" s="141"/>
      <c r="O496" s="141"/>
      <c r="P496" s="141"/>
      <c r="Q496" s="141"/>
      <c r="R496" s="141"/>
      <c r="S496" s="141"/>
    </row>
    <row r="497">
      <c r="A497" s="141"/>
      <c r="B497" s="141"/>
      <c r="C497" s="141"/>
      <c r="D497" s="92"/>
      <c r="E497" s="92"/>
      <c r="F497" s="141"/>
      <c r="G497" s="141"/>
      <c r="H497" s="141"/>
      <c r="I497" s="141"/>
      <c r="J497" s="141"/>
      <c r="K497" s="141"/>
      <c r="L497" s="141"/>
      <c r="M497" s="141"/>
      <c r="N497" s="141"/>
      <c r="O497" s="141"/>
      <c r="P497" s="141"/>
      <c r="Q497" s="141"/>
      <c r="R497" s="141"/>
      <c r="S497" s="141"/>
    </row>
    <row r="498">
      <c r="A498" s="141"/>
      <c r="B498" s="141"/>
      <c r="C498" s="141"/>
      <c r="D498" s="92"/>
      <c r="E498" s="92"/>
      <c r="F498" s="141"/>
      <c r="G498" s="141"/>
      <c r="H498" s="141"/>
      <c r="I498" s="141"/>
      <c r="J498" s="141"/>
      <c r="K498" s="141"/>
      <c r="L498" s="141"/>
      <c r="M498" s="141"/>
      <c r="N498" s="141"/>
      <c r="O498" s="141"/>
      <c r="P498" s="141"/>
      <c r="Q498" s="141"/>
      <c r="R498" s="141"/>
      <c r="S498" s="141"/>
    </row>
    <row r="499">
      <c r="A499" s="141"/>
      <c r="B499" s="141"/>
      <c r="C499" s="141"/>
      <c r="D499" s="92"/>
      <c r="E499" s="92"/>
      <c r="F499" s="141"/>
      <c r="G499" s="141"/>
      <c r="H499" s="141"/>
      <c r="I499" s="141"/>
      <c r="J499" s="141"/>
      <c r="K499" s="141"/>
      <c r="L499" s="141"/>
      <c r="M499" s="141"/>
      <c r="N499" s="141"/>
      <c r="O499" s="141"/>
      <c r="P499" s="141"/>
      <c r="Q499" s="141"/>
      <c r="R499" s="141"/>
      <c r="S499" s="141"/>
    </row>
    <row r="500">
      <c r="A500" s="141"/>
      <c r="B500" s="141"/>
      <c r="C500" s="141"/>
      <c r="D500" s="92"/>
      <c r="E500" s="92"/>
      <c r="F500" s="141"/>
      <c r="G500" s="141"/>
      <c r="H500" s="141"/>
      <c r="I500" s="141"/>
      <c r="J500" s="141"/>
      <c r="K500" s="141"/>
      <c r="L500" s="141"/>
      <c r="M500" s="141"/>
      <c r="N500" s="141"/>
      <c r="O500" s="141"/>
      <c r="P500" s="141"/>
      <c r="Q500" s="141"/>
      <c r="R500" s="141"/>
      <c r="S500" s="141"/>
    </row>
    <row r="501">
      <c r="A501" s="141"/>
      <c r="B501" s="141"/>
      <c r="C501" s="141"/>
      <c r="D501" s="92"/>
      <c r="E501" s="92"/>
      <c r="F501" s="141"/>
      <c r="G501" s="141"/>
      <c r="H501" s="141"/>
      <c r="I501" s="141"/>
      <c r="J501" s="141"/>
      <c r="K501" s="141"/>
      <c r="L501" s="141"/>
      <c r="M501" s="141"/>
      <c r="N501" s="141"/>
      <c r="O501" s="141"/>
      <c r="P501" s="141"/>
      <c r="Q501" s="141"/>
      <c r="R501" s="141"/>
      <c r="S501" s="141"/>
    </row>
    <row r="502">
      <c r="A502" s="141"/>
      <c r="B502" s="141"/>
      <c r="C502" s="141"/>
      <c r="D502" s="92"/>
      <c r="E502" s="92"/>
      <c r="F502" s="141"/>
      <c r="G502" s="141"/>
      <c r="H502" s="141"/>
      <c r="I502" s="141"/>
      <c r="J502" s="141"/>
      <c r="K502" s="141"/>
      <c r="L502" s="141"/>
      <c r="M502" s="141"/>
      <c r="N502" s="141"/>
      <c r="O502" s="141"/>
      <c r="P502" s="141"/>
      <c r="Q502" s="141"/>
      <c r="R502" s="141"/>
      <c r="S502" s="141"/>
    </row>
    <row r="503">
      <c r="A503" s="141"/>
      <c r="B503" s="141"/>
      <c r="C503" s="141"/>
      <c r="D503" s="92"/>
      <c r="E503" s="92"/>
      <c r="F503" s="141"/>
      <c r="G503" s="141"/>
      <c r="H503" s="141"/>
      <c r="I503" s="141"/>
      <c r="J503" s="141"/>
      <c r="K503" s="141"/>
      <c r="L503" s="141"/>
      <c r="M503" s="141"/>
      <c r="N503" s="141"/>
      <c r="O503" s="141"/>
      <c r="P503" s="141"/>
      <c r="Q503" s="141"/>
      <c r="R503" s="141"/>
      <c r="S503" s="141"/>
    </row>
    <row r="504">
      <c r="A504" s="141"/>
      <c r="B504" s="141"/>
      <c r="C504" s="141"/>
      <c r="D504" s="92"/>
      <c r="E504" s="92"/>
      <c r="F504" s="141"/>
      <c r="G504" s="141"/>
      <c r="H504" s="141"/>
      <c r="I504" s="141"/>
      <c r="J504" s="141"/>
      <c r="K504" s="141"/>
      <c r="L504" s="141"/>
      <c r="M504" s="141"/>
      <c r="N504" s="141"/>
      <c r="O504" s="141"/>
      <c r="P504" s="141"/>
      <c r="Q504" s="141"/>
      <c r="R504" s="141"/>
      <c r="S504" s="141"/>
    </row>
    <row r="505">
      <c r="A505" s="141"/>
      <c r="B505" s="141"/>
      <c r="C505" s="141"/>
      <c r="D505" s="92"/>
      <c r="E505" s="92"/>
      <c r="F505" s="141"/>
      <c r="G505" s="141"/>
      <c r="H505" s="141"/>
      <c r="I505" s="141"/>
      <c r="J505" s="141"/>
      <c r="K505" s="141"/>
      <c r="L505" s="141"/>
      <c r="M505" s="141"/>
      <c r="N505" s="141"/>
      <c r="O505" s="141"/>
      <c r="P505" s="141"/>
      <c r="Q505" s="141"/>
      <c r="R505" s="141"/>
      <c r="S505" s="141"/>
    </row>
    <row r="506">
      <c r="A506" s="141"/>
      <c r="B506" s="141"/>
      <c r="C506" s="141"/>
      <c r="D506" s="92"/>
      <c r="E506" s="92"/>
      <c r="F506" s="141"/>
      <c r="G506" s="141"/>
      <c r="H506" s="141"/>
      <c r="I506" s="141"/>
      <c r="J506" s="141"/>
      <c r="K506" s="141"/>
      <c r="L506" s="141"/>
      <c r="M506" s="141"/>
      <c r="N506" s="141"/>
      <c r="O506" s="141"/>
      <c r="P506" s="141"/>
      <c r="Q506" s="141"/>
      <c r="R506" s="141"/>
      <c r="S506" s="141"/>
    </row>
    <row r="507">
      <c r="A507" s="141"/>
      <c r="B507" s="141"/>
      <c r="C507" s="141"/>
      <c r="D507" s="92"/>
      <c r="E507" s="92"/>
      <c r="F507" s="141"/>
      <c r="G507" s="141"/>
      <c r="H507" s="141"/>
      <c r="I507" s="141"/>
      <c r="J507" s="141"/>
      <c r="K507" s="141"/>
      <c r="L507" s="141"/>
      <c r="M507" s="141"/>
      <c r="N507" s="141"/>
      <c r="O507" s="141"/>
      <c r="P507" s="141"/>
      <c r="Q507" s="141"/>
      <c r="R507" s="141"/>
      <c r="S507" s="141"/>
    </row>
    <row r="508">
      <c r="A508" s="141"/>
      <c r="B508" s="141"/>
      <c r="C508" s="141"/>
      <c r="D508" s="92"/>
      <c r="E508" s="92"/>
      <c r="F508" s="141"/>
      <c r="G508" s="141"/>
      <c r="H508" s="141"/>
      <c r="I508" s="141"/>
      <c r="J508" s="141"/>
      <c r="K508" s="141"/>
      <c r="L508" s="141"/>
      <c r="M508" s="141"/>
      <c r="N508" s="141"/>
      <c r="O508" s="141"/>
      <c r="P508" s="141"/>
      <c r="Q508" s="141"/>
      <c r="R508" s="141"/>
      <c r="S508" s="141"/>
    </row>
    <row r="509">
      <c r="A509" s="141"/>
      <c r="B509" s="141"/>
      <c r="C509" s="141"/>
      <c r="D509" s="92"/>
      <c r="E509" s="92"/>
      <c r="F509" s="141"/>
      <c r="G509" s="141"/>
      <c r="H509" s="141"/>
      <c r="I509" s="141"/>
      <c r="J509" s="141"/>
      <c r="K509" s="141"/>
      <c r="L509" s="141"/>
      <c r="M509" s="141"/>
      <c r="N509" s="141"/>
      <c r="O509" s="141"/>
      <c r="P509" s="141"/>
      <c r="Q509" s="141"/>
      <c r="R509" s="141"/>
      <c r="S509" s="141"/>
    </row>
    <row r="510">
      <c r="A510" s="141"/>
      <c r="B510" s="141"/>
      <c r="C510" s="141"/>
      <c r="D510" s="92"/>
      <c r="E510" s="92"/>
      <c r="F510" s="141"/>
      <c r="G510" s="141"/>
      <c r="H510" s="141"/>
      <c r="I510" s="141"/>
      <c r="J510" s="141"/>
      <c r="K510" s="141"/>
      <c r="L510" s="141"/>
      <c r="M510" s="141"/>
      <c r="N510" s="141"/>
      <c r="O510" s="141"/>
      <c r="P510" s="141"/>
      <c r="Q510" s="141"/>
      <c r="R510" s="141"/>
      <c r="S510" s="141"/>
    </row>
    <row r="511">
      <c r="A511" s="141"/>
      <c r="B511" s="141"/>
      <c r="C511" s="141"/>
      <c r="D511" s="92"/>
      <c r="E511" s="92"/>
      <c r="F511" s="141"/>
      <c r="G511" s="141"/>
      <c r="H511" s="141"/>
      <c r="I511" s="141"/>
      <c r="J511" s="141"/>
      <c r="K511" s="141"/>
      <c r="L511" s="141"/>
      <c r="M511" s="141"/>
      <c r="N511" s="141"/>
      <c r="O511" s="141"/>
      <c r="P511" s="141"/>
      <c r="Q511" s="141"/>
      <c r="R511" s="141"/>
      <c r="S511" s="141"/>
    </row>
    <row r="512">
      <c r="A512" s="141"/>
      <c r="B512" s="141"/>
      <c r="C512" s="141"/>
      <c r="D512" s="92"/>
      <c r="E512" s="92"/>
      <c r="F512" s="141"/>
      <c r="G512" s="141"/>
      <c r="H512" s="141"/>
      <c r="I512" s="141"/>
      <c r="J512" s="141"/>
      <c r="K512" s="141"/>
      <c r="L512" s="141"/>
      <c r="M512" s="141"/>
      <c r="N512" s="141"/>
      <c r="O512" s="141"/>
      <c r="P512" s="141"/>
      <c r="Q512" s="141"/>
      <c r="R512" s="141"/>
      <c r="S512" s="141"/>
    </row>
    <row r="513">
      <c r="A513" s="141"/>
      <c r="B513" s="141"/>
      <c r="C513" s="141"/>
      <c r="D513" s="92"/>
      <c r="E513" s="92"/>
      <c r="F513" s="141"/>
      <c r="G513" s="141"/>
      <c r="H513" s="141"/>
      <c r="I513" s="141"/>
      <c r="J513" s="141"/>
      <c r="K513" s="141"/>
      <c r="L513" s="141"/>
      <c r="M513" s="141"/>
      <c r="N513" s="141"/>
      <c r="O513" s="141"/>
      <c r="P513" s="141"/>
      <c r="Q513" s="141"/>
      <c r="R513" s="141"/>
      <c r="S513" s="141"/>
    </row>
    <row r="514">
      <c r="A514" s="141"/>
      <c r="B514" s="141"/>
      <c r="C514" s="141"/>
      <c r="D514" s="92"/>
      <c r="E514" s="92"/>
      <c r="F514" s="141"/>
      <c r="G514" s="141"/>
      <c r="H514" s="141"/>
      <c r="I514" s="141"/>
      <c r="J514" s="141"/>
      <c r="K514" s="141"/>
      <c r="L514" s="141"/>
      <c r="M514" s="141"/>
      <c r="N514" s="141"/>
      <c r="O514" s="141"/>
      <c r="P514" s="141"/>
      <c r="Q514" s="141"/>
      <c r="R514" s="141"/>
      <c r="S514" s="141"/>
    </row>
    <row r="515">
      <c r="A515" s="141"/>
      <c r="B515" s="141"/>
      <c r="C515" s="141"/>
      <c r="D515" s="92"/>
      <c r="E515" s="92"/>
      <c r="F515" s="141"/>
      <c r="G515" s="141"/>
      <c r="H515" s="141"/>
      <c r="I515" s="141"/>
      <c r="J515" s="141"/>
      <c r="K515" s="141"/>
      <c r="L515" s="141"/>
      <c r="M515" s="141"/>
      <c r="N515" s="141"/>
      <c r="O515" s="141"/>
      <c r="P515" s="141"/>
      <c r="Q515" s="141"/>
      <c r="R515" s="141"/>
      <c r="S515" s="141"/>
    </row>
    <row r="516">
      <c r="A516" s="141"/>
      <c r="B516" s="141"/>
      <c r="C516" s="141"/>
      <c r="D516" s="92"/>
      <c r="E516" s="92"/>
      <c r="F516" s="141"/>
      <c r="G516" s="141"/>
      <c r="H516" s="141"/>
      <c r="I516" s="141"/>
      <c r="J516" s="141"/>
      <c r="K516" s="141"/>
      <c r="L516" s="141"/>
      <c r="M516" s="141"/>
      <c r="N516" s="141"/>
      <c r="O516" s="141"/>
      <c r="P516" s="141"/>
      <c r="Q516" s="141"/>
      <c r="R516" s="141"/>
      <c r="S516" s="141"/>
    </row>
    <row r="517">
      <c r="A517" s="141"/>
      <c r="B517" s="141"/>
      <c r="C517" s="141"/>
      <c r="D517" s="92"/>
      <c r="E517" s="92"/>
      <c r="F517" s="141"/>
      <c r="G517" s="141"/>
      <c r="H517" s="141"/>
      <c r="I517" s="141"/>
      <c r="J517" s="141"/>
      <c r="K517" s="141"/>
      <c r="L517" s="141"/>
      <c r="M517" s="141"/>
      <c r="N517" s="141"/>
      <c r="O517" s="141"/>
      <c r="P517" s="141"/>
      <c r="Q517" s="141"/>
      <c r="R517" s="141"/>
      <c r="S517" s="141"/>
    </row>
    <row r="518">
      <c r="A518" s="141"/>
      <c r="B518" s="141"/>
      <c r="C518" s="141"/>
      <c r="D518" s="92"/>
      <c r="E518" s="92"/>
      <c r="F518" s="141"/>
      <c r="G518" s="141"/>
      <c r="H518" s="141"/>
      <c r="I518" s="141"/>
      <c r="J518" s="141"/>
      <c r="K518" s="141"/>
      <c r="L518" s="141"/>
      <c r="M518" s="141"/>
      <c r="N518" s="141"/>
      <c r="O518" s="141"/>
      <c r="P518" s="141"/>
      <c r="Q518" s="141"/>
      <c r="R518" s="141"/>
      <c r="S518" s="141"/>
    </row>
    <row r="519">
      <c r="A519" s="141"/>
      <c r="B519" s="141"/>
      <c r="C519" s="141"/>
      <c r="D519" s="92"/>
      <c r="E519" s="92"/>
      <c r="F519" s="141"/>
      <c r="G519" s="141"/>
      <c r="H519" s="141"/>
      <c r="I519" s="141"/>
      <c r="J519" s="141"/>
      <c r="K519" s="141"/>
      <c r="L519" s="141"/>
      <c r="M519" s="141"/>
      <c r="N519" s="141"/>
      <c r="O519" s="141"/>
      <c r="P519" s="141"/>
      <c r="Q519" s="141"/>
      <c r="R519" s="141"/>
      <c r="S519" s="141"/>
    </row>
    <row r="520">
      <c r="A520" s="141"/>
      <c r="B520" s="141"/>
      <c r="C520" s="141"/>
      <c r="D520" s="92"/>
      <c r="E520" s="92"/>
      <c r="F520" s="141"/>
      <c r="G520" s="141"/>
      <c r="H520" s="141"/>
      <c r="I520" s="141"/>
      <c r="J520" s="141"/>
      <c r="K520" s="141"/>
      <c r="L520" s="141"/>
      <c r="M520" s="141"/>
      <c r="N520" s="141"/>
      <c r="O520" s="141"/>
      <c r="P520" s="141"/>
      <c r="Q520" s="141"/>
      <c r="R520" s="141"/>
      <c r="S520" s="141"/>
    </row>
    <row r="521">
      <c r="A521" s="141"/>
      <c r="B521" s="141"/>
      <c r="C521" s="141"/>
      <c r="D521" s="92"/>
      <c r="E521" s="92"/>
      <c r="F521" s="141"/>
      <c r="G521" s="141"/>
      <c r="H521" s="141"/>
      <c r="I521" s="141"/>
      <c r="J521" s="141"/>
      <c r="K521" s="141"/>
      <c r="L521" s="141"/>
      <c r="M521" s="141"/>
      <c r="N521" s="141"/>
      <c r="O521" s="141"/>
      <c r="P521" s="141"/>
      <c r="Q521" s="141"/>
      <c r="R521" s="141"/>
      <c r="S521" s="141"/>
    </row>
    <row r="522">
      <c r="A522" s="141"/>
      <c r="B522" s="141"/>
      <c r="C522" s="141"/>
      <c r="D522" s="92"/>
      <c r="E522" s="92"/>
      <c r="F522" s="141"/>
      <c r="G522" s="141"/>
      <c r="H522" s="141"/>
      <c r="I522" s="141"/>
      <c r="J522" s="141"/>
      <c r="K522" s="141"/>
      <c r="L522" s="141"/>
      <c r="M522" s="141"/>
      <c r="N522" s="141"/>
      <c r="O522" s="141"/>
      <c r="P522" s="141"/>
      <c r="Q522" s="141"/>
      <c r="R522" s="141"/>
      <c r="S522" s="141"/>
    </row>
    <row r="523">
      <c r="A523" s="141"/>
      <c r="B523" s="141"/>
      <c r="C523" s="141"/>
      <c r="D523" s="92"/>
      <c r="E523" s="92"/>
      <c r="F523" s="141"/>
      <c r="G523" s="141"/>
      <c r="H523" s="141"/>
      <c r="I523" s="141"/>
      <c r="J523" s="141"/>
      <c r="K523" s="141"/>
      <c r="L523" s="141"/>
      <c r="M523" s="141"/>
      <c r="N523" s="141"/>
      <c r="O523" s="141"/>
      <c r="P523" s="141"/>
      <c r="Q523" s="141"/>
      <c r="R523" s="141"/>
      <c r="S523" s="141"/>
    </row>
    <row r="524">
      <c r="A524" s="141"/>
      <c r="B524" s="141"/>
      <c r="C524" s="141"/>
      <c r="D524" s="92"/>
      <c r="E524" s="92"/>
      <c r="F524" s="141"/>
      <c r="G524" s="141"/>
      <c r="H524" s="141"/>
      <c r="I524" s="141"/>
      <c r="J524" s="141"/>
      <c r="K524" s="141"/>
      <c r="L524" s="141"/>
      <c r="M524" s="141"/>
      <c r="N524" s="141"/>
      <c r="O524" s="141"/>
      <c r="P524" s="141"/>
      <c r="Q524" s="141"/>
      <c r="R524" s="141"/>
      <c r="S524" s="141"/>
    </row>
    <row r="525">
      <c r="A525" s="141"/>
      <c r="B525" s="141"/>
      <c r="C525" s="141"/>
      <c r="D525" s="92"/>
      <c r="E525" s="92"/>
      <c r="F525" s="141"/>
      <c r="G525" s="141"/>
      <c r="H525" s="141"/>
      <c r="I525" s="141"/>
      <c r="J525" s="141"/>
      <c r="K525" s="141"/>
      <c r="L525" s="141"/>
      <c r="M525" s="141"/>
      <c r="N525" s="141"/>
      <c r="O525" s="141"/>
      <c r="P525" s="141"/>
      <c r="Q525" s="141"/>
      <c r="R525" s="141"/>
      <c r="S525" s="141"/>
    </row>
    <row r="526">
      <c r="A526" s="141"/>
      <c r="B526" s="141"/>
      <c r="C526" s="141"/>
      <c r="D526" s="92"/>
      <c r="E526" s="92"/>
      <c r="F526" s="141"/>
      <c r="G526" s="141"/>
      <c r="H526" s="141"/>
      <c r="I526" s="141"/>
      <c r="J526" s="141"/>
      <c r="K526" s="141"/>
      <c r="L526" s="141"/>
      <c r="M526" s="141"/>
      <c r="N526" s="141"/>
      <c r="O526" s="141"/>
      <c r="P526" s="141"/>
      <c r="Q526" s="141"/>
      <c r="R526" s="141"/>
      <c r="S526" s="141"/>
    </row>
    <row r="527">
      <c r="A527" s="141"/>
      <c r="B527" s="141"/>
      <c r="C527" s="141"/>
      <c r="D527" s="92"/>
      <c r="E527" s="92"/>
      <c r="F527" s="141"/>
      <c r="G527" s="141"/>
      <c r="H527" s="141"/>
      <c r="I527" s="141"/>
      <c r="J527" s="141"/>
      <c r="K527" s="141"/>
      <c r="L527" s="141"/>
      <c r="M527" s="141"/>
      <c r="N527" s="141"/>
      <c r="O527" s="141"/>
      <c r="P527" s="141"/>
      <c r="Q527" s="141"/>
      <c r="R527" s="141"/>
      <c r="S527" s="141"/>
    </row>
    <row r="528">
      <c r="A528" s="141"/>
      <c r="B528" s="141"/>
      <c r="C528" s="141"/>
      <c r="D528" s="92"/>
      <c r="E528" s="92"/>
      <c r="F528" s="141"/>
      <c r="G528" s="141"/>
      <c r="H528" s="141"/>
      <c r="I528" s="141"/>
      <c r="J528" s="141"/>
      <c r="K528" s="141"/>
      <c r="L528" s="141"/>
      <c r="M528" s="141"/>
      <c r="N528" s="141"/>
      <c r="O528" s="141"/>
      <c r="P528" s="141"/>
      <c r="Q528" s="141"/>
      <c r="R528" s="141"/>
      <c r="S528" s="141"/>
    </row>
    <row r="529">
      <c r="A529" s="141"/>
      <c r="B529" s="141"/>
      <c r="C529" s="141"/>
      <c r="D529" s="92"/>
      <c r="E529" s="92"/>
      <c r="F529" s="141"/>
      <c r="G529" s="141"/>
      <c r="H529" s="141"/>
      <c r="I529" s="141"/>
      <c r="J529" s="141"/>
      <c r="K529" s="141"/>
      <c r="L529" s="141"/>
      <c r="M529" s="141"/>
      <c r="N529" s="141"/>
      <c r="O529" s="141"/>
      <c r="P529" s="141"/>
      <c r="Q529" s="141"/>
      <c r="R529" s="141"/>
      <c r="S529" s="141"/>
    </row>
    <row r="530">
      <c r="A530" s="141"/>
      <c r="B530" s="141"/>
      <c r="C530" s="141"/>
      <c r="D530" s="92"/>
      <c r="E530" s="92"/>
      <c r="F530" s="141"/>
      <c r="G530" s="141"/>
      <c r="H530" s="141"/>
      <c r="I530" s="141"/>
      <c r="J530" s="141"/>
      <c r="K530" s="141"/>
      <c r="L530" s="141"/>
      <c r="M530" s="141"/>
      <c r="N530" s="141"/>
      <c r="O530" s="141"/>
      <c r="P530" s="141"/>
      <c r="Q530" s="141"/>
      <c r="R530" s="141"/>
      <c r="S530" s="141"/>
    </row>
    <row r="531">
      <c r="A531" s="141"/>
      <c r="B531" s="141"/>
      <c r="C531" s="141"/>
      <c r="D531" s="92"/>
      <c r="E531" s="92"/>
      <c r="F531" s="141"/>
      <c r="G531" s="141"/>
      <c r="H531" s="141"/>
      <c r="I531" s="141"/>
      <c r="J531" s="141"/>
      <c r="K531" s="141"/>
      <c r="L531" s="141"/>
      <c r="M531" s="141"/>
      <c r="N531" s="141"/>
      <c r="O531" s="141"/>
      <c r="P531" s="141"/>
      <c r="Q531" s="141"/>
      <c r="R531" s="141"/>
      <c r="S531" s="141"/>
    </row>
    <row r="532">
      <c r="A532" s="141"/>
      <c r="B532" s="141"/>
      <c r="C532" s="141"/>
      <c r="D532" s="92"/>
      <c r="E532" s="92"/>
      <c r="F532" s="141"/>
      <c r="G532" s="141"/>
      <c r="H532" s="141"/>
      <c r="I532" s="141"/>
      <c r="J532" s="141"/>
      <c r="K532" s="141"/>
      <c r="L532" s="141"/>
      <c r="M532" s="141"/>
      <c r="N532" s="141"/>
      <c r="O532" s="141"/>
      <c r="P532" s="141"/>
      <c r="Q532" s="141"/>
      <c r="R532" s="141"/>
      <c r="S532" s="141"/>
    </row>
    <row r="533">
      <c r="A533" s="141"/>
      <c r="B533" s="141"/>
      <c r="C533" s="141"/>
      <c r="D533" s="92"/>
      <c r="E533" s="92"/>
      <c r="F533" s="141"/>
      <c r="G533" s="141"/>
      <c r="H533" s="141"/>
      <c r="I533" s="141"/>
      <c r="J533" s="141"/>
      <c r="K533" s="141"/>
      <c r="L533" s="141"/>
      <c r="M533" s="141"/>
      <c r="N533" s="141"/>
      <c r="O533" s="141"/>
      <c r="P533" s="141"/>
      <c r="Q533" s="141"/>
      <c r="R533" s="141"/>
      <c r="S533" s="141"/>
    </row>
    <row r="534">
      <c r="A534" s="141"/>
      <c r="B534" s="141"/>
      <c r="C534" s="141"/>
      <c r="D534" s="92"/>
      <c r="E534" s="92"/>
      <c r="F534" s="141"/>
      <c r="G534" s="141"/>
      <c r="H534" s="141"/>
      <c r="I534" s="141"/>
      <c r="J534" s="141"/>
      <c r="K534" s="141"/>
      <c r="L534" s="141"/>
      <c r="M534" s="141"/>
      <c r="N534" s="141"/>
      <c r="O534" s="141"/>
      <c r="P534" s="141"/>
      <c r="Q534" s="141"/>
      <c r="R534" s="141"/>
      <c r="S534" s="141"/>
    </row>
    <row r="535">
      <c r="A535" s="141"/>
      <c r="B535" s="141"/>
      <c r="C535" s="141"/>
      <c r="D535" s="92"/>
      <c r="E535" s="92"/>
      <c r="F535" s="141"/>
      <c r="G535" s="141"/>
      <c r="H535" s="141"/>
      <c r="I535" s="141"/>
      <c r="J535" s="141"/>
      <c r="K535" s="141"/>
      <c r="L535" s="141"/>
      <c r="M535" s="141"/>
      <c r="N535" s="141"/>
      <c r="O535" s="141"/>
      <c r="P535" s="141"/>
      <c r="Q535" s="141"/>
      <c r="R535" s="141"/>
      <c r="S535" s="141"/>
    </row>
    <row r="536">
      <c r="A536" s="141"/>
      <c r="B536" s="141"/>
      <c r="C536" s="141"/>
      <c r="D536" s="92"/>
      <c r="E536" s="92"/>
      <c r="F536" s="141"/>
      <c r="G536" s="141"/>
      <c r="H536" s="141"/>
      <c r="I536" s="141"/>
      <c r="J536" s="141"/>
      <c r="K536" s="141"/>
      <c r="L536" s="141"/>
      <c r="M536" s="141"/>
      <c r="N536" s="141"/>
      <c r="O536" s="141"/>
      <c r="P536" s="141"/>
      <c r="Q536" s="141"/>
      <c r="R536" s="141"/>
      <c r="S536" s="141"/>
    </row>
    <row r="537">
      <c r="A537" s="141"/>
      <c r="B537" s="141"/>
      <c r="C537" s="141"/>
      <c r="D537" s="92"/>
      <c r="E537" s="92"/>
      <c r="F537" s="141"/>
      <c r="G537" s="141"/>
      <c r="H537" s="141"/>
      <c r="I537" s="141"/>
      <c r="J537" s="141"/>
      <c r="K537" s="141"/>
      <c r="L537" s="141"/>
      <c r="M537" s="141"/>
      <c r="N537" s="141"/>
      <c r="O537" s="141"/>
      <c r="P537" s="141"/>
      <c r="Q537" s="141"/>
      <c r="R537" s="141"/>
      <c r="S537" s="141"/>
    </row>
    <row r="538">
      <c r="A538" s="141"/>
      <c r="B538" s="141"/>
      <c r="C538" s="141"/>
      <c r="D538" s="92"/>
      <c r="E538" s="92"/>
      <c r="F538" s="141"/>
      <c r="G538" s="141"/>
      <c r="H538" s="141"/>
      <c r="I538" s="141"/>
      <c r="J538" s="141"/>
      <c r="K538" s="141"/>
      <c r="L538" s="141"/>
      <c r="M538" s="141"/>
      <c r="N538" s="141"/>
      <c r="O538" s="141"/>
      <c r="P538" s="141"/>
      <c r="Q538" s="141"/>
      <c r="R538" s="141"/>
      <c r="S538" s="141"/>
    </row>
    <row r="539">
      <c r="A539" s="141"/>
      <c r="B539" s="141"/>
      <c r="C539" s="141"/>
      <c r="D539" s="92"/>
      <c r="E539" s="92"/>
      <c r="F539" s="141"/>
      <c r="G539" s="141"/>
      <c r="H539" s="141"/>
      <c r="I539" s="141"/>
      <c r="J539" s="141"/>
      <c r="K539" s="141"/>
      <c r="L539" s="141"/>
      <c r="M539" s="141"/>
      <c r="N539" s="141"/>
      <c r="O539" s="141"/>
      <c r="P539" s="141"/>
      <c r="Q539" s="141"/>
      <c r="R539" s="141"/>
      <c r="S539" s="141"/>
    </row>
    <row r="540">
      <c r="A540" s="141"/>
      <c r="B540" s="141"/>
      <c r="C540" s="141"/>
      <c r="D540" s="92"/>
      <c r="E540" s="92"/>
      <c r="F540" s="141"/>
      <c r="G540" s="141"/>
      <c r="H540" s="141"/>
      <c r="I540" s="141"/>
      <c r="J540" s="141"/>
      <c r="K540" s="141"/>
      <c r="L540" s="141"/>
      <c r="M540" s="141"/>
      <c r="N540" s="141"/>
      <c r="O540" s="141"/>
      <c r="P540" s="141"/>
      <c r="Q540" s="141"/>
      <c r="R540" s="141"/>
      <c r="S540" s="141"/>
    </row>
    <row r="541">
      <c r="A541" s="141"/>
      <c r="B541" s="141"/>
      <c r="C541" s="141"/>
      <c r="D541" s="92"/>
      <c r="E541" s="92"/>
      <c r="F541" s="141"/>
      <c r="G541" s="141"/>
      <c r="H541" s="141"/>
      <c r="I541" s="141"/>
      <c r="J541" s="141"/>
      <c r="K541" s="141"/>
      <c r="L541" s="141"/>
      <c r="M541" s="141"/>
      <c r="N541" s="141"/>
      <c r="O541" s="141"/>
      <c r="P541" s="141"/>
      <c r="Q541" s="141"/>
      <c r="R541" s="141"/>
      <c r="S541" s="141"/>
    </row>
    <row r="542">
      <c r="A542" s="141"/>
      <c r="B542" s="141"/>
      <c r="C542" s="141"/>
      <c r="D542" s="92"/>
      <c r="E542" s="92"/>
      <c r="F542" s="141"/>
      <c r="G542" s="141"/>
      <c r="H542" s="141"/>
      <c r="I542" s="141"/>
      <c r="J542" s="141"/>
      <c r="K542" s="141"/>
      <c r="L542" s="141"/>
      <c r="M542" s="141"/>
      <c r="N542" s="141"/>
      <c r="O542" s="141"/>
      <c r="P542" s="141"/>
      <c r="Q542" s="141"/>
      <c r="R542" s="141"/>
      <c r="S542" s="141"/>
    </row>
    <row r="543">
      <c r="A543" s="141"/>
      <c r="B543" s="141"/>
      <c r="C543" s="141"/>
      <c r="D543" s="92"/>
      <c r="E543" s="92"/>
      <c r="F543" s="141"/>
      <c r="G543" s="141"/>
      <c r="H543" s="141"/>
      <c r="I543" s="141"/>
      <c r="J543" s="141"/>
      <c r="K543" s="141"/>
      <c r="L543" s="141"/>
      <c r="M543" s="141"/>
      <c r="N543" s="141"/>
      <c r="O543" s="141"/>
      <c r="P543" s="141"/>
      <c r="Q543" s="141"/>
      <c r="R543" s="141"/>
      <c r="S543" s="141"/>
    </row>
    <row r="544">
      <c r="A544" s="141"/>
      <c r="B544" s="141"/>
      <c r="C544" s="141"/>
      <c r="D544" s="92"/>
      <c r="E544" s="92"/>
      <c r="F544" s="141"/>
      <c r="G544" s="141"/>
      <c r="H544" s="141"/>
      <c r="I544" s="141"/>
      <c r="J544" s="141"/>
      <c r="K544" s="141"/>
      <c r="L544" s="141"/>
      <c r="M544" s="141"/>
      <c r="N544" s="141"/>
      <c r="O544" s="141"/>
      <c r="P544" s="141"/>
      <c r="Q544" s="141"/>
      <c r="R544" s="141"/>
      <c r="S544" s="141"/>
    </row>
    <row r="545">
      <c r="A545" s="141"/>
      <c r="B545" s="141"/>
      <c r="C545" s="141"/>
      <c r="D545" s="92"/>
      <c r="E545" s="92"/>
      <c r="F545" s="141"/>
      <c r="G545" s="141"/>
      <c r="H545" s="141"/>
      <c r="I545" s="141"/>
      <c r="J545" s="141"/>
      <c r="K545" s="141"/>
      <c r="L545" s="141"/>
      <c r="M545" s="141"/>
      <c r="N545" s="141"/>
      <c r="O545" s="141"/>
      <c r="P545" s="141"/>
      <c r="Q545" s="141"/>
      <c r="R545" s="141"/>
      <c r="S545" s="141"/>
    </row>
    <row r="546">
      <c r="A546" s="141"/>
      <c r="B546" s="141"/>
      <c r="C546" s="141"/>
      <c r="D546" s="92"/>
      <c r="E546" s="92"/>
      <c r="F546" s="141"/>
      <c r="G546" s="141"/>
      <c r="H546" s="141"/>
      <c r="I546" s="141"/>
      <c r="J546" s="141"/>
      <c r="K546" s="141"/>
      <c r="L546" s="141"/>
      <c r="M546" s="141"/>
      <c r="N546" s="141"/>
      <c r="O546" s="141"/>
      <c r="P546" s="141"/>
      <c r="Q546" s="141"/>
      <c r="R546" s="141"/>
      <c r="S546" s="141"/>
    </row>
    <row r="547">
      <c r="A547" s="141"/>
      <c r="B547" s="141"/>
      <c r="C547" s="141"/>
      <c r="D547" s="92"/>
      <c r="E547" s="92"/>
      <c r="F547" s="141"/>
      <c r="G547" s="141"/>
      <c r="H547" s="141"/>
      <c r="I547" s="141"/>
      <c r="J547" s="141"/>
      <c r="K547" s="141"/>
      <c r="L547" s="141"/>
      <c r="M547" s="141"/>
      <c r="N547" s="141"/>
      <c r="O547" s="141"/>
      <c r="P547" s="141"/>
      <c r="Q547" s="141"/>
      <c r="R547" s="141"/>
      <c r="S547" s="141"/>
    </row>
    <row r="548">
      <c r="A548" s="141"/>
      <c r="B548" s="141"/>
      <c r="C548" s="141"/>
      <c r="D548" s="92"/>
      <c r="E548" s="92"/>
      <c r="F548" s="141"/>
      <c r="G548" s="141"/>
      <c r="H548" s="141"/>
      <c r="I548" s="141"/>
      <c r="J548" s="141"/>
      <c r="K548" s="141"/>
      <c r="L548" s="141"/>
      <c r="M548" s="141"/>
      <c r="N548" s="141"/>
      <c r="O548" s="141"/>
      <c r="P548" s="141"/>
      <c r="Q548" s="141"/>
      <c r="R548" s="141"/>
      <c r="S548" s="141"/>
    </row>
    <row r="549">
      <c r="A549" s="141"/>
      <c r="B549" s="141"/>
      <c r="C549" s="141"/>
      <c r="D549" s="92"/>
      <c r="E549" s="92"/>
      <c r="F549" s="141"/>
      <c r="G549" s="141"/>
      <c r="H549" s="141"/>
      <c r="I549" s="141"/>
      <c r="J549" s="141"/>
      <c r="K549" s="141"/>
      <c r="L549" s="141"/>
      <c r="M549" s="141"/>
      <c r="N549" s="141"/>
      <c r="O549" s="141"/>
      <c r="P549" s="141"/>
      <c r="Q549" s="141"/>
      <c r="R549" s="141"/>
      <c r="S549" s="141"/>
    </row>
    <row r="550">
      <c r="A550" s="141"/>
      <c r="B550" s="141"/>
      <c r="C550" s="141"/>
      <c r="D550" s="92"/>
      <c r="E550" s="92"/>
      <c r="F550" s="141"/>
      <c r="G550" s="141"/>
      <c r="H550" s="141"/>
      <c r="I550" s="141"/>
      <c r="J550" s="141"/>
      <c r="K550" s="141"/>
      <c r="L550" s="141"/>
      <c r="M550" s="141"/>
      <c r="N550" s="141"/>
      <c r="O550" s="141"/>
      <c r="P550" s="141"/>
      <c r="Q550" s="141"/>
      <c r="R550" s="141"/>
      <c r="S550" s="141"/>
    </row>
    <row r="551">
      <c r="A551" s="141"/>
      <c r="B551" s="141"/>
      <c r="C551" s="141"/>
      <c r="D551" s="92"/>
      <c r="E551" s="92"/>
      <c r="F551" s="141"/>
      <c r="G551" s="141"/>
      <c r="H551" s="141"/>
      <c r="I551" s="141"/>
      <c r="J551" s="141"/>
      <c r="K551" s="141"/>
      <c r="L551" s="141"/>
      <c r="M551" s="141"/>
      <c r="N551" s="141"/>
      <c r="O551" s="141"/>
      <c r="P551" s="141"/>
      <c r="Q551" s="141"/>
      <c r="R551" s="141"/>
      <c r="S551" s="141"/>
    </row>
    <row r="552">
      <c r="A552" s="141"/>
      <c r="B552" s="141"/>
      <c r="C552" s="141"/>
      <c r="D552" s="92"/>
      <c r="E552" s="92"/>
      <c r="F552" s="141"/>
      <c r="G552" s="141"/>
      <c r="H552" s="141"/>
      <c r="I552" s="141"/>
      <c r="J552" s="141"/>
      <c r="K552" s="141"/>
      <c r="L552" s="141"/>
      <c r="M552" s="141"/>
      <c r="N552" s="141"/>
      <c r="O552" s="141"/>
      <c r="P552" s="141"/>
      <c r="Q552" s="141"/>
      <c r="R552" s="141"/>
      <c r="S552" s="141"/>
    </row>
    <row r="553">
      <c r="A553" s="141"/>
      <c r="B553" s="141"/>
      <c r="C553" s="141"/>
      <c r="D553" s="92"/>
      <c r="E553" s="92"/>
      <c r="F553" s="141"/>
      <c r="G553" s="141"/>
      <c r="H553" s="141"/>
      <c r="I553" s="141"/>
      <c r="J553" s="141"/>
      <c r="K553" s="141"/>
      <c r="L553" s="141"/>
      <c r="M553" s="141"/>
      <c r="N553" s="141"/>
      <c r="O553" s="141"/>
      <c r="P553" s="141"/>
      <c r="Q553" s="141"/>
      <c r="R553" s="141"/>
      <c r="S553" s="141"/>
    </row>
    <row r="554">
      <c r="A554" s="141"/>
      <c r="B554" s="141"/>
      <c r="C554" s="141"/>
      <c r="D554" s="92"/>
      <c r="E554" s="92"/>
      <c r="F554" s="141"/>
      <c r="G554" s="141"/>
      <c r="H554" s="141"/>
      <c r="I554" s="141"/>
      <c r="J554" s="141"/>
      <c r="K554" s="141"/>
      <c r="L554" s="141"/>
      <c r="M554" s="141"/>
      <c r="N554" s="141"/>
      <c r="O554" s="141"/>
      <c r="P554" s="141"/>
      <c r="Q554" s="141"/>
      <c r="R554" s="141"/>
      <c r="S554" s="141"/>
    </row>
    <row r="555">
      <c r="A555" s="141"/>
      <c r="B555" s="141"/>
      <c r="C555" s="141"/>
      <c r="D555" s="92"/>
      <c r="E555" s="92"/>
      <c r="F555" s="141"/>
      <c r="G555" s="141"/>
      <c r="H555" s="141"/>
      <c r="I555" s="141"/>
      <c r="J555" s="141"/>
      <c r="K555" s="141"/>
      <c r="L555" s="141"/>
      <c r="M555" s="141"/>
      <c r="N555" s="141"/>
      <c r="O555" s="141"/>
      <c r="P555" s="141"/>
      <c r="Q555" s="141"/>
      <c r="R555" s="141"/>
      <c r="S555" s="141"/>
    </row>
    <row r="556">
      <c r="A556" s="141"/>
      <c r="B556" s="141"/>
      <c r="C556" s="141"/>
      <c r="D556" s="92"/>
      <c r="E556" s="92"/>
      <c r="F556" s="141"/>
      <c r="G556" s="141"/>
      <c r="H556" s="141"/>
      <c r="I556" s="141"/>
      <c r="J556" s="141"/>
      <c r="K556" s="141"/>
      <c r="L556" s="141"/>
      <c r="M556" s="141"/>
      <c r="N556" s="141"/>
      <c r="O556" s="141"/>
      <c r="P556" s="141"/>
      <c r="Q556" s="141"/>
      <c r="R556" s="141"/>
      <c r="S556" s="141"/>
    </row>
    <row r="557">
      <c r="A557" s="141"/>
      <c r="B557" s="141"/>
      <c r="C557" s="141"/>
      <c r="D557" s="92"/>
      <c r="E557" s="92"/>
      <c r="F557" s="141"/>
      <c r="G557" s="141"/>
      <c r="H557" s="141"/>
      <c r="I557" s="141"/>
      <c r="J557" s="141"/>
      <c r="K557" s="141"/>
      <c r="L557" s="141"/>
      <c r="M557" s="141"/>
      <c r="N557" s="141"/>
      <c r="O557" s="141"/>
      <c r="P557" s="141"/>
      <c r="Q557" s="141"/>
      <c r="R557" s="141"/>
      <c r="S557" s="141"/>
    </row>
    <row r="558">
      <c r="A558" s="141"/>
      <c r="B558" s="141"/>
      <c r="C558" s="141"/>
      <c r="D558" s="92"/>
      <c r="E558" s="92"/>
      <c r="F558" s="141"/>
      <c r="G558" s="141"/>
      <c r="H558" s="141"/>
      <c r="I558" s="141"/>
      <c r="J558" s="141"/>
      <c r="K558" s="141"/>
      <c r="L558" s="141"/>
      <c r="M558" s="141"/>
      <c r="N558" s="141"/>
      <c r="O558" s="141"/>
      <c r="P558" s="141"/>
      <c r="Q558" s="141"/>
      <c r="R558" s="141"/>
      <c r="S558" s="141"/>
    </row>
    <row r="559">
      <c r="A559" s="141"/>
      <c r="B559" s="141"/>
      <c r="C559" s="141"/>
      <c r="D559" s="92"/>
      <c r="E559" s="92"/>
      <c r="F559" s="141"/>
      <c r="G559" s="141"/>
      <c r="H559" s="141"/>
      <c r="I559" s="141"/>
      <c r="J559" s="141"/>
      <c r="K559" s="141"/>
      <c r="L559" s="141"/>
      <c r="M559" s="141"/>
      <c r="N559" s="141"/>
      <c r="O559" s="141"/>
      <c r="P559" s="141"/>
      <c r="Q559" s="141"/>
      <c r="R559" s="141"/>
      <c r="S559" s="141"/>
    </row>
    <row r="560">
      <c r="A560" s="141"/>
      <c r="B560" s="141"/>
      <c r="C560" s="141"/>
      <c r="D560" s="92"/>
      <c r="E560" s="92"/>
      <c r="F560" s="141"/>
      <c r="G560" s="141"/>
      <c r="H560" s="141"/>
      <c r="I560" s="141"/>
      <c r="J560" s="141"/>
      <c r="K560" s="141"/>
      <c r="L560" s="141"/>
      <c r="M560" s="141"/>
      <c r="N560" s="141"/>
      <c r="O560" s="141"/>
      <c r="P560" s="141"/>
      <c r="Q560" s="141"/>
      <c r="R560" s="141"/>
      <c r="S560" s="141"/>
    </row>
    <row r="561">
      <c r="A561" s="141"/>
      <c r="B561" s="141"/>
      <c r="C561" s="141"/>
      <c r="D561" s="92"/>
      <c r="E561" s="92"/>
      <c r="F561" s="141"/>
      <c r="G561" s="141"/>
      <c r="H561" s="141"/>
      <c r="I561" s="141"/>
      <c r="J561" s="141"/>
      <c r="K561" s="141"/>
      <c r="L561" s="141"/>
      <c r="M561" s="141"/>
      <c r="N561" s="141"/>
      <c r="O561" s="141"/>
      <c r="P561" s="141"/>
      <c r="Q561" s="141"/>
      <c r="R561" s="141"/>
      <c r="S561" s="141"/>
    </row>
    <row r="562">
      <c r="A562" s="141"/>
      <c r="B562" s="141"/>
      <c r="C562" s="141"/>
      <c r="D562" s="92"/>
      <c r="E562" s="92"/>
      <c r="F562" s="141"/>
      <c r="G562" s="141"/>
      <c r="H562" s="141"/>
      <c r="I562" s="141"/>
      <c r="J562" s="141"/>
      <c r="K562" s="141"/>
      <c r="L562" s="141"/>
      <c r="M562" s="141"/>
      <c r="N562" s="141"/>
      <c r="O562" s="141"/>
      <c r="P562" s="141"/>
      <c r="Q562" s="141"/>
      <c r="R562" s="141"/>
      <c r="S562" s="141"/>
    </row>
    <row r="563">
      <c r="A563" s="141"/>
      <c r="B563" s="141"/>
      <c r="C563" s="141"/>
      <c r="D563" s="92"/>
      <c r="E563" s="92"/>
      <c r="F563" s="141"/>
      <c r="G563" s="141"/>
      <c r="H563" s="141"/>
      <c r="I563" s="141"/>
      <c r="J563" s="141"/>
      <c r="K563" s="141"/>
      <c r="L563" s="141"/>
      <c r="M563" s="141"/>
      <c r="N563" s="141"/>
      <c r="O563" s="141"/>
      <c r="P563" s="141"/>
      <c r="Q563" s="141"/>
      <c r="R563" s="141"/>
      <c r="S563" s="141"/>
    </row>
    <row r="564">
      <c r="A564" s="141"/>
      <c r="B564" s="141"/>
      <c r="C564" s="141"/>
      <c r="D564" s="92"/>
      <c r="E564" s="92"/>
      <c r="F564" s="141"/>
      <c r="G564" s="141"/>
      <c r="H564" s="141"/>
      <c r="I564" s="141"/>
      <c r="J564" s="141"/>
      <c r="K564" s="141"/>
      <c r="L564" s="141"/>
      <c r="M564" s="141"/>
      <c r="N564" s="141"/>
      <c r="O564" s="141"/>
      <c r="P564" s="141"/>
      <c r="Q564" s="141"/>
      <c r="R564" s="141"/>
      <c r="S564" s="141"/>
    </row>
    <row r="565">
      <c r="A565" s="141"/>
      <c r="B565" s="141"/>
      <c r="C565" s="141"/>
      <c r="D565" s="92"/>
      <c r="E565" s="92"/>
      <c r="F565" s="141"/>
      <c r="G565" s="141"/>
      <c r="H565" s="141"/>
      <c r="I565" s="141"/>
      <c r="J565" s="141"/>
      <c r="K565" s="141"/>
      <c r="L565" s="141"/>
      <c r="M565" s="141"/>
      <c r="N565" s="141"/>
      <c r="O565" s="141"/>
      <c r="P565" s="141"/>
      <c r="Q565" s="141"/>
      <c r="R565" s="141"/>
      <c r="S565" s="141"/>
    </row>
    <row r="566">
      <c r="A566" s="141"/>
      <c r="B566" s="141"/>
      <c r="C566" s="141"/>
      <c r="D566" s="92"/>
      <c r="E566" s="92"/>
      <c r="F566" s="141"/>
      <c r="G566" s="141"/>
      <c r="H566" s="141"/>
      <c r="I566" s="141"/>
      <c r="J566" s="141"/>
      <c r="K566" s="141"/>
      <c r="L566" s="141"/>
      <c r="M566" s="141"/>
      <c r="N566" s="141"/>
      <c r="O566" s="141"/>
      <c r="P566" s="141"/>
      <c r="Q566" s="141"/>
      <c r="R566" s="141"/>
      <c r="S566" s="141"/>
    </row>
    <row r="567">
      <c r="A567" s="141"/>
      <c r="B567" s="141"/>
      <c r="C567" s="141"/>
      <c r="D567" s="92"/>
      <c r="E567" s="92"/>
      <c r="F567" s="141"/>
      <c r="G567" s="141"/>
      <c r="H567" s="141"/>
      <c r="I567" s="141"/>
      <c r="J567" s="141"/>
      <c r="K567" s="141"/>
      <c r="L567" s="141"/>
      <c r="M567" s="141"/>
      <c r="N567" s="141"/>
      <c r="O567" s="141"/>
      <c r="P567" s="141"/>
      <c r="Q567" s="141"/>
      <c r="R567" s="141"/>
      <c r="S567" s="141"/>
    </row>
    <row r="568">
      <c r="A568" s="141"/>
      <c r="B568" s="141"/>
      <c r="C568" s="141"/>
      <c r="D568" s="92"/>
      <c r="E568" s="92"/>
      <c r="F568" s="141"/>
      <c r="G568" s="141"/>
      <c r="H568" s="141"/>
      <c r="I568" s="141"/>
      <c r="J568" s="141"/>
      <c r="K568" s="141"/>
      <c r="L568" s="141"/>
      <c r="M568" s="141"/>
      <c r="N568" s="141"/>
      <c r="O568" s="141"/>
      <c r="P568" s="141"/>
      <c r="Q568" s="141"/>
      <c r="R568" s="141"/>
      <c r="S568" s="141"/>
    </row>
    <row r="569">
      <c r="A569" s="141"/>
      <c r="B569" s="141"/>
      <c r="C569" s="141"/>
      <c r="D569" s="92"/>
      <c r="E569" s="92"/>
      <c r="F569" s="141"/>
      <c r="G569" s="141"/>
      <c r="H569" s="141"/>
      <c r="I569" s="141"/>
      <c r="J569" s="141"/>
      <c r="K569" s="141"/>
      <c r="L569" s="141"/>
      <c r="M569" s="141"/>
      <c r="N569" s="141"/>
      <c r="O569" s="141"/>
      <c r="P569" s="141"/>
      <c r="Q569" s="141"/>
      <c r="R569" s="141"/>
      <c r="S569" s="141"/>
    </row>
    <row r="570">
      <c r="A570" s="141"/>
      <c r="B570" s="141"/>
      <c r="C570" s="141"/>
      <c r="D570" s="92"/>
      <c r="E570" s="92"/>
      <c r="F570" s="141"/>
      <c r="G570" s="141"/>
      <c r="H570" s="141"/>
      <c r="I570" s="141"/>
      <c r="J570" s="141"/>
      <c r="K570" s="141"/>
      <c r="L570" s="141"/>
      <c r="M570" s="141"/>
      <c r="N570" s="141"/>
      <c r="O570" s="141"/>
      <c r="P570" s="141"/>
      <c r="Q570" s="141"/>
      <c r="R570" s="141"/>
      <c r="S570" s="141"/>
    </row>
    <row r="571">
      <c r="A571" s="141"/>
      <c r="B571" s="141"/>
      <c r="C571" s="141"/>
      <c r="D571" s="92"/>
      <c r="E571" s="92"/>
      <c r="F571" s="141"/>
      <c r="G571" s="141"/>
      <c r="H571" s="141"/>
      <c r="I571" s="141"/>
      <c r="J571" s="141"/>
      <c r="K571" s="141"/>
      <c r="L571" s="141"/>
      <c r="M571" s="141"/>
      <c r="N571" s="141"/>
      <c r="O571" s="141"/>
      <c r="P571" s="141"/>
      <c r="Q571" s="141"/>
      <c r="R571" s="141"/>
      <c r="S571" s="141"/>
    </row>
    <row r="572">
      <c r="A572" s="141"/>
      <c r="B572" s="141"/>
      <c r="C572" s="141"/>
      <c r="D572" s="92"/>
      <c r="E572" s="92"/>
      <c r="F572" s="141"/>
      <c r="G572" s="141"/>
      <c r="H572" s="141"/>
      <c r="I572" s="141"/>
      <c r="J572" s="141"/>
      <c r="K572" s="141"/>
      <c r="L572" s="141"/>
      <c r="M572" s="141"/>
      <c r="N572" s="141"/>
      <c r="O572" s="141"/>
      <c r="P572" s="141"/>
      <c r="Q572" s="141"/>
      <c r="R572" s="141"/>
      <c r="S572" s="141"/>
    </row>
    <row r="573">
      <c r="A573" s="141"/>
      <c r="B573" s="141"/>
      <c r="C573" s="141"/>
      <c r="D573" s="92"/>
      <c r="E573" s="92"/>
      <c r="F573" s="141"/>
      <c r="G573" s="141"/>
      <c r="H573" s="141"/>
      <c r="I573" s="141"/>
      <c r="J573" s="141"/>
      <c r="K573" s="141"/>
      <c r="L573" s="141"/>
      <c r="M573" s="141"/>
      <c r="N573" s="141"/>
      <c r="O573" s="141"/>
      <c r="P573" s="141"/>
      <c r="Q573" s="141"/>
      <c r="R573" s="141"/>
      <c r="S573" s="141"/>
    </row>
    <row r="574">
      <c r="A574" s="141"/>
      <c r="B574" s="141"/>
      <c r="C574" s="141"/>
      <c r="D574" s="92"/>
      <c r="E574" s="92"/>
      <c r="F574" s="141"/>
      <c r="G574" s="141"/>
      <c r="H574" s="141"/>
      <c r="I574" s="141"/>
      <c r="J574" s="141"/>
      <c r="K574" s="141"/>
      <c r="L574" s="141"/>
      <c r="M574" s="141"/>
      <c r="N574" s="141"/>
      <c r="O574" s="141"/>
      <c r="P574" s="141"/>
      <c r="Q574" s="141"/>
      <c r="R574" s="141"/>
      <c r="S574" s="141"/>
    </row>
    <row r="575">
      <c r="A575" s="141"/>
      <c r="B575" s="141"/>
      <c r="C575" s="141"/>
      <c r="D575" s="92"/>
      <c r="E575" s="92"/>
      <c r="F575" s="141"/>
      <c r="G575" s="141"/>
      <c r="H575" s="141"/>
      <c r="I575" s="141"/>
      <c r="J575" s="141"/>
      <c r="K575" s="141"/>
      <c r="L575" s="141"/>
      <c r="M575" s="141"/>
      <c r="N575" s="141"/>
      <c r="O575" s="141"/>
      <c r="P575" s="141"/>
      <c r="Q575" s="141"/>
      <c r="R575" s="141"/>
      <c r="S575" s="141"/>
    </row>
    <row r="576">
      <c r="A576" s="141"/>
      <c r="B576" s="141"/>
      <c r="C576" s="141"/>
      <c r="D576" s="92"/>
      <c r="E576" s="92"/>
      <c r="F576" s="141"/>
      <c r="G576" s="141"/>
      <c r="H576" s="141"/>
      <c r="I576" s="141"/>
      <c r="J576" s="141"/>
      <c r="K576" s="141"/>
      <c r="L576" s="141"/>
      <c r="M576" s="141"/>
      <c r="N576" s="141"/>
      <c r="O576" s="141"/>
      <c r="P576" s="141"/>
      <c r="Q576" s="141"/>
      <c r="R576" s="141"/>
      <c r="S576" s="141"/>
    </row>
    <row r="577">
      <c r="A577" s="141"/>
      <c r="B577" s="141"/>
      <c r="C577" s="141"/>
      <c r="D577" s="92"/>
      <c r="E577" s="92"/>
      <c r="F577" s="141"/>
      <c r="G577" s="141"/>
      <c r="H577" s="141"/>
      <c r="I577" s="141"/>
      <c r="J577" s="141"/>
      <c r="K577" s="141"/>
      <c r="L577" s="141"/>
      <c r="M577" s="141"/>
      <c r="N577" s="141"/>
      <c r="O577" s="141"/>
      <c r="P577" s="141"/>
      <c r="Q577" s="141"/>
      <c r="R577" s="141"/>
      <c r="S577" s="141"/>
    </row>
    <row r="578">
      <c r="A578" s="141"/>
      <c r="B578" s="141"/>
      <c r="C578" s="141"/>
      <c r="D578" s="92"/>
      <c r="E578" s="92"/>
      <c r="F578" s="141"/>
      <c r="G578" s="141"/>
      <c r="H578" s="141"/>
      <c r="I578" s="141"/>
      <c r="J578" s="141"/>
      <c r="K578" s="141"/>
      <c r="L578" s="141"/>
      <c r="M578" s="141"/>
      <c r="N578" s="141"/>
      <c r="O578" s="141"/>
      <c r="P578" s="141"/>
      <c r="Q578" s="141"/>
      <c r="R578" s="141"/>
      <c r="S578" s="141"/>
    </row>
    <row r="579">
      <c r="A579" s="141"/>
      <c r="B579" s="141"/>
      <c r="C579" s="141"/>
      <c r="D579" s="92"/>
      <c r="E579" s="92"/>
      <c r="F579" s="141"/>
      <c r="G579" s="141"/>
      <c r="H579" s="141"/>
      <c r="I579" s="141"/>
      <c r="J579" s="141"/>
      <c r="K579" s="141"/>
      <c r="L579" s="141"/>
      <c r="M579" s="141"/>
      <c r="N579" s="141"/>
      <c r="O579" s="141"/>
      <c r="P579" s="141"/>
      <c r="Q579" s="141"/>
      <c r="R579" s="141"/>
      <c r="S579" s="141"/>
    </row>
    <row r="580">
      <c r="A580" s="141"/>
      <c r="B580" s="141"/>
      <c r="C580" s="141"/>
      <c r="D580" s="92"/>
      <c r="E580" s="92"/>
      <c r="F580" s="141"/>
      <c r="G580" s="141"/>
      <c r="H580" s="141"/>
      <c r="I580" s="141"/>
      <c r="J580" s="141"/>
      <c r="K580" s="141"/>
      <c r="L580" s="141"/>
      <c r="M580" s="141"/>
      <c r="N580" s="141"/>
      <c r="O580" s="141"/>
      <c r="P580" s="141"/>
      <c r="Q580" s="141"/>
      <c r="R580" s="141"/>
      <c r="S580" s="141"/>
    </row>
    <row r="581">
      <c r="A581" s="141"/>
      <c r="B581" s="141"/>
      <c r="C581" s="141"/>
      <c r="D581" s="92"/>
      <c r="E581" s="92"/>
      <c r="F581" s="141"/>
      <c r="G581" s="141"/>
      <c r="H581" s="141"/>
      <c r="I581" s="141"/>
      <c r="J581" s="141"/>
      <c r="K581" s="141"/>
      <c r="L581" s="141"/>
      <c r="M581" s="141"/>
      <c r="N581" s="141"/>
      <c r="O581" s="141"/>
      <c r="P581" s="141"/>
      <c r="Q581" s="141"/>
      <c r="R581" s="141"/>
      <c r="S581" s="141"/>
    </row>
    <row r="582">
      <c r="A582" s="141"/>
      <c r="B582" s="141"/>
      <c r="C582" s="141"/>
      <c r="D582" s="92"/>
      <c r="E582" s="92"/>
      <c r="F582" s="141"/>
      <c r="G582" s="141"/>
      <c r="H582" s="141"/>
      <c r="I582" s="141"/>
      <c r="J582" s="141"/>
      <c r="K582" s="141"/>
      <c r="L582" s="141"/>
      <c r="M582" s="141"/>
      <c r="N582" s="141"/>
      <c r="O582" s="141"/>
      <c r="P582" s="141"/>
      <c r="Q582" s="141"/>
      <c r="R582" s="141"/>
      <c r="S582" s="141"/>
    </row>
    <row r="583">
      <c r="A583" s="141"/>
      <c r="B583" s="141"/>
      <c r="C583" s="141"/>
      <c r="D583" s="92"/>
      <c r="E583" s="92"/>
      <c r="F583" s="141"/>
      <c r="G583" s="141"/>
      <c r="H583" s="141"/>
      <c r="I583" s="141"/>
      <c r="J583" s="141"/>
      <c r="K583" s="141"/>
      <c r="L583" s="141"/>
      <c r="M583" s="141"/>
      <c r="N583" s="141"/>
      <c r="O583" s="141"/>
      <c r="P583" s="141"/>
      <c r="Q583" s="141"/>
      <c r="R583" s="141"/>
      <c r="S583" s="141"/>
    </row>
    <row r="584">
      <c r="A584" s="141"/>
      <c r="B584" s="141"/>
      <c r="C584" s="141"/>
      <c r="D584" s="92"/>
      <c r="E584" s="92"/>
      <c r="F584" s="141"/>
      <c r="G584" s="141"/>
      <c r="H584" s="141"/>
      <c r="I584" s="141"/>
      <c r="J584" s="141"/>
      <c r="K584" s="141"/>
      <c r="L584" s="141"/>
      <c r="M584" s="141"/>
      <c r="N584" s="141"/>
      <c r="O584" s="141"/>
      <c r="P584" s="141"/>
      <c r="Q584" s="141"/>
      <c r="R584" s="141"/>
      <c r="S584" s="141"/>
    </row>
    <row r="585">
      <c r="A585" s="141"/>
      <c r="B585" s="141"/>
      <c r="C585" s="141"/>
      <c r="D585" s="92"/>
      <c r="E585" s="92"/>
      <c r="F585" s="141"/>
      <c r="G585" s="141"/>
      <c r="H585" s="141"/>
      <c r="I585" s="141"/>
      <c r="J585" s="141"/>
      <c r="K585" s="141"/>
      <c r="L585" s="141"/>
      <c r="M585" s="141"/>
      <c r="N585" s="141"/>
      <c r="O585" s="141"/>
      <c r="P585" s="141"/>
      <c r="Q585" s="141"/>
      <c r="R585" s="141"/>
      <c r="S585" s="141"/>
    </row>
    <row r="586">
      <c r="A586" s="141"/>
      <c r="B586" s="141"/>
      <c r="C586" s="141"/>
      <c r="D586" s="92"/>
      <c r="E586" s="92"/>
      <c r="F586" s="141"/>
      <c r="G586" s="141"/>
      <c r="H586" s="141"/>
      <c r="I586" s="141"/>
      <c r="J586" s="141"/>
      <c r="K586" s="141"/>
      <c r="L586" s="141"/>
      <c r="M586" s="141"/>
      <c r="N586" s="141"/>
      <c r="O586" s="141"/>
      <c r="P586" s="141"/>
      <c r="Q586" s="141"/>
      <c r="R586" s="141"/>
      <c r="S586" s="141"/>
    </row>
    <row r="587">
      <c r="A587" s="141"/>
      <c r="B587" s="141"/>
      <c r="C587" s="141"/>
      <c r="D587" s="92"/>
      <c r="E587" s="92"/>
      <c r="F587" s="141"/>
      <c r="G587" s="141"/>
      <c r="H587" s="141"/>
      <c r="I587" s="141"/>
      <c r="J587" s="141"/>
      <c r="K587" s="141"/>
      <c r="L587" s="141"/>
      <c r="M587" s="141"/>
      <c r="N587" s="141"/>
      <c r="O587" s="141"/>
      <c r="P587" s="141"/>
      <c r="Q587" s="141"/>
      <c r="R587" s="141"/>
      <c r="S587" s="141"/>
    </row>
    <row r="588">
      <c r="A588" s="141"/>
      <c r="B588" s="141"/>
      <c r="C588" s="141"/>
      <c r="D588" s="92"/>
      <c r="E588" s="92"/>
      <c r="F588" s="141"/>
      <c r="G588" s="141"/>
      <c r="H588" s="141"/>
      <c r="I588" s="141"/>
      <c r="J588" s="141"/>
      <c r="K588" s="141"/>
      <c r="L588" s="141"/>
      <c r="M588" s="141"/>
      <c r="N588" s="141"/>
      <c r="O588" s="141"/>
      <c r="P588" s="141"/>
      <c r="Q588" s="141"/>
      <c r="R588" s="141"/>
      <c r="S588" s="141"/>
    </row>
    <row r="589">
      <c r="A589" s="141"/>
      <c r="B589" s="141"/>
      <c r="C589" s="141"/>
      <c r="D589" s="92"/>
      <c r="E589" s="92"/>
      <c r="F589" s="141"/>
      <c r="G589" s="141"/>
      <c r="H589" s="141"/>
      <c r="I589" s="141"/>
      <c r="J589" s="141"/>
      <c r="K589" s="141"/>
      <c r="L589" s="141"/>
      <c r="M589" s="141"/>
      <c r="N589" s="141"/>
      <c r="O589" s="141"/>
      <c r="P589" s="141"/>
      <c r="Q589" s="141"/>
      <c r="R589" s="141"/>
      <c r="S589" s="141"/>
    </row>
    <row r="590">
      <c r="A590" s="141"/>
      <c r="B590" s="141"/>
      <c r="C590" s="141"/>
      <c r="D590" s="92"/>
      <c r="E590" s="92"/>
      <c r="F590" s="141"/>
      <c r="G590" s="141"/>
      <c r="H590" s="141"/>
      <c r="I590" s="141"/>
      <c r="J590" s="141"/>
      <c r="K590" s="141"/>
      <c r="L590" s="141"/>
      <c r="M590" s="141"/>
      <c r="N590" s="141"/>
      <c r="O590" s="141"/>
      <c r="P590" s="141"/>
      <c r="Q590" s="141"/>
      <c r="R590" s="141"/>
      <c r="S590" s="141"/>
    </row>
    <row r="591">
      <c r="A591" s="141"/>
      <c r="B591" s="141"/>
      <c r="C591" s="141"/>
      <c r="D591" s="92"/>
      <c r="E591" s="92"/>
      <c r="F591" s="141"/>
      <c r="G591" s="141"/>
      <c r="H591" s="141"/>
      <c r="I591" s="141"/>
      <c r="J591" s="141"/>
      <c r="K591" s="141"/>
      <c r="L591" s="141"/>
      <c r="M591" s="141"/>
      <c r="N591" s="141"/>
      <c r="O591" s="141"/>
      <c r="P591" s="141"/>
      <c r="Q591" s="141"/>
      <c r="R591" s="141"/>
      <c r="S591" s="141"/>
    </row>
    <row r="592">
      <c r="A592" s="141"/>
      <c r="B592" s="141"/>
      <c r="C592" s="141"/>
      <c r="D592" s="92"/>
      <c r="E592" s="92"/>
      <c r="F592" s="141"/>
      <c r="G592" s="141"/>
      <c r="H592" s="141"/>
      <c r="I592" s="141"/>
      <c r="J592" s="141"/>
      <c r="K592" s="141"/>
      <c r="L592" s="141"/>
      <c r="M592" s="141"/>
      <c r="N592" s="141"/>
      <c r="O592" s="141"/>
      <c r="P592" s="141"/>
      <c r="Q592" s="141"/>
      <c r="R592" s="141"/>
      <c r="S592" s="141"/>
    </row>
    <row r="593">
      <c r="A593" s="141"/>
      <c r="B593" s="141"/>
      <c r="C593" s="141"/>
      <c r="D593" s="92"/>
      <c r="E593" s="92"/>
      <c r="F593" s="141"/>
      <c r="G593" s="141"/>
      <c r="H593" s="141"/>
      <c r="I593" s="141"/>
      <c r="J593" s="141"/>
      <c r="K593" s="141"/>
      <c r="L593" s="141"/>
      <c r="M593" s="141"/>
      <c r="N593" s="141"/>
      <c r="O593" s="141"/>
      <c r="P593" s="141"/>
      <c r="Q593" s="141"/>
      <c r="R593" s="141"/>
      <c r="S593" s="141"/>
    </row>
    <row r="594">
      <c r="A594" s="141"/>
      <c r="B594" s="141"/>
      <c r="C594" s="141"/>
      <c r="D594" s="92"/>
      <c r="E594" s="92"/>
      <c r="F594" s="141"/>
      <c r="G594" s="141"/>
      <c r="H594" s="141"/>
      <c r="I594" s="141"/>
      <c r="J594" s="141"/>
      <c r="K594" s="141"/>
      <c r="L594" s="141"/>
      <c r="M594" s="141"/>
      <c r="N594" s="141"/>
      <c r="O594" s="141"/>
      <c r="P594" s="141"/>
      <c r="Q594" s="141"/>
      <c r="R594" s="141"/>
      <c r="S594" s="141"/>
    </row>
    <row r="595">
      <c r="A595" s="141"/>
      <c r="B595" s="141"/>
      <c r="C595" s="141"/>
      <c r="D595" s="92"/>
      <c r="E595" s="92"/>
      <c r="F595" s="141"/>
      <c r="G595" s="141"/>
      <c r="H595" s="141"/>
      <c r="I595" s="141"/>
      <c r="J595" s="141"/>
      <c r="K595" s="141"/>
      <c r="L595" s="141"/>
      <c r="M595" s="141"/>
      <c r="N595" s="141"/>
      <c r="O595" s="141"/>
      <c r="P595" s="141"/>
      <c r="Q595" s="141"/>
      <c r="R595" s="141"/>
      <c r="S595" s="141"/>
    </row>
    <row r="596">
      <c r="A596" s="141"/>
      <c r="B596" s="141"/>
      <c r="C596" s="141"/>
      <c r="D596" s="92"/>
      <c r="E596" s="92"/>
      <c r="F596" s="141"/>
      <c r="G596" s="141"/>
      <c r="H596" s="141"/>
      <c r="I596" s="141"/>
      <c r="J596" s="141"/>
      <c r="K596" s="141"/>
      <c r="L596" s="141"/>
      <c r="M596" s="141"/>
      <c r="N596" s="141"/>
      <c r="O596" s="141"/>
      <c r="P596" s="141"/>
      <c r="Q596" s="141"/>
      <c r="R596" s="141"/>
      <c r="S596" s="141"/>
    </row>
    <row r="597">
      <c r="A597" s="141"/>
      <c r="B597" s="141"/>
      <c r="C597" s="141"/>
      <c r="D597" s="92"/>
      <c r="E597" s="92"/>
      <c r="F597" s="141"/>
      <c r="G597" s="141"/>
      <c r="H597" s="141"/>
      <c r="I597" s="141"/>
      <c r="J597" s="141"/>
      <c r="K597" s="141"/>
      <c r="L597" s="141"/>
      <c r="M597" s="141"/>
      <c r="N597" s="141"/>
      <c r="O597" s="141"/>
      <c r="P597" s="141"/>
      <c r="Q597" s="141"/>
      <c r="R597" s="141"/>
      <c r="S597" s="141"/>
    </row>
    <row r="598">
      <c r="A598" s="141"/>
      <c r="B598" s="141"/>
      <c r="C598" s="141"/>
      <c r="D598" s="92"/>
      <c r="E598" s="92"/>
      <c r="F598" s="141"/>
      <c r="G598" s="141"/>
      <c r="H598" s="141"/>
      <c r="I598" s="141"/>
      <c r="J598" s="141"/>
      <c r="K598" s="141"/>
      <c r="L598" s="141"/>
      <c r="M598" s="141"/>
      <c r="N598" s="141"/>
      <c r="O598" s="141"/>
      <c r="P598" s="141"/>
      <c r="Q598" s="141"/>
      <c r="R598" s="141"/>
      <c r="S598" s="141"/>
    </row>
    <row r="599">
      <c r="A599" s="141"/>
      <c r="B599" s="141"/>
      <c r="C599" s="141"/>
      <c r="D599" s="92"/>
      <c r="E599" s="92"/>
      <c r="F599" s="141"/>
      <c r="G599" s="141"/>
      <c r="H599" s="141"/>
      <c r="I599" s="141"/>
      <c r="J599" s="141"/>
      <c r="K599" s="141"/>
      <c r="L599" s="141"/>
      <c r="M599" s="141"/>
      <c r="N599" s="141"/>
      <c r="O599" s="141"/>
      <c r="P599" s="141"/>
      <c r="Q599" s="141"/>
      <c r="R599" s="141"/>
      <c r="S599" s="141"/>
    </row>
    <row r="600">
      <c r="A600" s="141"/>
      <c r="B600" s="141"/>
      <c r="C600" s="141"/>
      <c r="D600" s="92"/>
      <c r="E600" s="92"/>
      <c r="F600" s="141"/>
      <c r="G600" s="141"/>
      <c r="H600" s="141"/>
      <c r="I600" s="141"/>
      <c r="J600" s="141"/>
      <c r="K600" s="141"/>
      <c r="L600" s="141"/>
      <c r="M600" s="141"/>
      <c r="N600" s="141"/>
      <c r="O600" s="141"/>
      <c r="P600" s="141"/>
      <c r="Q600" s="141"/>
      <c r="R600" s="141"/>
      <c r="S600" s="141"/>
    </row>
    <row r="601">
      <c r="A601" s="141"/>
      <c r="B601" s="141"/>
      <c r="C601" s="141"/>
      <c r="D601" s="92"/>
      <c r="E601" s="92"/>
      <c r="F601" s="141"/>
      <c r="G601" s="141"/>
      <c r="H601" s="141"/>
      <c r="I601" s="141"/>
      <c r="J601" s="141"/>
      <c r="K601" s="141"/>
      <c r="L601" s="141"/>
      <c r="M601" s="141"/>
      <c r="N601" s="141"/>
      <c r="O601" s="141"/>
      <c r="P601" s="141"/>
      <c r="Q601" s="141"/>
      <c r="R601" s="141"/>
      <c r="S601" s="141"/>
    </row>
    <row r="602">
      <c r="A602" s="141"/>
      <c r="B602" s="141"/>
      <c r="C602" s="141"/>
      <c r="D602" s="92"/>
      <c r="E602" s="92"/>
      <c r="F602" s="141"/>
      <c r="G602" s="141"/>
      <c r="H602" s="141"/>
      <c r="I602" s="141"/>
      <c r="J602" s="141"/>
      <c r="K602" s="141"/>
      <c r="L602" s="141"/>
      <c r="M602" s="141"/>
      <c r="N602" s="141"/>
      <c r="O602" s="141"/>
      <c r="P602" s="141"/>
      <c r="Q602" s="141"/>
      <c r="R602" s="141"/>
      <c r="S602" s="141"/>
    </row>
    <row r="603">
      <c r="A603" s="141"/>
      <c r="B603" s="141"/>
      <c r="C603" s="141"/>
      <c r="D603" s="92"/>
      <c r="E603" s="92"/>
      <c r="F603" s="141"/>
      <c r="G603" s="141"/>
      <c r="H603" s="141"/>
      <c r="I603" s="141"/>
      <c r="J603" s="141"/>
      <c r="K603" s="141"/>
      <c r="L603" s="141"/>
      <c r="M603" s="141"/>
      <c r="N603" s="141"/>
      <c r="O603" s="141"/>
      <c r="P603" s="141"/>
      <c r="Q603" s="141"/>
      <c r="R603" s="141"/>
      <c r="S603" s="141"/>
    </row>
    <row r="604">
      <c r="A604" s="141"/>
      <c r="B604" s="141"/>
      <c r="C604" s="141"/>
      <c r="D604" s="92"/>
      <c r="E604" s="92"/>
      <c r="F604" s="141"/>
      <c r="G604" s="141"/>
      <c r="H604" s="141"/>
      <c r="I604" s="141"/>
      <c r="J604" s="141"/>
      <c r="K604" s="141"/>
      <c r="L604" s="141"/>
      <c r="M604" s="141"/>
      <c r="N604" s="141"/>
      <c r="O604" s="141"/>
      <c r="P604" s="141"/>
      <c r="Q604" s="141"/>
      <c r="R604" s="141"/>
      <c r="S604" s="141"/>
    </row>
    <row r="605">
      <c r="A605" s="141"/>
      <c r="B605" s="141"/>
      <c r="C605" s="141"/>
      <c r="D605" s="92"/>
      <c r="E605" s="92"/>
      <c r="F605" s="141"/>
      <c r="G605" s="141"/>
      <c r="H605" s="141"/>
      <c r="I605" s="141"/>
      <c r="J605" s="141"/>
      <c r="K605" s="141"/>
      <c r="L605" s="141"/>
      <c r="M605" s="141"/>
      <c r="N605" s="141"/>
      <c r="O605" s="141"/>
      <c r="P605" s="141"/>
      <c r="Q605" s="141"/>
      <c r="R605" s="141"/>
      <c r="S605" s="141"/>
    </row>
    <row r="606">
      <c r="A606" s="141"/>
      <c r="B606" s="141"/>
      <c r="C606" s="141"/>
      <c r="D606" s="92"/>
      <c r="E606" s="92"/>
      <c r="F606" s="141"/>
      <c r="G606" s="141"/>
      <c r="H606" s="141"/>
      <c r="I606" s="141"/>
      <c r="J606" s="141"/>
      <c r="K606" s="141"/>
      <c r="L606" s="141"/>
      <c r="M606" s="141"/>
      <c r="N606" s="141"/>
      <c r="O606" s="141"/>
      <c r="P606" s="141"/>
      <c r="Q606" s="141"/>
      <c r="R606" s="141"/>
      <c r="S606" s="141"/>
    </row>
    <row r="607">
      <c r="A607" s="141"/>
      <c r="B607" s="141"/>
      <c r="C607" s="141"/>
      <c r="D607" s="92"/>
      <c r="E607" s="92"/>
      <c r="F607" s="141"/>
      <c r="G607" s="141"/>
      <c r="H607" s="141"/>
      <c r="I607" s="141"/>
      <c r="J607" s="141"/>
      <c r="K607" s="141"/>
      <c r="L607" s="141"/>
      <c r="M607" s="141"/>
      <c r="N607" s="141"/>
      <c r="O607" s="141"/>
      <c r="P607" s="141"/>
      <c r="Q607" s="141"/>
      <c r="R607" s="141"/>
      <c r="S607" s="141"/>
    </row>
    <row r="608">
      <c r="A608" s="141"/>
      <c r="B608" s="141"/>
      <c r="C608" s="184"/>
      <c r="D608" s="92"/>
      <c r="E608" s="92"/>
      <c r="F608" s="141"/>
      <c r="G608" s="141"/>
      <c r="H608" s="141"/>
      <c r="I608" s="141"/>
      <c r="J608" s="141"/>
      <c r="K608" s="141"/>
      <c r="L608" s="141"/>
      <c r="M608" s="141"/>
      <c r="N608" s="141"/>
      <c r="O608" s="141"/>
      <c r="P608" s="141"/>
      <c r="Q608" s="141"/>
      <c r="R608" s="141"/>
      <c r="S608" s="141"/>
    </row>
    <row r="609">
      <c r="A609" s="141"/>
      <c r="B609" s="141"/>
      <c r="C609" s="184"/>
      <c r="D609" s="92"/>
      <c r="E609" s="92"/>
      <c r="F609" s="141"/>
      <c r="G609" s="141"/>
      <c r="H609" s="141"/>
      <c r="I609" s="141"/>
      <c r="J609" s="141"/>
      <c r="K609" s="141"/>
      <c r="L609" s="141"/>
      <c r="M609" s="141"/>
      <c r="N609" s="141"/>
      <c r="O609" s="141"/>
      <c r="P609" s="141"/>
      <c r="Q609" s="141"/>
      <c r="R609" s="141"/>
      <c r="S609" s="141"/>
    </row>
    <row r="610">
      <c r="A610" s="141"/>
      <c r="B610" s="141"/>
      <c r="C610" s="184"/>
      <c r="D610" s="92"/>
      <c r="E610" s="92"/>
      <c r="F610" s="141"/>
      <c r="G610" s="141"/>
      <c r="H610" s="141"/>
      <c r="I610" s="141"/>
      <c r="J610" s="141"/>
      <c r="K610" s="141"/>
      <c r="L610" s="141"/>
      <c r="M610" s="141"/>
      <c r="N610" s="141"/>
      <c r="O610" s="141"/>
      <c r="P610" s="141"/>
      <c r="Q610" s="141"/>
      <c r="R610" s="141"/>
      <c r="S610" s="141"/>
    </row>
    <row r="611">
      <c r="A611" s="141"/>
      <c r="B611" s="141"/>
      <c r="C611" s="184"/>
      <c r="D611" s="92"/>
      <c r="E611" s="92"/>
      <c r="F611" s="141"/>
      <c r="G611" s="141"/>
      <c r="H611" s="141"/>
      <c r="I611" s="141"/>
      <c r="J611" s="141"/>
      <c r="K611" s="141"/>
      <c r="L611" s="141"/>
      <c r="M611" s="141"/>
      <c r="N611" s="141"/>
      <c r="O611" s="141"/>
      <c r="P611" s="141"/>
      <c r="Q611" s="141"/>
      <c r="R611" s="141"/>
      <c r="S611" s="141"/>
    </row>
    <row r="612">
      <c r="A612" s="141"/>
      <c r="B612" s="141"/>
      <c r="C612" s="184"/>
      <c r="D612" s="92"/>
      <c r="E612" s="92"/>
      <c r="F612" s="141"/>
      <c r="G612" s="141"/>
      <c r="H612" s="141"/>
      <c r="I612" s="141"/>
      <c r="J612" s="141"/>
      <c r="K612" s="141"/>
      <c r="L612" s="141"/>
      <c r="M612" s="141"/>
      <c r="N612" s="141"/>
      <c r="O612" s="141"/>
      <c r="P612" s="141"/>
      <c r="Q612" s="141"/>
      <c r="R612" s="141"/>
      <c r="S612" s="141"/>
    </row>
    <row r="613">
      <c r="A613" s="141"/>
      <c r="B613" s="141"/>
      <c r="C613" s="184"/>
      <c r="D613" s="92"/>
      <c r="E613" s="92"/>
      <c r="F613" s="141"/>
      <c r="G613" s="141"/>
      <c r="H613" s="141"/>
      <c r="I613" s="141"/>
      <c r="J613" s="141"/>
      <c r="K613" s="141"/>
      <c r="L613" s="141"/>
      <c r="M613" s="141"/>
      <c r="N613" s="141"/>
      <c r="O613" s="141"/>
      <c r="P613" s="141"/>
      <c r="Q613" s="141"/>
      <c r="R613" s="141"/>
      <c r="S613" s="141"/>
    </row>
    <row r="614">
      <c r="A614" s="141"/>
      <c r="B614" s="141"/>
      <c r="C614" s="184"/>
      <c r="D614" s="92"/>
      <c r="E614" s="92"/>
      <c r="F614" s="141"/>
      <c r="G614" s="141"/>
      <c r="H614" s="141"/>
      <c r="I614" s="141"/>
      <c r="J614" s="141"/>
      <c r="K614" s="141"/>
      <c r="L614" s="141"/>
      <c r="M614" s="141"/>
      <c r="N614" s="141"/>
      <c r="O614" s="141"/>
      <c r="P614" s="141"/>
      <c r="Q614" s="141"/>
      <c r="R614" s="141"/>
      <c r="S614" s="141"/>
    </row>
    <row r="615">
      <c r="A615" s="141"/>
      <c r="B615" s="141"/>
      <c r="C615" s="184"/>
      <c r="D615" s="92"/>
      <c r="E615" s="92"/>
      <c r="F615" s="141"/>
      <c r="G615" s="141"/>
      <c r="H615" s="141"/>
      <c r="I615" s="141"/>
      <c r="J615" s="141"/>
      <c r="K615" s="141"/>
      <c r="L615" s="141"/>
      <c r="M615" s="141"/>
      <c r="N615" s="141"/>
      <c r="O615" s="141"/>
      <c r="P615" s="141"/>
      <c r="Q615" s="141"/>
      <c r="R615" s="141"/>
      <c r="S615" s="141"/>
    </row>
    <row r="616">
      <c r="A616" s="141"/>
      <c r="B616" s="141"/>
      <c r="C616" s="184"/>
      <c r="D616" s="92"/>
      <c r="E616" s="92"/>
      <c r="F616" s="141"/>
      <c r="G616" s="141"/>
      <c r="H616" s="141"/>
      <c r="I616" s="141"/>
      <c r="J616" s="141"/>
      <c r="K616" s="141"/>
      <c r="L616" s="141"/>
      <c r="M616" s="141"/>
      <c r="N616" s="141"/>
      <c r="O616" s="141"/>
      <c r="P616" s="141"/>
      <c r="Q616" s="141"/>
      <c r="R616" s="141"/>
      <c r="S616" s="141"/>
    </row>
    <row r="617">
      <c r="A617" s="141"/>
      <c r="B617" s="141"/>
      <c r="C617" s="184"/>
      <c r="D617" s="92"/>
      <c r="E617" s="92"/>
      <c r="F617" s="141"/>
      <c r="G617" s="141"/>
      <c r="H617" s="141"/>
      <c r="I617" s="141"/>
      <c r="J617" s="141"/>
      <c r="K617" s="141"/>
      <c r="L617" s="141"/>
      <c r="M617" s="141"/>
      <c r="N617" s="141"/>
      <c r="O617" s="141"/>
      <c r="P617" s="141"/>
      <c r="Q617" s="141"/>
      <c r="R617" s="141"/>
      <c r="S617" s="141"/>
    </row>
    <row r="618">
      <c r="A618" s="141"/>
      <c r="B618" s="141"/>
      <c r="C618" s="184"/>
      <c r="D618" s="92"/>
      <c r="E618" s="92"/>
      <c r="F618" s="141"/>
      <c r="G618" s="141"/>
      <c r="H618" s="141"/>
      <c r="I618" s="141"/>
      <c r="J618" s="141"/>
      <c r="K618" s="141"/>
      <c r="L618" s="141"/>
      <c r="M618" s="141"/>
      <c r="N618" s="141"/>
      <c r="O618" s="141"/>
      <c r="P618" s="141"/>
      <c r="Q618" s="141"/>
      <c r="R618" s="141"/>
      <c r="S618" s="141"/>
    </row>
    <row r="619">
      <c r="A619" s="141"/>
      <c r="B619" s="141"/>
      <c r="C619" s="184"/>
      <c r="D619" s="92"/>
      <c r="E619" s="92"/>
      <c r="F619" s="141"/>
      <c r="G619" s="141"/>
      <c r="H619" s="141"/>
      <c r="I619" s="141"/>
      <c r="J619" s="141"/>
      <c r="K619" s="141"/>
      <c r="L619" s="141"/>
      <c r="M619" s="141"/>
      <c r="N619" s="141"/>
      <c r="O619" s="141"/>
      <c r="P619" s="141"/>
      <c r="Q619" s="141"/>
      <c r="R619" s="141"/>
      <c r="S619" s="141"/>
    </row>
    <row r="620">
      <c r="A620" s="141"/>
      <c r="B620" s="141"/>
      <c r="C620" s="184"/>
      <c r="D620" s="92"/>
      <c r="E620" s="92"/>
      <c r="F620" s="141"/>
      <c r="G620" s="141"/>
      <c r="H620" s="141"/>
      <c r="I620" s="141"/>
      <c r="J620" s="141"/>
      <c r="K620" s="141"/>
      <c r="L620" s="141"/>
      <c r="M620" s="141"/>
      <c r="N620" s="141"/>
      <c r="O620" s="141"/>
      <c r="P620" s="141"/>
      <c r="Q620" s="141"/>
      <c r="R620" s="141"/>
      <c r="S620" s="141"/>
    </row>
    <row r="621">
      <c r="A621" s="141"/>
      <c r="B621" s="141"/>
      <c r="C621" s="184"/>
      <c r="D621" s="92"/>
      <c r="E621" s="92"/>
      <c r="F621" s="141"/>
      <c r="G621" s="141"/>
      <c r="H621" s="141"/>
      <c r="I621" s="141"/>
      <c r="J621" s="141"/>
      <c r="K621" s="141"/>
      <c r="L621" s="141"/>
      <c r="M621" s="141"/>
      <c r="N621" s="141"/>
      <c r="O621" s="141"/>
      <c r="P621" s="141"/>
      <c r="Q621" s="141"/>
      <c r="R621" s="141"/>
      <c r="S621" s="141"/>
    </row>
    <row r="622">
      <c r="A622" s="141"/>
      <c r="B622" s="141"/>
      <c r="C622" s="184"/>
      <c r="D622" s="92"/>
      <c r="E622" s="92"/>
      <c r="F622" s="141"/>
      <c r="G622" s="141"/>
      <c r="H622" s="141"/>
      <c r="I622" s="141"/>
      <c r="J622" s="141"/>
      <c r="K622" s="141"/>
      <c r="L622" s="141"/>
      <c r="M622" s="141"/>
      <c r="N622" s="141"/>
      <c r="O622" s="141"/>
      <c r="P622" s="141"/>
      <c r="Q622" s="141"/>
      <c r="R622" s="141"/>
      <c r="S622" s="141"/>
    </row>
    <row r="623">
      <c r="A623" s="141"/>
      <c r="B623" s="141"/>
      <c r="C623" s="184"/>
      <c r="D623" s="92"/>
      <c r="E623" s="92"/>
      <c r="F623" s="141"/>
      <c r="G623" s="141"/>
      <c r="H623" s="141"/>
      <c r="I623" s="141"/>
      <c r="J623" s="141"/>
      <c r="K623" s="141"/>
      <c r="L623" s="141"/>
      <c r="M623" s="141"/>
      <c r="N623" s="141"/>
      <c r="O623" s="141"/>
      <c r="P623" s="141"/>
      <c r="Q623" s="141"/>
      <c r="R623" s="141"/>
      <c r="S623" s="141"/>
    </row>
    <row r="624">
      <c r="A624" s="141"/>
      <c r="B624" s="141"/>
      <c r="C624" s="184"/>
      <c r="D624" s="92"/>
      <c r="E624" s="92"/>
      <c r="F624" s="141"/>
      <c r="G624" s="141"/>
      <c r="H624" s="141"/>
      <c r="I624" s="141"/>
      <c r="J624" s="141"/>
      <c r="K624" s="141"/>
      <c r="L624" s="141"/>
      <c r="M624" s="141"/>
      <c r="N624" s="141"/>
      <c r="O624" s="141"/>
      <c r="P624" s="141"/>
      <c r="Q624" s="141"/>
      <c r="R624" s="141"/>
      <c r="S624" s="141"/>
    </row>
    <row r="625">
      <c r="A625" s="141"/>
      <c r="B625" s="141"/>
      <c r="C625" s="184"/>
      <c r="D625" s="92"/>
      <c r="E625" s="92"/>
      <c r="F625" s="141"/>
      <c r="G625" s="141"/>
      <c r="H625" s="141"/>
      <c r="I625" s="141"/>
      <c r="J625" s="141"/>
      <c r="K625" s="141"/>
      <c r="L625" s="141"/>
      <c r="M625" s="141"/>
      <c r="N625" s="141"/>
      <c r="O625" s="141"/>
      <c r="P625" s="141"/>
      <c r="Q625" s="141"/>
      <c r="R625" s="141"/>
      <c r="S625" s="141"/>
    </row>
    <row r="626">
      <c r="A626" s="141"/>
      <c r="B626" s="141"/>
      <c r="C626" s="184"/>
      <c r="D626" s="92"/>
      <c r="E626" s="92"/>
      <c r="F626" s="141"/>
      <c r="G626" s="141"/>
      <c r="H626" s="141"/>
      <c r="I626" s="141"/>
      <c r="J626" s="141"/>
      <c r="K626" s="141"/>
      <c r="L626" s="141"/>
      <c r="M626" s="141"/>
      <c r="N626" s="141"/>
      <c r="O626" s="141"/>
      <c r="P626" s="141"/>
      <c r="Q626" s="141"/>
      <c r="R626" s="141"/>
      <c r="S626" s="141"/>
    </row>
    <row r="627">
      <c r="A627" s="141"/>
      <c r="B627" s="141"/>
      <c r="C627" s="184"/>
      <c r="D627" s="92"/>
      <c r="E627" s="92"/>
      <c r="F627" s="141"/>
      <c r="G627" s="141"/>
      <c r="H627" s="141"/>
      <c r="I627" s="141"/>
      <c r="J627" s="141"/>
      <c r="K627" s="141"/>
      <c r="L627" s="141"/>
      <c r="M627" s="141"/>
      <c r="N627" s="141"/>
      <c r="O627" s="141"/>
      <c r="P627" s="141"/>
      <c r="Q627" s="141"/>
      <c r="R627" s="141"/>
      <c r="S627" s="141"/>
    </row>
    <row r="628">
      <c r="A628" s="141"/>
      <c r="B628" s="141"/>
      <c r="C628" s="184"/>
      <c r="D628" s="92"/>
      <c r="E628" s="92"/>
      <c r="F628" s="141"/>
      <c r="G628" s="141"/>
      <c r="H628" s="141"/>
      <c r="I628" s="141"/>
      <c r="J628" s="141"/>
      <c r="K628" s="141"/>
      <c r="L628" s="141"/>
      <c r="M628" s="141"/>
      <c r="N628" s="141"/>
      <c r="O628" s="141"/>
      <c r="P628" s="141"/>
      <c r="Q628" s="141"/>
      <c r="R628" s="141"/>
      <c r="S628" s="141"/>
    </row>
    <row r="629">
      <c r="A629" s="141"/>
      <c r="B629" s="141"/>
      <c r="C629" s="184"/>
      <c r="D629" s="92"/>
      <c r="E629" s="92"/>
      <c r="F629" s="141"/>
      <c r="G629" s="141"/>
      <c r="H629" s="141"/>
      <c r="I629" s="141"/>
      <c r="J629" s="141"/>
      <c r="K629" s="141"/>
      <c r="L629" s="141"/>
      <c r="M629" s="141"/>
      <c r="N629" s="141"/>
      <c r="O629" s="141"/>
      <c r="P629" s="141"/>
      <c r="Q629" s="141"/>
      <c r="R629" s="141"/>
      <c r="S629" s="141"/>
    </row>
    <row r="630">
      <c r="A630" s="141"/>
      <c r="B630" s="141"/>
      <c r="C630" s="184"/>
      <c r="D630" s="92"/>
      <c r="E630" s="92"/>
      <c r="F630" s="141"/>
      <c r="G630" s="141"/>
      <c r="H630" s="141"/>
      <c r="I630" s="141"/>
      <c r="J630" s="141"/>
      <c r="K630" s="141"/>
      <c r="L630" s="141"/>
      <c r="M630" s="141"/>
      <c r="N630" s="141"/>
      <c r="O630" s="141"/>
      <c r="P630" s="141"/>
      <c r="Q630" s="141"/>
      <c r="R630" s="141"/>
      <c r="S630" s="141"/>
    </row>
    <row r="631">
      <c r="A631" s="141"/>
      <c r="B631" s="141"/>
      <c r="C631" s="141"/>
      <c r="D631" s="92"/>
      <c r="E631" s="92"/>
      <c r="F631" s="141"/>
      <c r="G631" s="141"/>
      <c r="H631" s="141"/>
      <c r="I631" s="141"/>
      <c r="J631" s="141"/>
      <c r="K631" s="141"/>
      <c r="L631" s="141"/>
      <c r="M631" s="141"/>
      <c r="N631" s="141"/>
      <c r="O631" s="141"/>
      <c r="P631" s="141"/>
      <c r="Q631" s="141"/>
      <c r="R631" s="141"/>
      <c r="S631" s="141"/>
    </row>
    <row r="632">
      <c r="A632" s="141"/>
      <c r="B632" s="141"/>
      <c r="C632" s="184"/>
      <c r="D632" s="92"/>
      <c r="E632" s="92"/>
      <c r="F632" s="141"/>
      <c r="G632" s="141"/>
      <c r="H632" s="141"/>
      <c r="I632" s="141"/>
      <c r="J632" s="141"/>
      <c r="K632" s="141"/>
      <c r="L632" s="141"/>
      <c r="M632" s="141"/>
      <c r="N632" s="141"/>
      <c r="O632" s="141"/>
      <c r="P632" s="141"/>
      <c r="Q632" s="141"/>
      <c r="R632" s="141"/>
      <c r="S632" s="141"/>
    </row>
    <row r="633">
      <c r="A633" s="141"/>
      <c r="B633" s="141"/>
      <c r="C633" s="184"/>
      <c r="D633" s="92"/>
      <c r="E633" s="92"/>
      <c r="F633" s="141"/>
      <c r="G633" s="141"/>
      <c r="H633" s="141"/>
      <c r="I633" s="141"/>
      <c r="J633" s="141"/>
      <c r="K633" s="141"/>
      <c r="L633" s="141"/>
      <c r="M633" s="141"/>
      <c r="N633" s="141"/>
      <c r="O633" s="141"/>
      <c r="P633" s="141"/>
      <c r="Q633" s="141"/>
      <c r="R633" s="141"/>
      <c r="S633" s="141"/>
    </row>
    <row r="634">
      <c r="A634" s="141"/>
      <c r="B634" s="141"/>
      <c r="C634" s="184"/>
      <c r="D634" s="92"/>
      <c r="E634" s="92"/>
      <c r="F634" s="141"/>
      <c r="G634" s="141"/>
      <c r="H634" s="141"/>
      <c r="I634" s="141"/>
      <c r="J634" s="141"/>
      <c r="K634" s="141"/>
      <c r="L634" s="141"/>
      <c r="M634" s="141"/>
      <c r="N634" s="141"/>
      <c r="O634" s="141"/>
      <c r="P634" s="141"/>
      <c r="Q634" s="141"/>
      <c r="R634" s="141"/>
      <c r="S634" s="141"/>
    </row>
    <row r="635">
      <c r="A635" s="141"/>
      <c r="B635" s="141"/>
      <c r="C635" s="184"/>
      <c r="D635" s="92"/>
      <c r="E635" s="92"/>
      <c r="F635" s="141"/>
      <c r="G635" s="141"/>
      <c r="H635" s="141"/>
      <c r="I635" s="141"/>
      <c r="J635" s="141"/>
      <c r="K635" s="141"/>
      <c r="L635" s="141"/>
      <c r="M635" s="141"/>
      <c r="N635" s="141"/>
      <c r="O635" s="141"/>
      <c r="P635" s="141"/>
      <c r="Q635" s="141"/>
      <c r="R635" s="141"/>
      <c r="S635" s="141"/>
    </row>
    <row r="636">
      <c r="A636" s="141"/>
      <c r="B636" s="141"/>
      <c r="C636" s="141"/>
      <c r="D636" s="92"/>
      <c r="E636" s="92"/>
      <c r="F636" s="141"/>
      <c r="G636" s="141"/>
      <c r="H636" s="141"/>
      <c r="I636" s="141"/>
      <c r="J636" s="141"/>
      <c r="K636" s="141"/>
      <c r="L636" s="141"/>
      <c r="M636" s="141"/>
      <c r="N636" s="141"/>
      <c r="O636" s="141"/>
      <c r="P636" s="141"/>
      <c r="Q636" s="141"/>
      <c r="R636" s="141"/>
      <c r="S636" s="141"/>
    </row>
    <row r="637">
      <c r="A637" s="141"/>
      <c r="B637" s="141"/>
      <c r="C637" s="184"/>
      <c r="D637" s="92"/>
      <c r="E637" s="92"/>
      <c r="F637" s="141"/>
      <c r="G637" s="141"/>
      <c r="H637" s="141"/>
      <c r="I637" s="141"/>
      <c r="J637" s="141"/>
      <c r="K637" s="141"/>
      <c r="L637" s="141"/>
      <c r="M637" s="141"/>
      <c r="N637" s="141"/>
      <c r="O637" s="141"/>
      <c r="P637" s="141"/>
      <c r="Q637" s="141"/>
      <c r="R637" s="141"/>
      <c r="S637" s="141"/>
    </row>
    <row r="638">
      <c r="A638" s="141"/>
      <c r="B638" s="141"/>
      <c r="C638" s="184"/>
      <c r="D638" s="92"/>
      <c r="E638" s="92"/>
      <c r="F638" s="141"/>
      <c r="G638" s="141"/>
      <c r="H638" s="141"/>
      <c r="I638" s="141"/>
      <c r="J638" s="141"/>
      <c r="K638" s="141"/>
      <c r="L638" s="141"/>
      <c r="M638" s="141"/>
      <c r="N638" s="141"/>
      <c r="O638" s="141"/>
      <c r="P638" s="141"/>
      <c r="Q638" s="141"/>
      <c r="R638" s="141"/>
      <c r="S638" s="141"/>
    </row>
    <row r="639">
      <c r="A639" s="141"/>
      <c r="B639" s="141"/>
      <c r="C639" s="184"/>
      <c r="D639" s="92"/>
      <c r="E639" s="92"/>
      <c r="F639" s="141"/>
      <c r="G639" s="141"/>
      <c r="H639" s="141"/>
      <c r="I639" s="141"/>
      <c r="J639" s="141"/>
      <c r="K639" s="141"/>
      <c r="L639" s="141"/>
      <c r="M639" s="141"/>
      <c r="N639" s="141"/>
      <c r="O639" s="141"/>
      <c r="P639" s="141"/>
      <c r="Q639" s="141"/>
      <c r="R639" s="141"/>
      <c r="S639" s="141"/>
    </row>
    <row r="640">
      <c r="A640" s="141"/>
      <c r="B640" s="141"/>
      <c r="C640" s="184"/>
      <c r="D640" s="92"/>
      <c r="E640" s="92"/>
      <c r="F640" s="141"/>
      <c r="G640" s="141"/>
      <c r="H640" s="141"/>
      <c r="I640" s="141"/>
      <c r="J640" s="141"/>
      <c r="K640" s="141"/>
      <c r="L640" s="141"/>
      <c r="M640" s="141"/>
      <c r="N640" s="141"/>
      <c r="O640" s="141"/>
      <c r="P640" s="141"/>
      <c r="Q640" s="141"/>
      <c r="R640" s="141"/>
      <c r="S640" s="141"/>
    </row>
    <row r="641">
      <c r="A641" s="141"/>
      <c r="B641" s="141"/>
      <c r="C641" s="184"/>
      <c r="D641" s="92"/>
      <c r="E641" s="92"/>
      <c r="F641" s="141"/>
      <c r="G641" s="141"/>
      <c r="H641" s="141"/>
      <c r="I641" s="141"/>
      <c r="J641" s="141"/>
      <c r="K641" s="141"/>
      <c r="L641" s="141"/>
      <c r="M641" s="141"/>
      <c r="N641" s="141"/>
      <c r="O641" s="141"/>
      <c r="P641" s="141"/>
      <c r="Q641" s="141"/>
      <c r="R641" s="141"/>
      <c r="S641" s="141"/>
    </row>
    <row r="642">
      <c r="A642" s="141"/>
      <c r="B642" s="141"/>
      <c r="C642" s="184"/>
      <c r="D642" s="92"/>
      <c r="E642" s="92"/>
      <c r="F642" s="141"/>
      <c r="G642" s="141"/>
      <c r="H642" s="141"/>
      <c r="I642" s="141"/>
      <c r="J642" s="141"/>
      <c r="K642" s="141"/>
      <c r="L642" s="141"/>
      <c r="M642" s="141"/>
      <c r="N642" s="141"/>
      <c r="O642" s="141"/>
      <c r="P642" s="141"/>
      <c r="Q642" s="141"/>
      <c r="R642" s="141"/>
      <c r="S642" s="141"/>
    </row>
    <row r="643">
      <c r="A643" s="141"/>
      <c r="B643" s="141"/>
      <c r="C643" s="184"/>
      <c r="D643" s="92"/>
      <c r="E643" s="92"/>
      <c r="F643" s="141"/>
      <c r="G643" s="141"/>
      <c r="H643" s="141"/>
      <c r="I643" s="141"/>
      <c r="J643" s="141"/>
      <c r="K643" s="141"/>
      <c r="L643" s="141"/>
      <c r="M643" s="141"/>
      <c r="N643" s="141"/>
      <c r="O643" s="141"/>
      <c r="P643" s="141"/>
      <c r="Q643" s="141"/>
      <c r="R643" s="141"/>
      <c r="S643" s="141"/>
    </row>
    <row r="644">
      <c r="A644" s="141"/>
      <c r="B644" s="141"/>
      <c r="C644" s="184"/>
      <c r="D644" s="92"/>
      <c r="E644" s="92"/>
      <c r="F644" s="141"/>
      <c r="G644" s="141"/>
      <c r="H644" s="141"/>
      <c r="I644" s="141"/>
      <c r="J644" s="141"/>
      <c r="K644" s="141"/>
      <c r="L644" s="141"/>
      <c r="M644" s="141"/>
      <c r="N644" s="141"/>
      <c r="O644" s="141"/>
      <c r="P644" s="141"/>
      <c r="Q644" s="141"/>
      <c r="R644" s="141"/>
      <c r="S644" s="141"/>
    </row>
    <row r="645">
      <c r="A645" s="141"/>
      <c r="B645" s="141"/>
      <c r="C645" s="184"/>
      <c r="D645" s="92"/>
      <c r="E645" s="92"/>
      <c r="F645" s="141"/>
      <c r="G645" s="141"/>
      <c r="H645" s="141"/>
      <c r="I645" s="141"/>
      <c r="J645" s="141"/>
      <c r="K645" s="141"/>
      <c r="L645" s="141"/>
      <c r="M645" s="141"/>
      <c r="N645" s="141"/>
      <c r="O645" s="141"/>
      <c r="P645" s="141"/>
      <c r="Q645" s="141"/>
      <c r="R645" s="141"/>
      <c r="S645" s="141"/>
    </row>
    <row r="646">
      <c r="A646" s="141"/>
      <c r="B646" s="141"/>
      <c r="C646" s="184"/>
      <c r="D646" s="92"/>
      <c r="E646" s="92"/>
      <c r="F646" s="141"/>
      <c r="G646" s="141"/>
      <c r="H646" s="141"/>
      <c r="I646" s="141"/>
      <c r="J646" s="141"/>
      <c r="K646" s="141"/>
      <c r="L646" s="141"/>
      <c r="M646" s="141"/>
      <c r="N646" s="141"/>
      <c r="O646" s="141"/>
      <c r="P646" s="141"/>
      <c r="Q646" s="141"/>
      <c r="R646" s="141"/>
      <c r="S646" s="141"/>
    </row>
    <row r="647">
      <c r="A647" s="141"/>
      <c r="B647" s="141"/>
      <c r="C647" s="184"/>
      <c r="D647" s="92"/>
      <c r="E647" s="92"/>
      <c r="F647" s="141"/>
      <c r="G647" s="141"/>
      <c r="H647" s="141"/>
      <c r="I647" s="141"/>
      <c r="J647" s="141"/>
      <c r="K647" s="141"/>
      <c r="L647" s="141"/>
      <c r="M647" s="141"/>
      <c r="N647" s="141"/>
      <c r="O647" s="141"/>
      <c r="P647" s="141"/>
      <c r="Q647" s="141"/>
      <c r="R647" s="141"/>
      <c r="S647" s="141"/>
    </row>
    <row r="648">
      <c r="A648" s="141"/>
      <c r="B648" s="141"/>
      <c r="C648" s="184"/>
      <c r="D648" s="92"/>
      <c r="E648" s="92"/>
      <c r="F648" s="141"/>
      <c r="G648" s="141"/>
      <c r="H648" s="141"/>
      <c r="I648" s="141"/>
      <c r="J648" s="141"/>
      <c r="K648" s="141"/>
      <c r="L648" s="141"/>
      <c r="M648" s="141"/>
      <c r="N648" s="141"/>
      <c r="O648" s="141"/>
      <c r="P648" s="141"/>
      <c r="Q648" s="141"/>
      <c r="R648" s="141"/>
      <c r="S648" s="141"/>
    </row>
    <row r="649">
      <c r="A649" s="141"/>
      <c r="B649" s="141"/>
      <c r="C649" s="141"/>
      <c r="D649" s="92"/>
      <c r="E649" s="92"/>
      <c r="F649" s="141"/>
      <c r="G649" s="141"/>
      <c r="H649" s="141"/>
      <c r="I649" s="141"/>
      <c r="J649" s="141"/>
      <c r="K649" s="141"/>
      <c r="L649" s="141"/>
      <c r="M649" s="141"/>
      <c r="N649" s="141"/>
      <c r="O649" s="141"/>
      <c r="P649" s="141"/>
      <c r="Q649" s="141"/>
      <c r="R649" s="141"/>
      <c r="S649" s="141"/>
    </row>
    <row r="650">
      <c r="A650" s="141"/>
      <c r="B650" s="141"/>
      <c r="C650" s="184"/>
      <c r="D650" s="92"/>
      <c r="E650" s="92"/>
      <c r="F650" s="141"/>
      <c r="G650" s="141"/>
      <c r="H650" s="141"/>
      <c r="I650" s="141"/>
      <c r="J650" s="141"/>
      <c r="K650" s="141"/>
      <c r="L650" s="141"/>
      <c r="M650" s="141"/>
      <c r="N650" s="141"/>
      <c r="O650" s="141"/>
      <c r="P650" s="141"/>
      <c r="Q650" s="141"/>
      <c r="R650" s="141"/>
      <c r="S650" s="141"/>
    </row>
    <row r="651">
      <c r="A651" s="141"/>
      <c r="B651" s="141"/>
      <c r="C651" s="184"/>
      <c r="D651" s="92"/>
      <c r="E651" s="92"/>
      <c r="F651" s="141"/>
      <c r="G651" s="141"/>
      <c r="H651" s="141"/>
      <c r="I651" s="141"/>
      <c r="J651" s="141"/>
      <c r="K651" s="141"/>
      <c r="L651" s="141"/>
      <c r="M651" s="141"/>
      <c r="N651" s="141"/>
      <c r="O651" s="141"/>
      <c r="P651" s="141"/>
      <c r="Q651" s="141"/>
      <c r="R651" s="141"/>
      <c r="S651" s="141"/>
    </row>
    <row r="652">
      <c r="A652" s="141"/>
      <c r="B652" s="141"/>
      <c r="C652" s="184"/>
      <c r="D652" s="92"/>
      <c r="E652" s="92"/>
      <c r="F652" s="141"/>
      <c r="G652" s="141"/>
      <c r="H652" s="141"/>
      <c r="I652" s="141"/>
      <c r="J652" s="141"/>
      <c r="K652" s="141"/>
      <c r="L652" s="141"/>
      <c r="M652" s="141"/>
      <c r="N652" s="141"/>
      <c r="O652" s="141"/>
      <c r="P652" s="141"/>
      <c r="Q652" s="141"/>
      <c r="R652" s="141"/>
      <c r="S652" s="141"/>
    </row>
    <row r="653">
      <c r="A653" s="141"/>
      <c r="B653" s="141"/>
      <c r="C653" s="184"/>
      <c r="D653" s="92"/>
      <c r="E653" s="92"/>
      <c r="F653" s="141"/>
      <c r="G653" s="141"/>
      <c r="H653" s="141"/>
      <c r="I653" s="141"/>
      <c r="J653" s="141"/>
      <c r="K653" s="141"/>
      <c r="L653" s="141"/>
      <c r="M653" s="141"/>
      <c r="N653" s="141"/>
      <c r="O653" s="141"/>
      <c r="P653" s="141"/>
      <c r="Q653" s="141"/>
      <c r="R653" s="141"/>
      <c r="S653" s="141"/>
    </row>
    <row r="654">
      <c r="A654" s="141"/>
      <c r="B654" s="141"/>
      <c r="C654" s="184"/>
      <c r="D654" s="92"/>
      <c r="E654" s="92"/>
      <c r="F654" s="141"/>
      <c r="G654" s="141"/>
      <c r="H654" s="141"/>
      <c r="I654" s="141"/>
      <c r="J654" s="141"/>
      <c r="K654" s="141"/>
      <c r="L654" s="141"/>
      <c r="M654" s="141"/>
      <c r="N654" s="141"/>
      <c r="O654" s="141"/>
      <c r="P654" s="141"/>
      <c r="Q654" s="141"/>
      <c r="R654" s="141"/>
      <c r="S654" s="141"/>
    </row>
    <row r="655">
      <c r="A655" s="141"/>
      <c r="B655" s="141"/>
      <c r="C655" s="184"/>
      <c r="D655" s="92"/>
      <c r="E655" s="92"/>
      <c r="F655" s="141"/>
      <c r="G655" s="141"/>
      <c r="H655" s="141"/>
      <c r="I655" s="141"/>
      <c r="J655" s="141"/>
      <c r="K655" s="141"/>
      <c r="L655" s="141"/>
      <c r="M655" s="141"/>
      <c r="N655" s="141"/>
      <c r="O655" s="141"/>
      <c r="P655" s="141"/>
      <c r="Q655" s="141"/>
      <c r="R655" s="141"/>
      <c r="S655" s="141"/>
    </row>
    <row r="656">
      <c r="A656" s="141"/>
      <c r="B656" s="141"/>
      <c r="C656" s="141"/>
      <c r="D656" s="92"/>
      <c r="E656" s="92"/>
      <c r="F656" s="141"/>
      <c r="G656" s="141"/>
      <c r="H656" s="141"/>
      <c r="I656" s="141"/>
      <c r="J656" s="141"/>
      <c r="K656" s="141"/>
      <c r="L656" s="141"/>
      <c r="M656" s="141"/>
      <c r="N656" s="141"/>
      <c r="O656" s="141"/>
      <c r="P656" s="141"/>
      <c r="Q656" s="141"/>
      <c r="R656" s="141"/>
      <c r="S656" s="141"/>
    </row>
    <row r="657">
      <c r="A657" s="141"/>
      <c r="B657" s="141"/>
      <c r="C657" s="184"/>
      <c r="D657" s="92"/>
      <c r="E657" s="92"/>
      <c r="F657" s="141"/>
      <c r="G657" s="141"/>
      <c r="H657" s="141"/>
      <c r="I657" s="141"/>
      <c r="J657" s="141"/>
      <c r="K657" s="141"/>
      <c r="L657" s="141"/>
      <c r="M657" s="141"/>
      <c r="N657" s="141"/>
      <c r="O657" s="141"/>
      <c r="P657" s="141"/>
      <c r="Q657" s="141"/>
      <c r="R657" s="141"/>
      <c r="S657" s="141"/>
    </row>
    <row r="658">
      <c r="A658" s="141"/>
      <c r="B658" s="141"/>
      <c r="C658" s="184"/>
      <c r="D658" s="92"/>
      <c r="E658" s="92"/>
      <c r="F658" s="141"/>
      <c r="G658" s="141"/>
      <c r="H658" s="141"/>
      <c r="I658" s="141"/>
      <c r="J658" s="141"/>
      <c r="K658" s="141"/>
      <c r="L658" s="141"/>
      <c r="M658" s="141"/>
      <c r="N658" s="141"/>
      <c r="O658" s="141"/>
      <c r="P658" s="141"/>
      <c r="Q658" s="141"/>
      <c r="R658" s="141"/>
      <c r="S658" s="141"/>
    </row>
    <row r="659">
      <c r="A659" s="141"/>
      <c r="B659" s="141"/>
      <c r="C659" s="184"/>
      <c r="D659" s="92"/>
      <c r="E659" s="92"/>
      <c r="F659" s="141"/>
      <c r="G659" s="141"/>
      <c r="H659" s="141"/>
      <c r="I659" s="141"/>
      <c r="J659" s="141"/>
      <c r="K659" s="141"/>
      <c r="L659" s="141"/>
      <c r="M659" s="141"/>
      <c r="N659" s="141"/>
      <c r="O659" s="141"/>
      <c r="P659" s="141"/>
      <c r="Q659" s="141"/>
      <c r="R659" s="141"/>
      <c r="S659" s="141"/>
    </row>
    <row r="660">
      <c r="A660" s="141"/>
      <c r="B660" s="141"/>
      <c r="C660" s="184"/>
      <c r="D660" s="92"/>
      <c r="E660" s="92"/>
      <c r="F660" s="141"/>
      <c r="G660" s="141"/>
      <c r="H660" s="141"/>
      <c r="I660" s="141"/>
      <c r="J660" s="141"/>
      <c r="K660" s="141"/>
      <c r="L660" s="141"/>
      <c r="M660" s="141"/>
      <c r="N660" s="141"/>
      <c r="O660" s="141"/>
      <c r="P660" s="141"/>
      <c r="Q660" s="141"/>
      <c r="R660" s="141"/>
      <c r="S660" s="141"/>
    </row>
    <row r="661">
      <c r="A661" s="141"/>
      <c r="B661" s="141"/>
      <c r="C661" s="184"/>
      <c r="D661" s="92"/>
      <c r="E661" s="92"/>
      <c r="F661" s="141"/>
      <c r="G661" s="141"/>
      <c r="H661" s="141"/>
      <c r="I661" s="141"/>
      <c r="J661" s="141"/>
      <c r="K661" s="141"/>
      <c r="L661" s="141"/>
      <c r="M661" s="141"/>
      <c r="N661" s="141"/>
      <c r="O661" s="141"/>
      <c r="P661" s="141"/>
      <c r="Q661" s="141"/>
      <c r="R661" s="141"/>
      <c r="S661" s="141"/>
    </row>
    <row r="662">
      <c r="A662" s="141"/>
      <c r="B662" s="141"/>
      <c r="C662" s="184"/>
      <c r="D662" s="92"/>
      <c r="E662" s="92"/>
      <c r="F662" s="141"/>
      <c r="G662" s="141"/>
      <c r="H662" s="141"/>
      <c r="I662" s="141"/>
      <c r="J662" s="141"/>
      <c r="K662" s="141"/>
      <c r="L662" s="141"/>
      <c r="M662" s="141"/>
      <c r="N662" s="141"/>
      <c r="O662" s="141"/>
      <c r="P662" s="141"/>
      <c r="Q662" s="141"/>
      <c r="R662" s="141"/>
      <c r="S662" s="141"/>
    </row>
    <row r="663">
      <c r="A663" s="141"/>
      <c r="B663" s="141"/>
      <c r="C663" s="141"/>
      <c r="D663" s="92"/>
      <c r="E663" s="92"/>
      <c r="F663" s="141"/>
      <c r="G663" s="141"/>
      <c r="H663" s="141"/>
      <c r="I663" s="141"/>
      <c r="J663" s="141"/>
      <c r="K663" s="141"/>
      <c r="L663" s="141"/>
      <c r="M663" s="141"/>
      <c r="N663" s="141"/>
      <c r="O663" s="141"/>
      <c r="P663" s="141"/>
      <c r="Q663" s="141"/>
      <c r="R663" s="141"/>
      <c r="S663" s="141"/>
    </row>
    <row r="664">
      <c r="A664" s="141"/>
      <c r="B664" s="141"/>
      <c r="C664" s="184"/>
      <c r="D664" s="92"/>
      <c r="E664" s="92"/>
      <c r="F664" s="141"/>
      <c r="G664" s="141"/>
      <c r="H664" s="141"/>
      <c r="I664" s="141"/>
      <c r="J664" s="141"/>
      <c r="K664" s="141"/>
      <c r="L664" s="141"/>
      <c r="M664" s="141"/>
      <c r="N664" s="141"/>
      <c r="O664" s="141"/>
      <c r="P664" s="141"/>
      <c r="Q664" s="141"/>
      <c r="R664" s="141"/>
      <c r="S664" s="141"/>
    </row>
    <row r="665">
      <c r="A665" s="141"/>
      <c r="B665" s="141"/>
      <c r="C665" s="184"/>
      <c r="D665" s="92"/>
      <c r="E665" s="92"/>
      <c r="F665" s="141"/>
      <c r="G665" s="141"/>
      <c r="H665" s="141"/>
      <c r="I665" s="141"/>
      <c r="J665" s="141"/>
      <c r="K665" s="141"/>
      <c r="L665" s="141"/>
      <c r="M665" s="141"/>
      <c r="N665" s="141"/>
      <c r="O665" s="141"/>
      <c r="P665" s="141"/>
      <c r="Q665" s="141"/>
      <c r="R665" s="141"/>
      <c r="S665" s="141"/>
    </row>
    <row r="666">
      <c r="A666" s="141"/>
      <c r="B666" s="141"/>
      <c r="C666" s="184"/>
      <c r="D666" s="92"/>
      <c r="E666" s="92"/>
      <c r="F666" s="141"/>
      <c r="G666" s="141"/>
      <c r="H666" s="141"/>
      <c r="I666" s="141"/>
      <c r="J666" s="141"/>
      <c r="K666" s="141"/>
      <c r="L666" s="141"/>
      <c r="M666" s="141"/>
      <c r="N666" s="141"/>
      <c r="O666" s="141"/>
      <c r="P666" s="141"/>
      <c r="Q666" s="141"/>
      <c r="R666" s="141"/>
      <c r="S666" s="141"/>
    </row>
    <row r="667">
      <c r="A667" s="141"/>
      <c r="B667" s="141"/>
      <c r="C667" s="184"/>
      <c r="D667" s="92"/>
      <c r="E667" s="92"/>
      <c r="F667" s="141"/>
      <c r="G667" s="141"/>
      <c r="H667" s="141"/>
      <c r="I667" s="141"/>
      <c r="J667" s="141"/>
      <c r="K667" s="141"/>
      <c r="L667" s="141"/>
      <c r="M667" s="141"/>
      <c r="N667" s="141"/>
      <c r="O667" s="141"/>
      <c r="P667" s="141"/>
      <c r="Q667" s="141"/>
      <c r="R667" s="141"/>
      <c r="S667" s="141"/>
    </row>
    <row r="668">
      <c r="A668" s="141"/>
      <c r="B668" s="141"/>
      <c r="C668" s="184"/>
      <c r="D668" s="92"/>
      <c r="E668" s="92"/>
      <c r="F668" s="141"/>
      <c r="G668" s="141"/>
      <c r="H668" s="141"/>
      <c r="I668" s="141"/>
      <c r="J668" s="141"/>
      <c r="K668" s="141"/>
      <c r="L668" s="141"/>
      <c r="M668" s="141"/>
      <c r="N668" s="141"/>
      <c r="O668" s="141"/>
      <c r="P668" s="141"/>
      <c r="Q668" s="141"/>
      <c r="R668" s="141"/>
      <c r="S668" s="141"/>
    </row>
    <row r="669">
      <c r="A669" s="141"/>
      <c r="B669" s="141"/>
      <c r="C669" s="184"/>
      <c r="D669" s="92"/>
      <c r="E669" s="92"/>
      <c r="F669" s="141"/>
      <c r="G669" s="141"/>
      <c r="H669" s="141"/>
      <c r="I669" s="141"/>
      <c r="J669" s="141"/>
      <c r="K669" s="141"/>
      <c r="L669" s="141"/>
      <c r="M669" s="141"/>
      <c r="N669" s="141"/>
      <c r="O669" s="141"/>
      <c r="P669" s="141"/>
      <c r="Q669" s="141"/>
      <c r="R669" s="141"/>
      <c r="S669" s="141"/>
    </row>
    <row r="670">
      <c r="A670" s="141"/>
      <c r="B670" s="141"/>
      <c r="C670" s="184"/>
      <c r="D670" s="92"/>
      <c r="E670" s="92"/>
      <c r="F670" s="141"/>
      <c r="G670" s="141"/>
      <c r="H670" s="141"/>
      <c r="I670" s="141"/>
      <c r="J670" s="141"/>
      <c r="K670" s="141"/>
      <c r="L670" s="141"/>
      <c r="M670" s="141"/>
      <c r="N670" s="141"/>
      <c r="O670" s="141"/>
      <c r="P670" s="141"/>
      <c r="Q670" s="141"/>
      <c r="R670" s="141"/>
      <c r="S670" s="141"/>
    </row>
    <row r="671">
      <c r="A671" s="141"/>
      <c r="B671" s="141"/>
      <c r="C671" s="184"/>
      <c r="D671" s="92"/>
      <c r="E671" s="92"/>
      <c r="F671" s="141"/>
      <c r="G671" s="141"/>
      <c r="H671" s="141"/>
      <c r="I671" s="141"/>
      <c r="J671" s="141"/>
      <c r="K671" s="141"/>
      <c r="L671" s="141"/>
      <c r="M671" s="141"/>
      <c r="N671" s="141"/>
      <c r="O671" s="141"/>
      <c r="P671" s="141"/>
      <c r="Q671" s="141"/>
      <c r="R671" s="141"/>
      <c r="S671" s="141"/>
    </row>
    <row r="672">
      <c r="A672" s="141"/>
      <c r="B672" s="141"/>
      <c r="C672" s="141"/>
      <c r="D672" s="92"/>
      <c r="E672" s="92"/>
      <c r="F672" s="141"/>
      <c r="G672" s="141"/>
      <c r="H672" s="141"/>
      <c r="I672" s="141"/>
      <c r="J672" s="141"/>
      <c r="K672" s="141"/>
      <c r="L672" s="141"/>
      <c r="M672" s="141"/>
      <c r="N672" s="141"/>
      <c r="O672" s="141"/>
      <c r="P672" s="141"/>
      <c r="Q672" s="141"/>
      <c r="R672" s="141"/>
      <c r="S672" s="141"/>
    </row>
    <row r="673">
      <c r="A673" s="141"/>
      <c r="B673" s="141"/>
      <c r="C673" s="184"/>
      <c r="D673" s="92"/>
      <c r="E673" s="92"/>
      <c r="F673" s="141"/>
      <c r="G673" s="141"/>
      <c r="H673" s="141"/>
      <c r="I673" s="141"/>
      <c r="J673" s="141"/>
      <c r="K673" s="141"/>
      <c r="L673" s="141"/>
      <c r="M673" s="141"/>
      <c r="N673" s="141"/>
      <c r="O673" s="141"/>
      <c r="P673" s="141"/>
      <c r="Q673" s="141"/>
      <c r="R673" s="141"/>
      <c r="S673" s="141"/>
    </row>
    <row r="674">
      <c r="A674" s="141"/>
      <c r="B674" s="141"/>
      <c r="C674" s="184"/>
      <c r="D674" s="92"/>
      <c r="E674" s="92"/>
      <c r="F674" s="141"/>
      <c r="G674" s="141"/>
      <c r="H674" s="141"/>
      <c r="I674" s="141"/>
      <c r="J674" s="141"/>
      <c r="K674" s="141"/>
      <c r="L674" s="141"/>
      <c r="M674" s="141"/>
      <c r="N674" s="141"/>
      <c r="O674" s="141"/>
      <c r="P674" s="141"/>
      <c r="Q674" s="141"/>
      <c r="R674" s="141"/>
      <c r="S674" s="141"/>
    </row>
    <row r="675">
      <c r="A675" s="141"/>
      <c r="B675" s="141"/>
      <c r="C675" s="184"/>
      <c r="D675" s="92"/>
      <c r="E675" s="92"/>
      <c r="F675" s="141"/>
      <c r="G675" s="141"/>
      <c r="H675" s="141"/>
      <c r="I675" s="141"/>
      <c r="J675" s="141"/>
      <c r="K675" s="141"/>
      <c r="L675" s="141"/>
      <c r="M675" s="141"/>
      <c r="N675" s="141"/>
      <c r="O675" s="141"/>
      <c r="P675" s="141"/>
      <c r="Q675" s="141"/>
      <c r="R675" s="141"/>
      <c r="S675" s="141"/>
    </row>
    <row r="676">
      <c r="A676" s="141"/>
      <c r="B676" s="141"/>
      <c r="C676" s="184"/>
      <c r="D676" s="92"/>
      <c r="E676" s="92"/>
      <c r="F676" s="141"/>
      <c r="G676" s="141"/>
      <c r="H676" s="141"/>
      <c r="I676" s="141"/>
      <c r="J676" s="141"/>
      <c r="K676" s="141"/>
      <c r="L676" s="141"/>
      <c r="M676" s="141"/>
      <c r="N676" s="141"/>
      <c r="O676" s="141"/>
      <c r="P676" s="141"/>
      <c r="Q676" s="141"/>
      <c r="R676" s="141"/>
      <c r="S676" s="141"/>
    </row>
    <row r="677">
      <c r="A677" s="141"/>
      <c r="B677" s="141"/>
      <c r="C677" s="184"/>
      <c r="D677" s="92"/>
      <c r="E677" s="92"/>
      <c r="F677" s="141"/>
      <c r="G677" s="141"/>
      <c r="H677" s="141"/>
      <c r="I677" s="141"/>
      <c r="J677" s="141"/>
      <c r="K677" s="141"/>
      <c r="L677" s="141"/>
      <c r="M677" s="141"/>
      <c r="N677" s="141"/>
      <c r="O677" s="141"/>
      <c r="P677" s="141"/>
      <c r="Q677" s="141"/>
      <c r="R677" s="141"/>
      <c r="S677" s="141"/>
    </row>
    <row r="678">
      <c r="A678" s="141"/>
      <c r="B678" s="141"/>
      <c r="C678" s="184"/>
      <c r="D678" s="92"/>
      <c r="E678" s="92"/>
      <c r="F678" s="141"/>
      <c r="G678" s="141"/>
      <c r="H678" s="141"/>
      <c r="I678" s="141"/>
      <c r="J678" s="141"/>
      <c r="K678" s="141"/>
      <c r="L678" s="141"/>
      <c r="M678" s="141"/>
      <c r="N678" s="141"/>
      <c r="O678" s="141"/>
      <c r="P678" s="141"/>
      <c r="Q678" s="141"/>
      <c r="R678" s="141"/>
      <c r="S678" s="141"/>
    </row>
    <row r="679">
      <c r="A679" s="141"/>
      <c r="B679" s="141"/>
      <c r="C679" s="184"/>
      <c r="D679" s="92"/>
      <c r="E679" s="92"/>
      <c r="F679" s="141"/>
      <c r="G679" s="141"/>
      <c r="H679" s="141"/>
      <c r="I679" s="141"/>
      <c r="J679" s="141"/>
      <c r="K679" s="141"/>
      <c r="L679" s="141"/>
      <c r="M679" s="141"/>
      <c r="N679" s="141"/>
      <c r="O679" s="141"/>
      <c r="P679" s="141"/>
      <c r="Q679" s="141"/>
      <c r="R679" s="141"/>
      <c r="S679" s="141"/>
    </row>
    <row r="680">
      <c r="A680" s="141"/>
      <c r="B680" s="141"/>
      <c r="C680" s="184"/>
      <c r="D680" s="92"/>
      <c r="E680" s="92"/>
      <c r="F680" s="141"/>
      <c r="G680" s="141"/>
      <c r="H680" s="141"/>
      <c r="I680" s="141"/>
      <c r="J680" s="141"/>
      <c r="K680" s="141"/>
      <c r="L680" s="141"/>
      <c r="M680" s="141"/>
      <c r="N680" s="141"/>
      <c r="O680" s="141"/>
      <c r="P680" s="141"/>
      <c r="Q680" s="141"/>
      <c r="R680" s="141"/>
      <c r="S680" s="141"/>
    </row>
    <row r="681">
      <c r="A681" s="141"/>
      <c r="B681" s="141"/>
      <c r="C681" s="184"/>
      <c r="D681" s="92"/>
      <c r="E681" s="92"/>
      <c r="F681" s="141"/>
      <c r="G681" s="141"/>
      <c r="H681" s="141"/>
      <c r="I681" s="141"/>
      <c r="J681" s="141"/>
      <c r="K681" s="141"/>
      <c r="L681" s="141"/>
      <c r="M681" s="141"/>
      <c r="N681" s="141"/>
      <c r="O681" s="141"/>
      <c r="P681" s="141"/>
      <c r="Q681" s="141"/>
      <c r="R681" s="141"/>
      <c r="S681" s="141"/>
    </row>
    <row r="682">
      <c r="A682" s="141"/>
      <c r="B682" s="141"/>
      <c r="C682" s="141"/>
      <c r="D682" s="92"/>
      <c r="E682" s="92"/>
      <c r="F682" s="141"/>
      <c r="G682" s="141"/>
      <c r="H682" s="141"/>
      <c r="I682" s="141"/>
      <c r="J682" s="141"/>
      <c r="K682" s="141"/>
      <c r="L682" s="141"/>
      <c r="M682" s="141"/>
      <c r="N682" s="141"/>
      <c r="O682" s="141"/>
      <c r="P682" s="141"/>
      <c r="Q682" s="141"/>
      <c r="R682" s="141"/>
      <c r="S682" s="141"/>
    </row>
    <row r="683">
      <c r="A683" s="141"/>
      <c r="B683" s="141"/>
      <c r="C683" s="184"/>
      <c r="D683" s="92"/>
      <c r="E683" s="92"/>
      <c r="F683" s="141"/>
      <c r="G683" s="141"/>
      <c r="H683" s="141"/>
      <c r="I683" s="141"/>
      <c r="J683" s="141"/>
      <c r="K683" s="141"/>
      <c r="L683" s="141"/>
      <c r="M683" s="141"/>
      <c r="N683" s="141"/>
      <c r="O683" s="141"/>
      <c r="P683" s="141"/>
      <c r="Q683" s="141"/>
      <c r="R683" s="141"/>
      <c r="S683" s="141"/>
    </row>
    <row r="684">
      <c r="A684" s="141"/>
      <c r="B684" s="141"/>
      <c r="C684" s="184"/>
      <c r="D684" s="92"/>
      <c r="E684" s="92"/>
      <c r="F684" s="141"/>
      <c r="G684" s="141"/>
      <c r="H684" s="141"/>
      <c r="I684" s="141"/>
      <c r="J684" s="141"/>
      <c r="K684" s="141"/>
      <c r="L684" s="141"/>
      <c r="M684" s="141"/>
      <c r="N684" s="141"/>
      <c r="O684" s="141"/>
      <c r="P684" s="141"/>
      <c r="Q684" s="141"/>
      <c r="R684" s="141"/>
      <c r="S684" s="141"/>
    </row>
    <row r="685">
      <c r="A685" s="141"/>
      <c r="B685" s="141"/>
      <c r="C685" s="184"/>
      <c r="D685" s="92"/>
      <c r="E685" s="92"/>
      <c r="F685" s="141"/>
      <c r="G685" s="141"/>
      <c r="H685" s="141"/>
      <c r="I685" s="141"/>
      <c r="J685" s="141"/>
      <c r="K685" s="141"/>
      <c r="L685" s="141"/>
      <c r="M685" s="141"/>
      <c r="N685" s="141"/>
      <c r="O685" s="141"/>
      <c r="P685" s="141"/>
      <c r="Q685" s="141"/>
      <c r="R685" s="141"/>
      <c r="S685" s="141"/>
    </row>
    <row r="686">
      <c r="A686" s="141"/>
      <c r="B686" s="141"/>
      <c r="C686" s="184"/>
      <c r="D686" s="92"/>
      <c r="E686" s="92"/>
      <c r="F686" s="141"/>
      <c r="G686" s="141"/>
      <c r="H686" s="141"/>
      <c r="I686" s="141"/>
      <c r="J686" s="141"/>
      <c r="K686" s="141"/>
      <c r="L686" s="141"/>
      <c r="M686" s="141"/>
      <c r="N686" s="141"/>
      <c r="O686" s="141"/>
      <c r="P686" s="141"/>
      <c r="Q686" s="141"/>
      <c r="R686" s="141"/>
      <c r="S686" s="141"/>
    </row>
    <row r="687">
      <c r="A687" s="141"/>
      <c r="B687" s="141"/>
      <c r="C687" s="184"/>
      <c r="D687" s="92"/>
      <c r="E687" s="92"/>
      <c r="F687" s="141"/>
      <c r="G687" s="141"/>
      <c r="H687" s="141"/>
      <c r="I687" s="141"/>
      <c r="J687" s="141"/>
      <c r="K687" s="141"/>
      <c r="L687" s="141"/>
      <c r="M687" s="141"/>
      <c r="N687" s="141"/>
      <c r="O687" s="141"/>
      <c r="P687" s="141"/>
      <c r="Q687" s="141"/>
      <c r="R687" s="141"/>
      <c r="S687" s="141"/>
    </row>
    <row r="688">
      <c r="A688" s="141"/>
      <c r="B688" s="141"/>
      <c r="C688" s="184"/>
      <c r="D688" s="92"/>
      <c r="E688" s="92"/>
      <c r="F688" s="141"/>
      <c r="G688" s="141"/>
      <c r="H688" s="141"/>
      <c r="I688" s="141"/>
      <c r="J688" s="141"/>
      <c r="K688" s="141"/>
      <c r="L688" s="141"/>
      <c r="M688" s="141"/>
      <c r="N688" s="141"/>
      <c r="O688" s="141"/>
      <c r="P688" s="141"/>
      <c r="Q688" s="141"/>
      <c r="R688" s="141"/>
      <c r="S688" s="141"/>
    </row>
    <row r="689">
      <c r="A689" s="141"/>
      <c r="B689" s="141"/>
      <c r="C689" s="141"/>
      <c r="D689" s="92"/>
      <c r="E689" s="92"/>
      <c r="F689" s="141"/>
      <c r="G689" s="141"/>
      <c r="H689" s="141"/>
      <c r="I689" s="141"/>
      <c r="J689" s="141"/>
      <c r="K689" s="141"/>
      <c r="L689" s="141"/>
      <c r="M689" s="141"/>
      <c r="N689" s="141"/>
      <c r="O689" s="141"/>
      <c r="P689" s="141"/>
      <c r="Q689" s="141"/>
      <c r="R689" s="141"/>
      <c r="S689" s="141"/>
    </row>
    <row r="690">
      <c r="A690" s="141"/>
      <c r="B690" s="141"/>
      <c r="C690" s="184"/>
      <c r="D690" s="92"/>
      <c r="E690" s="92"/>
      <c r="F690" s="141"/>
      <c r="G690" s="141"/>
      <c r="H690" s="141"/>
      <c r="I690" s="141"/>
      <c r="J690" s="141"/>
      <c r="K690" s="141"/>
      <c r="L690" s="141"/>
      <c r="M690" s="141"/>
      <c r="N690" s="141"/>
      <c r="O690" s="141"/>
      <c r="P690" s="141"/>
      <c r="Q690" s="141"/>
      <c r="R690" s="141"/>
      <c r="S690" s="141"/>
    </row>
    <row r="691">
      <c r="A691" s="141"/>
      <c r="B691" s="141"/>
      <c r="C691" s="184"/>
      <c r="D691" s="92"/>
      <c r="E691" s="92"/>
      <c r="F691" s="141"/>
      <c r="G691" s="141"/>
      <c r="H691" s="141"/>
      <c r="I691" s="141"/>
      <c r="J691" s="141"/>
      <c r="K691" s="141"/>
      <c r="L691" s="141"/>
      <c r="M691" s="141"/>
      <c r="N691" s="141"/>
      <c r="O691" s="141"/>
      <c r="P691" s="141"/>
      <c r="Q691" s="141"/>
      <c r="R691" s="141"/>
      <c r="S691" s="141"/>
    </row>
    <row r="692">
      <c r="A692" s="141"/>
      <c r="B692" s="141"/>
      <c r="C692" s="184"/>
      <c r="D692" s="92"/>
      <c r="E692" s="92"/>
      <c r="F692" s="141"/>
      <c r="G692" s="141"/>
      <c r="H692" s="141"/>
      <c r="I692" s="141"/>
      <c r="J692" s="141"/>
      <c r="K692" s="141"/>
      <c r="L692" s="141"/>
      <c r="M692" s="141"/>
      <c r="N692" s="141"/>
      <c r="O692" s="141"/>
      <c r="P692" s="141"/>
      <c r="Q692" s="141"/>
      <c r="R692" s="141"/>
      <c r="S692" s="141"/>
    </row>
    <row r="693">
      <c r="A693" s="141"/>
      <c r="B693" s="141"/>
      <c r="C693" s="141"/>
      <c r="D693" s="92"/>
      <c r="E693" s="92"/>
      <c r="F693" s="141"/>
      <c r="G693" s="141"/>
      <c r="H693" s="141"/>
      <c r="I693" s="141"/>
      <c r="J693" s="141"/>
      <c r="K693" s="141"/>
      <c r="L693" s="141"/>
      <c r="M693" s="141"/>
      <c r="N693" s="141"/>
      <c r="O693" s="141"/>
      <c r="P693" s="141"/>
      <c r="Q693" s="141"/>
      <c r="R693" s="141"/>
      <c r="S693" s="141"/>
    </row>
    <row r="694">
      <c r="A694" s="141"/>
      <c r="B694" s="141"/>
      <c r="C694" s="184"/>
      <c r="D694" s="92"/>
      <c r="E694" s="92"/>
      <c r="F694" s="141"/>
      <c r="G694" s="141"/>
      <c r="H694" s="141"/>
      <c r="I694" s="141"/>
      <c r="J694" s="141"/>
      <c r="K694" s="141"/>
      <c r="L694" s="141"/>
      <c r="M694" s="141"/>
      <c r="N694" s="141"/>
      <c r="O694" s="141"/>
      <c r="P694" s="141"/>
      <c r="Q694" s="141"/>
      <c r="R694" s="141"/>
      <c r="S694" s="141"/>
    </row>
    <row r="695">
      <c r="A695" s="141"/>
      <c r="B695" s="141"/>
      <c r="C695" s="184"/>
      <c r="D695" s="92"/>
      <c r="E695" s="92"/>
      <c r="F695" s="141"/>
      <c r="G695" s="141"/>
      <c r="H695" s="141"/>
      <c r="I695" s="141"/>
      <c r="J695" s="141"/>
      <c r="K695" s="141"/>
      <c r="L695" s="141"/>
      <c r="M695" s="141"/>
      <c r="N695" s="141"/>
      <c r="O695" s="141"/>
      <c r="P695" s="141"/>
      <c r="Q695" s="141"/>
      <c r="R695" s="141"/>
      <c r="S695" s="141"/>
    </row>
    <row r="696">
      <c r="A696" s="141"/>
      <c r="B696" s="141"/>
      <c r="C696" s="184"/>
      <c r="D696" s="92"/>
      <c r="E696" s="92"/>
      <c r="F696" s="141"/>
      <c r="G696" s="141"/>
      <c r="H696" s="141"/>
      <c r="I696" s="141"/>
      <c r="J696" s="141"/>
      <c r="K696" s="141"/>
      <c r="L696" s="141"/>
      <c r="M696" s="141"/>
      <c r="N696" s="141"/>
      <c r="O696" s="141"/>
      <c r="P696" s="141"/>
      <c r="Q696" s="141"/>
      <c r="R696" s="141"/>
      <c r="S696" s="141"/>
    </row>
    <row r="697">
      <c r="A697" s="141"/>
      <c r="B697" s="141"/>
      <c r="C697" s="184"/>
      <c r="D697" s="92"/>
      <c r="E697" s="92"/>
      <c r="F697" s="141"/>
      <c r="G697" s="141"/>
      <c r="H697" s="141"/>
      <c r="I697" s="141"/>
      <c r="J697" s="141"/>
      <c r="K697" s="141"/>
      <c r="L697" s="141"/>
      <c r="M697" s="141"/>
      <c r="N697" s="141"/>
      <c r="O697" s="141"/>
      <c r="P697" s="141"/>
      <c r="Q697" s="141"/>
      <c r="R697" s="141"/>
      <c r="S697" s="141"/>
    </row>
    <row r="698">
      <c r="A698" s="141"/>
      <c r="B698" s="141"/>
      <c r="C698" s="184"/>
      <c r="D698" s="92"/>
      <c r="E698" s="92"/>
      <c r="F698" s="141"/>
      <c r="G698" s="141"/>
      <c r="H698" s="141"/>
      <c r="I698" s="141"/>
      <c r="J698" s="141"/>
      <c r="K698" s="141"/>
      <c r="L698" s="141"/>
      <c r="M698" s="141"/>
      <c r="N698" s="141"/>
      <c r="O698" s="141"/>
      <c r="P698" s="141"/>
      <c r="Q698" s="141"/>
      <c r="R698" s="141"/>
      <c r="S698" s="141"/>
    </row>
    <row r="699">
      <c r="A699" s="141"/>
      <c r="B699" s="141"/>
      <c r="C699" s="184"/>
      <c r="D699" s="92"/>
      <c r="E699" s="92"/>
      <c r="F699" s="141"/>
      <c r="G699" s="141"/>
      <c r="H699" s="141"/>
      <c r="I699" s="141"/>
      <c r="J699" s="141"/>
      <c r="K699" s="141"/>
      <c r="L699" s="141"/>
      <c r="M699" s="141"/>
      <c r="N699" s="141"/>
      <c r="O699" s="141"/>
      <c r="P699" s="141"/>
      <c r="Q699" s="141"/>
      <c r="R699" s="141"/>
      <c r="S699" s="141"/>
    </row>
    <row r="700">
      <c r="A700" s="141"/>
      <c r="B700" s="141"/>
      <c r="C700" s="184"/>
      <c r="D700" s="92"/>
      <c r="E700" s="92"/>
      <c r="F700" s="141"/>
      <c r="G700" s="141"/>
      <c r="H700" s="141"/>
      <c r="I700" s="141"/>
      <c r="J700" s="141"/>
      <c r="K700" s="141"/>
      <c r="L700" s="141"/>
      <c r="M700" s="141"/>
      <c r="N700" s="141"/>
      <c r="O700" s="141"/>
      <c r="P700" s="141"/>
      <c r="Q700" s="141"/>
      <c r="R700" s="141"/>
      <c r="S700" s="141"/>
    </row>
    <row r="701">
      <c r="A701" s="141"/>
      <c r="B701" s="141"/>
      <c r="C701" s="184"/>
      <c r="D701" s="92"/>
      <c r="E701" s="92"/>
      <c r="F701" s="141"/>
      <c r="G701" s="141"/>
      <c r="H701" s="141"/>
      <c r="I701" s="141"/>
      <c r="J701" s="141"/>
      <c r="K701" s="141"/>
      <c r="L701" s="141"/>
      <c r="M701" s="141"/>
      <c r="N701" s="141"/>
      <c r="O701" s="141"/>
      <c r="P701" s="141"/>
      <c r="Q701" s="141"/>
      <c r="R701" s="141"/>
      <c r="S701" s="141"/>
    </row>
    <row r="702">
      <c r="A702" s="141"/>
      <c r="B702" s="141"/>
      <c r="C702" s="184"/>
      <c r="D702" s="92"/>
      <c r="E702" s="92"/>
      <c r="F702" s="141"/>
      <c r="G702" s="141"/>
      <c r="H702" s="141"/>
      <c r="I702" s="141"/>
      <c r="J702" s="141"/>
      <c r="K702" s="141"/>
      <c r="L702" s="141"/>
      <c r="M702" s="141"/>
      <c r="N702" s="141"/>
      <c r="O702" s="141"/>
      <c r="P702" s="141"/>
      <c r="Q702" s="141"/>
      <c r="R702" s="141"/>
      <c r="S702" s="141"/>
    </row>
    <row r="703">
      <c r="A703" s="141"/>
      <c r="B703" s="141"/>
      <c r="C703" s="184"/>
      <c r="D703" s="92"/>
      <c r="E703" s="92"/>
      <c r="F703" s="141"/>
      <c r="G703" s="141"/>
      <c r="H703" s="141"/>
      <c r="I703" s="141"/>
      <c r="J703" s="141"/>
      <c r="K703" s="141"/>
      <c r="L703" s="141"/>
      <c r="M703" s="141"/>
      <c r="N703" s="141"/>
      <c r="O703" s="141"/>
      <c r="P703" s="141"/>
      <c r="Q703" s="141"/>
      <c r="R703" s="141"/>
      <c r="S703" s="141"/>
    </row>
    <row r="704">
      <c r="A704" s="141"/>
      <c r="B704" s="141"/>
      <c r="C704" s="184"/>
      <c r="D704" s="92"/>
      <c r="E704" s="92"/>
      <c r="F704" s="141"/>
      <c r="G704" s="141"/>
      <c r="H704" s="141"/>
      <c r="I704" s="141"/>
      <c r="J704" s="141"/>
      <c r="K704" s="141"/>
      <c r="L704" s="141"/>
      <c r="M704" s="141"/>
      <c r="N704" s="141"/>
      <c r="O704" s="141"/>
      <c r="P704" s="141"/>
      <c r="Q704" s="141"/>
      <c r="R704" s="141"/>
      <c r="S704" s="141"/>
    </row>
    <row r="705">
      <c r="A705" s="141"/>
      <c r="B705" s="141"/>
      <c r="C705" s="184"/>
      <c r="D705" s="92"/>
      <c r="E705" s="92"/>
      <c r="F705" s="141"/>
      <c r="G705" s="141"/>
      <c r="H705" s="141"/>
      <c r="I705" s="141"/>
      <c r="J705" s="141"/>
      <c r="K705" s="141"/>
      <c r="L705" s="141"/>
      <c r="M705" s="141"/>
      <c r="N705" s="141"/>
      <c r="O705" s="141"/>
      <c r="P705" s="141"/>
      <c r="Q705" s="141"/>
      <c r="R705" s="141"/>
      <c r="S705" s="141"/>
    </row>
    <row r="706">
      <c r="A706" s="141"/>
      <c r="B706" s="141"/>
      <c r="C706" s="184"/>
      <c r="D706" s="92"/>
      <c r="E706" s="92"/>
      <c r="F706" s="141"/>
      <c r="G706" s="141"/>
      <c r="H706" s="141"/>
      <c r="I706" s="141"/>
      <c r="J706" s="141"/>
      <c r="K706" s="141"/>
      <c r="L706" s="141"/>
      <c r="M706" s="141"/>
      <c r="N706" s="141"/>
      <c r="O706" s="141"/>
      <c r="P706" s="141"/>
      <c r="Q706" s="141"/>
      <c r="R706" s="141"/>
      <c r="S706" s="141"/>
    </row>
    <row r="707">
      <c r="A707" s="141"/>
      <c r="B707" s="141"/>
      <c r="C707" s="184"/>
      <c r="D707" s="92"/>
      <c r="E707" s="92"/>
      <c r="F707" s="141"/>
      <c r="G707" s="141"/>
      <c r="H707" s="141"/>
      <c r="I707" s="141"/>
      <c r="J707" s="141"/>
      <c r="K707" s="141"/>
      <c r="L707" s="141"/>
      <c r="M707" s="141"/>
      <c r="N707" s="141"/>
      <c r="O707" s="141"/>
      <c r="P707" s="141"/>
      <c r="Q707" s="141"/>
      <c r="R707" s="141"/>
      <c r="S707" s="141"/>
    </row>
    <row r="708">
      <c r="A708" s="141"/>
      <c r="B708" s="141"/>
      <c r="C708" s="141"/>
      <c r="D708" s="92"/>
      <c r="E708" s="92"/>
      <c r="F708" s="141"/>
      <c r="G708" s="141"/>
      <c r="H708" s="141"/>
      <c r="I708" s="141"/>
      <c r="J708" s="141"/>
      <c r="K708" s="141"/>
      <c r="L708" s="141"/>
      <c r="M708" s="141"/>
      <c r="N708" s="141"/>
      <c r="O708" s="141"/>
      <c r="P708" s="141"/>
      <c r="Q708" s="141"/>
      <c r="R708" s="141"/>
      <c r="S708" s="141"/>
    </row>
    <row r="709">
      <c r="A709" s="141"/>
      <c r="B709" s="141"/>
      <c r="C709" s="184"/>
      <c r="D709" s="92"/>
      <c r="E709" s="92"/>
      <c r="F709" s="141"/>
      <c r="G709" s="141"/>
      <c r="H709" s="141"/>
      <c r="I709" s="141"/>
      <c r="J709" s="141"/>
      <c r="K709" s="141"/>
      <c r="L709" s="141"/>
      <c r="M709" s="141"/>
      <c r="N709" s="141"/>
      <c r="O709" s="141"/>
      <c r="P709" s="141"/>
      <c r="Q709" s="141"/>
      <c r="R709" s="141"/>
      <c r="S709" s="141"/>
    </row>
    <row r="710">
      <c r="A710" s="141"/>
      <c r="B710" s="141"/>
      <c r="C710" s="184"/>
      <c r="D710" s="92"/>
      <c r="E710" s="92"/>
      <c r="F710" s="141"/>
      <c r="G710" s="141"/>
      <c r="H710" s="141"/>
      <c r="I710" s="141"/>
      <c r="J710" s="141"/>
      <c r="K710" s="141"/>
      <c r="L710" s="141"/>
      <c r="M710" s="141"/>
      <c r="N710" s="141"/>
      <c r="O710" s="141"/>
      <c r="P710" s="141"/>
      <c r="Q710" s="141"/>
      <c r="R710" s="141"/>
      <c r="S710" s="141"/>
    </row>
    <row r="711">
      <c r="A711" s="141"/>
      <c r="B711" s="141"/>
      <c r="C711" s="184"/>
      <c r="D711" s="92"/>
      <c r="E711" s="92"/>
      <c r="F711" s="141"/>
      <c r="G711" s="141"/>
      <c r="H711" s="141"/>
      <c r="I711" s="141"/>
      <c r="J711" s="141"/>
      <c r="K711" s="141"/>
      <c r="L711" s="141"/>
      <c r="M711" s="141"/>
      <c r="N711" s="141"/>
      <c r="O711" s="141"/>
      <c r="P711" s="141"/>
      <c r="Q711" s="141"/>
      <c r="R711" s="141"/>
      <c r="S711" s="141"/>
    </row>
    <row r="712">
      <c r="A712" s="141"/>
      <c r="B712" s="141"/>
      <c r="C712" s="184"/>
      <c r="D712" s="92"/>
      <c r="E712" s="92"/>
      <c r="F712" s="141"/>
      <c r="G712" s="141"/>
      <c r="H712" s="141"/>
      <c r="I712" s="141"/>
      <c r="J712" s="141"/>
      <c r="K712" s="141"/>
      <c r="L712" s="141"/>
      <c r="M712" s="141"/>
      <c r="N712" s="141"/>
      <c r="O712" s="141"/>
      <c r="P712" s="141"/>
      <c r="Q712" s="141"/>
      <c r="R712" s="141"/>
      <c r="S712" s="141"/>
    </row>
    <row r="713">
      <c r="A713" s="141"/>
      <c r="B713" s="141"/>
      <c r="C713" s="184"/>
      <c r="D713" s="92"/>
      <c r="E713" s="92"/>
      <c r="F713" s="141"/>
      <c r="G713" s="141"/>
      <c r="H713" s="141"/>
      <c r="I713" s="141"/>
      <c r="J713" s="141"/>
      <c r="K713" s="141"/>
      <c r="L713" s="141"/>
      <c r="M713" s="141"/>
      <c r="N713" s="141"/>
      <c r="O713" s="141"/>
      <c r="P713" s="141"/>
      <c r="Q713" s="141"/>
      <c r="R713" s="141"/>
      <c r="S713" s="141"/>
    </row>
    <row r="714">
      <c r="A714" s="141"/>
      <c r="B714" s="141"/>
      <c r="C714" s="184"/>
      <c r="D714" s="92"/>
      <c r="E714" s="92"/>
      <c r="F714" s="141"/>
      <c r="G714" s="141"/>
      <c r="H714" s="141"/>
      <c r="I714" s="141"/>
      <c r="J714" s="141"/>
      <c r="K714" s="141"/>
      <c r="L714" s="141"/>
      <c r="M714" s="141"/>
      <c r="N714" s="141"/>
      <c r="O714" s="141"/>
      <c r="P714" s="141"/>
      <c r="Q714" s="141"/>
      <c r="R714" s="141"/>
      <c r="S714" s="141"/>
    </row>
    <row r="715">
      <c r="A715" s="141"/>
      <c r="B715" s="141"/>
      <c r="C715" s="184"/>
      <c r="D715" s="92"/>
      <c r="E715" s="92"/>
      <c r="F715" s="141"/>
      <c r="G715" s="141"/>
      <c r="H715" s="141"/>
      <c r="I715" s="141"/>
      <c r="J715" s="141"/>
      <c r="K715" s="141"/>
      <c r="L715" s="141"/>
      <c r="M715" s="141"/>
      <c r="N715" s="141"/>
      <c r="O715" s="141"/>
      <c r="P715" s="141"/>
      <c r="Q715" s="141"/>
      <c r="R715" s="141"/>
      <c r="S715" s="141"/>
    </row>
    <row r="716">
      <c r="A716" s="141"/>
      <c r="B716" s="141"/>
      <c r="C716" s="184"/>
      <c r="D716" s="92"/>
      <c r="E716" s="92"/>
      <c r="F716" s="141"/>
      <c r="G716" s="141"/>
      <c r="H716" s="141"/>
      <c r="I716" s="141"/>
      <c r="J716" s="141"/>
      <c r="K716" s="141"/>
      <c r="L716" s="141"/>
      <c r="M716" s="141"/>
      <c r="N716" s="141"/>
      <c r="O716" s="141"/>
      <c r="P716" s="141"/>
      <c r="Q716" s="141"/>
      <c r="R716" s="141"/>
      <c r="S716" s="141"/>
    </row>
    <row r="717">
      <c r="A717" s="141"/>
      <c r="B717" s="141"/>
      <c r="C717" s="184"/>
      <c r="D717" s="92"/>
      <c r="E717" s="92"/>
      <c r="F717" s="141"/>
      <c r="G717" s="141"/>
      <c r="H717" s="141"/>
      <c r="I717" s="141"/>
      <c r="J717" s="141"/>
      <c r="K717" s="141"/>
      <c r="L717" s="141"/>
      <c r="M717" s="141"/>
      <c r="N717" s="141"/>
      <c r="O717" s="141"/>
      <c r="P717" s="141"/>
      <c r="Q717" s="141"/>
      <c r="R717" s="141"/>
      <c r="S717" s="141"/>
    </row>
    <row r="718">
      <c r="A718" s="141"/>
      <c r="B718" s="141"/>
      <c r="C718" s="184"/>
      <c r="D718" s="92"/>
      <c r="E718" s="92"/>
      <c r="F718" s="141"/>
      <c r="G718" s="141"/>
      <c r="H718" s="141"/>
      <c r="I718" s="141"/>
      <c r="J718" s="141"/>
      <c r="K718" s="141"/>
      <c r="L718" s="141"/>
      <c r="M718" s="141"/>
      <c r="N718" s="141"/>
      <c r="O718" s="141"/>
      <c r="P718" s="141"/>
      <c r="Q718" s="141"/>
      <c r="R718" s="141"/>
      <c r="S718" s="141"/>
    </row>
    <row r="719">
      <c r="A719" s="141"/>
      <c r="B719" s="141"/>
      <c r="C719" s="184"/>
      <c r="D719" s="92"/>
      <c r="E719" s="92"/>
      <c r="F719" s="141"/>
      <c r="G719" s="141"/>
      <c r="H719" s="141"/>
      <c r="I719" s="141"/>
      <c r="J719" s="141"/>
      <c r="K719" s="141"/>
      <c r="L719" s="141"/>
      <c r="M719" s="141"/>
      <c r="N719" s="141"/>
      <c r="O719" s="141"/>
      <c r="P719" s="141"/>
      <c r="Q719" s="141"/>
      <c r="R719" s="141"/>
      <c r="S719" s="141"/>
    </row>
    <row r="720">
      <c r="A720" s="141"/>
      <c r="B720" s="141"/>
      <c r="C720" s="141"/>
      <c r="D720" s="92"/>
      <c r="E720" s="92"/>
      <c r="F720" s="141"/>
      <c r="G720" s="141"/>
      <c r="H720" s="141"/>
      <c r="I720" s="141"/>
      <c r="J720" s="141"/>
      <c r="K720" s="141"/>
      <c r="L720" s="141"/>
      <c r="M720" s="141"/>
      <c r="N720" s="141"/>
      <c r="O720" s="141"/>
      <c r="P720" s="141"/>
      <c r="Q720" s="141"/>
      <c r="R720" s="141"/>
      <c r="S720" s="141"/>
    </row>
    <row r="721">
      <c r="A721" s="141"/>
      <c r="B721" s="141"/>
      <c r="C721" s="184"/>
      <c r="D721" s="92"/>
      <c r="E721" s="92"/>
      <c r="F721" s="141"/>
      <c r="G721" s="141"/>
      <c r="H721" s="141"/>
      <c r="I721" s="141"/>
      <c r="J721" s="141"/>
      <c r="K721" s="141"/>
      <c r="L721" s="141"/>
      <c r="M721" s="141"/>
      <c r="N721" s="141"/>
      <c r="O721" s="141"/>
      <c r="P721" s="141"/>
      <c r="Q721" s="141"/>
      <c r="R721" s="141"/>
      <c r="S721" s="141"/>
    </row>
    <row r="722">
      <c r="A722" s="141"/>
      <c r="B722" s="141"/>
      <c r="C722" s="184"/>
      <c r="D722" s="92"/>
      <c r="E722" s="92"/>
      <c r="F722" s="141"/>
      <c r="G722" s="141"/>
      <c r="H722" s="141"/>
      <c r="I722" s="141"/>
      <c r="J722" s="141"/>
      <c r="K722" s="141"/>
      <c r="L722" s="141"/>
      <c r="M722" s="141"/>
      <c r="N722" s="141"/>
      <c r="O722" s="141"/>
      <c r="P722" s="141"/>
      <c r="Q722" s="141"/>
      <c r="R722" s="141"/>
      <c r="S722" s="141"/>
    </row>
    <row r="723">
      <c r="A723" s="141"/>
      <c r="B723" s="141"/>
      <c r="C723" s="184"/>
      <c r="D723" s="92"/>
      <c r="E723" s="92"/>
      <c r="F723" s="141"/>
      <c r="G723" s="141"/>
      <c r="H723" s="141"/>
      <c r="I723" s="141"/>
      <c r="J723" s="141"/>
      <c r="K723" s="141"/>
      <c r="L723" s="141"/>
      <c r="M723" s="141"/>
      <c r="N723" s="141"/>
      <c r="O723" s="141"/>
      <c r="P723" s="141"/>
      <c r="Q723" s="141"/>
      <c r="R723" s="141"/>
      <c r="S723" s="141"/>
    </row>
    <row r="724">
      <c r="A724" s="141"/>
      <c r="B724" s="141"/>
      <c r="C724" s="184"/>
      <c r="D724" s="92"/>
      <c r="E724" s="92"/>
      <c r="F724" s="141"/>
      <c r="G724" s="141"/>
      <c r="H724" s="141"/>
      <c r="I724" s="141"/>
      <c r="J724" s="141"/>
      <c r="K724" s="141"/>
      <c r="L724" s="141"/>
      <c r="M724" s="141"/>
      <c r="N724" s="141"/>
      <c r="O724" s="141"/>
      <c r="P724" s="141"/>
      <c r="Q724" s="141"/>
      <c r="R724" s="141"/>
      <c r="S724" s="141"/>
    </row>
    <row r="725">
      <c r="A725" s="141"/>
      <c r="B725" s="141"/>
      <c r="C725" s="184"/>
      <c r="D725" s="92"/>
      <c r="E725" s="92"/>
      <c r="F725" s="141"/>
      <c r="G725" s="141"/>
      <c r="H725" s="141"/>
      <c r="I725" s="141"/>
      <c r="J725" s="141"/>
      <c r="K725" s="141"/>
      <c r="L725" s="141"/>
      <c r="M725" s="141"/>
      <c r="N725" s="141"/>
      <c r="O725" s="141"/>
      <c r="P725" s="141"/>
      <c r="Q725" s="141"/>
      <c r="R725" s="141"/>
      <c r="S725" s="141"/>
    </row>
    <row r="726">
      <c r="A726" s="141"/>
      <c r="B726" s="141"/>
      <c r="C726" s="184"/>
      <c r="D726" s="92"/>
      <c r="E726" s="92"/>
      <c r="F726" s="141"/>
      <c r="G726" s="141"/>
      <c r="H726" s="141"/>
      <c r="I726" s="141"/>
      <c r="J726" s="141"/>
      <c r="K726" s="141"/>
      <c r="L726" s="141"/>
      <c r="M726" s="141"/>
      <c r="N726" s="141"/>
      <c r="O726" s="141"/>
      <c r="P726" s="141"/>
      <c r="Q726" s="141"/>
      <c r="R726" s="141"/>
      <c r="S726" s="141"/>
    </row>
    <row r="727">
      <c r="A727" s="141"/>
      <c r="B727" s="141"/>
      <c r="C727" s="184"/>
      <c r="D727" s="92"/>
      <c r="E727" s="92"/>
      <c r="F727" s="141"/>
      <c r="G727" s="141"/>
      <c r="H727" s="141"/>
      <c r="I727" s="141"/>
      <c r="J727" s="141"/>
      <c r="K727" s="141"/>
      <c r="L727" s="141"/>
      <c r="M727" s="141"/>
      <c r="N727" s="141"/>
      <c r="O727" s="141"/>
      <c r="P727" s="141"/>
      <c r="Q727" s="141"/>
      <c r="R727" s="141"/>
      <c r="S727" s="141"/>
    </row>
    <row r="728">
      <c r="A728" s="141"/>
      <c r="B728" s="141"/>
      <c r="C728" s="184"/>
      <c r="D728" s="92"/>
      <c r="E728" s="92"/>
      <c r="F728" s="141"/>
      <c r="G728" s="141"/>
      <c r="H728" s="141"/>
      <c r="I728" s="141"/>
      <c r="J728" s="141"/>
      <c r="K728" s="141"/>
      <c r="L728" s="141"/>
      <c r="M728" s="141"/>
      <c r="N728" s="141"/>
      <c r="O728" s="141"/>
      <c r="P728" s="141"/>
      <c r="Q728" s="141"/>
      <c r="R728" s="141"/>
      <c r="S728" s="141"/>
    </row>
    <row r="729">
      <c r="A729" s="141"/>
      <c r="B729" s="141"/>
      <c r="C729" s="184"/>
      <c r="D729" s="92"/>
      <c r="E729" s="92"/>
      <c r="F729" s="141"/>
      <c r="G729" s="141"/>
      <c r="H729" s="141"/>
      <c r="I729" s="141"/>
      <c r="J729" s="141"/>
      <c r="K729" s="141"/>
      <c r="L729" s="141"/>
      <c r="M729" s="141"/>
      <c r="N729" s="141"/>
      <c r="O729" s="141"/>
      <c r="P729" s="141"/>
      <c r="Q729" s="141"/>
      <c r="R729" s="141"/>
      <c r="S729" s="141"/>
    </row>
    <row r="730">
      <c r="A730" s="141"/>
      <c r="B730" s="141"/>
      <c r="C730" s="184"/>
      <c r="D730" s="92"/>
      <c r="E730" s="92"/>
      <c r="F730" s="141"/>
      <c r="G730" s="141"/>
      <c r="H730" s="141"/>
      <c r="I730" s="141"/>
      <c r="J730" s="141"/>
      <c r="K730" s="141"/>
      <c r="L730" s="141"/>
      <c r="M730" s="141"/>
      <c r="N730" s="141"/>
      <c r="O730" s="141"/>
      <c r="P730" s="141"/>
      <c r="Q730" s="141"/>
      <c r="R730" s="141"/>
      <c r="S730" s="141"/>
    </row>
    <row r="731">
      <c r="A731" s="141"/>
      <c r="B731" s="141"/>
      <c r="C731" s="184"/>
      <c r="D731" s="92"/>
      <c r="E731" s="92"/>
      <c r="F731" s="141"/>
      <c r="G731" s="141"/>
      <c r="H731" s="141"/>
      <c r="I731" s="141"/>
      <c r="J731" s="141"/>
      <c r="K731" s="141"/>
      <c r="L731" s="141"/>
      <c r="M731" s="141"/>
      <c r="N731" s="141"/>
      <c r="O731" s="141"/>
      <c r="P731" s="141"/>
      <c r="Q731" s="141"/>
      <c r="R731" s="141"/>
      <c r="S731" s="141"/>
    </row>
    <row r="732">
      <c r="A732" s="141"/>
      <c r="B732" s="141"/>
      <c r="C732" s="141"/>
      <c r="D732" s="92"/>
      <c r="E732" s="92"/>
      <c r="F732" s="141"/>
      <c r="G732" s="141"/>
      <c r="H732" s="141"/>
      <c r="I732" s="141"/>
      <c r="J732" s="141"/>
      <c r="K732" s="141"/>
      <c r="L732" s="141"/>
      <c r="M732" s="141"/>
      <c r="N732" s="141"/>
      <c r="O732" s="141"/>
      <c r="P732" s="141"/>
      <c r="Q732" s="141"/>
      <c r="R732" s="141"/>
      <c r="S732" s="141"/>
    </row>
    <row r="733">
      <c r="A733" s="141"/>
      <c r="B733" s="141"/>
      <c r="C733" s="184"/>
      <c r="D733" s="92"/>
      <c r="E733" s="92"/>
      <c r="F733" s="141"/>
      <c r="G733" s="141"/>
      <c r="H733" s="141"/>
      <c r="I733" s="141"/>
      <c r="J733" s="141"/>
      <c r="K733" s="141"/>
      <c r="L733" s="141"/>
      <c r="M733" s="141"/>
      <c r="N733" s="141"/>
      <c r="O733" s="141"/>
      <c r="P733" s="141"/>
      <c r="Q733" s="141"/>
      <c r="R733" s="141"/>
      <c r="S733" s="141"/>
    </row>
    <row r="734">
      <c r="A734" s="141"/>
      <c r="B734" s="141"/>
      <c r="C734" s="184"/>
      <c r="D734" s="92"/>
      <c r="E734" s="92"/>
      <c r="F734" s="141"/>
      <c r="G734" s="141"/>
      <c r="H734" s="141"/>
      <c r="I734" s="141"/>
      <c r="J734" s="141"/>
      <c r="K734" s="141"/>
      <c r="L734" s="141"/>
      <c r="M734" s="141"/>
      <c r="N734" s="141"/>
      <c r="O734" s="141"/>
      <c r="P734" s="141"/>
      <c r="Q734" s="141"/>
      <c r="R734" s="141"/>
      <c r="S734" s="141"/>
    </row>
    <row r="735">
      <c r="A735" s="141"/>
      <c r="B735" s="141"/>
      <c r="C735" s="184"/>
      <c r="D735" s="92"/>
      <c r="E735" s="92"/>
      <c r="F735" s="141"/>
      <c r="G735" s="141"/>
      <c r="H735" s="141"/>
      <c r="I735" s="141"/>
      <c r="J735" s="141"/>
      <c r="K735" s="141"/>
      <c r="L735" s="141"/>
      <c r="M735" s="141"/>
      <c r="N735" s="141"/>
      <c r="O735" s="141"/>
      <c r="P735" s="141"/>
      <c r="Q735" s="141"/>
      <c r="R735" s="141"/>
      <c r="S735" s="141"/>
    </row>
    <row r="736">
      <c r="A736" s="141"/>
      <c r="B736" s="141"/>
      <c r="C736" s="184"/>
      <c r="D736" s="92"/>
      <c r="E736" s="92"/>
      <c r="F736" s="141"/>
      <c r="G736" s="141"/>
      <c r="H736" s="141"/>
      <c r="I736" s="141"/>
      <c r="J736" s="141"/>
      <c r="K736" s="141"/>
      <c r="L736" s="141"/>
      <c r="M736" s="141"/>
      <c r="N736" s="141"/>
      <c r="O736" s="141"/>
      <c r="P736" s="141"/>
      <c r="Q736" s="141"/>
      <c r="R736" s="141"/>
      <c r="S736" s="141"/>
    </row>
    <row r="737">
      <c r="A737" s="141"/>
      <c r="B737" s="141"/>
      <c r="C737" s="184"/>
      <c r="D737" s="92"/>
      <c r="E737" s="92"/>
      <c r="F737" s="141"/>
      <c r="G737" s="141"/>
      <c r="H737" s="141"/>
      <c r="I737" s="141"/>
      <c r="J737" s="141"/>
      <c r="K737" s="141"/>
      <c r="L737" s="141"/>
      <c r="M737" s="141"/>
      <c r="N737" s="141"/>
      <c r="O737" s="141"/>
      <c r="P737" s="141"/>
      <c r="Q737" s="141"/>
      <c r="R737" s="141"/>
      <c r="S737" s="141"/>
    </row>
    <row r="738">
      <c r="A738" s="141"/>
      <c r="B738" s="141"/>
      <c r="C738" s="184"/>
      <c r="D738" s="92"/>
      <c r="E738" s="92"/>
      <c r="F738" s="141"/>
      <c r="G738" s="141"/>
      <c r="H738" s="141"/>
      <c r="I738" s="141"/>
      <c r="J738" s="141"/>
      <c r="K738" s="141"/>
      <c r="L738" s="141"/>
      <c r="M738" s="141"/>
      <c r="N738" s="141"/>
      <c r="O738" s="141"/>
      <c r="P738" s="141"/>
      <c r="Q738" s="141"/>
      <c r="R738" s="141"/>
      <c r="S738" s="141"/>
    </row>
    <row r="739">
      <c r="A739" s="141"/>
      <c r="B739" s="141"/>
      <c r="C739" s="184"/>
      <c r="D739" s="92"/>
      <c r="E739" s="92"/>
      <c r="F739" s="141"/>
      <c r="G739" s="141"/>
      <c r="H739" s="141"/>
      <c r="I739" s="141"/>
      <c r="J739" s="141"/>
      <c r="K739" s="141"/>
      <c r="L739" s="141"/>
      <c r="M739" s="141"/>
      <c r="N739" s="141"/>
      <c r="O739" s="141"/>
      <c r="P739" s="141"/>
      <c r="Q739" s="141"/>
      <c r="R739" s="141"/>
      <c r="S739" s="141"/>
    </row>
    <row r="740">
      <c r="A740" s="141"/>
      <c r="B740" s="141"/>
      <c r="C740" s="184"/>
      <c r="D740" s="92"/>
      <c r="E740" s="92"/>
      <c r="F740" s="141"/>
      <c r="G740" s="141"/>
      <c r="H740" s="141"/>
      <c r="I740" s="141"/>
      <c r="J740" s="141"/>
      <c r="K740" s="141"/>
      <c r="L740" s="141"/>
      <c r="M740" s="141"/>
      <c r="N740" s="141"/>
      <c r="O740" s="141"/>
      <c r="P740" s="141"/>
      <c r="Q740" s="141"/>
      <c r="R740" s="141"/>
      <c r="S740" s="141"/>
    </row>
    <row r="741">
      <c r="A741" s="141"/>
      <c r="B741" s="141"/>
      <c r="C741" s="184"/>
      <c r="D741" s="92"/>
      <c r="E741" s="92"/>
      <c r="F741" s="141"/>
      <c r="G741" s="141"/>
      <c r="H741" s="141"/>
      <c r="I741" s="141"/>
      <c r="J741" s="141"/>
      <c r="K741" s="141"/>
      <c r="L741" s="141"/>
      <c r="M741" s="141"/>
      <c r="N741" s="141"/>
      <c r="O741" s="141"/>
      <c r="P741" s="141"/>
      <c r="Q741" s="141"/>
      <c r="R741" s="141"/>
      <c r="S741" s="141"/>
    </row>
    <row r="742">
      <c r="A742" s="141"/>
      <c r="B742" s="141"/>
      <c r="C742" s="184"/>
      <c r="D742" s="92"/>
      <c r="E742" s="92"/>
      <c r="F742" s="141"/>
      <c r="G742" s="141"/>
      <c r="H742" s="141"/>
      <c r="I742" s="141"/>
      <c r="J742" s="141"/>
      <c r="K742" s="141"/>
      <c r="L742" s="141"/>
      <c r="M742" s="141"/>
      <c r="N742" s="141"/>
      <c r="O742" s="141"/>
      <c r="P742" s="141"/>
      <c r="Q742" s="141"/>
      <c r="R742" s="141"/>
      <c r="S742" s="141"/>
    </row>
    <row r="743">
      <c r="A743" s="141"/>
      <c r="B743" s="141"/>
      <c r="C743" s="184"/>
      <c r="D743" s="92"/>
      <c r="E743" s="92"/>
      <c r="F743" s="141"/>
      <c r="G743" s="141"/>
      <c r="H743" s="141"/>
      <c r="I743" s="141"/>
      <c r="J743" s="141"/>
      <c r="K743" s="141"/>
      <c r="L743" s="141"/>
      <c r="M743" s="141"/>
      <c r="N743" s="141"/>
      <c r="O743" s="141"/>
      <c r="P743" s="141"/>
      <c r="Q743" s="141"/>
      <c r="R743" s="141"/>
      <c r="S743" s="141"/>
    </row>
    <row r="744">
      <c r="A744" s="141"/>
      <c r="B744" s="141"/>
      <c r="C744" s="184"/>
      <c r="D744" s="92"/>
      <c r="E744" s="92"/>
      <c r="F744" s="141"/>
      <c r="G744" s="141"/>
      <c r="H744" s="141"/>
      <c r="I744" s="141"/>
      <c r="J744" s="141"/>
      <c r="K744" s="141"/>
      <c r="L744" s="141"/>
      <c r="M744" s="141"/>
      <c r="N744" s="141"/>
      <c r="O744" s="141"/>
      <c r="P744" s="141"/>
      <c r="Q744" s="141"/>
      <c r="R744" s="141"/>
      <c r="S744" s="141"/>
    </row>
    <row r="745">
      <c r="A745" s="141"/>
      <c r="B745" s="141"/>
      <c r="C745" s="141"/>
      <c r="D745" s="92"/>
      <c r="E745" s="92"/>
      <c r="F745" s="141"/>
      <c r="G745" s="141"/>
      <c r="H745" s="141"/>
      <c r="I745" s="141"/>
      <c r="J745" s="141"/>
      <c r="K745" s="141"/>
      <c r="L745" s="141"/>
      <c r="M745" s="141"/>
      <c r="N745" s="141"/>
      <c r="O745" s="141"/>
      <c r="P745" s="141"/>
      <c r="Q745" s="141"/>
      <c r="R745" s="141"/>
      <c r="S745" s="141"/>
    </row>
    <row r="746">
      <c r="A746" s="141"/>
      <c r="B746" s="141"/>
      <c r="C746" s="184"/>
      <c r="D746" s="92"/>
      <c r="E746" s="92"/>
      <c r="F746" s="141"/>
      <c r="G746" s="141"/>
      <c r="H746" s="141"/>
      <c r="I746" s="141"/>
      <c r="J746" s="141"/>
      <c r="K746" s="141"/>
      <c r="L746" s="141"/>
      <c r="M746" s="141"/>
      <c r="N746" s="141"/>
      <c r="O746" s="141"/>
      <c r="P746" s="141"/>
      <c r="Q746" s="141"/>
      <c r="R746" s="141"/>
      <c r="S746" s="141"/>
    </row>
    <row r="747">
      <c r="A747" s="141"/>
      <c r="B747" s="141"/>
      <c r="C747" s="184"/>
      <c r="D747" s="92"/>
      <c r="E747" s="92"/>
      <c r="F747" s="141"/>
      <c r="G747" s="141"/>
      <c r="H747" s="141"/>
      <c r="I747" s="141"/>
      <c r="J747" s="141"/>
      <c r="K747" s="141"/>
      <c r="L747" s="141"/>
      <c r="M747" s="141"/>
      <c r="N747" s="141"/>
      <c r="O747" s="141"/>
      <c r="P747" s="141"/>
      <c r="Q747" s="141"/>
      <c r="R747" s="141"/>
      <c r="S747" s="141"/>
    </row>
    <row r="748">
      <c r="A748" s="141"/>
      <c r="B748" s="141"/>
      <c r="C748" s="184"/>
      <c r="D748" s="92"/>
      <c r="E748" s="92"/>
      <c r="F748" s="141"/>
      <c r="G748" s="141"/>
      <c r="H748" s="141"/>
      <c r="I748" s="141"/>
      <c r="J748" s="141"/>
      <c r="K748" s="141"/>
      <c r="L748" s="141"/>
      <c r="M748" s="141"/>
      <c r="N748" s="141"/>
      <c r="O748" s="141"/>
      <c r="P748" s="141"/>
      <c r="Q748" s="141"/>
      <c r="R748" s="141"/>
      <c r="S748" s="141"/>
    </row>
    <row r="749">
      <c r="A749" s="141"/>
      <c r="B749" s="141"/>
      <c r="C749" s="184"/>
      <c r="D749" s="92"/>
      <c r="E749" s="92"/>
      <c r="F749" s="141"/>
      <c r="G749" s="141"/>
      <c r="H749" s="141"/>
      <c r="I749" s="141"/>
      <c r="J749" s="141"/>
      <c r="K749" s="141"/>
      <c r="L749" s="141"/>
      <c r="M749" s="141"/>
      <c r="N749" s="141"/>
      <c r="O749" s="141"/>
      <c r="P749" s="141"/>
      <c r="Q749" s="141"/>
      <c r="R749" s="141"/>
      <c r="S749" s="141"/>
    </row>
    <row r="750">
      <c r="A750" s="141"/>
      <c r="B750" s="141"/>
      <c r="C750" s="184"/>
      <c r="D750" s="92"/>
      <c r="E750" s="92"/>
      <c r="F750" s="141"/>
      <c r="G750" s="141"/>
      <c r="H750" s="141"/>
      <c r="I750" s="141"/>
      <c r="J750" s="141"/>
      <c r="K750" s="141"/>
      <c r="L750" s="141"/>
      <c r="M750" s="141"/>
      <c r="N750" s="141"/>
      <c r="O750" s="141"/>
      <c r="P750" s="141"/>
      <c r="Q750" s="141"/>
      <c r="R750" s="141"/>
      <c r="S750" s="141"/>
    </row>
    <row r="751">
      <c r="A751" s="141"/>
      <c r="B751" s="141"/>
      <c r="C751" s="141"/>
      <c r="D751" s="92"/>
      <c r="E751" s="92"/>
      <c r="F751" s="141"/>
      <c r="G751" s="141"/>
      <c r="H751" s="141"/>
      <c r="I751" s="141"/>
      <c r="J751" s="141"/>
      <c r="K751" s="141"/>
      <c r="L751" s="141"/>
      <c r="M751" s="141"/>
      <c r="N751" s="141"/>
      <c r="O751" s="141"/>
      <c r="P751" s="141"/>
      <c r="Q751" s="141"/>
      <c r="R751" s="141"/>
      <c r="S751" s="141"/>
    </row>
    <row r="752">
      <c r="A752" s="141"/>
      <c r="B752" s="141"/>
      <c r="C752" s="141"/>
      <c r="D752" s="92"/>
      <c r="E752" s="92"/>
      <c r="F752" s="141"/>
      <c r="G752" s="141"/>
      <c r="H752" s="141"/>
      <c r="I752" s="141"/>
      <c r="J752" s="141"/>
      <c r="K752" s="141"/>
      <c r="L752" s="141"/>
      <c r="M752" s="141"/>
      <c r="N752" s="141"/>
      <c r="O752" s="141"/>
      <c r="P752" s="141"/>
      <c r="Q752" s="141"/>
      <c r="R752" s="141"/>
      <c r="S752" s="141"/>
    </row>
    <row r="753">
      <c r="A753" s="141"/>
      <c r="B753" s="141"/>
      <c r="C753" s="141"/>
      <c r="D753" s="92"/>
      <c r="E753" s="92"/>
      <c r="F753" s="141"/>
      <c r="G753" s="141"/>
      <c r="H753" s="141"/>
      <c r="I753" s="141"/>
      <c r="J753" s="141"/>
      <c r="K753" s="141"/>
      <c r="L753" s="141"/>
      <c r="M753" s="141"/>
      <c r="N753" s="141"/>
      <c r="O753" s="141"/>
      <c r="P753" s="141"/>
      <c r="Q753" s="141"/>
      <c r="R753" s="141"/>
      <c r="S753" s="141"/>
    </row>
    <row r="754">
      <c r="A754" s="141"/>
      <c r="B754" s="141"/>
      <c r="C754" s="141"/>
      <c r="D754" s="92"/>
      <c r="E754" s="92"/>
      <c r="F754" s="141"/>
      <c r="G754" s="141"/>
      <c r="H754" s="141"/>
      <c r="I754" s="141"/>
      <c r="J754" s="141"/>
      <c r="K754" s="141"/>
      <c r="L754" s="141"/>
      <c r="M754" s="141"/>
      <c r="N754" s="141"/>
      <c r="O754" s="141"/>
      <c r="P754" s="141"/>
      <c r="Q754" s="141"/>
      <c r="R754" s="141"/>
      <c r="S754" s="141"/>
    </row>
    <row r="755">
      <c r="A755" s="141"/>
      <c r="B755" s="141"/>
      <c r="C755" s="141"/>
      <c r="D755" s="92"/>
      <c r="E755" s="92"/>
      <c r="F755" s="141"/>
      <c r="G755" s="141"/>
      <c r="H755" s="141"/>
      <c r="I755" s="141"/>
      <c r="J755" s="141"/>
      <c r="K755" s="141"/>
      <c r="L755" s="141"/>
      <c r="M755" s="141"/>
      <c r="N755" s="141"/>
      <c r="O755" s="141"/>
      <c r="P755" s="141"/>
      <c r="Q755" s="141"/>
      <c r="R755" s="141"/>
      <c r="S755" s="141"/>
    </row>
    <row r="756">
      <c r="A756" s="141"/>
      <c r="B756" s="141"/>
      <c r="C756" s="141"/>
      <c r="D756" s="92"/>
      <c r="E756" s="92"/>
      <c r="F756" s="141"/>
      <c r="G756" s="141"/>
      <c r="H756" s="141"/>
      <c r="I756" s="141"/>
      <c r="J756" s="141"/>
      <c r="K756" s="141"/>
      <c r="L756" s="141"/>
      <c r="M756" s="141"/>
      <c r="N756" s="141"/>
      <c r="O756" s="141"/>
      <c r="P756" s="141"/>
      <c r="Q756" s="141"/>
      <c r="R756" s="141"/>
      <c r="S756" s="141"/>
    </row>
    <row r="757">
      <c r="A757" s="141"/>
      <c r="B757" s="141"/>
      <c r="C757" s="141"/>
      <c r="D757" s="92"/>
      <c r="E757" s="92"/>
      <c r="F757" s="141"/>
      <c r="G757" s="141"/>
      <c r="H757" s="141"/>
      <c r="I757" s="141"/>
      <c r="J757" s="141"/>
      <c r="K757" s="141"/>
      <c r="L757" s="141"/>
      <c r="M757" s="141"/>
      <c r="N757" s="141"/>
      <c r="O757" s="141"/>
      <c r="P757" s="141"/>
      <c r="Q757" s="141"/>
      <c r="R757" s="141"/>
      <c r="S757" s="141"/>
    </row>
    <row r="758">
      <c r="A758" s="141"/>
      <c r="B758" s="141"/>
      <c r="C758" s="141"/>
      <c r="D758" s="92"/>
      <c r="E758" s="92"/>
      <c r="F758" s="141"/>
      <c r="G758" s="141"/>
      <c r="H758" s="141"/>
      <c r="I758" s="141"/>
      <c r="J758" s="141"/>
      <c r="K758" s="141"/>
      <c r="L758" s="141"/>
      <c r="M758" s="141"/>
      <c r="N758" s="141"/>
      <c r="O758" s="141"/>
      <c r="P758" s="141"/>
      <c r="Q758" s="141"/>
      <c r="R758" s="141"/>
      <c r="S758" s="141"/>
    </row>
    <row r="759">
      <c r="A759" s="141"/>
      <c r="B759" s="141"/>
      <c r="C759" s="141"/>
      <c r="D759" s="92"/>
      <c r="E759" s="92"/>
      <c r="F759" s="141"/>
      <c r="G759" s="141"/>
      <c r="H759" s="141"/>
      <c r="I759" s="141"/>
      <c r="J759" s="141"/>
      <c r="K759" s="141"/>
      <c r="L759" s="141"/>
      <c r="M759" s="141"/>
      <c r="N759" s="141"/>
      <c r="O759" s="141"/>
      <c r="P759" s="141"/>
      <c r="Q759" s="141"/>
      <c r="R759" s="141"/>
      <c r="S759" s="141"/>
    </row>
    <row r="760">
      <c r="A760" s="141"/>
      <c r="B760" s="141"/>
      <c r="C760" s="141"/>
      <c r="D760" s="92"/>
      <c r="E760" s="92"/>
      <c r="F760" s="141"/>
      <c r="G760" s="141"/>
      <c r="H760" s="141"/>
      <c r="I760" s="141"/>
      <c r="J760" s="141"/>
      <c r="K760" s="141"/>
      <c r="L760" s="141"/>
      <c r="M760" s="141"/>
      <c r="N760" s="141"/>
      <c r="O760" s="141"/>
      <c r="P760" s="141"/>
      <c r="Q760" s="141"/>
      <c r="R760" s="141"/>
      <c r="S760" s="141"/>
    </row>
    <row r="761">
      <c r="A761" s="141"/>
      <c r="B761" s="141"/>
      <c r="C761" s="141"/>
      <c r="D761" s="92"/>
      <c r="E761" s="92"/>
      <c r="F761" s="141"/>
      <c r="G761" s="141"/>
      <c r="H761" s="141"/>
      <c r="I761" s="141"/>
      <c r="J761" s="141"/>
      <c r="K761" s="141"/>
      <c r="L761" s="141"/>
      <c r="M761" s="141"/>
      <c r="N761" s="141"/>
      <c r="O761" s="141"/>
      <c r="P761" s="141"/>
      <c r="Q761" s="141"/>
      <c r="R761" s="141"/>
      <c r="S761" s="141"/>
    </row>
    <row r="762">
      <c r="A762" s="141"/>
      <c r="B762" s="141"/>
      <c r="C762" s="141"/>
      <c r="D762" s="92"/>
      <c r="E762" s="92"/>
      <c r="F762" s="141"/>
      <c r="G762" s="141"/>
      <c r="H762" s="141"/>
      <c r="I762" s="141"/>
      <c r="J762" s="141"/>
      <c r="K762" s="141"/>
      <c r="L762" s="141"/>
      <c r="M762" s="141"/>
      <c r="N762" s="141"/>
      <c r="O762" s="141"/>
      <c r="P762" s="141"/>
      <c r="Q762" s="141"/>
      <c r="R762" s="141"/>
      <c r="S762" s="141"/>
    </row>
    <row r="763">
      <c r="A763" s="141"/>
      <c r="B763" s="141"/>
      <c r="C763" s="141"/>
      <c r="D763" s="92"/>
      <c r="E763" s="92"/>
      <c r="F763" s="141"/>
      <c r="G763" s="141"/>
      <c r="H763" s="141"/>
      <c r="I763" s="141"/>
      <c r="J763" s="141"/>
      <c r="K763" s="141"/>
      <c r="L763" s="141"/>
      <c r="M763" s="141"/>
      <c r="N763" s="141"/>
      <c r="O763" s="141"/>
      <c r="P763" s="141"/>
      <c r="Q763" s="141"/>
      <c r="R763" s="141"/>
      <c r="S763" s="141"/>
    </row>
    <row r="764">
      <c r="A764" s="141"/>
      <c r="B764" s="141"/>
      <c r="C764" s="141"/>
      <c r="D764" s="92"/>
      <c r="E764" s="92"/>
      <c r="F764" s="141"/>
      <c r="G764" s="141"/>
      <c r="H764" s="141"/>
      <c r="I764" s="141"/>
      <c r="J764" s="141"/>
      <c r="K764" s="141"/>
      <c r="L764" s="141"/>
      <c r="M764" s="141"/>
      <c r="N764" s="141"/>
      <c r="O764" s="141"/>
      <c r="P764" s="141"/>
      <c r="Q764" s="141"/>
      <c r="R764" s="141"/>
      <c r="S764" s="141"/>
    </row>
    <row r="765">
      <c r="A765" s="141"/>
      <c r="B765" s="141"/>
      <c r="C765" s="141"/>
      <c r="D765" s="92"/>
      <c r="E765" s="92"/>
      <c r="F765" s="141"/>
      <c r="G765" s="141"/>
      <c r="H765" s="141"/>
      <c r="I765" s="141"/>
      <c r="J765" s="141"/>
      <c r="K765" s="141"/>
      <c r="L765" s="141"/>
      <c r="M765" s="141"/>
      <c r="N765" s="141"/>
      <c r="O765" s="141"/>
      <c r="P765" s="141"/>
      <c r="Q765" s="141"/>
      <c r="R765" s="141"/>
      <c r="S765" s="141"/>
    </row>
    <row r="766">
      <c r="A766" s="141"/>
      <c r="B766" s="141"/>
      <c r="C766" s="141"/>
      <c r="D766" s="92"/>
      <c r="E766" s="92"/>
      <c r="F766" s="141"/>
      <c r="G766" s="141"/>
      <c r="H766" s="141"/>
      <c r="I766" s="141"/>
      <c r="J766" s="141"/>
      <c r="K766" s="141"/>
      <c r="L766" s="141"/>
      <c r="M766" s="141"/>
      <c r="N766" s="141"/>
      <c r="O766" s="141"/>
      <c r="P766" s="141"/>
      <c r="Q766" s="141"/>
      <c r="R766" s="141"/>
      <c r="S766" s="141"/>
    </row>
    <row r="767">
      <c r="A767" s="141"/>
      <c r="B767" s="141"/>
      <c r="C767" s="141"/>
      <c r="D767" s="92"/>
      <c r="E767" s="92"/>
      <c r="F767" s="141"/>
      <c r="G767" s="141"/>
      <c r="H767" s="141"/>
      <c r="I767" s="141"/>
      <c r="J767" s="141"/>
      <c r="K767" s="141"/>
      <c r="L767" s="141"/>
      <c r="M767" s="141"/>
      <c r="N767" s="141"/>
      <c r="O767" s="141"/>
      <c r="P767" s="141"/>
      <c r="Q767" s="141"/>
      <c r="R767" s="141"/>
      <c r="S767" s="141"/>
    </row>
    <row r="768">
      <c r="A768" s="141"/>
      <c r="B768" s="141"/>
      <c r="C768" s="141"/>
      <c r="D768" s="92"/>
      <c r="E768" s="92"/>
      <c r="F768" s="141"/>
      <c r="G768" s="141"/>
      <c r="H768" s="141"/>
      <c r="I768" s="141"/>
      <c r="J768" s="141"/>
      <c r="K768" s="141"/>
      <c r="L768" s="141"/>
      <c r="M768" s="141"/>
      <c r="N768" s="141"/>
      <c r="O768" s="141"/>
      <c r="P768" s="141"/>
      <c r="Q768" s="141"/>
      <c r="R768" s="141"/>
      <c r="S768" s="141"/>
    </row>
    <row r="769">
      <c r="A769" s="141"/>
      <c r="B769" s="141"/>
      <c r="C769" s="141"/>
      <c r="D769" s="92"/>
      <c r="E769" s="92"/>
      <c r="F769" s="141"/>
      <c r="G769" s="141"/>
      <c r="H769" s="141"/>
      <c r="I769" s="141"/>
      <c r="J769" s="141"/>
      <c r="K769" s="141"/>
      <c r="L769" s="141"/>
      <c r="M769" s="141"/>
      <c r="N769" s="141"/>
      <c r="O769" s="141"/>
      <c r="P769" s="141"/>
      <c r="Q769" s="141"/>
      <c r="R769" s="141"/>
      <c r="S769" s="141"/>
    </row>
    <row r="770">
      <c r="A770" s="141"/>
      <c r="B770" s="141"/>
      <c r="C770" s="141"/>
      <c r="D770" s="92"/>
      <c r="E770" s="92"/>
      <c r="F770" s="141"/>
      <c r="G770" s="141"/>
      <c r="H770" s="141"/>
      <c r="I770" s="141"/>
      <c r="J770" s="141"/>
      <c r="K770" s="141"/>
      <c r="L770" s="141"/>
      <c r="M770" s="141"/>
      <c r="N770" s="141"/>
      <c r="O770" s="141"/>
      <c r="P770" s="141"/>
      <c r="Q770" s="141"/>
      <c r="R770" s="141"/>
      <c r="S770" s="141"/>
    </row>
    <row r="771">
      <c r="A771" s="141"/>
      <c r="B771" s="141"/>
      <c r="C771" s="141"/>
      <c r="D771" s="92"/>
      <c r="E771" s="92"/>
      <c r="F771" s="141"/>
      <c r="G771" s="141"/>
      <c r="H771" s="141"/>
      <c r="I771" s="141"/>
      <c r="J771" s="141"/>
      <c r="K771" s="141"/>
      <c r="L771" s="141"/>
      <c r="M771" s="141"/>
      <c r="N771" s="141"/>
      <c r="O771" s="141"/>
      <c r="P771" s="141"/>
      <c r="Q771" s="141"/>
      <c r="R771" s="141"/>
      <c r="S771" s="141"/>
    </row>
    <row r="772">
      <c r="A772" s="141"/>
      <c r="B772" s="141"/>
      <c r="C772" s="141"/>
      <c r="D772" s="92"/>
      <c r="E772" s="92"/>
      <c r="F772" s="141"/>
      <c r="G772" s="141"/>
      <c r="H772" s="141"/>
      <c r="I772" s="141"/>
      <c r="J772" s="141"/>
      <c r="K772" s="141"/>
      <c r="L772" s="141"/>
      <c r="M772" s="141"/>
      <c r="N772" s="141"/>
      <c r="O772" s="141"/>
      <c r="P772" s="141"/>
      <c r="Q772" s="141"/>
      <c r="R772" s="141"/>
      <c r="S772" s="141"/>
    </row>
    <row r="773">
      <c r="A773" s="141"/>
      <c r="B773" s="141"/>
      <c r="C773" s="141"/>
      <c r="D773" s="92"/>
      <c r="E773" s="92"/>
      <c r="F773" s="141"/>
      <c r="G773" s="141"/>
      <c r="H773" s="141"/>
      <c r="I773" s="141"/>
      <c r="J773" s="141"/>
      <c r="K773" s="141"/>
      <c r="L773" s="141"/>
      <c r="M773" s="141"/>
      <c r="N773" s="141"/>
      <c r="O773" s="141"/>
      <c r="P773" s="141"/>
      <c r="Q773" s="141"/>
      <c r="R773" s="141"/>
      <c r="S773" s="141"/>
    </row>
    <row r="774">
      <c r="A774" s="141"/>
      <c r="B774" s="141"/>
      <c r="C774" s="141"/>
      <c r="D774" s="92"/>
      <c r="E774" s="92"/>
      <c r="F774" s="141"/>
      <c r="G774" s="141"/>
      <c r="H774" s="141"/>
      <c r="I774" s="141"/>
      <c r="J774" s="141"/>
      <c r="K774" s="141"/>
      <c r="L774" s="141"/>
      <c r="M774" s="141"/>
      <c r="N774" s="141"/>
      <c r="O774" s="141"/>
      <c r="P774" s="141"/>
      <c r="Q774" s="141"/>
      <c r="R774" s="141"/>
      <c r="S774" s="141"/>
    </row>
    <row r="775">
      <c r="A775" s="141"/>
      <c r="B775" s="141"/>
      <c r="C775" s="141"/>
      <c r="D775" s="92"/>
      <c r="E775" s="92"/>
      <c r="F775" s="141"/>
      <c r="G775" s="141"/>
      <c r="H775" s="141"/>
      <c r="I775" s="141"/>
      <c r="J775" s="141"/>
      <c r="K775" s="141"/>
      <c r="L775" s="141"/>
      <c r="M775" s="141"/>
      <c r="N775" s="141"/>
      <c r="O775" s="141"/>
      <c r="P775" s="141"/>
      <c r="Q775" s="141"/>
      <c r="R775" s="141"/>
      <c r="S775" s="141"/>
    </row>
    <row r="776">
      <c r="A776" s="141"/>
      <c r="B776" s="141"/>
      <c r="C776" s="141"/>
      <c r="D776" s="92"/>
      <c r="E776" s="92"/>
      <c r="F776" s="141"/>
      <c r="G776" s="141"/>
      <c r="H776" s="141"/>
      <c r="I776" s="141"/>
      <c r="J776" s="141"/>
      <c r="K776" s="141"/>
      <c r="L776" s="141"/>
      <c r="M776" s="141"/>
      <c r="N776" s="141"/>
      <c r="O776" s="141"/>
      <c r="P776" s="141"/>
      <c r="Q776" s="141"/>
      <c r="R776" s="141"/>
      <c r="S776" s="141"/>
    </row>
    <row r="777">
      <c r="A777" s="141"/>
      <c r="B777" s="141"/>
      <c r="C777" s="141"/>
      <c r="D777" s="92"/>
      <c r="E777" s="92"/>
      <c r="F777" s="141"/>
      <c r="G777" s="141"/>
      <c r="H777" s="141"/>
      <c r="I777" s="141"/>
      <c r="J777" s="141"/>
      <c r="K777" s="141"/>
      <c r="L777" s="141"/>
      <c r="M777" s="141"/>
      <c r="N777" s="141"/>
      <c r="O777" s="141"/>
      <c r="P777" s="141"/>
      <c r="Q777" s="141"/>
      <c r="R777" s="141"/>
      <c r="S777" s="141"/>
    </row>
    <row r="778">
      <c r="A778" s="141"/>
      <c r="B778" s="141"/>
      <c r="C778" s="141"/>
      <c r="D778" s="92"/>
      <c r="E778" s="92"/>
      <c r="F778" s="141"/>
      <c r="G778" s="141"/>
      <c r="H778" s="141"/>
      <c r="I778" s="141"/>
      <c r="J778" s="141"/>
      <c r="K778" s="141"/>
      <c r="L778" s="141"/>
      <c r="M778" s="141"/>
      <c r="N778" s="141"/>
      <c r="O778" s="141"/>
      <c r="P778" s="141"/>
      <c r="Q778" s="141"/>
      <c r="R778" s="141"/>
      <c r="S778" s="141"/>
    </row>
    <row r="779">
      <c r="A779" s="141"/>
      <c r="B779" s="141"/>
      <c r="C779" s="141"/>
      <c r="D779" s="92"/>
      <c r="E779" s="92"/>
      <c r="F779" s="141"/>
      <c r="G779" s="141"/>
      <c r="H779" s="141"/>
      <c r="I779" s="141"/>
      <c r="J779" s="141"/>
      <c r="K779" s="141"/>
      <c r="L779" s="141"/>
      <c r="M779" s="141"/>
      <c r="N779" s="141"/>
      <c r="O779" s="141"/>
      <c r="P779" s="141"/>
      <c r="Q779" s="141"/>
      <c r="R779" s="141"/>
      <c r="S779" s="141"/>
    </row>
    <row r="780">
      <c r="A780" s="141"/>
      <c r="B780" s="141"/>
      <c r="C780" s="141"/>
      <c r="D780" s="92"/>
      <c r="E780" s="92"/>
      <c r="F780" s="141"/>
      <c r="G780" s="141"/>
      <c r="H780" s="141"/>
      <c r="I780" s="141"/>
      <c r="J780" s="141"/>
      <c r="K780" s="141"/>
      <c r="L780" s="141"/>
      <c r="M780" s="141"/>
      <c r="N780" s="141"/>
      <c r="O780" s="141"/>
      <c r="P780" s="141"/>
      <c r="Q780" s="141"/>
      <c r="R780" s="141"/>
      <c r="S780" s="141"/>
    </row>
    <row r="781">
      <c r="A781" s="141"/>
      <c r="B781" s="141"/>
      <c r="C781" s="141"/>
      <c r="D781" s="92"/>
      <c r="E781" s="92"/>
      <c r="F781" s="141"/>
      <c r="G781" s="141"/>
      <c r="H781" s="141"/>
      <c r="I781" s="141"/>
      <c r="J781" s="141"/>
      <c r="K781" s="141"/>
      <c r="L781" s="141"/>
      <c r="M781" s="141"/>
      <c r="N781" s="141"/>
      <c r="O781" s="141"/>
      <c r="P781" s="141"/>
      <c r="Q781" s="141"/>
      <c r="R781" s="141"/>
      <c r="S781" s="141"/>
    </row>
    <row r="782">
      <c r="A782" s="141"/>
      <c r="B782" s="141"/>
      <c r="C782" s="141"/>
      <c r="D782" s="92"/>
      <c r="E782" s="92"/>
      <c r="F782" s="141"/>
      <c r="G782" s="141"/>
      <c r="H782" s="141"/>
      <c r="I782" s="141"/>
      <c r="J782" s="141"/>
      <c r="K782" s="141"/>
      <c r="L782" s="141"/>
      <c r="M782" s="141"/>
      <c r="N782" s="141"/>
      <c r="O782" s="141"/>
      <c r="P782" s="141"/>
      <c r="Q782" s="141"/>
      <c r="R782" s="141"/>
      <c r="S782" s="141"/>
    </row>
    <row r="783">
      <c r="A783" s="141"/>
      <c r="B783" s="141"/>
      <c r="C783" s="141"/>
      <c r="D783" s="92"/>
      <c r="E783" s="92"/>
      <c r="F783" s="141"/>
      <c r="G783" s="141"/>
      <c r="H783" s="141"/>
      <c r="I783" s="141"/>
      <c r="J783" s="141"/>
      <c r="K783" s="141"/>
      <c r="L783" s="141"/>
      <c r="M783" s="141"/>
      <c r="N783" s="141"/>
      <c r="O783" s="141"/>
      <c r="P783" s="141"/>
      <c r="Q783" s="141"/>
      <c r="R783" s="141"/>
      <c r="S783" s="141"/>
    </row>
    <row r="784">
      <c r="A784" s="141"/>
      <c r="B784" s="141"/>
      <c r="C784" s="141"/>
      <c r="D784" s="92"/>
      <c r="E784" s="92"/>
      <c r="F784" s="141"/>
      <c r="G784" s="141"/>
      <c r="H784" s="141"/>
      <c r="I784" s="141"/>
      <c r="J784" s="141"/>
      <c r="K784" s="141"/>
      <c r="L784" s="141"/>
      <c r="M784" s="141"/>
      <c r="N784" s="141"/>
      <c r="O784" s="141"/>
      <c r="P784" s="141"/>
      <c r="Q784" s="141"/>
      <c r="R784" s="141"/>
      <c r="S784" s="141"/>
    </row>
    <row r="785">
      <c r="A785" s="141"/>
      <c r="B785" s="141"/>
      <c r="C785" s="141"/>
      <c r="D785" s="92"/>
      <c r="E785" s="92"/>
      <c r="F785" s="141"/>
      <c r="G785" s="141"/>
      <c r="H785" s="141"/>
      <c r="I785" s="141"/>
      <c r="J785" s="141"/>
      <c r="K785" s="141"/>
      <c r="L785" s="141"/>
      <c r="M785" s="141"/>
      <c r="N785" s="141"/>
      <c r="O785" s="141"/>
      <c r="P785" s="141"/>
      <c r="Q785" s="141"/>
      <c r="R785" s="141"/>
      <c r="S785" s="141"/>
    </row>
    <row r="786">
      <c r="A786" s="141"/>
      <c r="B786" s="141"/>
      <c r="C786" s="141"/>
      <c r="D786" s="92"/>
      <c r="E786" s="92"/>
      <c r="F786" s="141"/>
      <c r="G786" s="141"/>
      <c r="H786" s="141"/>
      <c r="I786" s="141"/>
      <c r="J786" s="141"/>
      <c r="K786" s="141"/>
      <c r="L786" s="141"/>
      <c r="M786" s="141"/>
      <c r="N786" s="141"/>
      <c r="O786" s="141"/>
      <c r="P786" s="141"/>
      <c r="Q786" s="141"/>
      <c r="R786" s="141"/>
      <c r="S786" s="141"/>
    </row>
    <row r="787">
      <c r="A787" s="141"/>
      <c r="B787" s="141"/>
      <c r="C787" s="141"/>
      <c r="D787" s="92"/>
      <c r="E787" s="92"/>
      <c r="F787" s="141"/>
      <c r="G787" s="141"/>
      <c r="H787" s="141"/>
      <c r="I787" s="141"/>
      <c r="J787" s="141"/>
      <c r="K787" s="141"/>
      <c r="L787" s="141"/>
      <c r="M787" s="141"/>
      <c r="N787" s="141"/>
      <c r="O787" s="141"/>
      <c r="P787" s="141"/>
      <c r="Q787" s="141"/>
      <c r="R787" s="141"/>
      <c r="S787" s="141"/>
    </row>
    <row r="788">
      <c r="A788" s="141"/>
      <c r="B788" s="141"/>
      <c r="C788" s="141"/>
      <c r="D788" s="92"/>
      <c r="E788" s="92"/>
      <c r="F788" s="141"/>
      <c r="G788" s="141"/>
      <c r="H788" s="141"/>
      <c r="I788" s="141"/>
      <c r="J788" s="141"/>
      <c r="K788" s="141"/>
      <c r="L788" s="141"/>
      <c r="M788" s="141"/>
      <c r="N788" s="141"/>
      <c r="O788" s="141"/>
      <c r="P788" s="141"/>
      <c r="Q788" s="141"/>
      <c r="R788" s="141"/>
      <c r="S788" s="141"/>
    </row>
    <row r="789">
      <c r="A789" s="141"/>
      <c r="B789" s="141"/>
      <c r="C789" s="141"/>
      <c r="D789" s="92"/>
      <c r="E789" s="92"/>
      <c r="F789" s="141"/>
      <c r="G789" s="141"/>
      <c r="H789" s="141"/>
      <c r="I789" s="141"/>
      <c r="J789" s="141"/>
      <c r="K789" s="141"/>
      <c r="L789" s="141"/>
      <c r="M789" s="141"/>
      <c r="N789" s="141"/>
      <c r="O789" s="141"/>
      <c r="P789" s="141"/>
      <c r="Q789" s="141"/>
      <c r="R789" s="141"/>
      <c r="S789" s="141"/>
    </row>
    <row r="790">
      <c r="A790" s="141"/>
      <c r="B790" s="141"/>
      <c r="C790" s="141"/>
      <c r="D790" s="92"/>
      <c r="E790" s="92"/>
      <c r="F790" s="141"/>
      <c r="G790" s="141"/>
      <c r="H790" s="141"/>
      <c r="I790" s="141"/>
      <c r="J790" s="141"/>
      <c r="K790" s="141"/>
      <c r="L790" s="141"/>
      <c r="M790" s="141"/>
      <c r="N790" s="141"/>
      <c r="O790" s="141"/>
      <c r="P790" s="141"/>
      <c r="Q790" s="141"/>
      <c r="R790" s="141"/>
      <c r="S790" s="141"/>
    </row>
    <row r="791">
      <c r="A791" s="141"/>
      <c r="B791" s="141"/>
      <c r="C791" s="141"/>
      <c r="D791" s="92"/>
      <c r="E791" s="92"/>
      <c r="F791" s="141"/>
      <c r="G791" s="141"/>
      <c r="H791" s="141"/>
      <c r="I791" s="141"/>
      <c r="J791" s="141"/>
      <c r="K791" s="141"/>
      <c r="L791" s="141"/>
      <c r="M791" s="141"/>
      <c r="N791" s="141"/>
      <c r="O791" s="141"/>
      <c r="P791" s="141"/>
      <c r="Q791" s="141"/>
      <c r="R791" s="141"/>
      <c r="S791" s="141"/>
    </row>
    <row r="792">
      <c r="A792" s="141"/>
      <c r="B792" s="141"/>
      <c r="C792" s="141"/>
      <c r="D792" s="92"/>
      <c r="E792" s="92"/>
      <c r="F792" s="141"/>
      <c r="G792" s="141"/>
      <c r="H792" s="141"/>
      <c r="I792" s="141"/>
      <c r="J792" s="141"/>
      <c r="K792" s="141"/>
      <c r="L792" s="141"/>
      <c r="M792" s="141"/>
      <c r="N792" s="141"/>
      <c r="O792" s="141"/>
      <c r="P792" s="141"/>
      <c r="Q792" s="141"/>
      <c r="R792" s="141"/>
      <c r="S792" s="141"/>
    </row>
    <row r="793">
      <c r="A793" s="141"/>
      <c r="B793" s="141"/>
      <c r="C793" s="141"/>
      <c r="D793" s="92"/>
      <c r="E793" s="92"/>
      <c r="F793" s="141"/>
      <c r="G793" s="141"/>
      <c r="H793" s="141"/>
      <c r="I793" s="141"/>
      <c r="J793" s="141"/>
      <c r="K793" s="141"/>
      <c r="L793" s="141"/>
      <c r="M793" s="141"/>
      <c r="N793" s="141"/>
      <c r="O793" s="141"/>
      <c r="P793" s="141"/>
      <c r="Q793" s="141"/>
      <c r="R793" s="141"/>
      <c r="S793" s="141"/>
    </row>
    <row r="794">
      <c r="A794" s="141"/>
      <c r="B794" s="141"/>
      <c r="C794" s="141"/>
      <c r="D794" s="92"/>
      <c r="E794" s="92"/>
      <c r="F794" s="141"/>
      <c r="G794" s="141"/>
      <c r="H794" s="141"/>
      <c r="I794" s="141"/>
      <c r="J794" s="141"/>
      <c r="K794" s="141"/>
      <c r="L794" s="141"/>
      <c r="M794" s="141"/>
      <c r="N794" s="141"/>
      <c r="O794" s="141"/>
      <c r="P794" s="141"/>
      <c r="Q794" s="141"/>
      <c r="R794" s="141"/>
      <c r="S794" s="141"/>
    </row>
    <row r="795">
      <c r="A795" s="141"/>
      <c r="B795" s="141"/>
      <c r="C795" s="141"/>
      <c r="D795" s="92"/>
      <c r="E795" s="92"/>
      <c r="F795" s="141"/>
      <c r="G795" s="141"/>
      <c r="H795" s="141"/>
      <c r="I795" s="141"/>
      <c r="J795" s="141"/>
      <c r="K795" s="141"/>
      <c r="L795" s="141"/>
      <c r="M795" s="141"/>
      <c r="N795" s="141"/>
      <c r="O795" s="141"/>
      <c r="P795" s="141"/>
      <c r="Q795" s="141"/>
      <c r="R795" s="141"/>
      <c r="S795" s="141"/>
    </row>
    <row r="796">
      <c r="A796" s="141"/>
      <c r="B796" s="141"/>
      <c r="C796" s="141"/>
      <c r="D796" s="92"/>
      <c r="E796" s="92"/>
      <c r="F796" s="141"/>
      <c r="G796" s="141"/>
      <c r="H796" s="141"/>
      <c r="I796" s="141"/>
      <c r="J796" s="141"/>
      <c r="K796" s="141"/>
      <c r="L796" s="141"/>
      <c r="M796" s="141"/>
      <c r="N796" s="141"/>
      <c r="O796" s="141"/>
      <c r="P796" s="141"/>
      <c r="Q796" s="141"/>
      <c r="R796" s="141"/>
      <c r="S796" s="141"/>
    </row>
    <row r="797">
      <c r="A797" s="141"/>
      <c r="B797" s="141"/>
      <c r="C797" s="141"/>
      <c r="D797" s="92"/>
      <c r="E797" s="92"/>
      <c r="F797" s="141"/>
      <c r="G797" s="141"/>
      <c r="H797" s="141"/>
      <c r="I797" s="141"/>
      <c r="J797" s="141"/>
      <c r="K797" s="141"/>
      <c r="L797" s="141"/>
      <c r="M797" s="141"/>
      <c r="N797" s="141"/>
      <c r="O797" s="141"/>
      <c r="P797" s="141"/>
      <c r="Q797" s="141"/>
      <c r="R797" s="141"/>
      <c r="S797" s="141"/>
    </row>
    <row r="798">
      <c r="A798" s="141"/>
      <c r="B798" s="141"/>
      <c r="C798" s="141"/>
      <c r="D798" s="92"/>
      <c r="E798" s="92"/>
      <c r="F798" s="141"/>
      <c r="G798" s="141"/>
      <c r="H798" s="141"/>
      <c r="I798" s="141"/>
      <c r="J798" s="141"/>
      <c r="K798" s="141"/>
      <c r="L798" s="141"/>
      <c r="M798" s="141"/>
      <c r="N798" s="141"/>
      <c r="O798" s="141"/>
      <c r="P798" s="141"/>
      <c r="Q798" s="141"/>
      <c r="R798" s="141"/>
      <c r="S798" s="141"/>
    </row>
    <row r="799">
      <c r="A799" s="141"/>
      <c r="B799" s="141"/>
      <c r="C799" s="141"/>
      <c r="D799" s="92"/>
      <c r="E799" s="92"/>
      <c r="F799" s="141"/>
      <c r="G799" s="141"/>
      <c r="H799" s="141"/>
      <c r="I799" s="141"/>
      <c r="J799" s="141"/>
      <c r="K799" s="141"/>
      <c r="L799" s="141"/>
      <c r="M799" s="141"/>
      <c r="N799" s="141"/>
      <c r="O799" s="141"/>
      <c r="P799" s="141"/>
      <c r="Q799" s="141"/>
      <c r="R799" s="141"/>
      <c r="S799" s="141"/>
    </row>
    <row r="800">
      <c r="A800" s="141"/>
      <c r="B800" s="141"/>
      <c r="C800" s="141"/>
      <c r="D800" s="92"/>
      <c r="E800" s="92"/>
      <c r="F800" s="141"/>
      <c r="G800" s="141"/>
      <c r="H800" s="141"/>
      <c r="I800" s="141"/>
      <c r="J800" s="141"/>
      <c r="K800" s="141"/>
      <c r="L800" s="141"/>
      <c r="M800" s="141"/>
      <c r="N800" s="141"/>
      <c r="O800" s="141"/>
      <c r="P800" s="141"/>
      <c r="Q800" s="141"/>
      <c r="R800" s="141"/>
      <c r="S800" s="141"/>
    </row>
    <row r="801">
      <c r="A801" s="141"/>
      <c r="B801" s="141"/>
      <c r="C801" s="141"/>
      <c r="D801" s="92"/>
      <c r="E801" s="92"/>
      <c r="F801" s="141"/>
      <c r="G801" s="141"/>
      <c r="H801" s="141"/>
      <c r="I801" s="141"/>
      <c r="J801" s="141"/>
      <c r="K801" s="141"/>
      <c r="L801" s="141"/>
      <c r="M801" s="141"/>
      <c r="N801" s="141"/>
      <c r="O801" s="141"/>
      <c r="P801" s="141"/>
      <c r="Q801" s="141"/>
      <c r="R801" s="141"/>
      <c r="S801" s="141"/>
    </row>
    <row r="802">
      <c r="A802" s="141"/>
      <c r="B802" s="141"/>
      <c r="C802" s="141"/>
      <c r="D802" s="92"/>
      <c r="E802" s="92"/>
      <c r="F802" s="141"/>
      <c r="G802" s="141"/>
      <c r="H802" s="141"/>
      <c r="I802" s="141"/>
      <c r="J802" s="141"/>
      <c r="K802" s="141"/>
      <c r="L802" s="141"/>
      <c r="M802" s="141"/>
      <c r="N802" s="141"/>
      <c r="O802" s="141"/>
      <c r="P802" s="141"/>
      <c r="Q802" s="141"/>
      <c r="R802" s="141"/>
      <c r="S802" s="141"/>
    </row>
    <row r="803">
      <c r="A803" s="141"/>
      <c r="B803" s="141"/>
      <c r="C803" s="141"/>
      <c r="D803" s="92"/>
      <c r="E803" s="92"/>
      <c r="F803" s="141"/>
      <c r="G803" s="141"/>
      <c r="H803" s="141"/>
      <c r="I803" s="141"/>
      <c r="J803" s="141"/>
      <c r="K803" s="141"/>
      <c r="L803" s="141"/>
      <c r="M803" s="141"/>
      <c r="N803" s="141"/>
      <c r="O803" s="141"/>
      <c r="P803" s="141"/>
      <c r="Q803" s="141"/>
      <c r="R803" s="141"/>
      <c r="S803" s="141"/>
    </row>
    <row r="804">
      <c r="A804" s="141"/>
      <c r="B804" s="141"/>
      <c r="C804" s="141"/>
      <c r="D804" s="92"/>
      <c r="E804" s="92"/>
      <c r="F804" s="141"/>
      <c r="G804" s="141"/>
      <c r="H804" s="141"/>
      <c r="I804" s="141"/>
      <c r="J804" s="141"/>
      <c r="K804" s="141"/>
      <c r="L804" s="141"/>
      <c r="M804" s="141"/>
      <c r="N804" s="141"/>
      <c r="O804" s="141"/>
      <c r="P804" s="141"/>
      <c r="Q804" s="141"/>
      <c r="R804" s="141"/>
      <c r="S804" s="141"/>
    </row>
    <row r="805">
      <c r="A805" s="141"/>
      <c r="B805" s="141"/>
      <c r="C805" s="141"/>
      <c r="D805" s="92"/>
      <c r="E805" s="92"/>
      <c r="F805" s="141"/>
      <c r="G805" s="141"/>
      <c r="H805" s="141"/>
      <c r="I805" s="141"/>
      <c r="J805" s="141"/>
      <c r="K805" s="141"/>
      <c r="L805" s="141"/>
      <c r="M805" s="141"/>
      <c r="N805" s="141"/>
      <c r="O805" s="141"/>
      <c r="P805" s="141"/>
      <c r="Q805" s="141"/>
      <c r="R805" s="141"/>
      <c r="S805" s="141"/>
    </row>
    <row r="806">
      <c r="A806" s="141"/>
      <c r="B806" s="141"/>
      <c r="C806" s="141"/>
      <c r="D806" s="92"/>
      <c r="E806" s="92"/>
      <c r="F806" s="141"/>
      <c r="G806" s="141"/>
      <c r="H806" s="141"/>
      <c r="I806" s="141"/>
      <c r="J806" s="141"/>
      <c r="K806" s="141"/>
      <c r="L806" s="141"/>
      <c r="M806" s="141"/>
      <c r="N806" s="141"/>
      <c r="O806" s="141"/>
      <c r="P806" s="141"/>
      <c r="Q806" s="141"/>
      <c r="R806" s="141"/>
      <c r="S806" s="141"/>
    </row>
    <row r="807">
      <c r="A807" s="141"/>
      <c r="B807" s="141"/>
      <c r="C807" s="141"/>
      <c r="D807" s="92"/>
      <c r="E807" s="92"/>
      <c r="F807" s="141"/>
      <c r="G807" s="141"/>
      <c r="H807" s="141"/>
      <c r="I807" s="141"/>
      <c r="J807" s="141"/>
      <c r="K807" s="141"/>
      <c r="L807" s="141"/>
      <c r="M807" s="141"/>
      <c r="N807" s="141"/>
      <c r="O807" s="141"/>
      <c r="P807" s="141"/>
      <c r="Q807" s="141"/>
      <c r="R807" s="141"/>
      <c r="S807" s="141"/>
    </row>
    <row r="808">
      <c r="A808" s="141"/>
      <c r="B808" s="141"/>
      <c r="C808" s="141"/>
      <c r="D808" s="92"/>
      <c r="E808" s="92"/>
      <c r="F808" s="141"/>
      <c r="G808" s="141"/>
      <c r="H808" s="141"/>
      <c r="I808" s="141"/>
      <c r="J808" s="141"/>
      <c r="K808" s="141"/>
      <c r="L808" s="141"/>
      <c r="M808" s="141"/>
      <c r="N808" s="141"/>
      <c r="O808" s="141"/>
      <c r="P808" s="141"/>
      <c r="Q808" s="141"/>
      <c r="R808" s="141"/>
      <c r="S808" s="141"/>
    </row>
    <row r="809">
      <c r="A809" s="141"/>
      <c r="B809" s="141"/>
      <c r="C809" s="141"/>
      <c r="D809" s="92"/>
      <c r="E809" s="92"/>
      <c r="F809" s="141"/>
      <c r="G809" s="141"/>
      <c r="H809" s="141"/>
      <c r="I809" s="141"/>
      <c r="J809" s="141"/>
      <c r="K809" s="141"/>
      <c r="L809" s="141"/>
      <c r="M809" s="141"/>
      <c r="N809" s="141"/>
      <c r="O809" s="141"/>
      <c r="P809" s="141"/>
      <c r="Q809" s="141"/>
      <c r="R809" s="141"/>
      <c r="S809" s="141"/>
    </row>
    <row r="810">
      <c r="A810" s="141"/>
      <c r="B810" s="141"/>
      <c r="C810" s="141"/>
      <c r="D810" s="92"/>
      <c r="E810" s="92"/>
      <c r="F810" s="141"/>
      <c r="G810" s="141"/>
      <c r="H810" s="141"/>
      <c r="I810" s="141"/>
      <c r="J810" s="141"/>
      <c r="K810" s="141"/>
      <c r="L810" s="141"/>
      <c r="M810" s="141"/>
      <c r="N810" s="141"/>
      <c r="O810" s="141"/>
      <c r="P810" s="141"/>
      <c r="Q810" s="141"/>
      <c r="R810" s="141"/>
      <c r="S810" s="141"/>
    </row>
    <row r="811">
      <c r="A811" s="141"/>
      <c r="B811" s="141"/>
      <c r="C811" s="141"/>
      <c r="D811" s="92"/>
      <c r="E811" s="92"/>
      <c r="F811" s="141"/>
      <c r="G811" s="141"/>
      <c r="H811" s="141"/>
      <c r="I811" s="141"/>
      <c r="J811" s="141"/>
      <c r="K811" s="141"/>
      <c r="L811" s="141"/>
      <c r="M811" s="141"/>
      <c r="N811" s="141"/>
      <c r="O811" s="141"/>
      <c r="P811" s="141"/>
      <c r="Q811" s="141"/>
      <c r="R811" s="141"/>
      <c r="S811" s="141"/>
    </row>
    <row r="812">
      <c r="A812" s="141"/>
      <c r="B812" s="141"/>
      <c r="C812" s="141"/>
      <c r="D812" s="92"/>
      <c r="E812" s="92"/>
      <c r="F812" s="141"/>
      <c r="G812" s="141"/>
      <c r="H812" s="141"/>
      <c r="I812" s="141"/>
      <c r="J812" s="141"/>
      <c r="K812" s="141"/>
      <c r="L812" s="141"/>
      <c r="M812" s="141"/>
      <c r="N812" s="141"/>
      <c r="O812" s="141"/>
      <c r="P812" s="141"/>
      <c r="Q812" s="141"/>
      <c r="R812" s="141"/>
      <c r="S812" s="141"/>
    </row>
    <row r="813">
      <c r="A813" s="141"/>
      <c r="B813" s="141"/>
      <c r="C813" s="141"/>
      <c r="D813" s="92"/>
      <c r="E813" s="92"/>
      <c r="F813" s="141"/>
      <c r="G813" s="141"/>
      <c r="H813" s="141"/>
      <c r="I813" s="141"/>
      <c r="J813" s="141"/>
      <c r="K813" s="141"/>
      <c r="L813" s="141"/>
      <c r="M813" s="141"/>
      <c r="N813" s="141"/>
      <c r="O813" s="141"/>
      <c r="P813" s="141"/>
      <c r="Q813" s="141"/>
      <c r="R813" s="141"/>
      <c r="S813" s="141"/>
    </row>
    <row r="814">
      <c r="A814" s="141"/>
      <c r="B814" s="141"/>
      <c r="C814" s="141"/>
      <c r="D814" s="92"/>
      <c r="E814" s="92"/>
      <c r="F814" s="141"/>
      <c r="G814" s="141"/>
      <c r="H814" s="141"/>
      <c r="I814" s="141"/>
      <c r="J814" s="141"/>
      <c r="K814" s="141"/>
      <c r="L814" s="141"/>
      <c r="M814" s="141"/>
      <c r="N814" s="141"/>
      <c r="O814" s="141"/>
      <c r="P814" s="141"/>
      <c r="Q814" s="141"/>
      <c r="R814" s="141"/>
      <c r="S814" s="141"/>
    </row>
    <row r="815">
      <c r="A815" s="141"/>
      <c r="B815" s="141"/>
      <c r="C815" s="141"/>
      <c r="D815" s="92"/>
      <c r="E815" s="92"/>
      <c r="F815" s="141"/>
      <c r="G815" s="141"/>
      <c r="H815" s="141"/>
      <c r="I815" s="141"/>
      <c r="J815" s="141"/>
      <c r="K815" s="141"/>
      <c r="L815" s="141"/>
      <c r="M815" s="141"/>
      <c r="N815" s="141"/>
      <c r="O815" s="141"/>
      <c r="P815" s="141"/>
      <c r="Q815" s="141"/>
      <c r="R815" s="141"/>
      <c r="S815" s="141"/>
    </row>
    <row r="816">
      <c r="A816" s="141"/>
      <c r="B816" s="141"/>
      <c r="C816" s="141"/>
      <c r="D816" s="92"/>
      <c r="E816" s="92"/>
      <c r="F816" s="141"/>
      <c r="G816" s="141"/>
      <c r="H816" s="141"/>
      <c r="I816" s="141"/>
      <c r="J816" s="141"/>
      <c r="K816" s="141"/>
      <c r="L816" s="141"/>
      <c r="M816" s="141"/>
      <c r="N816" s="141"/>
      <c r="O816" s="141"/>
      <c r="P816" s="141"/>
      <c r="Q816" s="141"/>
      <c r="R816" s="141"/>
      <c r="S816" s="141"/>
    </row>
    <row r="817">
      <c r="A817" s="141"/>
      <c r="B817" s="141"/>
      <c r="C817" s="141"/>
      <c r="D817" s="92"/>
      <c r="E817" s="92"/>
      <c r="F817" s="141"/>
      <c r="G817" s="141"/>
      <c r="H817" s="141"/>
      <c r="I817" s="141"/>
      <c r="J817" s="141"/>
      <c r="K817" s="141"/>
      <c r="L817" s="141"/>
      <c r="M817" s="141"/>
      <c r="N817" s="141"/>
      <c r="O817" s="141"/>
      <c r="P817" s="141"/>
      <c r="Q817" s="141"/>
      <c r="R817" s="141"/>
      <c r="S817" s="141"/>
    </row>
    <row r="818">
      <c r="A818" s="141"/>
      <c r="B818" s="141"/>
      <c r="C818" s="141"/>
      <c r="D818" s="92"/>
      <c r="E818" s="92"/>
      <c r="F818" s="141"/>
      <c r="G818" s="141"/>
      <c r="H818" s="141"/>
      <c r="I818" s="141"/>
      <c r="J818" s="141"/>
      <c r="K818" s="141"/>
      <c r="L818" s="141"/>
      <c r="M818" s="141"/>
      <c r="N818" s="141"/>
      <c r="O818" s="141"/>
      <c r="P818" s="141"/>
      <c r="Q818" s="141"/>
      <c r="R818" s="141"/>
      <c r="S818" s="141"/>
    </row>
    <row r="819">
      <c r="A819" s="141"/>
      <c r="B819" s="141"/>
      <c r="C819" s="141"/>
      <c r="D819" s="92"/>
      <c r="E819" s="92"/>
      <c r="F819" s="141"/>
      <c r="G819" s="141"/>
      <c r="H819" s="141"/>
      <c r="I819" s="141"/>
      <c r="J819" s="141"/>
      <c r="K819" s="141"/>
      <c r="L819" s="141"/>
      <c r="M819" s="141"/>
      <c r="N819" s="141"/>
      <c r="O819" s="141"/>
      <c r="P819" s="141"/>
      <c r="Q819" s="141"/>
      <c r="R819" s="141"/>
      <c r="S819" s="141"/>
    </row>
    <row r="820">
      <c r="A820" s="141"/>
      <c r="B820" s="141"/>
      <c r="C820" s="141"/>
      <c r="D820" s="92"/>
      <c r="E820" s="92"/>
      <c r="F820" s="141"/>
      <c r="G820" s="141"/>
      <c r="H820" s="141"/>
      <c r="I820" s="141"/>
      <c r="J820" s="141"/>
      <c r="K820" s="141"/>
      <c r="L820" s="141"/>
      <c r="M820" s="141"/>
      <c r="N820" s="141"/>
      <c r="O820" s="141"/>
      <c r="P820" s="141"/>
      <c r="Q820" s="141"/>
      <c r="R820" s="141"/>
      <c r="S820" s="141"/>
    </row>
    <row r="821">
      <c r="A821" s="141"/>
      <c r="B821" s="141"/>
      <c r="C821" s="141"/>
      <c r="D821" s="92"/>
      <c r="E821" s="92"/>
      <c r="F821" s="141"/>
      <c r="G821" s="141"/>
      <c r="H821" s="141"/>
      <c r="I821" s="141"/>
      <c r="J821" s="141"/>
      <c r="K821" s="141"/>
      <c r="L821" s="141"/>
      <c r="M821" s="141"/>
      <c r="N821" s="141"/>
      <c r="O821" s="141"/>
      <c r="P821" s="141"/>
      <c r="Q821" s="141"/>
      <c r="R821" s="141"/>
      <c r="S821" s="141"/>
    </row>
    <row r="822">
      <c r="A822" s="141"/>
      <c r="B822" s="141"/>
      <c r="C822" s="141"/>
      <c r="D822" s="92"/>
      <c r="E822" s="92"/>
      <c r="F822" s="141"/>
      <c r="G822" s="141"/>
      <c r="H822" s="141"/>
      <c r="I822" s="141"/>
      <c r="J822" s="141"/>
      <c r="K822" s="141"/>
      <c r="L822" s="141"/>
      <c r="M822" s="141"/>
      <c r="N822" s="141"/>
      <c r="O822" s="141"/>
      <c r="P822" s="141"/>
      <c r="Q822" s="141"/>
      <c r="R822" s="141"/>
      <c r="S822" s="141"/>
    </row>
    <row r="823">
      <c r="A823" s="141"/>
      <c r="B823" s="141"/>
      <c r="C823" s="141"/>
      <c r="D823" s="92"/>
      <c r="E823" s="92"/>
      <c r="F823" s="141"/>
      <c r="G823" s="141"/>
      <c r="H823" s="141"/>
      <c r="I823" s="141"/>
      <c r="J823" s="141"/>
      <c r="K823" s="141"/>
      <c r="L823" s="141"/>
      <c r="M823" s="141"/>
      <c r="N823" s="141"/>
      <c r="O823" s="141"/>
      <c r="P823" s="141"/>
      <c r="Q823" s="141"/>
      <c r="R823" s="141"/>
      <c r="S823" s="141"/>
    </row>
    <row r="824">
      <c r="A824" s="141"/>
      <c r="B824" s="141"/>
      <c r="C824" s="141"/>
      <c r="D824" s="92"/>
      <c r="E824" s="92"/>
      <c r="F824" s="141"/>
      <c r="G824" s="141"/>
      <c r="H824" s="141"/>
      <c r="I824" s="141"/>
      <c r="J824" s="141"/>
      <c r="K824" s="141"/>
      <c r="L824" s="141"/>
      <c r="M824" s="141"/>
      <c r="N824" s="141"/>
      <c r="O824" s="141"/>
      <c r="P824" s="141"/>
      <c r="Q824" s="141"/>
      <c r="R824" s="141"/>
      <c r="S824" s="141"/>
    </row>
    <row r="825">
      <c r="A825" s="141"/>
      <c r="B825" s="141"/>
      <c r="C825" s="141"/>
      <c r="D825" s="92"/>
      <c r="E825" s="92"/>
      <c r="F825" s="141"/>
      <c r="G825" s="141"/>
      <c r="H825" s="141"/>
      <c r="I825" s="141"/>
      <c r="J825" s="141"/>
      <c r="K825" s="141"/>
      <c r="L825" s="141"/>
      <c r="M825" s="141"/>
      <c r="N825" s="141"/>
      <c r="O825" s="141"/>
      <c r="P825" s="141"/>
      <c r="Q825" s="141"/>
      <c r="R825" s="141"/>
      <c r="S825" s="141"/>
    </row>
    <row r="826">
      <c r="A826" s="141"/>
      <c r="B826" s="141"/>
      <c r="C826" s="141"/>
      <c r="D826" s="92"/>
      <c r="E826" s="92"/>
      <c r="F826" s="141"/>
      <c r="G826" s="141"/>
      <c r="H826" s="141"/>
      <c r="I826" s="141"/>
      <c r="J826" s="141"/>
      <c r="K826" s="141"/>
      <c r="L826" s="141"/>
      <c r="M826" s="141"/>
      <c r="N826" s="141"/>
      <c r="O826" s="141"/>
      <c r="P826" s="141"/>
      <c r="Q826" s="141"/>
      <c r="R826" s="141"/>
      <c r="S826" s="141"/>
    </row>
    <row r="827">
      <c r="A827" s="141"/>
      <c r="B827" s="141"/>
      <c r="C827" s="141"/>
      <c r="D827" s="92"/>
      <c r="E827" s="92"/>
      <c r="F827" s="141"/>
      <c r="G827" s="141"/>
      <c r="H827" s="141"/>
      <c r="I827" s="141"/>
      <c r="J827" s="141"/>
      <c r="K827" s="141"/>
      <c r="L827" s="141"/>
      <c r="M827" s="141"/>
      <c r="N827" s="141"/>
      <c r="O827" s="141"/>
      <c r="P827" s="141"/>
      <c r="Q827" s="141"/>
      <c r="R827" s="141"/>
      <c r="S827" s="141"/>
    </row>
    <row r="828">
      <c r="A828" s="141"/>
      <c r="B828" s="141"/>
      <c r="C828" s="141"/>
      <c r="D828" s="92"/>
      <c r="E828" s="92"/>
      <c r="F828" s="141"/>
      <c r="G828" s="141"/>
      <c r="H828" s="141"/>
      <c r="I828" s="141"/>
      <c r="J828" s="141"/>
      <c r="K828" s="141"/>
      <c r="L828" s="141"/>
      <c r="M828" s="141"/>
      <c r="N828" s="141"/>
      <c r="O828" s="141"/>
      <c r="P828" s="141"/>
      <c r="Q828" s="141"/>
      <c r="R828" s="141"/>
      <c r="S828" s="141"/>
    </row>
    <row r="829">
      <c r="A829" s="141"/>
      <c r="B829" s="141"/>
      <c r="C829" s="141"/>
      <c r="D829" s="92"/>
      <c r="E829" s="92"/>
      <c r="F829" s="141"/>
      <c r="G829" s="141"/>
      <c r="H829" s="141"/>
      <c r="I829" s="141"/>
      <c r="J829" s="141"/>
      <c r="K829" s="141"/>
      <c r="L829" s="141"/>
      <c r="M829" s="141"/>
      <c r="N829" s="141"/>
      <c r="O829" s="141"/>
      <c r="P829" s="141"/>
      <c r="Q829" s="141"/>
      <c r="R829" s="141"/>
      <c r="S829" s="141"/>
    </row>
    <row r="830">
      <c r="A830" s="141"/>
      <c r="B830" s="141"/>
      <c r="C830" s="141"/>
      <c r="D830" s="92"/>
      <c r="E830" s="92"/>
      <c r="F830" s="141"/>
      <c r="G830" s="141"/>
      <c r="H830" s="141"/>
      <c r="I830" s="141"/>
      <c r="J830" s="141"/>
      <c r="K830" s="141"/>
      <c r="L830" s="141"/>
      <c r="M830" s="141"/>
      <c r="N830" s="141"/>
      <c r="O830" s="141"/>
      <c r="P830" s="141"/>
      <c r="Q830" s="141"/>
      <c r="R830" s="141"/>
      <c r="S830" s="141"/>
    </row>
    <row r="831">
      <c r="A831" s="141"/>
      <c r="B831" s="141"/>
      <c r="C831" s="141"/>
      <c r="D831" s="92"/>
      <c r="E831" s="92"/>
      <c r="F831" s="141"/>
      <c r="G831" s="141"/>
      <c r="H831" s="141"/>
      <c r="I831" s="141"/>
      <c r="J831" s="141"/>
      <c r="K831" s="141"/>
      <c r="L831" s="141"/>
      <c r="M831" s="141"/>
      <c r="N831" s="141"/>
      <c r="O831" s="141"/>
      <c r="P831" s="141"/>
      <c r="Q831" s="141"/>
      <c r="R831" s="141"/>
      <c r="S831" s="141"/>
    </row>
    <row r="832">
      <c r="A832" s="141"/>
      <c r="B832" s="141"/>
      <c r="C832" s="141"/>
      <c r="D832" s="92"/>
      <c r="E832" s="92"/>
      <c r="F832" s="141"/>
      <c r="G832" s="141"/>
      <c r="H832" s="141"/>
      <c r="I832" s="141"/>
      <c r="J832" s="141"/>
      <c r="K832" s="141"/>
      <c r="L832" s="141"/>
      <c r="M832" s="141"/>
      <c r="N832" s="141"/>
      <c r="O832" s="141"/>
      <c r="P832" s="141"/>
      <c r="Q832" s="141"/>
      <c r="R832" s="141"/>
      <c r="S832" s="141"/>
    </row>
    <row r="833">
      <c r="A833" s="141"/>
      <c r="B833" s="141"/>
      <c r="C833" s="141"/>
      <c r="D833" s="92"/>
      <c r="E833" s="92"/>
      <c r="F833" s="141"/>
      <c r="G833" s="141"/>
      <c r="H833" s="141"/>
      <c r="I833" s="141"/>
      <c r="J833" s="141"/>
      <c r="K833" s="141"/>
      <c r="L833" s="141"/>
      <c r="M833" s="141"/>
      <c r="N833" s="141"/>
      <c r="O833" s="141"/>
      <c r="P833" s="141"/>
      <c r="Q833" s="141"/>
      <c r="R833" s="141"/>
      <c r="S833" s="141"/>
    </row>
    <row r="834">
      <c r="A834" s="141"/>
      <c r="B834" s="141"/>
      <c r="C834" s="141"/>
      <c r="D834" s="92"/>
      <c r="E834" s="92"/>
      <c r="F834" s="141"/>
      <c r="G834" s="141"/>
      <c r="H834" s="141"/>
      <c r="I834" s="141"/>
      <c r="J834" s="141"/>
      <c r="K834" s="141"/>
      <c r="L834" s="141"/>
      <c r="M834" s="141"/>
      <c r="N834" s="141"/>
      <c r="O834" s="141"/>
      <c r="P834" s="141"/>
      <c r="Q834" s="141"/>
      <c r="R834" s="141"/>
      <c r="S834" s="141"/>
    </row>
    <row r="835">
      <c r="A835" s="141"/>
      <c r="B835" s="141"/>
      <c r="C835" s="141"/>
      <c r="D835" s="92"/>
      <c r="E835" s="92"/>
      <c r="F835" s="141"/>
      <c r="G835" s="141"/>
      <c r="H835" s="141"/>
      <c r="I835" s="141"/>
      <c r="J835" s="141"/>
      <c r="K835" s="141"/>
      <c r="L835" s="141"/>
      <c r="M835" s="141"/>
      <c r="N835" s="141"/>
      <c r="O835" s="141"/>
      <c r="P835" s="141"/>
      <c r="Q835" s="141"/>
      <c r="R835" s="141"/>
      <c r="S835" s="141"/>
    </row>
    <row r="836">
      <c r="A836" s="141"/>
      <c r="B836" s="141"/>
      <c r="C836" s="141"/>
      <c r="D836" s="92"/>
      <c r="E836" s="92"/>
      <c r="F836" s="141"/>
      <c r="G836" s="141"/>
      <c r="H836" s="141"/>
      <c r="I836" s="141"/>
      <c r="J836" s="141"/>
      <c r="K836" s="141"/>
      <c r="L836" s="141"/>
      <c r="M836" s="141"/>
      <c r="N836" s="141"/>
      <c r="O836" s="141"/>
      <c r="P836" s="141"/>
      <c r="Q836" s="141"/>
      <c r="R836" s="141"/>
      <c r="S836" s="141"/>
    </row>
    <row r="837">
      <c r="A837" s="141"/>
      <c r="B837" s="141"/>
      <c r="C837" s="141"/>
      <c r="D837" s="92"/>
      <c r="E837" s="92"/>
      <c r="F837" s="141"/>
      <c r="G837" s="141"/>
      <c r="H837" s="141"/>
      <c r="I837" s="141"/>
      <c r="J837" s="141"/>
      <c r="K837" s="141"/>
      <c r="L837" s="141"/>
      <c r="M837" s="141"/>
      <c r="N837" s="141"/>
      <c r="O837" s="141"/>
      <c r="P837" s="141"/>
      <c r="Q837" s="141"/>
      <c r="R837" s="141"/>
      <c r="S837" s="141"/>
    </row>
    <row r="838">
      <c r="A838" s="141"/>
      <c r="B838" s="141"/>
      <c r="C838" s="141"/>
      <c r="D838" s="92"/>
      <c r="E838" s="92"/>
      <c r="F838" s="141"/>
      <c r="G838" s="141"/>
      <c r="H838" s="141"/>
      <c r="I838" s="141"/>
      <c r="J838" s="141"/>
      <c r="K838" s="141"/>
      <c r="L838" s="141"/>
      <c r="M838" s="141"/>
      <c r="N838" s="141"/>
      <c r="O838" s="141"/>
      <c r="P838" s="141"/>
      <c r="Q838" s="141"/>
      <c r="R838" s="141"/>
      <c r="S838" s="141"/>
    </row>
    <row r="839">
      <c r="A839" s="141"/>
      <c r="B839" s="141"/>
      <c r="C839" s="141"/>
      <c r="D839" s="92"/>
      <c r="E839" s="92"/>
      <c r="F839" s="141"/>
      <c r="G839" s="141"/>
      <c r="H839" s="141"/>
      <c r="I839" s="141"/>
      <c r="J839" s="141"/>
      <c r="K839" s="141"/>
      <c r="L839" s="141"/>
      <c r="M839" s="141"/>
      <c r="N839" s="141"/>
      <c r="O839" s="141"/>
      <c r="P839" s="141"/>
      <c r="Q839" s="141"/>
      <c r="R839" s="141"/>
      <c r="S839" s="141"/>
    </row>
    <row r="840">
      <c r="A840" s="141"/>
      <c r="B840" s="141"/>
      <c r="C840" s="141"/>
      <c r="D840" s="92"/>
      <c r="E840" s="92"/>
      <c r="F840" s="141"/>
      <c r="G840" s="141"/>
      <c r="H840" s="141"/>
      <c r="I840" s="141"/>
      <c r="J840" s="141"/>
      <c r="K840" s="141"/>
      <c r="L840" s="141"/>
      <c r="M840" s="141"/>
      <c r="N840" s="141"/>
      <c r="O840" s="141"/>
      <c r="P840" s="141"/>
      <c r="Q840" s="141"/>
      <c r="R840" s="141"/>
      <c r="S840" s="141"/>
    </row>
    <row r="841">
      <c r="A841" s="141"/>
      <c r="B841" s="141"/>
      <c r="C841" s="141"/>
      <c r="D841" s="92"/>
      <c r="E841" s="92"/>
      <c r="F841" s="141"/>
      <c r="G841" s="141"/>
      <c r="H841" s="141"/>
      <c r="I841" s="141"/>
      <c r="J841" s="141"/>
      <c r="K841" s="141"/>
      <c r="L841" s="141"/>
      <c r="M841" s="141"/>
      <c r="N841" s="141"/>
      <c r="O841" s="141"/>
      <c r="P841" s="141"/>
      <c r="Q841" s="141"/>
      <c r="R841" s="141"/>
      <c r="S841" s="141"/>
    </row>
    <row r="842">
      <c r="A842" s="141"/>
      <c r="B842" s="141"/>
      <c r="C842" s="141"/>
      <c r="D842" s="92"/>
      <c r="E842" s="92"/>
      <c r="F842" s="141"/>
      <c r="G842" s="141"/>
      <c r="H842" s="141"/>
      <c r="I842" s="141"/>
      <c r="J842" s="141"/>
      <c r="K842" s="141"/>
      <c r="L842" s="141"/>
      <c r="M842" s="141"/>
      <c r="N842" s="141"/>
      <c r="O842" s="141"/>
      <c r="P842" s="141"/>
      <c r="Q842" s="141"/>
      <c r="R842" s="141"/>
      <c r="S842" s="141"/>
    </row>
    <row r="843">
      <c r="A843" s="141"/>
      <c r="B843" s="141"/>
      <c r="C843" s="141"/>
      <c r="D843" s="92"/>
      <c r="E843" s="92"/>
      <c r="F843" s="141"/>
      <c r="G843" s="141"/>
      <c r="H843" s="141"/>
      <c r="I843" s="141"/>
      <c r="J843" s="141"/>
      <c r="K843" s="141"/>
      <c r="L843" s="141"/>
      <c r="M843" s="141"/>
      <c r="N843" s="141"/>
      <c r="O843" s="141"/>
      <c r="P843" s="141"/>
      <c r="Q843" s="141"/>
      <c r="R843" s="141"/>
      <c r="S843" s="141"/>
    </row>
    <row r="844">
      <c r="A844" s="141"/>
      <c r="B844" s="141"/>
      <c r="C844" s="141"/>
      <c r="D844" s="92"/>
      <c r="E844" s="92"/>
      <c r="F844" s="141"/>
      <c r="G844" s="141"/>
      <c r="H844" s="141"/>
      <c r="I844" s="141"/>
      <c r="J844" s="141"/>
      <c r="K844" s="141"/>
      <c r="L844" s="141"/>
      <c r="M844" s="141"/>
      <c r="N844" s="141"/>
      <c r="O844" s="141"/>
      <c r="P844" s="141"/>
      <c r="Q844" s="141"/>
      <c r="R844" s="141"/>
      <c r="S844" s="141"/>
    </row>
    <row r="845">
      <c r="A845" s="141"/>
      <c r="B845" s="141"/>
      <c r="C845" s="141"/>
      <c r="D845" s="92"/>
      <c r="E845" s="92"/>
      <c r="F845" s="141"/>
      <c r="G845" s="141"/>
      <c r="H845" s="141"/>
      <c r="I845" s="141"/>
      <c r="J845" s="141"/>
      <c r="K845" s="141"/>
      <c r="L845" s="141"/>
      <c r="M845" s="141"/>
      <c r="N845" s="141"/>
      <c r="O845" s="141"/>
      <c r="P845" s="141"/>
      <c r="Q845" s="141"/>
      <c r="R845" s="141"/>
      <c r="S845" s="141"/>
    </row>
    <row r="846">
      <c r="A846" s="141"/>
      <c r="B846" s="141"/>
      <c r="C846" s="141"/>
      <c r="D846" s="92"/>
      <c r="E846" s="92"/>
      <c r="F846" s="141"/>
      <c r="G846" s="141"/>
      <c r="H846" s="141"/>
      <c r="I846" s="141"/>
      <c r="J846" s="141"/>
      <c r="K846" s="141"/>
      <c r="L846" s="141"/>
      <c r="M846" s="141"/>
      <c r="N846" s="141"/>
      <c r="O846" s="141"/>
      <c r="P846" s="141"/>
      <c r="Q846" s="141"/>
      <c r="R846" s="141"/>
      <c r="S846" s="141"/>
    </row>
    <row r="847">
      <c r="A847" s="141"/>
      <c r="B847" s="141"/>
      <c r="C847" s="141"/>
      <c r="D847" s="92"/>
      <c r="E847" s="92"/>
      <c r="F847" s="141"/>
      <c r="G847" s="141"/>
      <c r="H847" s="141"/>
      <c r="I847" s="141"/>
      <c r="J847" s="141"/>
      <c r="K847" s="141"/>
      <c r="L847" s="141"/>
      <c r="M847" s="141"/>
      <c r="N847" s="141"/>
      <c r="O847" s="141"/>
      <c r="P847" s="141"/>
      <c r="Q847" s="141"/>
      <c r="R847" s="141"/>
      <c r="S847" s="141"/>
    </row>
    <row r="848">
      <c r="A848" s="141"/>
      <c r="B848" s="141"/>
      <c r="C848" s="141"/>
      <c r="D848" s="92"/>
      <c r="E848" s="92"/>
      <c r="F848" s="141"/>
      <c r="G848" s="141"/>
      <c r="H848" s="141"/>
      <c r="I848" s="141"/>
      <c r="J848" s="141"/>
      <c r="K848" s="141"/>
      <c r="L848" s="141"/>
      <c r="M848" s="141"/>
      <c r="N848" s="141"/>
      <c r="O848" s="141"/>
      <c r="P848" s="141"/>
      <c r="Q848" s="141"/>
      <c r="R848" s="141"/>
      <c r="S848" s="141"/>
    </row>
    <row r="849">
      <c r="A849" s="141"/>
      <c r="B849" s="141"/>
      <c r="C849" s="141"/>
      <c r="D849" s="92"/>
      <c r="E849" s="92"/>
      <c r="F849" s="141"/>
      <c r="G849" s="141"/>
      <c r="H849" s="141"/>
      <c r="I849" s="141"/>
      <c r="J849" s="141"/>
      <c r="K849" s="141"/>
      <c r="L849" s="141"/>
      <c r="M849" s="141"/>
      <c r="N849" s="141"/>
      <c r="O849" s="141"/>
      <c r="P849" s="141"/>
      <c r="Q849" s="141"/>
      <c r="R849" s="141"/>
      <c r="S849" s="141"/>
    </row>
    <row r="850">
      <c r="A850" s="141"/>
      <c r="B850" s="141"/>
      <c r="C850" s="141"/>
      <c r="D850" s="92"/>
      <c r="E850" s="92"/>
      <c r="F850" s="141"/>
      <c r="G850" s="141"/>
      <c r="H850" s="141"/>
      <c r="I850" s="141"/>
      <c r="J850" s="141"/>
      <c r="K850" s="141"/>
      <c r="L850" s="141"/>
      <c r="M850" s="141"/>
      <c r="N850" s="141"/>
      <c r="O850" s="141"/>
      <c r="P850" s="141"/>
      <c r="Q850" s="141"/>
      <c r="R850" s="141"/>
      <c r="S850" s="141"/>
    </row>
    <row r="851">
      <c r="A851" s="141"/>
      <c r="B851" s="141"/>
      <c r="C851" s="141"/>
      <c r="D851" s="92"/>
      <c r="E851" s="92"/>
      <c r="F851" s="141"/>
      <c r="G851" s="141"/>
      <c r="H851" s="141"/>
      <c r="I851" s="141"/>
      <c r="J851" s="141"/>
      <c r="K851" s="141"/>
      <c r="L851" s="141"/>
      <c r="M851" s="141"/>
      <c r="N851" s="141"/>
      <c r="O851" s="141"/>
      <c r="P851" s="141"/>
      <c r="Q851" s="141"/>
      <c r="R851" s="141"/>
      <c r="S851" s="141"/>
    </row>
    <row r="852">
      <c r="A852" s="141"/>
      <c r="B852" s="141"/>
      <c r="C852" s="141"/>
      <c r="D852" s="92"/>
      <c r="E852" s="92"/>
      <c r="F852" s="141"/>
      <c r="G852" s="141"/>
      <c r="H852" s="141"/>
      <c r="I852" s="141"/>
      <c r="J852" s="141"/>
      <c r="K852" s="141"/>
      <c r="L852" s="141"/>
      <c r="M852" s="141"/>
      <c r="N852" s="141"/>
      <c r="O852" s="141"/>
      <c r="P852" s="141"/>
      <c r="Q852" s="141"/>
      <c r="R852" s="141"/>
      <c r="S852" s="141"/>
    </row>
    <row r="853">
      <c r="A853" s="141"/>
      <c r="B853" s="141"/>
      <c r="C853" s="141"/>
      <c r="D853" s="92"/>
      <c r="E853" s="92"/>
      <c r="F853" s="141"/>
      <c r="G853" s="141"/>
      <c r="H853" s="141"/>
      <c r="I853" s="141"/>
      <c r="J853" s="141"/>
      <c r="K853" s="141"/>
      <c r="L853" s="141"/>
      <c r="M853" s="141"/>
      <c r="N853" s="141"/>
      <c r="O853" s="141"/>
      <c r="P853" s="141"/>
      <c r="Q853" s="141"/>
      <c r="R853" s="141"/>
      <c r="S853" s="141"/>
    </row>
    <row r="854">
      <c r="A854" s="141"/>
      <c r="B854" s="141"/>
      <c r="C854" s="141"/>
      <c r="D854" s="92"/>
      <c r="E854" s="92"/>
      <c r="F854" s="141"/>
      <c r="G854" s="141"/>
      <c r="H854" s="141"/>
      <c r="I854" s="141"/>
      <c r="J854" s="141"/>
      <c r="K854" s="141"/>
      <c r="L854" s="141"/>
      <c r="M854" s="141"/>
      <c r="N854" s="141"/>
      <c r="O854" s="141"/>
      <c r="P854" s="141"/>
      <c r="Q854" s="141"/>
      <c r="R854" s="141"/>
      <c r="S854" s="141"/>
    </row>
    <row r="855">
      <c r="A855" s="141"/>
      <c r="B855" s="141"/>
      <c r="C855" s="141"/>
      <c r="D855" s="92"/>
      <c r="E855" s="92"/>
      <c r="F855" s="141"/>
      <c r="G855" s="141"/>
      <c r="H855" s="141"/>
      <c r="I855" s="141"/>
      <c r="J855" s="141"/>
      <c r="K855" s="141"/>
      <c r="L855" s="141"/>
      <c r="M855" s="141"/>
      <c r="N855" s="141"/>
      <c r="O855" s="141"/>
      <c r="P855" s="141"/>
      <c r="Q855" s="141"/>
      <c r="R855" s="141"/>
      <c r="S855" s="141"/>
    </row>
    <row r="856">
      <c r="A856" s="141"/>
      <c r="B856" s="141"/>
      <c r="C856" s="141"/>
      <c r="D856" s="92"/>
      <c r="E856" s="92"/>
      <c r="F856" s="141"/>
      <c r="G856" s="141"/>
      <c r="H856" s="141"/>
      <c r="I856" s="141"/>
      <c r="J856" s="141"/>
      <c r="K856" s="141"/>
      <c r="L856" s="141"/>
      <c r="M856" s="141"/>
      <c r="N856" s="141"/>
      <c r="O856" s="141"/>
      <c r="P856" s="141"/>
      <c r="Q856" s="141"/>
      <c r="R856" s="141"/>
      <c r="S856" s="141"/>
    </row>
    <row r="857">
      <c r="A857" s="141"/>
      <c r="B857" s="141"/>
      <c r="C857" s="141"/>
      <c r="D857" s="92"/>
      <c r="E857" s="92"/>
      <c r="F857" s="141"/>
      <c r="G857" s="141"/>
      <c r="H857" s="141"/>
      <c r="I857" s="141"/>
      <c r="J857" s="141"/>
      <c r="K857" s="141"/>
      <c r="L857" s="141"/>
      <c r="M857" s="141"/>
      <c r="N857" s="141"/>
      <c r="O857" s="141"/>
      <c r="P857" s="141"/>
      <c r="Q857" s="141"/>
      <c r="R857" s="141"/>
      <c r="S857" s="141"/>
    </row>
    <row r="858">
      <c r="A858" s="141"/>
      <c r="B858" s="141"/>
      <c r="C858" s="141"/>
      <c r="D858" s="92"/>
      <c r="E858" s="92"/>
      <c r="F858" s="141"/>
      <c r="G858" s="141"/>
      <c r="H858" s="141"/>
      <c r="I858" s="141"/>
      <c r="J858" s="141"/>
      <c r="K858" s="141"/>
      <c r="L858" s="141"/>
      <c r="M858" s="141"/>
      <c r="N858" s="141"/>
      <c r="O858" s="141"/>
      <c r="P858" s="141"/>
      <c r="Q858" s="141"/>
      <c r="R858" s="141"/>
      <c r="S858" s="141"/>
    </row>
    <row r="859">
      <c r="A859" s="141"/>
      <c r="B859" s="141"/>
      <c r="C859" s="141"/>
      <c r="D859" s="92"/>
      <c r="E859" s="92"/>
      <c r="F859" s="141"/>
      <c r="G859" s="141"/>
      <c r="H859" s="141"/>
      <c r="I859" s="141"/>
      <c r="J859" s="141"/>
      <c r="K859" s="141"/>
      <c r="L859" s="141"/>
      <c r="M859" s="141"/>
      <c r="N859" s="141"/>
      <c r="O859" s="141"/>
      <c r="P859" s="141"/>
      <c r="Q859" s="141"/>
      <c r="R859" s="141"/>
      <c r="S859" s="141"/>
    </row>
    <row r="860">
      <c r="A860" s="141"/>
      <c r="B860" s="141"/>
      <c r="C860" s="141"/>
      <c r="D860" s="92"/>
      <c r="E860" s="92"/>
      <c r="F860" s="141"/>
      <c r="G860" s="141"/>
      <c r="H860" s="141"/>
      <c r="I860" s="141"/>
      <c r="J860" s="141"/>
      <c r="K860" s="141"/>
      <c r="L860" s="141"/>
      <c r="M860" s="141"/>
      <c r="N860" s="141"/>
      <c r="O860" s="141"/>
      <c r="P860" s="141"/>
      <c r="Q860" s="141"/>
      <c r="R860" s="141"/>
      <c r="S860" s="141"/>
    </row>
    <row r="861">
      <c r="A861" s="141"/>
      <c r="B861" s="141"/>
      <c r="C861" s="141"/>
      <c r="D861" s="92"/>
      <c r="E861" s="92"/>
      <c r="F861" s="141"/>
      <c r="G861" s="141"/>
      <c r="H861" s="141"/>
      <c r="I861" s="141"/>
      <c r="J861" s="141"/>
      <c r="K861" s="141"/>
      <c r="L861" s="141"/>
      <c r="M861" s="141"/>
      <c r="N861" s="141"/>
      <c r="O861" s="141"/>
      <c r="P861" s="141"/>
      <c r="Q861" s="141"/>
      <c r="R861" s="141"/>
      <c r="S861" s="141"/>
    </row>
    <row r="862">
      <c r="A862" s="141"/>
      <c r="B862" s="141"/>
      <c r="C862" s="141"/>
      <c r="D862" s="92"/>
      <c r="E862" s="92"/>
      <c r="F862" s="141"/>
      <c r="G862" s="141"/>
      <c r="H862" s="141"/>
      <c r="I862" s="141"/>
      <c r="J862" s="141"/>
      <c r="K862" s="141"/>
      <c r="L862" s="141"/>
      <c r="M862" s="141"/>
      <c r="N862" s="141"/>
      <c r="O862" s="141"/>
      <c r="P862" s="141"/>
      <c r="Q862" s="141"/>
      <c r="R862" s="141"/>
      <c r="S862" s="141"/>
    </row>
    <row r="863">
      <c r="A863" s="141"/>
      <c r="B863" s="141"/>
      <c r="C863" s="141"/>
      <c r="D863" s="92"/>
      <c r="E863" s="92"/>
      <c r="F863" s="141"/>
      <c r="G863" s="141"/>
      <c r="H863" s="141"/>
      <c r="I863" s="141"/>
      <c r="J863" s="141"/>
      <c r="K863" s="141"/>
      <c r="L863" s="141"/>
      <c r="M863" s="141"/>
      <c r="N863" s="141"/>
      <c r="O863" s="141"/>
      <c r="P863" s="141"/>
      <c r="Q863" s="141"/>
      <c r="R863" s="141"/>
      <c r="S863" s="141"/>
    </row>
    <row r="864">
      <c r="A864" s="141"/>
      <c r="B864" s="141"/>
      <c r="C864" s="141"/>
      <c r="D864" s="92"/>
      <c r="E864" s="92"/>
      <c r="F864" s="141"/>
      <c r="G864" s="141"/>
      <c r="H864" s="141"/>
      <c r="I864" s="141"/>
      <c r="J864" s="141"/>
      <c r="K864" s="141"/>
      <c r="L864" s="141"/>
      <c r="M864" s="141"/>
      <c r="N864" s="141"/>
      <c r="O864" s="141"/>
      <c r="P864" s="141"/>
      <c r="Q864" s="141"/>
      <c r="R864" s="141"/>
      <c r="S864" s="141"/>
    </row>
    <row r="865">
      <c r="A865" s="141"/>
      <c r="B865" s="141"/>
      <c r="C865" s="141"/>
      <c r="D865" s="92"/>
      <c r="E865" s="92"/>
      <c r="F865" s="141"/>
      <c r="G865" s="141"/>
      <c r="H865" s="141"/>
      <c r="I865" s="141"/>
      <c r="J865" s="141"/>
      <c r="K865" s="141"/>
      <c r="L865" s="141"/>
      <c r="M865" s="141"/>
      <c r="N865" s="141"/>
      <c r="O865" s="141"/>
      <c r="P865" s="141"/>
      <c r="Q865" s="141"/>
      <c r="R865" s="141"/>
      <c r="S865" s="141"/>
    </row>
    <row r="866">
      <c r="A866" s="141"/>
      <c r="B866" s="141"/>
      <c r="C866" s="141"/>
      <c r="D866" s="92"/>
      <c r="E866" s="92"/>
      <c r="F866" s="141"/>
      <c r="G866" s="141"/>
      <c r="H866" s="141"/>
      <c r="I866" s="141"/>
      <c r="J866" s="141"/>
      <c r="K866" s="141"/>
      <c r="L866" s="141"/>
      <c r="M866" s="141"/>
      <c r="N866" s="141"/>
      <c r="O866" s="141"/>
      <c r="P866" s="141"/>
      <c r="Q866" s="141"/>
      <c r="R866" s="141"/>
      <c r="S866" s="141"/>
    </row>
    <row r="867">
      <c r="A867" s="141"/>
      <c r="B867" s="141"/>
      <c r="C867" s="141"/>
      <c r="D867" s="92"/>
      <c r="E867" s="92"/>
      <c r="F867" s="141"/>
      <c r="G867" s="141"/>
      <c r="H867" s="141"/>
      <c r="I867" s="141"/>
      <c r="J867" s="141"/>
      <c r="K867" s="141"/>
      <c r="L867" s="141"/>
      <c r="M867" s="141"/>
      <c r="N867" s="141"/>
      <c r="O867" s="141"/>
      <c r="P867" s="141"/>
      <c r="Q867" s="141"/>
      <c r="R867" s="141"/>
      <c r="S867" s="141"/>
    </row>
    <row r="868">
      <c r="A868" s="141"/>
      <c r="B868" s="141"/>
      <c r="C868" s="141"/>
      <c r="D868" s="92"/>
      <c r="E868" s="92"/>
      <c r="F868" s="141"/>
      <c r="G868" s="141"/>
      <c r="H868" s="141"/>
      <c r="I868" s="141"/>
      <c r="J868" s="141"/>
      <c r="K868" s="141"/>
      <c r="L868" s="141"/>
      <c r="M868" s="141"/>
      <c r="N868" s="141"/>
      <c r="O868" s="141"/>
      <c r="P868" s="141"/>
      <c r="Q868" s="141"/>
      <c r="R868" s="141"/>
      <c r="S868" s="141"/>
    </row>
    <row r="869">
      <c r="A869" s="141"/>
      <c r="B869" s="141"/>
      <c r="C869" s="141"/>
      <c r="D869" s="92"/>
      <c r="E869" s="92"/>
      <c r="F869" s="141"/>
      <c r="G869" s="141"/>
      <c r="H869" s="141"/>
      <c r="I869" s="141"/>
      <c r="J869" s="141"/>
      <c r="K869" s="141"/>
      <c r="L869" s="141"/>
      <c r="M869" s="141"/>
      <c r="N869" s="141"/>
      <c r="O869" s="141"/>
      <c r="P869" s="141"/>
      <c r="Q869" s="141"/>
      <c r="R869" s="141"/>
      <c r="S869" s="141"/>
    </row>
    <row r="870">
      <c r="A870" s="141"/>
      <c r="B870" s="141"/>
      <c r="C870" s="141"/>
      <c r="D870" s="92"/>
      <c r="E870" s="92"/>
      <c r="F870" s="141"/>
      <c r="G870" s="141"/>
      <c r="H870" s="141"/>
      <c r="I870" s="141"/>
      <c r="J870" s="141"/>
      <c r="K870" s="141"/>
      <c r="L870" s="141"/>
      <c r="M870" s="141"/>
      <c r="N870" s="141"/>
      <c r="O870" s="141"/>
      <c r="P870" s="141"/>
      <c r="Q870" s="141"/>
      <c r="R870" s="141"/>
      <c r="S870" s="141"/>
    </row>
    <row r="871">
      <c r="A871" s="141"/>
      <c r="B871" s="141"/>
      <c r="C871" s="141"/>
      <c r="D871" s="92"/>
      <c r="E871" s="92"/>
      <c r="F871" s="141"/>
      <c r="G871" s="141"/>
      <c r="H871" s="141"/>
      <c r="I871" s="141"/>
      <c r="J871" s="141"/>
      <c r="K871" s="141"/>
      <c r="L871" s="141"/>
      <c r="M871" s="141"/>
      <c r="N871" s="141"/>
      <c r="O871" s="141"/>
      <c r="P871" s="141"/>
      <c r="Q871" s="141"/>
      <c r="R871" s="141"/>
      <c r="S871" s="141"/>
    </row>
    <row r="872">
      <c r="A872" s="141"/>
      <c r="B872" s="141"/>
      <c r="C872" s="141"/>
      <c r="D872" s="92"/>
      <c r="E872" s="92"/>
      <c r="F872" s="141"/>
      <c r="G872" s="141"/>
      <c r="H872" s="141"/>
      <c r="I872" s="141"/>
      <c r="J872" s="141"/>
      <c r="K872" s="141"/>
      <c r="L872" s="141"/>
      <c r="M872" s="141"/>
      <c r="N872" s="141"/>
      <c r="O872" s="141"/>
      <c r="P872" s="141"/>
      <c r="Q872" s="141"/>
      <c r="R872" s="141"/>
      <c r="S872" s="141"/>
    </row>
    <row r="873">
      <c r="A873" s="141"/>
      <c r="B873" s="141"/>
      <c r="C873" s="141"/>
      <c r="D873" s="92"/>
      <c r="E873" s="92"/>
      <c r="F873" s="141"/>
      <c r="G873" s="141"/>
      <c r="H873" s="141"/>
      <c r="I873" s="141"/>
      <c r="J873" s="141"/>
      <c r="K873" s="141"/>
      <c r="L873" s="141"/>
      <c r="M873" s="141"/>
      <c r="N873" s="141"/>
      <c r="O873" s="141"/>
      <c r="P873" s="141"/>
      <c r="Q873" s="141"/>
      <c r="R873" s="141"/>
      <c r="S873" s="141"/>
    </row>
    <row r="874">
      <c r="A874" s="141"/>
      <c r="B874" s="141"/>
      <c r="C874" s="141"/>
      <c r="D874" s="92"/>
      <c r="E874" s="92"/>
      <c r="F874" s="141"/>
      <c r="G874" s="141"/>
      <c r="H874" s="141"/>
      <c r="I874" s="141"/>
      <c r="J874" s="141"/>
      <c r="K874" s="141"/>
      <c r="L874" s="141"/>
      <c r="M874" s="141"/>
      <c r="N874" s="141"/>
      <c r="O874" s="141"/>
      <c r="P874" s="141"/>
      <c r="Q874" s="141"/>
      <c r="R874" s="141"/>
      <c r="S874" s="141"/>
    </row>
    <row r="875">
      <c r="A875" s="141"/>
      <c r="B875" s="141"/>
      <c r="C875" s="141"/>
      <c r="D875" s="92"/>
      <c r="E875" s="92"/>
      <c r="F875" s="141"/>
      <c r="G875" s="141"/>
      <c r="H875" s="141"/>
      <c r="I875" s="141"/>
      <c r="J875" s="141"/>
      <c r="K875" s="141"/>
      <c r="L875" s="141"/>
      <c r="M875" s="141"/>
      <c r="N875" s="141"/>
      <c r="O875" s="141"/>
      <c r="P875" s="141"/>
      <c r="Q875" s="141"/>
      <c r="R875" s="141"/>
      <c r="S875" s="141"/>
    </row>
    <row r="876">
      <c r="A876" s="141"/>
      <c r="B876" s="141"/>
      <c r="C876" s="141"/>
      <c r="D876" s="92"/>
      <c r="E876" s="92"/>
      <c r="F876" s="141"/>
      <c r="G876" s="141"/>
      <c r="H876" s="141"/>
      <c r="I876" s="141"/>
      <c r="J876" s="141"/>
      <c r="K876" s="141"/>
      <c r="L876" s="141"/>
      <c r="M876" s="141"/>
      <c r="N876" s="141"/>
      <c r="O876" s="141"/>
      <c r="P876" s="141"/>
      <c r="Q876" s="141"/>
      <c r="R876" s="141"/>
      <c r="S876" s="141"/>
    </row>
    <row r="877">
      <c r="A877" s="141"/>
      <c r="B877" s="141"/>
      <c r="C877" s="141"/>
      <c r="D877" s="92"/>
      <c r="E877" s="92"/>
      <c r="F877" s="141"/>
      <c r="G877" s="141"/>
      <c r="H877" s="141"/>
      <c r="I877" s="141"/>
      <c r="J877" s="141"/>
      <c r="K877" s="141"/>
      <c r="L877" s="141"/>
      <c r="M877" s="141"/>
      <c r="N877" s="141"/>
      <c r="O877" s="141"/>
      <c r="P877" s="141"/>
      <c r="Q877" s="141"/>
      <c r="R877" s="141"/>
      <c r="S877" s="141"/>
    </row>
    <row r="878">
      <c r="A878" s="141"/>
      <c r="B878" s="141"/>
      <c r="C878" s="141"/>
      <c r="D878" s="92"/>
      <c r="E878" s="92"/>
      <c r="F878" s="141"/>
      <c r="G878" s="141"/>
      <c r="H878" s="141"/>
      <c r="I878" s="141"/>
      <c r="J878" s="141"/>
      <c r="K878" s="141"/>
      <c r="L878" s="141"/>
      <c r="M878" s="141"/>
      <c r="N878" s="141"/>
      <c r="O878" s="141"/>
      <c r="P878" s="141"/>
      <c r="Q878" s="141"/>
      <c r="R878" s="141"/>
      <c r="S878" s="141"/>
    </row>
    <row r="879">
      <c r="A879" s="141"/>
      <c r="B879" s="141"/>
      <c r="C879" s="141"/>
      <c r="D879" s="92"/>
      <c r="E879" s="92"/>
      <c r="F879" s="141"/>
      <c r="G879" s="141"/>
      <c r="H879" s="141"/>
      <c r="I879" s="141"/>
      <c r="J879" s="141"/>
      <c r="K879" s="141"/>
      <c r="L879" s="141"/>
      <c r="M879" s="141"/>
      <c r="N879" s="141"/>
      <c r="O879" s="141"/>
      <c r="P879" s="141"/>
      <c r="Q879" s="141"/>
      <c r="R879" s="141"/>
      <c r="S879" s="141"/>
    </row>
    <row r="880">
      <c r="A880" s="141"/>
      <c r="B880" s="141"/>
      <c r="C880" s="141"/>
      <c r="D880" s="92"/>
      <c r="E880" s="92"/>
      <c r="F880" s="141"/>
      <c r="G880" s="141"/>
      <c r="H880" s="141"/>
      <c r="I880" s="141"/>
      <c r="J880" s="141"/>
      <c r="K880" s="141"/>
      <c r="L880" s="141"/>
      <c r="M880" s="141"/>
      <c r="N880" s="141"/>
      <c r="O880" s="141"/>
      <c r="P880" s="141"/>
      <c r="Q880" s="141"/>
      <c r="R880" s="141"/>
      <c r="S880" s="141"/>
    </row>
    <row r="881">
      <c r="A881" s="141"/>
      <c r="B881" s="141"/>
      <c r="C881" s="141"/>
      <c r="D881" s="92"/>
      <c r="E881" s="92"/>
      <c r="F881" s="141"/>
      <c r="G881" s="141"/>
      <c r="H881" s="141"/>
      <c r="I881" s="141"/>
      <c r="J881" s="141"/>
      <c r="K881" s="141"/>
      <c r="L881" s="141"/>
      <c r="M881" s="141"/>
      <c r="N881" s="141"/>
      <c r="O881" s="141"/>
      <c r="P881" s="141"/>
      <c r="Q881" s="141"/>
      <c r="R881" s="141"/>
      <c r="S881" s="141"/>
    </row>
    <row r="882">
      <c r="A882" s="141"/>
      <c r="B882" s="141"/>
      <c r="C882" s="141"/>
      <c r="D882" s="92"/>
      <c r="E882" s="92"/>
      <c r="F882" s="141"/>
      <c r="G882" s="141"/>
      <c r="H882" s="141"/>
      <c r="I882" s="141"/>
      <c r="J882" s="141"/>
      <c r="K882" s="141"/>
      <c r="L882" s="141"/>
      <c r="M882" s="141"/>
      <c r="N882" s="141"/>
      <c r="O882" s="141"/>
      <c r="P882" s="141"/>
      <c r="Q882" s="141"/>
      <c r="R882" s="141"/>
      <c r="S882" s="141"/>
    </row>
    <row r="883">
      <c r="A883" s="141"/>
      <c r="B883" s="141"/>
      <c r="C883" s="141"/>
      <c r="D883" s="92"/>
      <c r="E883" s="92"/>
      <c r="F883" s="141"/>
      <c r="G883" s="141"/>
      <c r="H883" s="141"/>
      <c r="I883" s="141"/>
      <c r="J883" s="141"/>
      <c r="K883" s="141"/>
      <c r="L883" s="141"/>
      <c r="M883" s="141"/>
      <c r="N883" s="141"/>
      <c r="O883" s="141"/>
      <c r="P883" s="141"/>
      <c r="Q883" s="141"/>
      <c r="R883" s="141"/>
      <c r="S883" s="141"/>
    </row>
    <row r="884">
      <c r="A884" s="141"/>
      <c r="B884" s="141"/>
      <c r="C884" s="141"/>
      <c r="D884" s="92"/>
      <c r="E884" s="92"/>
      <c r="F884" s="141"/>
      <c r="G884" s="141"/>
      <c r="H884" s="141"/>
      <c r="I884" s="141"/>
      <c r="J884" s="141"/>
      <c r="K884" s="141"/>
      <c r="L884" s="141"/>
      <c r="M884" s="141"/>
      <c r="N884" s="141"/>
      <c r="O884" s="141"/>
      <c r="P884" s="141"/>
      <c r="Q884" s="141"/>
      <c r="R884" s="141"/>
      <c r="S884" s="141"/>
    </row>
    <row r="885">
      <c r="A885" s="141"/>
      <c r="B885" s="141"/>
      <c r="C885" s="141"/>
      <c r="D885" s="92"/>
      <c r="E885" s="92"/>
      <c r="F885" s="141"/>
      <c r="G885" s="141"/>
      <c r="H885" s="141"/>
      <c r="I885" s="141"/>
      <c r="J885" s="141"/>
      <c r="K885" s="141"/>
      <c r="L885" s="141"/>
      <c r="M885" s="141"/>
      <c r="N885" s="141"/>
      <c r="O885" s="141"/>
      <c r="P885" s="141"/>
      <c r="Q885" s="141"/>
      <c r="R885" s="141"/>
      <c r="S885" s="141"/>
    </row>
    <row r="886">
      <c r="A886" s="141"/>
      <c r="B886" s="141"/>
      <c r="C886" s="141"/>
      <c r="D886" s="92"/>
      <c r="E886" s="92"/>
      <c r="F886" s="141"/>
      <c r="G886" s="141"/>
      <c r="H886" s="141"/>
      <c r="I886" s="141"/>
      <c r="J886" s="141"/>
      <c r="K886" s="141"/>
      <c r="L886" s="141"/>
      <c r="M886" s="141"/>
      <c r="N886" s="141"/>
      <c r="O886" s="141"/>
      <c r="P886" s="141"/>
      <c r="Q886" s="141"/>
      <c r="R886" s="141"/>
      <c r="S886" s="141"/>
    </row>
    <row r="887">
      <c r="A887" s="141"/>
      <c r="B887" s="141"/>
      <c r="C887" s="141"/>
      <c r="D887" s="92"/>
      <c r="E887" s="92"/>
      <c r="F887" s="141"/>
      <c r="G887" s="141"/>
      <c r="H887" s="141"/>
      <c r="I887" s="141"/>
      <c r="J887" s="141"/>
      <c r="K887" s="141"/>
      <c r="L887" s="141"/>
      <c r="M887" s="141"/>
      <c r="N887" s="141"/>
      <c r="O887" s="141"/>
      <c r="P887" s="141"/>
      <c r="Q887" s="141"/>
      <c r="R887" s="141"/>
      <c r="S887" s="141"/>
    </row>
    <row r="888">
      <c r="A888" s="141"/>
      <c r="B888" s="141"/>
      <c r="C888" s="141"/>
      <c r="D888" s="92"/>
      <c r="E888" s="92"/>
      <c r="F888" s="141"/>
      <c r="G888" s="141"/>
      <c r="H888" s="141"/>
      <c r="I888" s="141"/>
      <c r="J888" s="141"/>
      <c r="K888" s="141"/>
      <c r="L888" s="141"/>
      <c r="M888" s="141"/>
      <c r="N888" s="141"/>
      <c r="O888" s="141"/>
      <c r="P888" s="141"/>
      <c r="Q888" s="141"/>
      <c r="R888" s="141"/>
      <c r="S888" s="141"/>
    </row>
    <row r="889">
      <c r="A889" s="141"/>
      <c r="B889" s="141"/>
      <c r="C889" s="141"/>
      <c r="D889" s="92"/>
      <c r="E889" s="92"/>
      <c r="F889" s="141"/>
      <c r="G889" s="141"/>
      <c r="H889" s="141"/>
      <c r="I889" s="141"/>
      <c r="J889" s="141"/>
      <c r="K889" s="141"/>
      <c r="L889" s="141"/>
      <c r="M889" s="141"/>
      <c r="N889" s="141"/>
      <c r="O889" s="141"/>
      <c r="P889" s="141"/>
      <c r="Q889" s="141"/>
      <c r="R889" s="141"/>
      <c r="S889" s="141"/>
    </row>
    <row r="890">
      <c r="A890" s="141"/>
      <c r="B890" s="141"/>
      <c r="C890" s="141"/>
      <c r="D890" s="92"/>
      <c r="E890" s="92"/>
      <c r="F890" s="141"/>
      <c r="G890" s="141"/>
      <c r="H890" s="141"/>
      <c r="I890" s="141"/>
      <c r="J890" s="141"/>
      <c r="K890" s="141"/>
      <c r="L890" s="141"/>
      <c r="M890" s="141"/>
      <c r="N890" s="141"/>
      <c r="O890" s="141"/>
      <c r="P890" s="141"/>
      <c r="Q890" s="141"/>
      <c r="R890" s="141"/>
      <c r="S890" s="141"/>
    </row>
    <row r="891">
      <c r="A891" s="141"/>
      <c r="B891" s="141"/>
      <c r="C891" s="141"/>
      <c r="D891" s="92"/>
      <c r="E891" s="92"/>
      <c r="F891" s="141"/>
      <c r="G891" s="141"/>
      <c r="H891" s="141"/>
      <c r="I891" s="141"/>
      <c r="J891" s="141"/>
      <c r="K891" s="141"/>
      <c r="L891" s="141"/>
      <c r="M891" s="141"/>
      <c r="N891" s="141"/>
      <c r="O891" s="141"/>
      <c r="P891" s="141"/>
      <c r="Q891" s="141"/>
      <c r="R891" s="141"/>
      <c r="S891" s="141"/>
    </row>
    <row r="892">
      <c r="A892" s="141"/>
      <c r="B892" s="141"/>
      <c r="C892" s="141"/>
      <c r="D892" s="92"/>
      <c r="E892" s="92"/>
      <c r="F892" s="141"/>
      <c r="G892" s="141"/>
      <c r="H892" s="141"/>
      <c r="I892" s="141"/>
      <c r="J892" s="141"/>
      <c r="K892" s="141"/>
      <c r="L892" s="141"/>
      <c r="M892" s="141"/>
      <c r="N892" s="141"/>
      <c r="O892" s="141"/>
      <c r="P892" s="141"/>
      <c r="Q892" s="141"/>
      <c r="R892" s="141"/>
      <c r="S892" s="141"/>
    </row>
    <row r="893">
      <c r="A893" s="141"/>
      <c r="B893" s="141"/>
      <c r="C893" s="141"/>
      <c r="D893" s="92"/>
      <c r="E893" s="92"/>
      <c r="F893" s="141"/>
      <c r="G893" s="141"/>
      <c r="H893" s="141"/>
      <c r="I893" s="141"/>
      <c r="J893" s="141"/>
      <c r="K893" s="141"/>
      <c r="L893" s="141"/>
      <c r="M893" s="141"/>
      <c r="N893" s="141"/>
      <c r="O893" s="141"/>
      <c r="P893" s="141"/>
      <c r="Q893" s="141"/>
      <c r="R893" s="141"/>
      <c r="S893" s="141"/>
    </row>
    <row r="894">
      <c r="A894" s="141"/>
      <c r="B894" s="141"/>
      <c r="C894" s="141"/>
      <c r="D894" s="92"/>
      <c r="E894" s="92"/>
      <c r="F894" s="141"/>
      <c r="G894" s="141"/>
      <c r="H894" s="141"/>
      <c r="I894" s="141"/>
      <c r="J894" s="141"/>
      <c r="K894" s="141"/>
      <c r="L894" s="141"/>
      <c r="M894" s="141"/>
      <c r="N894" s="141"/>
      <c r="O894" s="141"/>
      <c r="P894" s="141"/>
      <c r="Q894" s="141"/>
      <c r="R894" s="141"/>
      <c r="S894" s="141"/>
    </row>
    <row r="895">
      <c r="A895" s="141"/>
      <c r="B895" s="141"/>
      <c r="C895" s="141"/>
      <c r="D895" s="92"/>
      <c r="E895" s="92"/>
      <c r="F895" s="141"/>
      <c r="G895" s="141"/>
      <c r="H895" s="141"/>
      <c r="I895" s="141"/>
      <c r="J895" s="141"/>
      <c r="K895" s="141"/>
      <c r="L895" s="141"/>
      <c r="M895" s="141"/>
      <c r="N895" s="141"/>
      <c r="O895" s="141"/>
      <c r="P895" s="141"/>
      <c r="Q895" s="141"/>
      <c r="R895" s="141"/>
      <c r="S895" s="141"/>
    </row>
    <row r="896">
      <c r="A896" s="141"/>
      <c r="B896" s="141"/>
      <c r="C896" s="141"/>
      <c r="D896" s="92"/>
      <c r="E896" s="92"/>
      <c r="F896" s="141"/>
      <c r="G896" s="141"/>
      <c r="H896" s="141"/>
      <c r="I896" s="141"/>
      <c r="J896" s="141"/>
      <c r="K896" s="141"/>
      <c r="L896" s="141"/>
      <c r="M896" s="141"/>
      <c r="N896" s="141"/>
      <c r="O896" s="141"/>
      <c r="P896" s="141"/>
      <c r="Q896" s="141"/>
      <c r="R896" s="141"/>
      <c r="S896" s="141"/>
    </row>
    <row r="897">
      <c r="A897" s="141"/>
      <c r="B897" s="141"/>
      <c r="C897" s="141"/>
      <c r="D897" s="92"/>
      <c r="E897" s="92"/>
      <c r="F897" s="141"/>
      <c r="G897" s="141"/>
      <c r="H897" s="141"/>
      <c r="I897" s="141"/>
      <c r="J897" s="141"/>
      <c r="K897" s="141"/>
      <c r="L897" s="141"/>
      <c r="M897" s="141"/>
      <c r="N897" s="141"/>
      <c r="O897" s="141"/>
      <c r="P897" s="141"/>
      <c r="Q897" s="141"/>
      <c r="R897" s="141"/>
      <c r="S897" s="141"/>
    </row>
    <row r="898">
      <c r="A898" s="141"/>
      <c r="B898" s="141"/>
      <c r="C898" s="141"/>
      <c r="D898" s="92"/>
      <c r="E898" s="92"/>
      <c r="F898" s="141"/>
      <c r="G898" s="141"/>
      <c r="H898" s="141"/>
      <c r="I898" s="141"/>
      <c r="J898" s="141"/>
      <c r="K898" s="141"/>
      <c r="L898" s="141"/>
      <c r="M898" s="141"/>
      <c r="N898" s="141"/>
      <c r="O898" s="141"/>
      <c r="P898" s="141"/>
      <c r="Q898" s="141"/>
      <c r="R898" s="141"/>
      <c r="S898" s="141"/>
    </row>
    <row r="899">
      <c r="A899" s="141"/>
      <c r="B899" s="141"/>
      <c r="C899" s="141"/>
      <c r="D899" s="92"/>
      <c r="E899" s="92"/>
      <c r="F899" s="141"/>
      <c r="G899" s="141"/>
      <c r="H899" s="141"/>
      <c r="I899" s="141"/>
      <c r="J899" s="141"/>
      <c r="K899" s="141"/>
      <c r="L899" s="141"/>
      <c r="M899" s="141"/>
      <c r="N899" s="141"/>
      <c r="O899" s="141"/>
      <c r="P899" s="141"/>
      <c r="Q899" s="141"/>
      <c r="R899" s="141"/>
      <c r="S899" s="141"/>
    </row>
    <row r="900">
      <c r="A900" s="141"/>
      <c r="B900" s="141"/>
      <c r="C900" s="141"/>
      <c r="D900" s="92"/>
      <c r="E900" s="92"/>
      <c r="F900" s="141"/>
      <c r="G900" s="141"/>
      <c r="H900" s="141"/>
      <c r="I900" s="141"/>
      <c r="J900" s="141"/>
      <c r="K900" s="141"/>
      <c r="L900" s="141"/>
      <c r="M900" s="141"/>
      <c r="N900" s="141"/>
      <c r="O900" s="141"/>
      <c r="P900" s="141"/>
      <c r="Q900" s="141"/>
      <c r="R900" s="141"/>
      <c r="S900" s="141"/>
    </row>
    <row r="901">
      <c r="A901" s="141"/>
      <c r="B901" s="141"/>
      <c r="C901" s="141"/>
      <c r="D901" s="92"/>
      <c r="E901" s="92"/>
      <c r="F901" s="141"/>
      <c r="G901" s="141"/>
      <c r="H901" s="141"/>
      <c r="I901" s="141"/>
      <c r="J901" s="141"/>
      <c r="K901" s="141"/>
      <c r="L901" s="141"/>
      <c r="M901" s="141"/>
      <c r="N901" s="141"/>
      <c r="O901" s="141"/>
      <c r="P901" s="141"/>
      <c r="Q901" s="141"/>
      <c r="R901" s="141"/>
      <c r="S901" s="141"/>
    </row>
    <row r="902">
      <c r="A902" s="141"/>
      <c r="B902" s="141"/>
      <c r="C902" s="141"/>
      <c r="D902" s="92"/>
      <c r="E902" s="92"/>
      <c r="F902" s="141"/>
      <c r="G902" s="141"/>
      <c r="H902" s="141"/>
      <c r="I902" s="141"/>
      <c r="J902" s="141"/>
      <c r="K902" s="141"/>
      <c r="L902" s="141"/>
      <c r="M902" s="141"/>
      <c r="N902" s="141"/>
      <c r="O902" s="141"/>
      <c r="P902" s="141"/>
      <c r="Q902" s="141"/>
      <c r="R902" s="141"/>
      <c r="S902" s="141"/>
    </row>
    <row r="903">
      <c r="A903" s="141"/>
      <c r="B903" s="141"/>
      <c r="C903" s="141"/>
      <c r="D903" s="92"/>
      <c r="E903" s="92"/>
      <c r="F903" s="141"/>
      <c r="G903" s="141"/>
      <c r="H903" s="141"/>
      <c r="I903" s="141"/>
      <c r="J903" s="141"/>
      <c r="K903" s="141"/>
      <c r="L903" s="141"/>
      <c r="M903" s="141"/>
      <c r="N903" s="141"/>
      <c r="O903" s="141"/>
      <c r="P903" s="141"/>
      <c r="Q903" s="141"/>
      <c r="R903" s="141"/>
      <c r="S903" s="141"/>
    </row>
    <row r="904">
      <c r="A904" s="141"/>
      <c r="B904" s="141"/>
      <c r="C904" s="141"/>
      <c r="D904" s="92"/>
      <c r="E904" s="92"/>
      <c r="F904" s="141"/>
      <c r="G904" s="141"/>
      <c r="H904" s="141"/>
      <c r="I904" s="141"/>
      <c r="J904" s="141"/>
      <c r="K904" s="141"/>
      <c r="L904" s="141"/>
      <c r="M904" s="141"/>
      <c r="N904" s="141"/>
      <c r="O904" s="141"/>
      <c r="P904" s="141"/>
      <c r="Q904" s="141"/>
      <c r="R904" s="141"/>
      <c r="S904" s="141"/>
    </row>
    <row r="905">
      <c r="A905" s="141"/>
      <c r="B905" s="141"/>
      <c r="C905" s="141"/>
      <c r="D905" s="92"/>
      <c r="E905" s="92"/>
      <c r="F905" s="141"/>
      <c r="G905" s="141"/>
      <c r="H905" s="141"/>
      <c r="I905" s="141"/>
      <c r="J905" s="141"/>
      <c r="K905" s="141"/>
      <c r="L905" s="141"/>
      <c r="M905" s="141"/>
      <c r="N905" s="141"/>
      <c r="O905" s="141"/>
      <c r="P905" s="141"/>
      <c r="Q905" s="141"/>
      <c r="R905" s="141"/>
      <c r="S905" s="141"/>
    </row>
    <row r="906">
      <c r="A906" s="141"/>
      <c r="B906" s="141"/>
      <c r="C906" s="141"/>
      <c r="D906" s="92"/>
      <c r="E906" s="92"/>
      <c r="F906" s="141"/>
      <c r="G906" s="141"/>
      <c r="H906" s="141"/>
      <c r="I906" s="141"/>
      <c r="J906" s="141"/>
      <c r="K906" s="141"/>
      <c r="L906" s="141"/>
      <c r="M906" s="141"/>
      <c r="N906" s="141"/>
      <c r="O906" s="141"/>
      <c r="P906" s="141"/>
      <c r="Q906" s="141"/>
      <c r="R906" s="141"/>
      <c r="S906" s="141"/>
    </row>
    <row r="907">
      <c r="A907" s="141"/>
      <c r="B907" s="141"/>
      <c r="C907" s="141"/>
      <c r="D907" s="92"/>
      <c r="E907" s="92"/>
      <c r="F907" s="141"/>
      <c r="G907" s="141"/>
      <c r="H907" s="141"/>
      <c r="I907" s="141"/>
      <c r="J907" s="141"/>
      <c r="K907" s="141"/>
      <c r="L907" s="141"/>
      <c r="M907" s="141"/>
      <c r="N907" s="141"/>
      <c r="O907" s="141"/>
      <c r="P907" s="141"/>
      <c r="Q907" s="141"/>
      <c r="R907" s="141"/>
      <c r="S907" s="141"/>
    </row>
    <row r="908">
      <c r="A908" s="141"/>
      <c r="B908" s="141"/>
      <c r="C908" s="141"/>
      <c r="D908" s="92"/>
      <c r="E908" s="92"/>
      <c r="F908" s="141"/>
      <c r="G908" s="141"/>
      <c r="H908" s="141"/>
      <c r="I908" s="141"/>
      <c r="J908" s="141"/>
      <c r="K908" s="141"/>
      <c r="L908" s="141"/>
      <c r="M908" s="141"/>
      <c r="N908" s="141"/>
      <c r="O908" s="141"/>
      <c r="P908" s="141"/>
      <c r="Q908" s="141"/>
      <c r="R908" s="141"/>
      <c r="S908" s="141"/>
    </row>
    <row r="909">
      <c r="A909" s="141"/>
      <c r="B909" s="141"/>
      <c r="C909" s="141"/>
      <c r="D909" s="92"/>
      <c r="E909" s="92"/>
      <c r="F909" s="141"/>
      <c r="G909" s="141"/>
      <c r="H909" s="141"/>
      <c r="I909" s="141"/>
      <c r="J909" s="141"/>
      <c r="K909" s="141"/>
      <c r="L909" s="141"/>
      <c r="M909" s="141"/>
      <c r="N909" s="141"/>
      <c r="O909" s="141"/>
      <c r="P909" s="141"/>
      <c r="Q909" s="141"/>
      <c r="R909" s="141"/>
      <c r="S909" s="141"/>
    </row>
    <row r="910">
      <c r="A910" s="141"/>
      <c r="B910" s="141"/>
      <c r="C910" s="141"/>
      <c r="D910" s="92"/>
      <c r="E910" s="92"/>
      <c r="F910" s="141"/>
      <c r="G910" s="141"/>
      <c r="H910" s="141"/>
      <c r="I910" s="141"/>
      <c r="J910" s="141"/>
      <c r="K910" s="141"/>
      <c r="L910" s="141"/>
      <c r="M910" s="141"/>
      <c r="N910" s="141"/>
      <c r="O910" s="141"/>
      <c r="P910" s="141"/>
      <c r="Q910" s="141"/>
      <c r="R910" s="141"/>
      <c r="S910" s="141"/>
    </row>
    <row r="911">
      <c r="A911" s="141"/>
      <c r="B911" s="141"/>
      <c r="C911" s="141"/>
      <c r="D911" s="92"/>
      <c r="E911" s="92"/>
      <c r="F911" s="141"/>
      <c r="G911" s="141"/>
      <c r="H911" s="141"/>
      <c r="I911" s="141"/>
      <c r="J911" s="141"/>
      <c r="K911" s="141"/>
      <c r="L911" s="141"/>
      <c r="M911" s="141"/>
      <c r="N911" s="141"/>
      <c r="O911" s="141"/>
      <c r="P911" s="141"/>
      <c r="Q911" s="141"/>
      <c r="R911" s="141"/>
      <c r="S911" s="141"/>
    </row>
    <row r="912">
      <c r="A912" s="141"/>
      <c r="B912" s="141"/>
      <c r="C912" s="141"/>
      <c r="D912" s="92"/>
      <c r="E912" s="92"/>
      <c r="F912" s="141"/>
      <c r="G912" s="141"/>
      <c r="H912" s="141"/>
      <c r="I912" s="141"/>
      <c r="J912" s="141"/>
      <c r="K912" s="141"/>
      <c r="L912" s="141"/>
      <c r="M912" s="141"/>
      <c r="N912" s="141"/>
      <c r="O912" s="141"/>
      <c r="P912" s="141"/>
      <c r="Q912" s="141"/>
      <c r="R912" s="141"/>
      <c r="S912" s="141"/>
    </row>
    <row r="913">
      <c r="A913" s="141"/>
      <c r="B913" s="141"/>
      <c r="C913" s="141"/>
      <c r="D913" s="92"/>
      <c r="E913" s="92"/>
      <c r="F913" s="141"/>
      <c r="G913" s="141"/>
      <c r="H913" s="141"/>
      <c r="I913" s="141"/>
      <c r="J913" s="141"/>
      <c r="K913" s="141"/>
      <c r="L913" s="141"/>
      <c r="M913" s="141"/>
      <c r="N913" s="141"/>
      <c r="O913" s="141"/>
      <c r="P913" s="141"/>
      <c r="Q913" s="141"/>
      <c r="R913" s="141"/>
      <c r="S913" s="141"/>
    </row>
    <row r="914">
      <c r="A914" s="141"/>
      <c r="B914" s="141"/>
      <c r="C914" s="141"/>
      <c r="D914" s="92"/>
      <c r="E914" s="92"/>
      <c r="F914" s="141"/>
      <c r="G914" s="141"/>
      <c r="H914" s="141"/>
      <c r="I914" s="141"/>
      <c r="J914" s="141"/>
      <c r="K914" s="141"/>
      <c r="L914" s="141"/>
      <c r="M914" s="141"/>
      <c r="N914" s="141"/>
      <c r="O914" s="141"/>
      <c r="P914" s="141"/>
      <c r="Q914" s="141"/>
      <c r="R914" s="141"/>
      <c r="S914" s="141"/>
    </row>
    <row r="915">
      <c r="A915" s="141"/>
      <c r="B915" s="141"/>
      <c r="C915" s="141"/>
      <c r="D915" s="92"/>
      <c r="E915" s="92"/>
      <c r="F915" s="141"/>
      <c r="G915" s="141"/>
      <c r="H915" s="141"/>
      <c r="I915" s="141"/>
      <c r="J915" s="141"/>
      <c r="K915" s="141"/>
      <c r="L915" s="141"/>
      <c r="M915" s="141"/>
      <c r="N915" s="141"/>
      <c r="O915" s="141"/>
      <c r="P915" s="141"/>
      <c r="Q915" s="141"/>
      <c r="R915" s="141"/>
      <c r="S915" s="141"/>
    </row>
    <row r="916">
      <c r="A916" s="141"/>
      <c r="B916" s="141"/>
      <c r="C916" s="141"/>
      <c r="D916" s="92"/>
      <c r="E916" s="92"/>
      <c r="F916" s="141"/>
      <c r="G916" s="141"/>
      <c r="H916" s="141"/>
      <c r="I916" s="141"/>
      <c r="J916" s="141"/>
      <c r="K916" s="141"/>
      <c r="L916" s="141"/>
      <c r="M916" s="141"/>
      <c r="N916" s="141"/>
      <c r="O916" s="141"/>
      <c r="P916" s="141"/>
      <c r="Q916" s="141"/>
      <c r="R916" s="141"/>
      <c r="S916" s="141"/>
    </row>
    <row r="917">
      <c r="A917" s="141"/>
      <c r="B917" s="141"/>
      <c r="C917" s="141"/>
      <c r="D917" s="92"/>
      <c r="E917" s="92"/>
      <c r="F917" s="141"/>
      <c r="G917" s="141"/>
      <c r="H917" s="141"/>
      <c r="I917" s="141"/>
      <c r="J917" s="141"/>
      <c r="K917" s="141"/>
      <c r="L917" s="141"/>
      <c r="M917" s="141"/>
      <c r="N917" s="141"/>
      <c r="O917" s="141"/>
      <c r="P917" s="141"/>
      <c r="Q917" s="141"/>
      <c r="R917" s="141"/>
      <c r="S917" s="141"/>
    </row>
    <row r="918">
      <c r="A918" s="141"/>
      <c r="B918" s="141"/>
      <c r="C918" s="141"/>
      <c r="D918" s="92"/>
      <c r="E918" s="92"/>
      <c r="F918" s="141"/>
      <c r="G918" s="141"/>
      <c r="H918" s="141"/>
      <c r="I918" s="141"/>
      <c r="J918" s="141"/>
      <c r="K918" s="141"/>
      <c r="L918" s="141"/>
      <c r="M918" s="141"/>
      <c r="N918" s="141"/>
      <c r="O918" s="141"/>
      <c r="P918" s="141"/>
      <c r="Q918" s="141"/>
      <c r="R918" s="141"/>
      <c r="S918" s="141"/>
    </row>
    <row r="919">
      <c r="A919" s="141"/>
      <c r="B919" s="141"/>
      <c r="C919" s="141"/>
      <c r="D919" s="92"/>
      <c r="E919" s="92"/>
      <c r="F919" s="141"/>
      <c r="G919" s="141"/>
      <c r="H919" s="141"/>
      <c r="I919" s="141"/>
      <c r="J919" s="141"/>
      <c r="K919" s="141"/>
      <c r="L919" s="141"/>
      <c r="M919" s="141"/>
      <c r="N919" s="141"/>
      <c r="O919" s="141"/>
      <c r="P919" s="141"/>
      <c r="Q919" s="141"/>
      <c r="R919" s="141"/>
      <c r="S919" s="141"/>
    </row>
    <row r="920">
      <c r="A920" s="141"/>
      <c r="B920" s="141"/>
      <c r="C920" s="141"/>
      <c r="D920" s="92"/>
      <c r="E920" s="92"/>
      <c r="F920" s="141"/>
      <c r="G920" s="141"/>
      <c r="H920" s="141"/>
      <c r="I920" s="141"/>
      <c r="J920" s="141"/>
      <c r="K920" s="141"/>
      <c r="L920" s="141"/>
      <c r="M920" s="141"/>
      <c r="N920" s="141"/>
      <c r="O920" s="141"/>
      <c r="P920" s="141"/>
      <c r="Q920" s="141"/>
      <c r="R920" s="141"/>
      <c r="S920" s="141"/>
    </row>
    <row r="921">
      <c r="A921" s="141"/>
      <c r="B921" s="141"/>
      <c r="C921" s="141"/>
      <c r="D921" s="92"/>
      <c r="E921" s="92"/>
      <c r="F921" s="141"/>
      <c r="G921" s="141"/>
      <c r="H921" s="141"/>
      <c r="I921" s="141"/>
      <c r="J921" s="141"/>
      <c r="K921" s="141"/>
      <c r="L921" s="141"/>
      <c r="M921" s="141"/>
      <c r="N921" s="141"/>
      <c r="O921" s="141"/>
      <c r="P921" s="141"/>
      <c r="Q921" s="141"/>
      <c r="R921" s="141"/>
      <c r="S921" s="141"/>
    </row>
    <row r="922">
      <c r="A922" s="141"/>
      <c r="B922" s="141"/>
      <c r="C922" s="141"/>
      <c r="D922" s="92"/>
      <c r="E922" s="92"/>
      <c r="F922" s="141"/>
      <c r="G922" s="141"/>
      <c r="H922" s="141"/>
      <c r="I922" s="141"/>
      <c r="J922" s="141"/>
      <c r="K922" s="141"/>
      <c r="L922" s="141"/>
      <c r="M922" s="141"/>
      <c r="N922" s="141"/>
      <c r="O922" s="141"/>
      <c r="P922" s="141"/>
      <c r="Q922" s="141"/>
      <c r="R922" s="141"/>
      <c r="S922" s="141"/>
    </row>
    <row r="923">
      <c r="A923" s="141"/>
      <c r="B923" s="141"/>
      <c r="C923" s="141"/>
      <c r="D923" s="92"/>
      <c r="E923" s="92"/>
      <c r="F923" s="141"/>
      <c r="G923" s="141"/>
      <c r="H923" s="141"/>
      <c r="I923" s="141"/>
      <c r="J923" s="141"/>
      <c r="K923" s="141"/>
      <c r="L923" s="141"/>
      <c r="M923" s="141"/>
      <c r="N923" s="141"/>
      <c r="O923" s="141"/>
      <c r="P923" s="141"/>
      <c r="Q923" s="141"/>
      <c r="R923" s="141"/>
      <c r="S923" s="141"/>
    </row>
    <row r="924">
      <c r="A924" s="141"/>
      <c r="B924" s="141"/>
      <c r="C924" s="141"/>
      <c r="D924" s="92"/>
      <c r="E924" s="92"/>
      <c r="F924" s="141"/>
      <c r="G924" s="141"/>
      <c r="H924" s="141"/>
      <c r="I924" s="141"/>
      <c r="J924" s="141"/>
      <c r="K924" s="141"/>
      <c r="L924" s="141"/>
      <c r="M924" s="141"/>
      <c r="N924" s="141"/>
      <c r="O924" s="141"/>
      <c r="P924" s="141"/>
      <c r="Q924" s="141"/>
      <c r="R924" s="141"/>
      <c r="S924" s="141"/>
    </row>
    <row r="925">
      <c r="A925" s="141"/>
      <c r="B925" s="141"/>
      <c r="C925" s="141"/>
      <c r="D925" s="92"/>
      <c r="E925" s="92"/>
      <c r="F925" s="141"/>
      <c r="G925" s="141"/>
      <c r="H925" s="141"/>
      <c r="I925" s="141"/>
      <c r="J925" s="141"/>
      <c r="K925" s="141"/>
      <c r="L925" s="141"/>
      <c r="M925" s="141"/>
      <c r="N925" s="141"/>
      <c r="O925" s="141"/>
      <c r="P925" s="141"/>
      <c r="Q925" s="141"/>
      <c r="R925" s="141"/>
      <c r="S925" s="141"/>
    </row>
    <row r="926">
      <c r="A926" s="141"/>
      <c r="B926" s="141"/>
      <c r="C926" s="141"/>
      <c r="D926" s="92"/>
      <c r="E926" s="92"/>
      <c r="F926" s="141"/>
      <c r="G926" s="141"/>
      <c r="H926" s="141"/>
      <c r="I926" s="141"/>
      <c r="J926" s="141"/>
      <c r="K926" s="141"/>
      <c r="L926" s="141"/>
      <c r="M926" s="141"/>
      <c r="N926" s="141"/>
      <c r="O926" s="141"/>
      <c r="P926" s="141"/>
      <c r="Q926" s="141"/>
      <c r="R926" s="141"/>
      <c r="S926" s="141"/>
    </row>
    <row r="927">
      <c r="A927" s="141"/>
      <c r="B927" s="141"/>
      <c r="C927" s="141"/>
      <c r="D927" s="92"/>
      <c r="E927" s="92"/>
      <c r="F927" s="141"/>
      <c r="G927" s="141"/>
      <c r="H927" s="141"/>
      <c r="I927" s="141"/>
      <c r="J927" s="141"/>
      <c r="K927" s="141"/>
      <c r="L927" s="141"/>
      <c r="M927" s="141"/>
      <c r="N927" s="141"/>
      <c r="O927" s="141"/>
      <c r="P927" s="141"/>
      <c r="Q927" s="141"/>
      <c r="R927" s="141"/>
      <c r="S927" s="141"/>
    </row>
    <row r="928">
      <c r="A928" s="141"/>
      <c r="B928" s="141"/>
      <c r="C928" s="141"/>
      <c r="D928" s="92"/>
      <c r="E928" s="92"/>
      <c r="F928" s="141"/>
      <c r="G928" s="141"/>
      <c r="H928" s="141"/>
      <c r="I928" s="141"/>
      <c r="J928" s="141"/>
      <c r="K928" s="141"/>
      <c r="L928" s="141"/>
      <c r="M928" s="141"/>
      <c r="N928" s="141"/>
      <c r="O928" s="141"/>
      <c r="P928" s="141"/>
      <c r="Q928" s="141"/>
      <c r="R928" s="141"/>
      <c r="S928" s="141"/>
    </row>
    <row r="929">
      <c r="A929" s="141"/>
      <c r="B929" s="141"/>
      <c r="C929" s="141"/>
      <c r="D929" s="92"/>
      <c r="E929" s="92"/>
      <c r="F929" s="141"/>
      <c r="G929" s="141"/>
      <c r="H929" s="141"/>
      <c r="I929" s="141"/>
      <c r="J929" s="141"/>
      <c r="K929" s="141"/>
      <c r="L929" s="141"/>
      <c r="M929" s="141"/>
      <c r="N929" s="141"/>
      <c r="O929" s="141"/>
      <c r="P929" s="141"/>
      <c r="Q929" s="141"/>
      <c r="R929" s="141"/>
      <c r="S929" s="141"/>
    </row>
    <row r="930">
      <c r="A930" s="141"/>
      <c r="B930" s="141"/>
      <c r="C930" s="141"/>
      <c r="D930" s="92"/>
      <c r="E930" s="92"/>
      <c r="F930" s="141"/>
      <c r="G930" s="141"/>
      <c r="H930" s="141"/>
      <c r="I930" s="141"/>
      <c r="J930" s="141"/>
      <c r="K930" s="141"/>
      <c r="L930" s="141"/>
      <c r="M930" s="141"/>
      <c r="N930" s="141"/>
      <c r="O930" s="141"/>
      <c r="P930" s="141"/>
      <c r="Q930" s="141"/>
      <c r="R930" s="141"/>
      <c r="S930" s="141"/>
    </row>
    <row r="931">
      <c r="A931" s="141"/>
      <c r="B931" s="141"/>
      <c r="C931" s="141"/>
      <c r="D931" s="92"/>
      <c r="E931" s="92"/>
      <c r="F931" s="141"/>
      <c r="G931" s="141"/>
      <c r="H931" s="141"/>
      <c r="I931" s="141"/>
      <c r="J931" s="141"/>
      <c r="K931" s="141"/>
      <c r="L931" s="141"/>
      <c r="M931" s="141"/>
      <c r="N931" s="141"/>
      <c r="O931" s="141"/>
      <c r="P931" s="141"/>
      <c r="Q931" s="141"/>
      <c r="R931" s="141"/>
      <c r="S931" s="141"/>
    </row>
    <row r="932">
      <c r="A932" s="141"/>
      <c r="B932" s="141"/>
      <c r="C932" s="141"/>
      <c r="D932" s="92"/>
      <c r="E932" s="92"/>
      <c r="F932" s="141"/>
      <c r="G932" s="141"/>
      <c r="H932" s="141"/>
      <c r="I932" s="141"/>
      <c r="J932" s="141"/>
      <c r="K932" s="141"/>
      <c r="L932" s="141"/>
      <c r="M932" s="141"/>
      <c r="N932" s="141"/>
      <c r="O932" s="141"/>
      <c r="P932" s="141"/>
      <c r="Q932" s="141"/>
      <c r="R932" s="141"/>
      <c r="S932" s="141"/>
    </row>
    <row r="933">
      <c r="A933" s="141"/>
      <c r="B933" s="141"/>
      <c r="C933" s="141"/>
      <c r="D933" s="92"/>
      <c r="E933" s="92"/>
      <c r="F933" s="141"/>
      <c r="G933" s="141"/>
      <c r="H933" s="141"/>
      <c r="I933" s="141"/>
      <c r="J933" s="141"/>
      <c r="K933" s="141"/>
      <c r="L933" s="141"/>
      <c r="M933" s="141"/>
      <c r="N933" s="141"/>
      <c r="O933" s="141"/>
      <c r="P933" s="141"/>
      <c r="Q933" s="141"/>
      <c r="R933" s="141"/>
      <c r="S933" s="141"/>
    </row>
    <row r="934">
      <c r="A934" s="141"/>
      <c r="B934" s="141"/>
      <c r="C934" s="141"/>
      <c r="D934" s="92"/>
      <c r="E934" s="92"/>
      <c r="F934" s="141"/>
      <c r="G934" s="141"/>
      <c r="H934" s="141"/>
      <c r="I934" s="141"/>
      <c r="J934" s="141"/>
      <c r="K934" s="141"/>
      <c r="L934" s="141"/>
      <c r="M934" s="141"/>
      <c r="N934" s="141"/>
      <c r="O934" s="141"/>
      <c r="P934" s="141"/>
      <c r="Q934" s="141"/>
      <c r="R934" s="141"/>
      <c r="S934" s="141"/>
    </row>
    <row r="935">
      <c r="A935" s="141"/>
      <c r="B935" s="141"/>
      <c r="C935" s="141"/>
      <c r="D935" s="92"/>
      <c r="E935" s="92"/>
      <c r="F935" s="141"/>
      <c r="G935" s="141"/>
      <c r="H935" s="141"/>
      <c r="I935" s="141"/>
      <c r="J935" s="141"/>
      <c r="K935" s="141"/>
      <c r="L935" s="141"/>
      <c r="M935" s="141"/>
      <c r="N935" s="141"/>
      <c r="O935" s="141"/>
      <c r="P935" s="141"/>
      <c r="Q935" s="141"/>
      <c r="R935" s="141"/>
      <c r="S935" s="141"/>
    </row>
    <row r="936">
      <c r="A936" s="141"/>
      <c r="B936" s="141"/>
      <c r="C936" s="141"/>
      <c r="D936" s="92"/>
      <c r="E936" s="92"/>
      <c r="F936" s="141"/>
      <c r="G936" s="141"/>
      <c r="H936" s="141"/>
      <c r="I936" s="141"/>
      <c r="J936" s="141"/>
      <c r="K936" s="141"/>
      <c r="L936" s="141"/>
      <c r="M936" s="141"/>
      <c r="N936" s="141"/>
      <c r="O936" s="141"/>
      <c r="P936" s="141"/>
      <c r="Q936" s="141"/>
      <c r="R936" s="141"/>
      <c r="S936" s="141"/>
    </row>
    <row r="937">
      <c r="A937" s="141"/>
      <c r="B937" s="141"/>
      <c r="C937" s="141"/>
      <c r="D937" s="92"/>
      <c r="E937" s="92"/>
      <c r="F937" s="141"/>
      <c r="G937" s="141"/>
      <c r="H937" s="141"/>
      <c r="I937" s="141"/>
      <c r="J937" s="141"/>
      <c r="K937" s="141"/>
      <c r="L937" s="141"/>
      <c r="M937" s="141"/>
      <c r="N937" s="141"/>
      <c r="O937" s="141"/>
      <c r="P937" s="141"/>
      <c r="Q937" s="141"/>
      <c r="R937" s="141"/>
      <c r="S937" s="141"/>
    </row>
    <row r="938">
      <c r="A938" s="141"/>
      <c r="B938" s="141"/>
      <c r="C938" s="141"/>
      <c r="D938" s="92"/>
      <c r="E938" s="92"/>
      <c r="F938" s="141"/>
      <c r="G938" s="141"/>
      <c r="H938" s="141"/>
      <c r="I938" s="141"/>
      <c r="J938" s="141"/>
      <c r="K938" s="141"/>
      <c r="L938" s="141"/>
      <c r="M938" s="141"/>
      <c r="N938" s="141"/>
      <c r="O938" s="141"/>
      <c r="P938" s="141"/>
      <c r="Q938" s="141"/>
      <c r="R938" s="141"/>
      <c r="S938" s="141"/>
    </row>
    <row r="939">
      <c r="A939" s="141"/>
      <c r="B939" s="141"/>
      <c r="C939" s="141"/>
      <c r="D939" s="92"/>
      <c r="E939" s="92"/>
      <c r="F939" s="141"/>
      <c r="G939" s="141"/>
      <c r="H939" s="141"/>
      <c r="I939" s="141"/>
      <c r="J939" s="141"/>
      <c r="K939" s="141"/>
      <c r="L939" s="141"/>
      <c r="M939" s="141"/>
      <c r="N939" s="141"/>
      <c r="O939" s="141"/>
      <c r="P939" s="141"/>
      <c r="Q939" s="141"/>
      <c r="R939" s="141"/>
      <c r="S939" s="141"/>
    </row>
    <row r="940">
      <c r="A940" s="141"/>
      <c r="B940" s="141"/>
      <c r="C940" s="141"/>
      <c r="D940" s="92"/>
      <c r="E940" s="92"/>
      <c r="F940" s="141"/>
      <c r="G940" s="141"/>
      <c r="H940" s="141"/>
      <c r="I940" s="141"/>
      <c r="J940" s="141"/>
      <c r="K940" s="141"/>
      <c r="L940" s="141"/>
      <c r="M940" s="141"/>
      <c r="N940" s="141"/>
      <c r="O940" s="141"/>
      <c r="P940" s="141"/>
      <c r="Q940" s="141"/>
      <c r="R940" s="141"/>
      <c r="S940" s="141"/>
    </row>
    <row r="941">
      <c r="A941" s="141"/>
      <c r="B941" s="141"/>
      <c r="C941" s="141"/>
      <c r="D941" s="92"/>
      <c r="E941" s="92"/>
      <c r="F941" s="141"/>
      <c r="G941" s="141"/>
      <c r="H941" s="141"/>
      <c r="I941" s="141"/>
      <c r="J941" s="141"/>
      <c r="K941" s="141"/>
      <c r="L941" s="141"/>
      <c r="M941" s="141"/>
      <c r="N941" s="141"/>
      <c r="O941" s="141"/>
      <c r="P941" s="141"/>
      <c r="Q941" s="141"/>
      <c r="R941" s="141"/>
      <c r="S941" s="141"/>
    </row>
    <row r="942">
      <c r="A942" s="141"/>
      <c r="B942" s="141"/>
      <c r="C942" s="141"/>
      <c r="D942" s="92"/>
      <c r="E942" s="92"/>
      <c r="F942" s="141"/>
      <c r="G942" s="141"/>
      <c r="H942" s="141"/>
      <c r="I942" s="141"/>
      <c r="J942" s="141"/>
      <c r="K942" s="141"/>
      <c r="L942" s="141"/>
      <c r="M942" s="141"/>
      <c r="N942" s="141"/>
      <c r="O942" s="141"/>
      <c r="P942" s="141"/>
      <c r="Q942" s="141"/>
      <c r="R942" s="141"/>
      <c r="S942" s="141"/>
    </row>
    <row r="943">
      <c r="A943" s="141"/>
      <c r="B943" s="141"/>
      <c r="C943" s="141"/>
      <c r="D943" s="92"/>
      <c r="E943" s="92"/>
      <c r="F943" s="141"/>
      <c r="G943" s="141"/>
      <c r="H943" s="141"/>
      <c r="I943" s="141"/>
      <c r="J943" s="141"/>
      <c r="K943" s="141"/>
      <c r="L943" s="141"/>
      <c r="M943" s="141"/>
      <c r="N943" s="141"/>
      <c r="O943" s="141"/>
      <c r="P943" s="141"/>
      <c r="Q943" s="141"/>
      <c r="R943" s="141"/>
      <c r="S943" s="141"/>
    </row>
    <row r="944">
      <c r="A944" s="141"/>
      <c r="B944" s="141"/>
      <c r="C944" s="141"/>
      <c r="D944" s="92"/>
      <c r="E944" s="92"/>
      <c r="F944" s="141"/>
      <c r="G944" s="141"/>
      <c r="H944" s="141"/>
      <c r="I944" s="141"/>
      <c r="J944" s="141"/>
      <c r="K944" s="141"/>
      <c r="L944" s="141"/>
      <c r="M944" s="141"/>
      <c r="N944" s="141"/>
      <c r="O944" s="141"/>
      <c r="P944" s="141"/>
      <c r="Q944" s="141"/>
      <c r="R944" s="141"/>
      <c r="S944" s="141"/>
    </row>
    <row r="945">
      <c r="A945" s="141"/>
      <c r="B945" s="141"/>
      <c r="C945" s="141"/>
      <c r="D945" s="92"/>
      <c r="E945" s="92"/>
      <c r="F945" s="141"/>
      <c r="G945" s="141"/>
      <c r="H945" s="141"/>
      <c r="I945" s="141"/>
      <c r="J945" s="141"/>
      <c r="K945" s="141"/>
      <c r="L945" s="141"/>
      <c r="M945" s="141"/>
      <c r="N945" s="141"/>
      <c r="O945" s="141"/>
      <c r="P945" s="141"/>
      <c r="Q945" s="141"/>
      <c r="R945" s="141"/>
      <c r="S945" s="141"/>
    </row>
    <row r="946">
      <c r="A946" s="141"/>
      <c r="B946" s="141"/>
      <c r="C946" s="141"/>
      <c r="D946" s="92"/>
      <c r="E946" s="92"/>
      <c r="F946" s="141"/>
      <c r="G946" s="141"/>
      <c r="H946" s="141"/>
      <c r="I946" s="141"/>
      <c r="J946" s="141"/>
      <c r="K946" s="141"/>
      <c r="L946" s="141"/>
      <c r="M946" s="141"/>
      <c r="N946" s="141"/>
      <c r="O946" s="141"/>
      <c r="P946" s="141"/>
      <c r="Q946" s="141"/>
      <c r="R946" s="141"/>
      <c r="S946" s="141"/>
    </row>
    <row r="947">
      <c r="A947" s="141"/>
      <c r="B947" s="141"/>
      <c r="C947" s="141"/>
      <c r="D947" s="92"/>
      <c r="E947" s="92"/>
      <c r="F947" s="141"/>
      <c r="G947" s="141"/>
      <c r="H947" s="141"/>
      <c r="I947" s="141"/>
      <c r="J947" s="141"/>
      <c r="K947" s="141"/>
      <c r="L947" s="141"/>
      <c r="M947" s="141"/>
      <c r="N947" s="141"/>
      <c r="O947" s="141"/>
      <c r="P947" s="141"/>
      <c r="Q947" s="141"/>
      <c r="R947" s="141"/>
      <c r="S947" s="141"/>
    </row>
    <row r="948">
      <c r="A948" s="141"/>
      <c r="B948" s="141"/>
      <c r="C948" s="141"/>
      <c r="D948" s="92"/>
      <c r="E948" s="92"/>
      <c r="F948" s="141"/>
      <c r="G948" s="141"/>
      <c r="H948" s="141"/>
      <c r="I948" s="141"/>
      <c r="J948" s="141"/>
      <c r="K948" s="141"/>
      <c r="L948" s="141"/>
      <c r="M948" s="141"/>
      <c r="N948" s="141"/>
      <c r="O948" s="141"/>
      <c r="P948" s="141"/>
      <c r="Q948" s="141"/>
      <c r="R948" s="141"/>
      <c r="S948" s="141"/>
    </row>
    <row r="949">
      <c r="A949" s="141"/>
      <c r="B949" s="141"/>
      <c r="C949" s="141"/>
      <c r="D949" s="92"/>
      <c r="E949" s="92"/>
      <c r="F949" s="141"/>
      <c r="G949" s="141"/>
      <c r="H949" s="141"/>
      <c r="I949" s="141"/>
      <c r="J949" s="141"/>
      <c r="K949" s="141"/>
      <c r="L949" s="141"/>
      <c r="M949" s="141"/>
      <c r="N949" s="141"/>
      <c r="O949" s="141"/>
      <c r="P949" s="141"/>
      <c r="Q949" s="141"/>
      <c r="R949" s="141"/>
      <c r="S949" s="141"/>
    </row>
    <row r="950">
      <c r="A950" s="141"/>
      <c r="B950" s="141"/>
      <c r="C950" s="141"/>
      <c r="D950" s="92"/>
      <c r="E950" s="92"/>
      <c r="F950" s="141"/>
      <c r="G950" s="141"/>
      <c r="H950" s="141"/>
      <c r="I950" s="141"/>
      <c r="J950" s="141"/>
      <c r="K950" s="141"/>
      <c r="L950" s="141"/>
      <c r="M950" s="141"/>
      <c r="N950" s="141"/>
      <c r="O950" s="141"/>
      <c r="P950" s="141"/>
      <c r="Q950" s="141"/>
      <c r="R950" s="141"/>
      <c r="S950" s="141"/>
    </row>
    <row r="951">
      <c r="A951" s="141"/>
      <c r="B951" s="141"/>
      <c r="C951" s="141"/>
      <c r="D951" s="92"/>
      <c r="E951" s="92"/>
      <c r="F951" s="141"/>
      <c r="G951" s="141"/>
      <c r="H951" s="141"/>
      <c r="I951" s="141"/>
      <c r="J951" s="141"/>
      <c r="K951" s="141"/>
      <c r="L951" s="141"/>
      <c r="M951" s="141"/>
      <c r="N951" s="141"/>
      <c r="O951" s="141"/>
      <c r="P951" s="141"/>
      <c r="Q951" s="141"/>
      <c r="R951" s="141"/>
      <c r="S951" s="141"/>
    </row>
    <row r="952">
      <c r="A952" s="141"/>
      <c r="B952" s="141"/>
      <c r="C952" s="141"/>
      <c r="D952" s="92"/>
      <c r="E952" s="92"/>
      <c r="F952" s="141"/>
      <c r="G952" s="141"/>
      <c r="H952" s="141"/>
      <c r="I952" s="141"/>
      <c r="J952" s="141"/>
      <c r="K952" s="141"/>
      <c r="L952" s="141"/>
      <c r="M952" s="141"/>
      <c r="N952" s="141"/>
      <c r="O952" s="141"/>
      <c r="P952" s="141"/>
      <c r="Q952" s="141"/>
      <c r="R952" s="141"/>
      <c r="S952" s="141"/>
    </row>
    <row r="953">
      <c r="A953" s="141"/>
      <c r="B953" s="141"/>
      <c r="C953" s="141"/>
      <c r="D953" s="92"/>
      <c r="E953" s="92"/>
      <c r="F953" s="141"/>
      <c r="G953" s="141"/>
      <c r="H953" s="141"/>
      <c r="I953" s="141"/>
      <c r="J953" s="141"/>
      <c r="K953" s="141"/>
      <c r="L953" s="141"/>
      <c r="M953" s="141"/>
      <c r="N953" s="141"/>
      <c r="O953" s="141"/>
      <c r="P953" s="141"/>
      <c r="Q953" s="141"/>
      <c r="R953" s="141"/>
      <c r="S953" s="141"/>
    </row>
    <row r="954">
      <c r="A954" s="141"/>
      <c r="B954" s="141"/>
      <c r="C954" s="141"/>
      <c r="D954" s="92"/>
      <c r="E954" s="92"/>
      <c r="F954" s="141"/>
      <c r="G954" s="141"/>
      <c r="H954" s="141"/>
      <c r="I954" s="141"/>
      <c r="J954" s="141"/>
      <c r="K954" s="141"/>
      <c r="L954" s="141"/>
      <c r="M954" s="141"/>
      <c r="N954" s="141"/>
      <c r="O954" s="141"/>
      <c r="P954" s="141"/>
      <c r="Q954" s="141"/>
      <c r="R954" s="141"/>
      <c r="S954" s="141"/>
    </row>
    <row r="955">
      <c r="A955" s="141"/>
      <c r="B955" s="141"/>
      <c r="C955" s="141"/>
      <c r="D955" s="92"/>
      <c r="E955" s="92"/>
      <c r="F955" s="141"/>
      <c r="G955" s="141"/>
      <c r="H955" s="141"/>
      <c r="I955" s="141"/>
      <c r="J955" s="141"/>
      <c r="K955" s="141"/>
      <c r="L955" s="141"/>
      <c r="M955" s="141"/>
      <c r="N955" s="141"/>
      <c r="O955" s="141"/>
      <c r="P955" s="141"/>
      <c r="Q955" s="141"/>
      <c r="R955" s="141"/>
      <c r="S955" s="141"/>
    </row>
    <row r="956">
      <c r="A956" s="141"/>
      <c r="B956" s="141"/>
      <c r="C956" s="141"/>
      <c r="D956" s="92"/>
      <c r="E956" s="92"/>
      <c r="F956" s="141"/>
      <c r="G956" s="141"/>
      <c r="H956" s="141"/>
      <c r="I956" s="141"/>
      <c r="J956" s="141"/>
      <c r="K956" s="141"/>
      <c r="L956" s="141"/>
      <c r="M956" s="141"/>
      <c r="N956" s="141"/>
      <c r="O956" s="141"/>
      <c r="P956" s="141"/>
      <c r="Q956" s="141"/>
      <c r="R956" s="141"/>
      <c r="S956" s="141"/>
    </row>
    <row r="957">
      <c r="A957" s="141"/>
      <c r="B957" s="141"/>
      <c r="C957" s="141"/>
      <c r="D957" s="92"/>
      <c r="E957" s="92"/>
      <c r="F957" s="141"/>
      <c r="G957" s="141"/>
      <c r="H957" s="141"/>
      <c r="I957" s="141"/>
      <c r="J957" s="141"/>
      <c r="K957" s="141"/>
      <c r="L957" s="141"/>
      <c r="M957" s="141"/>
      <c r="N957" s="141"/>
      <c r="O957" s="141"/>
      <c r="P957" s="141"/>
      <c r="Q957" s="141"/>
      <c r="R957" s="141"/>
      <c r="S957" s="141"/>
    </row>
    <row r="958">
      <c r="A958" s="141"/>
      <c r="B958" s="141"/>
      <c r="C958" s="141"/>
      <c r="D958" s="92"/>
      <c r="E958" s="92"/>
      <c r="F958" s="141"/>
      <c r="G958" s="141"/>
      <c r="H958" s="141"/>
      <c r="I958" s="141"/>
      <c r="J958" s="141"/>
      <c r="K958" s="141"/>
      <c r="L958" s="141"/>
      <c r="M958" s="141"/>
      <c r="N958" s="141"/>
      <c r="O958" s="141"/>
      <c r="P958" s="141"/>
      <c r="Q958" s="141"/>
      <c r="R958" s="141"/>
      <c r="S958" s="141"/>
    </row>
    <row r="959">
      <c r="A959" s="141"/>
      <c r="B959" s="141"/>
      <c r="C959" s="141"/>
      <c r="D959" s="92"/>
      <c r="E959" s="92"/>
      <c r="F959" s="141"/>
      <c r="G959" s="141"/>
      <c r="H959" s="141"/>
      <c r="I959" s="141"/>
      <c r="J959" s="141"/>
      <c r="K959" s="141"/>
      <c r="L959" s="141"/>
      <c r="M959" s="141"/>
      <c r="N959" s="141"/>
      <c r="O959" s="141"/>
      <c r="P959" s="141"/>
      <c r="Q959" s="141"/>
      <c r="R959" s="141"/>
      <c r="S959" s="141"/>
    </row>
    <row r="960">
      <c r="A960" s="141"/>
      <c r="B960" s="141"/>
      <c r="C960" s="141"/>
      <c r="D960" s="92"/>
      <c r="E960" s="92"/>
      <c r="F960" s="141"/>
      <c r="G960" s="141"/>
      <c r="H960" s="141"/>
      <c r="I960" s="141"/>
      <c r="J960" s="141"/>
      <c r="K960" s="141"/>
      <c r="L960" s="141"/>
      <c r="M960" s="141"/>
      <c r="N960" s="141"/>
      <c r="O960" s="141"/>
      <c r="P960" s="141"/>
      <c r="Q960" s="141"/>
      <c r="R960" s="141"/>
      <c r="S960" s="141"/>
    </row>
    <row r="961">
      <c r="A961" s="141"/>
      <c r="B961" s="141"/>
      <c r="C961" s="141"/>
      <c r="D961" s="92"/>
      <c r="E961" s="92"/>
      <c r="F961" s="141"/>
      <c r="G961" s="141"/>
      <c r="H961" s="141"/>
      <c r="I961" s="141"/>
      <c r="J961" s="141"/>
      <c r="K961" s="141"/>
      <c r="L961" s="141"/>
      <c r="M961" s="141"/>
      <c r="N961" s="141"/>
      <c r="O961" s="141"/>
      <c r="P961" s="141"/>
      <c r="Q961" s="141"/>
      <c r="R961" s="141"/>
      <c r="S961" s="141"/>
    </row>
    <row r="962">
      <c r="A962" s="141"/>
      <c r="B962" s="141"/>
      <c r="C962" s="141"/>
      <c r="D962" s="92"/>
      <c r="E962" s="92"/>
      <c r="F962" s="141"/>
      <c r="G962" s="141"/>
      <c r="H962" s="141"/>
      <c r="I962" s="141"/>
      <c r="J962" s="141"/>
      <c r="K962" s="141"/>
      <c r="L962" s="141"/>
      <c r="M962" s="141"/>
      <c r="N962" s="141"/>
      <c r="O962" s="141"/>
      <c r="P962" s="141"/>
      <c r="Q962" s="141"/>
      <c r="R962" s="141"/>
      <c r="S962" s="141"/>
    </row>
    <row r="963">
      <c r="A963" s="141"/>
      <c r="B963" s="141"/>
      <c r="C963" s="141"/>
      <c r="D963" s="92"/>
      <c r="E963" s="92"/>
      <c r="F963" s="141"/>
      <c r="G963" s="141"/>
      <c r="H963" s="141"/>
      <c r="I963" s="141"/>
      <c r="J963" s="141"/>
      <c r="K963" s="141"/>
      <c r="L963" s="141"/>
      <c r="M963" s="141"/>
      <c r="N963" s="141"/>
      <c r="O963" s="141"/>
      <c r="P963" s="141"/>
      <c r="Q963" s="141"/>
      <c r="R963" s="141"/>
      <c r="S963" s="141"/>
    </row>
    <row r="964">
      <c r="A964" s="141"/>
      <c r="B964" s="141"/>
      <c r="C964" s="141"/>
      <c r="D964" s="92"/>
      <c r="E964" s="92"/>
      <c r="F964" s="141"/>
      <c r="G964" s="141"/>
      <c r="H964" s="141"/>
      <c r="I964" s="141"/>
      <c r="J964" s="141"/>
      <c r="K964" s="141"/>
      <c r="L964" s="141"/>
      <c r="M964" s="141"/>
      <c r="N964" s="141"/>
      <c r="O964" s="141"/>
      <c r="P964" s="141"/>
      <c r="Q964" s="141"/>
      <c r="R964" s="141"/>
      <c r="S964" s="141"/>
    </row>
    <row r="965">
      <c r="A965" s="141"/>
      <c r="B965" s="141"/>
      <c r="C965" s="141"/>
      <c r="D965" s="92"/>
      <c r="E965" s="92"/>
      <c r="F965" s="141"/>
      <c r="G965" s="141"/>
      <c r="H965" s="141"/>
      <c r="I965" s="141"/>
      <c r="J965" s="141"/>
      <c r="K965" s="141"/>
      <c r="L965" s="141"/>
      <c r="M965" s="141"/>
      <c r="N965" s="141"/>
      <c r="O965" s="141"/>
      <c r="P965" s="141"/>
      <c r="Q965" s="141"/>
      <c r="R965" s="141"/>
      <c r="S965" s="141"/>
    </row>
    <row r="966">
      <c r="A966" s="141"/>
      <c r="B966" s="141"/>
      <c r="C966" s="141"/>
      <c r="D966" s="92"/>
      <c r="E966" s="92"/>
      <c r="F966" s="141"/>
      <c r="G966" s="141"/>
      <c r="H966" s="141"/>
      <c r="I966" s="141"/>
      <c r="J966" s="141"/>
      <c r="K966" s="141"/>
      <c r="L966" s="141"/>
      <c r="M966" s="141"/>
      <c r="N966" s="141"/>
      <c r="O966" s="141"/>
      <c r="P966" s="141"/>
      <c r="Q966" s="141"/>
      <c r="R966" s="141"/>
      <c r="S966" s="141"/>
    </row>
    <row r="967">
      <c r="A967" s="141"/>
      <c r="B967" s="141"/>
      <c r="C967" s="141"/>
      <c r="D967" s="92"/>
      <c r="E967" s="92"/>
      <c r="F967" s="141"/>
      <c r="G967" s="141"/>
      <c r="H967" s="141"/>
      <c r="I967" s="141"/>
      <c r="J967" s="141"/>
      <c r="K967" s="141"/>
      <c r="L967" s="141"/>
      <c r="M967" s="141"/>
      <c r="N967" s="141"/>
      <c r="O967" s="141"/>
      <c r="P967" s="141"/>
      <c r="Q967" s="141"/>
      <c r="R967" s="141"/>
      <c r="S967" s="141"/>
    </row>
    <row r="968">
      <c r="A968" s="141"/>
      <c r="B968" s="141"/>
      <c r="C968" s="141"/>
      <c r="D968" s="92"/>
      <c r="E968" s="92"/>
      <c r="F968" s="141"/>
      <c r="G968" s="141"/>
      <c r="H968" s="141"/>
      <c r="I968" s="141"/>
      <c r="J968" s="141"/>
      <c r="K968" s="141"/>
      <c r="L968" s="141"/>
      <c r="M968" s="141"/>
      <c r="N968" s="141"/>
      <c r="O968" s="141"/>
      <c r="P968" s="141"/>
      <c r="Q968" s="141"/>
      <c r="R968" s="141"/>
      <c r="S968" s="141"/>
    </row>
    <row r="969">
      <c r="A969" s="141"/>
      <c r="B969" s="141"/>
      <c r="C969" s="141"/>
      <c r="D969" s="92"/>
      <c r="E969" s="92"/>
      <c r="F969" s="141"/>
      <c r="G969" s="141"/>
      <c r="H969" s="141"/>
      <c r="I969" s="141"/>
      <c r="J969" s="141"/>
      <c r="K969" s="141"/>
      <c r="L969" s="141"/>
      <c r="M969" s="141"/>
      <c r="N969" s="141"/>
      <c r="O969" s="141"/>
      <c r="P969" s="141"/>
      <c r="Q969" s="141"/>
      <c r="R969" s="141"/>
      <c r="S969" s="141"/>
    </row>
    <row r="970">
      <c r="A970" s="141"/>
      <c r="B970" s="141"/>
      <c r="C970" s="141"/>
      <c r="D970" s="92"/>
      <c r="E970" s="92"/>
      <c r="F970" s="141"/>
      <c r="G970" s="141"/>
      <c r="H970" s="141"/>
      <c r="I970" s="141"/>
      <c r="J970" s="141"/>
      <c r="K970" s="141"/>
      <c r="L970" s="141"/>
      <c r="M970" s="141"/>
      <c r="N970" s="141"/>
      <c r="O970" s="141"/>
      <c r="P970" s="141"/>
      <c r="Q970" s="141"/>
      <c r="R970" s="141"/>
      <c r="S970" s="141"/>
    </row>
    <row r="971">
      <c r="A971" s="141"/>
      <c r="B971" s="141"/>
      <c r="C971" s="141"/>
      <c r="D971" s="92"/>
      <c r="E971" s="92"/>
      <c r="F971" s="141"/>
      <c r="G971" s="141"/>
      <c r="H971" s="141"/>
      <c r="I971" s="141"/>
      <c r="J971" s="141"/>
      <c r="K971" s="141"/>
      <c r="L971" s="141"/>
      <c r="M971" s="141"/>
      <c r="N971" s="141"/>
      <c r="O971" s="141"/>
      <c r="P971" s="141"/>
      <c r="Q971" s="141"/>
      <c r="R971" s="141"/>
      <c r="S971" s="141"/>
    </row>
    <row r="972">
      <c r="A972" s="141"/>
      <c r="B972" s="141"/>
      <c r="C972" s="141"/>
      <c r="D972" s="92"/>
      <c r="E972" s="92"/>
      <c r="F972" s="141"/>
      <c r="G972" s="141"/>
      <c r="H972" s="141"/>
      <c r="I972" s="141"/>
      <c r="J972" s="141"/>
      <c r="K972" s="141"/>
      <c r="L972" s="141"/>
      <c r="M972" s="141"/>
      <c r="N972" s="141"/>
      <c r="O972" s="141"/>
      <c r="P972" s="141"/>
      <c r="Q972" s="141"/>
      <c r="R972" s="141"/>
      <c r="S972" s="141"/>
    </row>
    <row r="973">
      <c r="A973" s="141"/>
      <c r="B973" s="141"/>
      <c r="C973" s="141"/>
      <c r="D973" s="92"/>
      <c r="E973" s="92"/>
      <c r="F973" s="141"/>
      <c r="G973" s="141"/>
      <c r="H973" s="141"/>
      <c r="I973" s="141"/>
      <c r="J973" s="141"/>
      <c r="K973" s="141"/>
      <c r="L973" s="141"/>
      <c r="M973" s="141"/>
      <c r="N973" s="141"/>
      <c r="O973" s="141"/>
      <c r="P973" s="141"/>
      <c r="Q973" s="141"/>
      <c r="R973" s="141"/>
      <c r="S973" s="141"/>
    </row>
    <row r="974">
      <c r="A974" s="141"/>
      <c r="B974" s="141"/>
      <c r="C974" s="141"/>
      <c r="D974" s="92"/>
      <c r="E974" s="92"/>
      <c r="F974" s="141"/>
      <c r="G974" s="141"/>
      <c r="H974" s="141"/>
      <c r="I974" s="141"/>
      <c r="J974" s="141"/>
      <c r="K974" s="141"/>
      <c r="L974" s="141"/>
      <c r="M974" s="141"/>
      <c r="N974" s="141"/>
      <c r="O974" s="141"/>
      <c r="P974" s="141"/>
      <c r="Q974" s="141"/>
      <c r="R974" s="141"/>
      <c r="S974" s="141"/>
    </row>
    <row r="975">
      <c r="A975" s="141"/>
      <c r="B975" s="141"/>
      <c r="C975" s="141"/>
      <c r="D975" s="92"/>
      <c r="E975" s="92"/>
      <c r="F975" s="141"/>
      <c r="G975" s="141"/>
      <c r="H975" s="141"/>
      <c r="I975" s="141"/>
      <c r="J975" s="141"/>
      <c r="K975" s="141"/>
      <c r="L975" s="141"/>
      <c r="M975" s="141"/>
      <c r="N975" s="141"/>
      <c r="O975" s="141"/>
      <c r="P975" s="141"/>
      <c r="Q975" s="141"/>
      <c r="R975" s="141"/>
      <c r="S975" s="141"/>
    </row>
    <row r="976">
      <c r="A976" s="141"/>
      <c r="B976" s="141"/>
      <c r="C976" s="141"/>
      <c r="D976" s="92"/>
      <c r="E976" s="92"/>
      <c r="F976" s="141"/>
      <c r="G976" s="141"/>
      <c r="H976" s="141"/>
      <c r="I976" s="141"/>
      <c r="J976" s="141"/>
      <c r="K976" s="141"/>
      <c r="L976" s="141"/>
      <c r="M976" s="141"/>
      <c r="N976" s="141"/>
      <c r="O976" s="141"/>
      <c r="P976" s="141"/>
      <c r="Q976" s="141"/>
      <c r="R976" s="141"/>
      <c r="S976" s="141"/>
    </row>
    <row r="977">
      <c r="A977" s="141"/>
      <c r="B977" s="141"/>
      <c r="C977" s="141"/>
      <c r="D977" s="92"/>
      <c r="E977" s="92"/>
      <c r="F977" s="141"/>
      <c r="G977" s="141"/>
      <c r="H977" s="141"/>
      <c r="I977" s="141"/>
      <c r="J977" s="141"/>
      <c r="K977" s="141"/>
      <c r="L977" s="141"/>
      <c r="M977" s="141"/>
      <c r="N977" s="141"/>
      <c r="O977" s="141"/>
      <c r="P977" s="141"/>
      <c r="Q977" s="141"/>
      <c r="R977" s="141"/>
      <c r="S977" s="141"/>
    </row>
    <row r="978">
      <c r="A978" s="141"/>
      <c r="B978" s="141"/>
      <c r="C978" s="141"/>
      <c r="D978" s="92"/>
      <c r="E978" s="92"/>
      <c r="F978" s="141"/>
      <c r="G978" s="141"/>
      <c r="H978" s="141"/>
      <c r="I978" s="141"/>
      <c r="J978" s="141"/>
      <c r="K978" s="141"/>
      <c r="L978" s="141"/>
      <c r="M978" s="141"/>
      <c r="N978" s="141"/>
      <c r="O978" s="141"/>
      <c r="P978" s="141"/>
      <c r="Q978" s="141"/>
      <c r="R978" s="141"/>
      <c r="S978" s="141"/>
    </row>
    <row r="979">
      <c r="A979" s="141"/>
      <c r="B979" s="141"/>
      <c r="C979" s="141"/>
      <c r="D979" s="92"/>
      <c r="E979" s="92"/>
      <c r="F979" s="141"/>
      <c r="G979" s="141"/>
      <c r="H979" s="141"/>
      <c r="I979" s="141"/>
      <c r="J979" s="141"/>
      <c r="K979" s="141"/>
      <c r="L979" s="141"/>
      <c r="M979" s="141"/>
      <c r="N979" s="141"/>
      <c r="O979" s="141"/>
      <c r="P979" s="141"/>
      <c r="Q979" s="141"/>
      <c r="R979" s="141"/>
      <c r="S979" s="141"/>
    </row>
    <row r="980">
      <c r="A980" s="141"/>
      <c r="B980" s="141"/>
      <c r="C980" s="141"/>
      <c r="D980" s="92"/>
      <c r="E980" s="92"/>
      <c r="F980" s="141"/>
      <c r="G980" s="141"/>
      <c r="H980" s="141"/>
      <c r="I980" s="141"/>
      <c r="J980" s="141"/>
      <c r="K980" s="141"/>
      <c r="L980" s="141"/>
      <c r="M980" s="141"/>
      <c r="N980" s="141"/>
      <c r="O980" s="141"/>
      <c r="P980" s="141"/>
      <c r="Q980" s="141"/>
      <c r="R980" s="141"/>
      <c r="S980" s="141"/>
    </row>
    <row r="981">
      <c r="A981" s="141"/>
      <c r="B981" s="141"/>
      <c r="C981" s="141"/>
      <c r="D981" s="92"/>
      <c r="E981" s="92"/>
      <c r="F981" s="141"/>
      <c r="G981" s="141"/>
      <c r="H981" s="141"/>
      <c r="I981" s="141"/>
      <c r="J981" s="141"/>
      <c r="K981" s="141"/>
      <c r="L981" s="141"/>
      <c r="M981" s="141"/>
      <c r="N981" s="141"/>
      <c r="O981" s="141"/>
      <c r="P981" s="141"/>
      <c r="Q981" s="141"/>
      <c r="R981" s="141"/>
      <c r="S981" s="141"/>
    </row>
    <row r="982">
      <c r="A982" s="141"/>
      <c r="B982" s="141"/>
      <c r="C982" s="141"/>
      <c r="D982" s="92"/>
      <c r="E982" s="92"/>
      <c r="F982" s="141"/>
      <c r="G982" s="141"/>
      <c r="H982" s="141"/>
      <c r="I982" s="141"/>
      <c r="J982" s="141"/>
      <c r="K982" s="141"/>
      <c r="L982" s="141"/>
      <c r="M982" s="141"/>
      <c r="N982" s="141"/>
      <c r="O982" s="141"/>
      <c r="P982" s="141"/>
      <c r="Q982" s="141"/>
      <c r="R982" s="141"/>
      <c r="S982" s="141"/>
    </row>
    <row r="983">
      <c r="A983" s="141"/>
      <c r="B983" s="141"/>
      <c r="C983" s="141"/>
      <c r="D983" s="92"/>
      <c r="E983" s="92"/>
      <c r="F983" s="141"/>
      <c r="G983" s="141"/>
      <c r="H983" s="141"/>
      <c r="I983" s="141"/>
      <c r="J983" s="141"/>
      <c r="K983" s="141"/>
      <c r="L983" s="141"/>
      <c r="M983" s="141"/>
      <c r="N983" s="141"/>
      <c r="O983" s="141"/>
      <c r="P983" s="141"/>
      <c r="Q983" s="141"/>
      <c r="R983" s="141"/>
      <c r="S983" s="141"/>
    </row>
    <row r="984">
      <c r="A984" s="141"/>
      <c r="B984" s="141"/>
      <c r="C984" s="141"/>
      <c r="D984" s="92"/>
      <c r="E984" s="92"/>
      <c r="F984" s="141"/>
      <c r="G984" s="141"/>
      <c r="H984" s="141"/>
      <c r="I984" s="141"/>
      <c r="J984" s="141"/>
      <c r="K984" s="141"/>
      <c r="L984" s="141"/>
      <c r="M984" s="141"/>
      <c r="N984" s="141"/>
      <c r="O984" s="141"/>
      <c r="P984" s="141"/>
      <c r="Q984" s="141"/>
      <c r="R984" s="141"/>
      <c r="S984" s="141"/>
    </row>
    <row r="985">
      <c r="A985" s="141"/>
      <c r="B985" s="141"/>
      <c r="C985" s="141"/>
      <c r="D985" s="92"/>
      <c r="E985" s="92"/>
      <c r="F985" s="141"/>
      <c r="G985" s="141"/>
      <c r="H985" s="141"/>
      <c r="I985" s="141"/>
      <c r="J985" s="141"/>
      <c r="K985" s="141"/>
      <c r="L985" s="141"/>
      <c r="M985" s="141"/>
      <c r="N985" s="141"/>
      <c r="O985" s="141"/>
      <c r="P985" s="141"/>
      <c r="Q985" s="141"/>
      <c r="R985" s="141"/>
      <c r="S985" s="141"/>
    </row>
    <row r="986">
      <c r="A986" s="141"/>
      <c r="B986" s="141"/>
      <c r="C986" s="141"/>
      <c r="D986" s="92"/>
      <c r="E986" s="92"/>
      <c r="F986" s="141"/>
      <c r="G986" s="141"/>
      <c r="H986" s="141"/>
      <c r="I986" s="141"/>
      <c r="J986" s="141"/>
      <c r="K986" s="141"/>
      <c r="L986" s="141"/>
      <c r="M986" s="141"/>
      <c r="N986" s="141"/>
      <c r="O986" s="141"/>
      <c r="P986" s="141"/>
      <c r="Q986" s="141"/>
      <c r="R986" s="141"/>
      <c r="S986" s="141"/>
    </row>
    <row r="987">
      <c r="A987" s="141"/>
      <c r="B987" s="141"/>
      <c r="C987" s="141"/>
      <c r="D987" s="92"/>
      <c r="E987" s="92"/>
      <c r="F987" s="141"/>
      <c r="G987" s="141"/>
      <c r="H987" s="141"/>
      <c r="I987" s="141"/>
      <c r="J987" s="141"/>
      <c r="K987" s="141"/>
      <c r="L987" s="141"/>
      <c r="M987" s="141"/>
      <c r="N987" s="141"/>
      <c r="O987" s="141"/>
      <c r="P987" s="141"/>
      <c r="Q987" s="141"/>
      <c r="R987" s="141"/>
      <c r="S987" s="141"/>
    </row>
    <row r="988">
      <c r="A988" s="141"/>
      <c r="B988" s="141"/>
      <c r="C988" s="141"/>
      <c r="D988" s="92"/>
      <c r="E988" s="92"/>
      <c r="F988" s="141"/>
      <c r="G988" s="141"/>
      <c r="H988" s="141"/>
      <c r="I988" s="141"/>
      <c r="J988" s="141"/>
      <c r="K988" s="141"/>
      <c r="L988" s="141"/>
      <c r="M988" s="141"/>
      <c r="N988" s="141"/>
      <c r="O988" s="141"/>
      <c r="P988" s="141"/>
      <c r="Q988" s="141"/>
      <c r="R988" s="141"/>
      <c r="S988" s="141"/>
    </row>
    <row r="989">
      <c r="A989" s="141"/>
      <c r="B989" s="141"/>
      <c r="C989" s="141"/>
      <c r="D989" s="92"/>
      <c r="E989" s="92"/>
      <c r="F989" s="141"/>
      <c r="G989" s="141"/>
      <c r="H989" s="141"/>
      <c r="I989" s="141"/>
      <c r="J989" s="141"/>
      <c r="K989" s="141"/>
      <c r="L989" s="141"/>
      <c r="M989" s="141"/>
      <c r="N989" s="141"/>
      <c r="O989" s="141"/>
      <c r="P989" s="141"/>
      <c r="Q989" s="141"/>
      <c r="R989" s="141"/>
      <c r="S989" s="141"/>
    </row>
    <row r="990">
      <c r="A990" s="141"/>
      <c r="B990" s="141"/>
      <c r="C990" s="141"/>
      <c r="D990" s="92"/>
      <c r="E990" s="92"/>
      <c r="F990" s="141"/>
      <c r="G990" s="141"/>
      <c r="H990" s="141"/>
      <c r="I990" s="141"/>
      <c r="J990" s="141"/>
      <c r="K990" s="141"/>
      <c r="L990" s="141"/>
      <c r="M990" s="141"/>
      <c r="N990" s="141"/>
      <c r="O990" s="141"/>
      <c r="P990" s="141"/>
      <c r="Q990" s="141"/>
      <c r="R990" s="141"/>
      <c r="S990" s="141"/>
    </row>
    <row r="991">
      <c r="A991" s="141"/>
      <c r="B991" s="141"/>
      <c r="C991" s="141"/>
      <c r="D991" s="92"/>
      <c r="E991" s="92"/>
      <c r="F991" s="141"/>
      <c r="G991" s="141"/>
      <c r="H991" s="141"/>
      <c r="I991" s="141"/>
      <c r="J991" s="141"/>
      <c r="K991" s="141"/>
      <c r="L991" s="141"/>
      <c r="M991" s="141"/>
      <c r="N991" s="141"/>
      <c r="O991" s="141"/>
      <c r="P991" s="141"/>
      <c r="Q991" s="141"/>
      <c r="R991" s="141"/>
      <c r="S991" s="141"/>
    </row>
    <row r="992">
      <c r="A992" s="141"/>
      <c r="B992" s="141"/>
      <c r="C992" s="141"/>
      <c r="D992" s="92"/>
      <c r="E992" s="92"/>
      <c r="F992" s="141"/>
      <c r="G992" s="141"/>
      <c r="H992" s="141"/>
      <c r="I992" s="141"/>
      <c r="J992" s="141"/>
      <c r="K992" s="141"/>
      <c r="L992" s="141"/>
      <c r="M992" s="141"/>
      <c r="N992" s="141"/>
      <c r="O992" s="141"/>
      <c r="P992" s="141"/>
      <c r="Q992" s="141"/>
      <c r="R992" s="141"/>
      <c r="S992" s="141"/>
    </row>
    <row r="993">
      <c r="A993" s="141"/>
      <c r="B993" s="141"/>
      <c r="C993" s="141"/>
      <c r="D993" s="92"/>
      <c r="E993" s="92"/>
      <c r="F993" s="141"/>
      <c r="G993" s="141"/>
      <c r="H993" s="141"/>
      <c r="I993" s="141"/>
      <c r="J993" s="141"/>
      <c r="K993" s="141"/>
      <c r="L993" s="141"/>
      <c r="M993" s="141"/>
      <c r="N993" s="141"/>
      <c r="O993" s="141"/>
      <c r="P993" s="141"/>
      <c r="Q993" s="141"/>
      <c r="R993" s="141"/>
      <c r="S993" s="141"/>
    </row>
    <row r="994">
      <c r="A994" s="141"/>
      <c r="B994" s="141"/>
      <c r="C994" s="141"/>
      <c r="D994" s="92"/>
      <c r="E994" s="92"/>
      <c r="F994" s="141"/>
      <c r="G994" s="141"/>
      <c r="H994" s="141"/>
      <c r="I994" s="141"/>
      <c r="J994" s="141"/>
      <c r="K994" s="141"/>
      <c r="L994" s="141"/>
      <c r="M994" s="141"/>
      <c r="N994" s="141"/>
      <c r="O994" s="141"/>
      <c r="P994" s="141"/>
      <c r="Q994" s="141"/>
      <c r="R994" s="141"/>
      <c r="S994" s="141"/>
    </row>
    <row r="995">
      <c r="A995" s="141"/>
      <c r="B995" s="141"/>
      <c r="C995" s="141"/>
      <c r="D995" s="92"/>
      <c r="E995" s="92"/>
      <c r="F995" s="141"/>
      <c r="G995" s="141"/>
      <c r="H995" s="141"/>
      <c r="I995" s="141"/>
      <c r="J995" s="141"/>
      <c r="K995" s="141"/>
      <c r="L995" s="141"/>
      <c r="M995" s="141"/>
      <c r="N995" s="141"/>
      <c r="O995" s="141"/>
      <c r="P995" s="141"/>
      <c r="Q995" s="141"/>
      <c r="R995" s="141"/>
      <c r="S995" s="141"/>
    </row>
    <row r="996">
      <c r="A996" s="141"/>
      <c r="B996" s="141"/>
      <c r="C996" s="141"/>
      <c r="D996" s="92"/>
      <c r="E996" s="92"/>
      <c r="F996" s="141"/>
      <c r="G996" s="141"/>
      <c r="H996" s="141"/>
      <c r="I996" s="141"/>
      <c r="J996" s="141"/>
      <c r="K996" s="141"/>
      <c r="L996" s="141"/>
      <c r="M996" s="141"/>
      <c r="N996" s="141"/>
      <c r="O996" s="141"/>
      <c r="P996" s="141"/>
      <c r="Q996" s="141"/>
      <c r="R996" s="141"/>
      <c r="S996" s="141"/>
    </row>
    <row r="997">
      <c r="A997" s="141"/>
      <c r="B997" s="141"/>
      <c r="C997" s="141"/>
      <c r="D997" s="92"/>
      <c r="E997" s="92"/>
      <c r="F997" s="141"/>
      <c r="G997" s="141"/>
      <c r="H997" s="141"/>
      <c r="I997" s="141"/>
      <c r="J997" s="141"/>
      <c r="K997" s="141"/>
      <c r="L997" s="141"/>
      <c r="M997" s="141"/>
      <c r="N997" s="141"/>
      <c r="O997" s="141"/>
      <c r="P997" s="141"/>
      <c r="Q997" s="141"/>
      <c r="R997" s="141"/>
      <c r="S997" s="141"/>
    </row>
    <row r="998">
      <c r="A998" s="141"/>
      <c r="B998" s="141"/>
      <c r="C998" s="141"/>
      <c r="D998" s="92"/>
      <c r="E998" s="92"/>
      <c r="F998" s="141"/>
      <c r="G998" s="141"/>
      <c r="H998" s="141"/>
      <c r="I998" s="141"/>
      <c r="J998" s="141"/>
      <c r="K998" s="141"/>
      <c r="L998" s="141"/>
      <c r="M998" s="141"/>
      <c r="N998" s="141"/>
      <c r="O998" s="141"/>
      <c r="P998" s="141"/>
      <c r="Q998" s="141"/>
      <c r="R998" s="141"/>
      <c r="S998" s="141"/>
    </row>
    <row r="999">
      <c r="A999" s="141"/>
      <c r="B999" s="141"/>
      <c r="C999" s="141"/>
      <c r="D999" s="92"/>
      <c r="E999" s="92"/>
      <c r="F999" s="141"/>
      <c r="G999" s="141"/>
      <c r="H999" s="141"/>
      <c r="I999" s="141"/>
      <c r="J999" s="141"/>
      <c r="K999" s="141"/>
      <c r="L999" s="141"/>
      <c r="M999" s="141"/>
      <c r="N999" s="141"/>
      <c r="O999" s="141"/>
      <c r="P999" s="141"/>
      <c r="Q999" s="141"/>
      <c r="R999" s="141"/>
      <c r="S999" s="141"/>
    </row>
    <row r="1000">
      <c r="A1000" s="141"/>
      <c r="B1000" s="141"/>
      <c r="C1000" s="141"/>
      <c r="D1000" s="92"/>
      <c r="E1000" s="92"/>
      <c r="F1000" s="141"/>
      <c r="G1000" s="141"/>
      <c r="H1000" s="141"/>
      <c r="I1000" s="141"/>
      <c r="J1000" s="141"/>
      <c r="K1000" s="141"/>
      <c r="L1000" s="141"/>
      <c r="M1000" s="141"/>
      <c r="N1000" s="141"/>
      <c r="O1000" s="141"/>
      <c r="P1000" s="141"/>
      <c r="Q1000" s="141"/>
      <c r="R1000" s="141"/>
      <c r="S1000" s="141"/>
    </row>
    <row r="1001">
      <c r="A1001" s="141"/>
      <c r="B1001" s="141"/>
      <c r="C1001" s="141"/>
      <c r="D1001" s="92"/>
      <c r="E1001" s="92"/>
      <c r="F1001" s="141"/>
      <c r="G1001" s="141"/>
      <c r="H1001" s="141"/>
      <c r="I1001" s="141"/>
      <c r="J1001" s="141"/>
      <c r="K1001" s="141"/>
      <c r="L1001" s="141"/>
      <c r="M1001" s="141"/>
      <c r="N1001" s="141"/>
      <c r="O1001" s="141"/>
      <c r="P1001" s="141"/>
      <c r="Q1001" s="141"/>
      <c r="R1001" s="141"/>
      <c r="S1001" s="141"/>
    </row>
    <row r="1002">
      <c r="A1002" s="141"/>
      <c r="B1002" s="141"/>
      <c r="C1002" s="141"/>
      <c r="D1002" s="92"/>
      <c r="E1002" s="92"/>
      <c r="F1002" s="141"/>
      <c r="G1002" s="141"/>
      <c r="H1002" s="141"/>
      <c r="I1002" s="141"/>
      <c r="J1002" s="141"/>
      <c r="K1002" s="141"/>
      <c r="L1002" s="141"/>
      <c r="M1002" s="141"/>
      <c r="N1002" s="141"/>
      <c r="O1002" s="141"/>
      <c r="P1002" s="141"/>
      <c r="Q1002" s="141"/>
      <c r="R1002" s="141"/>
      <c r="S1002" s="141"/>
    </row>
    <row r="1003">
      <c r="A1003" s="141"/>
      <c r="B1003" s="141"/>
      <c r="C1003" s="141"/>
      <c r="D1003" s="92"/>
      <c r="E1003" s="92"/>
      <c r="F1003" s="141"/>
      <c r="G1003" s="141"/>
      <c r="H1003" s="141"/>
      <c r="I1003" s="141"/>
      <c r="J1003" s="141"/>
      <c r="K1003" s="141"/>
      <c r="L1003" s="141"/>
      <c r="M1003" s="141"/>
      <c r="N1003" s="141"/>
      <c r="O1003" s="141"/>
      <c r="P1003" s="141"/>
      <c r="Q1003" s="141"/>
      <c r="R1003" s="141"/>
      <c r="S1003" s="14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31" t="s">
        <v>26</v>
      </c>
      <c r="E1" s="27" t="s">
        <v>27</v>
      </c>
      <c r="F1" s="94" t="s">
        <v>28</v>
      </c>
      <c r="G1" s="8" t="s">
        <v>29</v>
      </c>
    </row>
    <row r="2" ht="15.75" customHeight="1">
      <c r="A2" s="241" t="s">
        <v>4236</v>
      </c>
      <c r="B2" s="242"/>
      <c r="C2" s="242"/>
      <c r="D2" s="243"/>
      <c r="E2" s="244"/>
      <c r="F2" s="245"/>
      <c r="G2" s="246"/>
    </row>
    <row r="3" ht="15.75" customHeight="1">
      <c r="A3" s="29" t="s">
        <v>4237</v>
      </c>
      <c r="B3" s="32"/>
      <c r="C3" s="32"/>
      <c r="D3" s="55"/>
      <c r="E3" s="55"/>
      <c r="F3" s="55"/>
      <c r="G3" s="55"/>
    </row>
    <row r="4" ht="15.75" customHeight="1">
      <c r="A4" s="41" t="s">
        <v>4238</v>
      </c>
      <c r="B4" s="42" t="s">
        <v>4239</v>
      </c>
      <c r="C4" s="41" t="s">
        <v>4240</v>
      </c>
      <c r="D4" s="247" t="s">
        <v>4241</v>
      </c>
      <c r="E4" s="102" t="s">
        <v>4242</v>
      </c>
      <c r="F4" s="84">
        <v>0.21</v>
      </c>
      <c r="G4" s="248" t="str">
        <f>VLOOKUP("G135MAE60",STOCK!$B$2:$Q$3656,3,FALSE)</f>
        <v>Mayor a 5</v>
      </c>
    </row>
    <row r="5" ht="15.75" customHeight="1">
      <c r="A5" s="29" t="s">
        <v>4243</v>
      </c>
      <c r="C5" s="32"/>
      <c r="D5" s="55"/>
      <c r="E5" s="153"/>
      <c r="F5" s="114"/>
      <c r="G5" s="32"/>
    </row>
    <row r="6" ht="15.75" customHeight="1">
      <c r="A6" s="41" t="s">
        <v>4238</v>
      </c>
      <c r="B6" s="42" t="s">
        <v>4244</v>
      </c>
      <c r="C6" s="41" t="s">
        <v>4245</v>
      </c>
      <c r="D6" s="247" t="s">
        <v>4246</v>
      </c>
      <c r="E6" s="102" t="s">
        <v>4247</v>
      </c>
      <c r="F6" s="84">
        <v>0.21</v>
      </c>
      <c r="G6" s="248" t="str">
        <f>VLOOKUP("XLI800",STOCK!$B$2:$Q$3656,3,FALSE)</f>
        <v>Mayor a 5</v>
      </c>
    </row>
    <row r="7" ht="15.75" customHeight="1">
      <c r="A7" s="47" t="s">
        <v>4238</v>
      </c>
      <c r="B7" s="48" t="s">
        <v>4248</v>
      </c>
      <c r="C7" s="47" t="s">
        <v>4249</v>
      </c>
      <c r="D7" s="249" t="s">
        <v>4250</v>
      </c>
      <c r="E7" s="105" t="s">
        <v>4251</v>
      </c>
      <c r="F7" s="38">
        <v>0.21</v>
      </c>
      <c r="G7" s="50" t="str">
        <f>VLOOKUP("XLI1500",STOCK!$B$2:$Q$3656,3,FALSE)</f>
        <v>SIN STOCK</v>
      </c>
    </row>
    <row r="8" ht="15.75" customHeight="1">
      <c r="A8" s="41" t="s">
        <v>4238</v>
      </c>
      <c r="B8" s="42" t="s">
        <v>4252</v>
      </c>
      <c r="C8" s="41" t="s">
        <v>4253</v>
      </c>
      <c r="D8" s="247" t="s">
        <v>4254</v>
      </c>
      <c r="E8" s="102" t="s">
        <v>4255</v>
      </c>
      <c r="F8" s="84">
        <v>0.21</v>
      </c>
      <c r="G8" s="53" t="str">
        <f>VLOOKUP("XLI2500",STOCK!$B$2:$Q$3656,3,FALSE)</f>
        <v>Menor a 5</v>
      </c>
    </row>
    <row r="9" ht="15.75" customHeight="1">
      <c r="A9" s="47" t="s">
        <v>4238</v>
      </c>
      <c r="B9" s="64" t="s">
        <v>4256</v>
      </c>
      <c r="C9" s="47" t="s">
        <v>4257</v>
      </c>
      <c r="D9" s="249" t="s">
        <v>4258</v>
      </c>
      <c r="E9" s="105" t="s">
        <v>4259</v>
      </c>
      <c r="F9" s="38">
        <v>0.21</v>
      </c>
      <c r="G9" s="39" t="str">
        <f>VLOOKUP("XLI3500",STOCK!$B$2:$Q$3656,3,FALSE)</f>
        <v>Mayor a 5</v>
      </c>
    </row>
    <row r="10" ht="15.75" customHeight="1">
      <c r="A10" s="250" t="s">
        <v>4260</v>
      </c>
      <c r="C10" s="32"/>
      <c r="D10" s="55"/>
      <c r="E10" s="153"/>
      <c r="F10" s="114"/>
      <c r="G10" s="32"/>
    </row>
    <row r="11" ht="15.75" customHeight="1">
      <c r="A11" s="41" t="s">
        <v>4238</v>
      </c>
      <c r="B11" s="42" t="s">
        <v>4261</v>
      </c>
      <c r="C11" s="41" t="s">
        <v>4262</v>
      </c>
      <c r="D11" s="247" t="s">
        <v>4263</v>
      </c>
      <c r="E11" s="102" t="s">
        <v>4264</v>
      </c>
      <c r="F11" s="84">
        <v>0.21</v>
      </c>
      <c r="G11" s="53" t="str">
        <f>VLOOKUP("XLS1002",STOCK!$B$2:$Q$3656,3,FALSE)</f>
        <v>SIN STOCK</v>
      </c>
    </row>
    <row r="12" ht="15.75" customHeight="1">
      <c r="A12" s="47" t="s">
        <v>4238</v>
      </c>
      <c r="B12" s="48" t="s">
        <v>4265</v>
      </c>
      <c r="C12" s="47" t="s">
        <v>4266</v>
      </c>
      <c r="D12" s="249" t="s">
        <v>4267</v>
      </c>
      <c r="E12" s="105" t="s">
        <v>4268</v>
      </c>
      <c r="F12" s="38">
        <v>0.21</v>
      </c>
      <c r="G12" s="39" t="str">
        <f>VLOOKUP("XLS1502",STOCK!$B$2:$Q$3656,3,FALSE)</f>
        <v>SIN STOCK</v>
      </c>
    </row>
    <row r="13" ht="15.75" customHeight="1">
      <c r="A13" s="41" t="s">
        <v>4238</v>
      </c>
      <c r="B13" s="42" t="s">
        <v>4269</v>
      </c>
      <c r="C13" s="41" t="s">
        <v>4270</v>
      </c>
      <c r="D13" s="247" t="s">
        <v>4271</v>
      </c>
      <c r="E13" s="102" t="s">
        <v>4272</v>
      </c>
      <c r="F13" s="84">
        <v>0.21</v>
      </c>
      <c r="G13" s="39" t="str">
        <f>VLOOKUP("XLS2002",STOCK!$B$2:$Q$3656,3,FALSE)</f>
        <v>Mayor a 5</v>
      </c>
    </row>
    <row r="14" ht="15.75" customHeight="1">
      <c r="A14" s="47" t="s">
        <v>4238</v>
      </c>
      <c r="B14" s="56" t="s">
        <v>4273</v>
      </c>
      <c r="C14" s="47" t="s">
        <v>4274</v>
      </c>
      <c r="D14" s="249" t="s">
        <v>4275</v>
      </c>
      <c r="E14" s="105" t="s">
        <v>4276</v>
      </c>
      <c r="F14" s="38">
        <v>0.21</v>
      </c>
      <c r="G14" s="39" t="str">
        <f>VLOOKUP("XLS2502",STOCK!$B$2:$Q$3656,3,FALSE)</f>
        <v>Mayor a 5</v>
      </c>
    </row>
    <row r="15" ht="15.75" customHeight="1">
      <c r="A15" s="29" t="s">
        <v>4277</v>
      </c>
      <c r="C15" s="32"/>
      <c r="D15" s="55"/>
      <c r="E15" s="153"/>
      <c r="F15" s="114"/>
      <c r="G15" s="32"/>
    </row>
    <row r="16" ht="15.75" customHeight="1">
      <c r="A16" s="81" t="s">
        <v>4238</v>
      </c>
      <c r="B16" s="82" t="s">
        <v>4278</v>
      </c>
      <c r="C16" s="81" t="s">
        <v>4279</v>
      </c>
      <c r="D16" s="247" t="s">
        <v>4280</v>
      </c>
      <c r="E16" s="102" t="s">
        <v>4281</v>
      </c>
      <c r="F16" s="84">
        <v>0.21</v>
      </c>
      <c r="G16" s="53" t="str">
        <f>VLOOKUP("XTI4002-U",STOCK!$B$2:$Q$3656,3,FALSE)</f>
        <v>SIN STOCK</v>
      </c>
    </row>
    <row r="17" ht="15.75" customHeight="1">
      <c r="A17" s="29" t="s">
        <v>4282</v>
      </c>
      <c r="C17" s="32"/>
      <c r="D17" s="55"/>
      <c r="E17" s="153"/>
      <c r="F17" s="114"/>
      <c r="G17" s="177"/>
    </row>
    <row r="18" ht="15.75" customHeight="1">
      <c r="A18" s="41" t="s">
        <v>4238</v>
      </c>
      <c r="B18" s="42" t="s">
        <v>4283</v>
      </c>
      <c r="C18" s="41" t="s">
        <v>4284</v>
      </c>
      <c r="D18" s="247" t="s">
        <v>4285</v>
      </c>
      <c r="E18" s="102" t="s">
        <v>4286</v>
      </c>
      <c r="F18" s="84">
        <v>0.21</v>
      </c>
      <c r="G18" s="50" t="str">
        <f>VLOOKUP("CT875A",STOCK!$B$2:$Q$3656,3,FALSE)</f>
        <v>SIN STOCK</v>
      </c>
    </row>
    <row r="19" ht="15.75" customHeight="1">
      <c r="A19" s="47" t="s">
        <v>4238</v>
      </c>
      <c r="B19" s="48" t="s">
        <v>4287</v>
      </c>
      <c r="C19" s="47" t="s">
        <v>4288</v>
      </c>
      <c r="D19" s="249" t="s">
        <v>4289</v>
      </c>
      <c r="E19" s="105" t="s">
        <v>4290</v>
      </c>
      <c r="F19" s="38">
        <v>0.21</v>
      </c>
      <c r="G19" s="53" t="str">
        <f>VLOOKUP("CT4150A",STOCK!$B$2:$Q$3656,3,FALSE)</f>
        <v>SIN STOCK</v>
      </c>
    </row>
    <row r="20" ht="15.75" customHeight="1">
      <c r="A20" s="41" t="s">
        <v>4238</v>
      </c>
      <c r="B20" s="42" t="s">
        <v>4291</v>
      </c>
      <c r="C20" s="41" t="s">
        <v>4292</v>
      </c>
      <c r="D20" s="247" t="s">
        <v>4293</v>
      </c>
      <c r="E20" s="102" t="s">
        <v>4294</v>
      </c>
      <c r="F20" s="84">
        <v>0.21</v>
      </c>
      <c r="G20" s="50" t="str">
        <f>VLOOKUP("CT8150A",STOCK!$B$2:$Q$3656,3,FALSE)</f>
        <v>SIN STOCK</v>
      </c>
    </row>
    <row r="21" ht="15.75" customHeight="1">
      <c r="A21" s="29" t="s">
        <v>4295</v>
      </c>
      <c r="C21" s="32"/>
      <c r="D21" s="114"/>
      <c r="E21" s="114"/>
      <c r="F21" s="114"/>
      <c r="G21" s="177"/>
    </row>
    <row r="22" ht="15.75" customHeight="1">
      <c r="A22" s="41" t="s">
        <v>4238</v>
      </c>
      <c r="B22" s="71" t="s">
        <v>4296</v>
      </c>
      <c r="C22" s="100" t="s">
        <v>4297</v>
      </c>
      <c r="D22" s="247" t="s">
        <v>4298</v>
      </c>
      <c r="E22" s="102" t="s">
        <v>4299</v>
      </c>
      <c r="F22" s="84">
        <v>0.21</v>
      </c>
      <c r="G22" s="53" t="str">
        <f>VLOOKUP("NCDI2X300-U",STOCK!$B$2:$Q$3656,3,FALSE)</f>
        <v>Menor a 5</v>
      </c>
    </row>
    <row r="23" ht="15.75" customHeight="1">
      <c r="A23" s="47" t="s">
        <v>4238</v>
      </c>
      <c r="B23" s="70" t="s">
        <v>4300</v>
      </c>
      <c r="C23" s="104" t="s">
        <v>4301</v>
      </c>
      <c r="D23" s="249" t="s">
        <v>4302</v>
      </c>
      <c r="E23" s="105" t="s">
        <v>4303</v>
      </c>
      <c r="F23" s="38">
        <v>0.21</v>
      </c>
      <c r="G23" s="53" t="str">
        <f>VLOOKUP("CDI4X300",STOCK!$B$2:$Q$3656,3,FALSE)</f>
        <v>Menor a 5</v>
      </c>
    </row>
    <row r="24" ht="15.75" customHeight="1">
      <c r="A24" s="41" t="s">
        <v>4238</v>
      </c>
      <c r="B24" s="100" t="s">
        <v>4304</v>
      </c>
      <c r="C24" s="100" t="s">
        <v>4305</v>
      </c>
      <c r="D24" s="247" t="s">
        <v>4306</v>
      </c>
      <c r="E24" s="102" t="s">
        <v>4307</v>
      </c>
      <c r="F24" s="84">
        <v>0.21</v>
      </c>
      <c r="G24" s="53" t="str">
        <f>VLOOKUP("NCDI4X600-U",STOCK!$B$2:$Q$3656,3,FALSE)</f>
        <v>Menor a 5</v>
      </c>
    </row>
    <row r="25" ht="15.75" customHeight="1">
      <c r="A25" s="29" t="s">
        <v>4308</v>
      </c>
      <c r="C25" s="32"/>
      <c r="D25" s="32"/>
      <c r="E25" s="32"/>
      <c r="F25" s="32"/>
      <c r="G25" s="32"/>
    </row>
    <row r="26" ht="15.75" customHeight="1">
      <c r="A26" s="41" t="s">
        <v>4238</v>
      </c>
      <c r="B26" s="71" t="s">
        <v>4309</v>
      </c>
      <c r="C26" s="41" t="s">
        <v>4310</v>
      </c>
      <c r="D26" s="247" t="s">
        <v>4311</v>
      </c>
      <c r="E26" s="102" t="s">
        <v>4312</v>
      </c>
      <c r="F26" s="84">
        <v>0.21</v>
      </c>
      <c r="G26" s="53" t="str">
        <f>VLOOKUP("DCI2X300-U-CNFX",STOCK!$B$2:$Q$3692,3,FALSE)</f>
        <v>Menor a 5</v>
      </c>
    </row>
    <row r="27" ht="15.75" customHeight="1">
      <c r="A27" s="47" t="s">
        <v>4238</v>
      </c>
      <c r="B27" s="47" t="s">
        <v>4313</v>
      </c>
      <c r="C27" s="47" t="s">
        <v>4314</v>
      </c>
      <c r="D27" s="249" t="s">
        <v>4315</v>
      </c>
      <c r="E27" s="105" t="s">
        <v>4316</v>
      </c>
      <c r="F27" s="38">
        <v>0.21</v>
      </c>
      <c r="G27" s="53" t="str">
        <f>VLOOKUP("DCI4X300-U-EKFX",STOCK!$B$2:$Q$3692,3,FALSE)</f>
        <v>Menor a 5</v>
      </c>
    </row>
    <row r="28" ht="15.75" customHeight="1">
      <c r="A28" s="29" t="s">
        <v>4317</v>
      </c>
      <c r="C28" s="32"/>
      <c r="D28" s="55"/>
      <c r="E28" s="55"/>
      <c r="F28" s="114"/>
      <c r="G28" s="32"/>
    </row>
    <row r="29" ht="15.75" customHeight="1">
      <c r="A29" s="41" t="s">
        <v>4318</v>
      </c>
      <c r="B29" s="42" t="s">
        <v>4319</v>
      </c>
      <c r="C29" s="41" t="s">
        <v>4320</v>
      </c>
      <c r="D29" s="247" t="s">
        <v>4321</v>
      </c>
      <c r="E29" s="102" t="s">
        <v>4322</v>
      </c>
      <c r="F29" s="84">
        <v>0.21</v>
      </c>
      <c r="G29" s="39" t="str">
        <f>VLOOKUP("VMA160",STOCK!$B$2:$Q$3656,3,FALSE)</f>
        <v>Mayor a 5</v>
      </c>
    </row>
    <row r="30" ht="15.75" customHeight="1">
      <c r="A30" s="47" t="s">
        <v>4318</v>
      </c>
      <c r="B30" s="48" t="s">
        <v>4323</v>
      </c>
      <c r="C30" s="47" t="s">
        <v>4324</v>
      </c>
      <c r="D30" s="249" t="s">
        <v>4325</v>
      </c>
      <c r="E30" s="105" t="s">
        <v>4326</v>
      </c>
      <c r="F30" s="38">
        <v>0.21</v>
      </c>
      <c r="G30" s="39" t="str">
        <f>VLOOKUP("VMA1240",STOCK!$B$2:$Q$3656,3,FALSE)</f>
        <v>Menor a 5</v>
      </c>
    </row>
    <row r="31" ht="15.75" customHeight="1">
      <c r="A31" s="41" t="s">
        <v>4318</v>
      </c>
      <c r="B31" s="42" t="s">
        <v>4327</v>
      </c>
      <c r="C31" s="41" t="s">
        <v>4328</v>
      </c>
      <c r="D31" s="247" t="s">
        <v>4329</v>
      </c>
      <c r="E31" s="102" t="s">
        <v>4330</v>
      </c>
      <c r="F31" s="84">
        <v>0.21</v>
      </c>
      <c r="G31" s="39" t="str">
        <f>VLOOKUP("VMA1240",STOCK!$B$2:$Q$3656,3,FALSE)</f>
        <v>Menor a 5</v>
      </c>
    </row>
    <row r="32" ht="15.75" customHeight="1">
      <c r="A32" s="104" t="s">
        <v>4318</v>
      </c>
      <c r="B32" s="48" t="s">
        <v>4331</v>
      </c>
      <c r="C32" s="47" t="s">
        <v>4332</v>
      </c>
      <c r="D32" s="249" t="s">
        <v>4333</v>
      </c>
      <c r="E32" s="105" t="s">
        <v>4334</v>
      </c>
      <c r="F32" s="38">
        <v>0.21</v>
      </c>
      <c r="G32" s="53" t="str">
        <f>VLOOKUP("VMA260",STOCK!$B$2:$Q$3656,3,FALSE)</f>
        <v>Menor a 5</v>
      </c>
    </row>
    <row r="33" ht="15.75" customHeight="1">
      <c r="A33" s="41" t="s">
        <v>4318</v>
      </c>
      <c r="B33" s="101" t="s">
        <v>4335</v>
      </c>
      <c r="C33" s="100" t="s">
        <v>4336</v>
      </c>
      <c r="D33" s="247" t="s">
        <v>4337</v>
      </c>
      <c r="E33" s="102" t="s">
        <v>4338</v>
      </c>
      <c r="F33" s="84">
        <v>0.21</v>
      </c>
      <c r="G33" s="165" t="str">
        <f>VLOOKUP("VMA2120",STOCK!$B$2:$Q$3656,3,FALSE)</f>
        <v>Menor a 5</v>
      </c>
    </row>
    <row r="34" ht="15.75" customHeight="1">
      <c r="A34" s="29" t="s">
        <v>4339</v>
      </c>
      <c r="C34" s="32"/>
      <c r="D34" s="55"/>
      <c r="E34" s="153"/>
      <c r="F34" s="114"/>
      <c r="G34" s="177"/>
    </row>
    <row r="35" ht="15.75" customHeight="1">
      <c r="A35" s="41" t="s">
        <v>4318</v>
      </c>
      <c r="B35" s="42" t="s">
        <v>4340</v>
      </c>
      <c r="C35" s="41" t="s">
        <v>4341</v>
      </c>
      <c r="D35" s="247" t="s">
        <v>4342</v>
      </c>
      <c r="E35" s="102" t="s">
        <v>4343</v>
      </c>
      <c r="F35" s="84">
        <v>0.21</v>
      </c>
      <c r="G35" s="53" t="str">
        <f>VLOOKUP("CSMA240",STOCK!$B$2:$Q$3656,3,FALSE)</f>
        <v>Menor a 5</v>
      </c>
    </row>
    <row r="36" ht="15.75" customHeight="1">
      <c r="A36" s="47" t="s">
        <v>4318</v>
      </c>
      <c r="B36" s="48" t="s">
        <v>4344</v>
      </c>
      <c r="C36" s="47" t="s">
        <v>4345</v>
      </c>
      <c r="D36" s="249" t="s">
        <v>4346</v>
      </c>
      <c r="E36" s="105" t="s">
        <v>4347</v>
      </c>
      <c r="F36" s="38">
        <v>0.21</v>
      </c>
      <c r="G36" s="50" t="str">
        <f>VLOOKUP("CSMA280",STOCK!$B$2:$Q$3656,3,FALSE)</f>
        <v>SIN STOCK</v>
      </c>
    </row>
    <row r="37" ht="15.75" customHeight="1">
      <c r="A37" s="41" t="s">
        <v>4318</v>
      </c>
      <c r="B37" s="42" t="s">
        <v>4348</v>
      </c>
      <c r="C37" s="41" t="s">
        <v>4349</v>
      </c>
      <c r="D37" s="247" t="s">
        <v>4350</v>
      </c>
      <c r="E37" s="102" t="s">
        <v>4351</v>
      </c>
      <c r="F37" s="84">
        <v>0.21</v>
      </c>
      <c r="G37" s="39" t="str">
        <f>VLOOKUP("CSR-V-BLK",STOCK!$B$2:$Q$3656,3,FALSE)</f>
        <v>Mayor a 5</v>
      </c>
    </row>
    <row r="38" ht="15.75" customHeight="1">
      <c r="A38" s="29" t="s">
        <v>4352</v>
      </c>
      <c r="B38" s="32"/>
      <c r="C38" s="32"/>
      <c r="D38" s="55"/>
      <c r="E38" s="55"/>
      <c r="F38" s="55"/>
      <c r="G38" s="55"/>
    </row>
    <row r="39" ht="16.5" customHeight="1">
      <c r="A39" s="41" t="s">
        <v>4318</v>
      </c>
      <c r="B39" s="42" t="s">
        <v>4353</v>
      </c>
      <c r="C39" s="41" t="s">
        <v>4354</v>
      </c>
      <c r="D39" s="247" t="s">
        <v>4355</v>
      </c>
      <c r="E39" s="102" t="s">
        <v>4356</v>
      </c>
      <c r="F39" s="84">
        <v>0.21</v>
      </c>
      <c r="G39" s="53" t="str">
        <f>VLOOKUP("NCSA140Z",STOCK!$B$2:$Q$3656,3,FALSE)</f>
        <v>SIN STOCK</v>
      </c>
    </row>
    <row r="40">
      <c r="A40" s="47" t="s">
        <v>4318</v>
      </c>
      <c r="B40" s="48" t="s">
        <v>4357</v>
      </c>
      <c r="C40" s="47" t="s">
        <v>4358</v>
      </c>
      <c r="D40" s="249" t="s">
        <v>4359</v>
      </c>
      <c r="E40" s="105" t="s">
        <v>4360</v>
      </c>
      <c r="F40" s="38">
        <v>0.21</v>
      </c>
      <c r="G40" s="53" t="str">
        <f>VLOOKUP("NCSA180Z",STOCK!$B$2:$Q$3656,3,FALSE)</f>
        <v>Menor a 5</v>
      </c>
    </row>
    <row r="41">
      <c r="A41" s="29" t="s">
        <v>4361</v>
      </c>
    </row>
    <row r="42">
      <c r="A42" s="41" t="s">
        <v>4318</v>
      </c>
      <c r="B42" s="42" t="s">
        <v>4362</v>
      </c>
      <c r="C42" s="41" t="s">
        <v>4363</v>
      </c>
      <c r="D42" s="247" t="s">
        <v>4364</v>
      </c>
      <c r="E42" s="102" t="s">
        <v>4365</v>
      </c>
      <c r="F42" s="251">
        <v>0.21</v>
      </c>
      <c r="G42" s="252" t="str">
        <f>VLOOKUP("NXFMR4CH",STOCK!$B$2:$Q$3692,3,FALSE)</f>
        <v>Menor a 5</v>
      </c>
    </row>
    <row r="43">
      <c r="A43" s="253" t="s">
        <v>2163</v>
      </c>
      <c r="B43" s="254"/>
      <c r="C43" s="254"/>
      <c r="D43" s="121"/>
      <c r="E43" s="255"/>
      <c r="F43" s="256"/>
      <c r="G43" s="254"/>
    </row>
    <row r="44">
      <c r="A44" s="41" t="s">
        <v>4318</v>
      </c>
      <c r="B44" s="42" t="s">
        <v>4366</v>
      </c>
      <c r="C44" s="41" t="s">
        <v>4367</v>
      </c>
      <c r="D44" s="247" t="s">
        <v>4368</v>
      </c>
      <c r="E44" s="102" t="s">
        <v>4369</v>
      </c>
      <c r="F44" s="84">
        <v>0.21</v>
      </c>
      <c r="G44" s="39" t="str">
        <f>VLOOKUP("104SET-BT",STOCK!$B$2:$Q$3656,3,FALSE)</f>
        <v>Mayor a 5</v>
      </c>
    </row>
    <row r="45" ht="15.0" customHeight="1">
      <c r="A45" s="47" t="s">
        <v>4318</v>
      </c>
      <c r="B45" s="48" t="s">
        <v>4370</v>
      </c>
      <c r="C45" s="47" t="s">
        <v>4371</v>
      </c>
      <c r="D45" s="249" t="s">
        <v>4372</v>
      </c>
      <c r="E45" s="105" t="s">
        <v>4373</v>
      </c>
      <c r="F45" s="38">
        <v>0.21</v>
      </c>
      <c r="G45" s="50" t="str">
        <f>VLOOKUP("305P MKII",STOCK!$B$2:$Q$3656,3,FALSE)</f>
        <v>SIN STOCK</v>
      </c>
    </row>
    <row r="46" ht="15.75" customHeight="1">
      <c r="A46" s="41" t="s">
        <v>4318</v>
      </c>
      <c r="B46" s="42" t="s">
        <v>4374</v>
      </c>
      <c r="C46" s="41" t="s">
        <v>4375</v>
      </c>
      <c r="D46" s="247" t="s">
        <v>4376</v>
      </c>
      <c r="E46" s="102" t="s">
        <v>4377</v>
      </c>
      <c r="F46" s="84">
        <v>0.21</v>
      </c>
      <c r="G46" s="50" t="str">
        <f>VLOOKUP("306P MKII",STOCK!$B$2:$Q$3656,3,FALSE)</f>
        <v>SIN STOCK</v>
      </c>
    </row>
    <row r="47" ht="15.75" customHeight="1">
      <c r="A47" s="47" t="s">
        <v>4318</v>
      </c>
      <c r="B47" s="48" t="s">
        <v>4378</v>
      </c>
      <c r="C47" s="47" t="s">
        <v>4379</v>
      </c>
      <c r="D47" s="249" t="s">
        <v>4380</v>
      </c>
      <c r="E47" s="105" t="s">
        <v>4381</v>
      </c>
      <c r="F47" s="38">
        <v>0.21</v>
      </c>
      <c r="G47" s="39" t="str">
        <f>VLOOKUP("308P MKII",STOCK!$B$2:$Q$3656,3,FALSE)</f>
        <v>Menor a 5</v>
      </c>
    </row>
    <row r="48" ht="15.75" customHeight="1">
      <c r="A48" s="41" t="s">
        <v>4318</v>
      </c>
      <c r="B48" s="42" t="s">
        <v>4382</v>
      </c>
      <c r="C48" s="41" t="s">
        <v>4383</v>
      </c>
      <c r="D48" s="247" t="s">
        <v>4384</v>
      </c>
      <c r="E48" s="102" t="s">
        <v>4385</v>
      </c>
      <c r="F48" s="84">
        <v>0.21</v>
      </c>
      <c r="G48" s="50" t="str">
        <f>VLOOKUP("LSR310S",STOCK!$B$2:$Q$3656,3,FALSE)</f>
        <v>SIN STOCK</v>
      </c>
    </row>
    <row r="49" ht="15.75" customHeight="1">
      <c r="A49" s="47" t="s">
        <v>4318</v>
      </c>
      <c r="B49" s="48" t="s">
        <v>4386</v>
      </c>
      <c r="C49" s="47" t="s">
        <v>4387</v>
      </c>
      <c r="D49" s="249" t="s">
        <v>4388</v>
      </c>
      <c r="E49" s="105" t="s">
        <v>4389</v>
      </c>
      <c r="F49" s="38">
        <v>0.21</v>
      </c>
      <c r="G49" s="53" t="str">
        <f>VLOOKUP("LSR708i",STOCK!$B$2:$Q$3656,3,FALSE)</f>
        <v>Menor a 5</v>
      </c>
    </row>
    <row r="50" ht="15.75" customHeight="1">
      <c r="A50" s="241" t="s">
        <v>4390</v>
      </c>
      <c r="B50" s="242"/>
      <c r="C50" s="242"/>
      <c r="D50" s="243"/>
      <c r="E50" s="244"/>
      <c r="F50" s="245"/>
      <c r="G50" s="257"/>
    </row>
    <row r="51" ht="15.75" customHeight="1">
      <c r="A51" s="29" t="s">
        <v>4391</v>
      </c>
      <c r="C51" s="32"/>
      <c r="D51" s="55"/>
      <c r="E51" s="153"/>
      <c r="F51" s="114"/>
      <c r="G51" s="177"/>
    </row>
    <row r="52" ht="15.75" customHeight="1">
      <c r="A52" s="161" t="s">
        <v>4318</v>
      </c>
      <c r="B52" s="162" t="s">
        <v>4392</v>
      </c>
      <c r="C52" s="161" t="s">
        <v>4393</v>
      </c>
      <c r="D52" s="247" t="s">
        <v>4394</v>
      </c>
      <c r="E52" s="102" t="s">
        <v>4395</v>
      </c>
      <c r="F52" s="164">
        <v>0.21</v>
      </c>
      <c r="G52" s="258" t="str">
        <f>VLOOKUP("CONTROL1PRO",STOCK!$B$2:$Q$3692,3,FALSE)</f>
        <v>SIN STOCK</v>
      </c>
    </row>
    <row r="53" ht="15.75" customHeight="1">
      <c r="A53" s="166" t="s">
        <v>4318</v>
      </c>
      <c r="B53" s="167" t="s">
        <v>4396</v>
      </c>
      <c r="C53" s="166" t="s">
        <v>4397</v>
      </c>
      <c r="D53" s="249" t="s">
        <v>4398</v>
      </c>
      <c r="E53" s="105" t="s">
        <v>4399</v>
      </c>
      <c r="F53" s="169">
        <v>0.21</v>
      </c>
      <c r="G53" s="259" t="str">
        <f>VLOOKUP("CONTROL2PST",STOCK!$B$2:$Q$3692,3,FALSE)</f>
        <v>Mayor a 5</v>
      </c>
    </row>
    <row r="54" ht="15.75" customHeight="1">
      <c r="A54" s="161" t="s">
        <v>4318</v>
      </c>
      <c r="B54" s="172" t="s">
        <v>4400</v>
      </c>
      <c r="C54" s="161" t="s">
        <v>4401</v>
      </c>
      <c r="D54" s="247" t="s">
        <v>4402</v>
      </c>
      <c r="E54" s="102" t="s">
        <v>4403</v>
      </c>
      <c r="F54" s="164">
        <v>0.21</v>
      </c>
      <c r="G54" s="259" t="str">
        <f>VLOOKUP("MTC-2P",STOCK!$B$2:$Q$3692,3,FALSE)</f>
        <v>Mayor a 5</v>
      </c>
    </row>
    <row r="55" ht="15.75" hidden="1" customHeight="1">
      <c r="A55" s="166" t="s">
        <v>4318</v>
      </c>
      <c r="B55" s="171" t="s">
        <v>4404</v>
      </c>
      <c r="C55" s="166" t="s">
        <v>4405</v>
      </c>
      <c r="D55" s="249" t="s">
        <v>4398</v>
      </c>
      <c r="E55" s="105" t="s">
        <v>4399</v>
      </c>
      <c r="F55" s="169">
        <v>0.21</v>
      </c>
      <c r="G55" s="260" t="str">
        <f>VLOOKUP("CONTROL2PST",STOCK!$B$2:$Q$3692,3,FALSE)</f>
        <v>Mayor a 5</v>
      </c>
    </row>
    <row r="56" ht="15.75" customHeight="1">
      <c r="A56" s="166" t="s">
        <v>4318</v>
      </c>
      <c r="B56" s="167" t="s">
        <v>4406</v>
      </c>
      <c r="C56" s="166" t="s">
        <v>4407</v>
      </c>
      <c r="D56" s="249" t="s">
        <v>2146</v>
      </c>
      <c r="E56" s="105" t="s">
        <v>4408</v>
      </c>
      <c r="F56" s="169">
        <v>0.21</v>
      </c>
      <c r="G56" s="260" t="str">
        <f>VLOOKUP("CONTROL 23-1",STOCK!$B$2:$Q$3692,3,FALSE)</f>
        <v>Mayor a 5</v>
      </c>
    </row>
    <row r="57" ht="15.75" customHeight="1">
      <c r="A57" s="161" t="s">
        <v>4318</v>
      </c>
      <c r="B57" s="172" t="s">
        <v>4409</v>
      </c>
      <c r="C57" s="161" t="s">
        <v>4410</v>
      </c>
      <c r="D57" s="247" t="s">
        <v>2146</v>
      </c>
      <c r="E57" s="102" t="s">
        <v>4408</v>
      </c>
      <c r="F57" s="164">
        <v>0.21</v>
      </c>
      <c r="G57" s="260" t="str">
        <f>VLOOKUP("CONTROL 23-1-WH",STOCK!$B$2:$Q$3692,3,FALSE)</f>
        <v>Mayor a 5</v>
      </c>
    </row>
    <row r="58" ht="15.75" customHeight="1">
      <c r="A58" s="166" t="s">
        <v>4318</v>
      </c>
      <c r="B58" s="181" t="s">
        <v>4411</v>
      </c>
      <c r="C58" s="166" t="s">
        <v>4412</v>
      </c>
      <c r="D58" s="249" t="s">
        <v>4413</v>
      </c>
      <c r="E58" s="105" t="s">
        <v>4414</v>
      </c>
      <c r="F58" s="169">
        <v>0.21</v>
      </c>
      <c r="G58" s="260" t="str">
        <f>VLOOKUP("CONTROL 23-1L",STOCK!$B$2:$Q$3692,3,FALSE)</f>
        <v>Mayor a 5</v>
      </c>
    </row>
    <row r="59" ht="15.75" customHeight="1">
      <c r="A59" s="161" t="s">
        <v>4318</v>
      </c>
      <c r="B59" s="172" t="s">
        <v>4415</v>
      </c>
      <c r="C59" s="161" t="s">
        <v>4416</v>
      </c>
      <c r="D59" s="247" t="s">
        <v>4413</v>
      </c>
      <c r="E59" s="102" t="s">
        <v>4414</v>
      </c>
      <c r="F59" s="164">
        <v>0.21</v>
      </c>
      <c r="G59" s="260" t="str">
        <f>VLOOKUP("CONTROL 23-1L-WH",STOCK!$B$2:$Q$3692,3,FALSE)</f>
        <v>Mayor a 5</v>
      </c>
    </row>
    <row r="60" ht="15.75" customHeight="1">
      <c r="A60" s="166" t="s">
        <v>4318</v>
      </c>
      <c r="B60" s="167" t="s">
        <v>4417</v>
      </c>
      <c r="C60" s="166" t="s">
        <v>4418</v>
      </c>
      <c r="D60" s="249" t="s">
        <v>4419</v>
      </c>
      <c r="E60" s="105" t="s">
        <v>4420</v>
      </c>
      <c r="F60" s="169">
        <v>0.21</v>
      </c>
      <c r="G60" s="260" t="str">
        <f>VLOOKUP("CONTROL 25-1",STOCK!$B$2:$Q$3692,3,FALSE)</f>
        <v>Mayor a 5</v>
      </c>
    </row>
    <row r="61" ht="15.75" customHeight="1">
      <c r="A61" s="161" t="s">
        <v>4318</v>
      </c>
      <c r="B61" s="172" t="s">
        <v>4421</v>
      </c>
      <c r="C61" s="161" t="s">
        <v>4422</v>
      </c>
      <c r="D61" s="247" t="s">
        <v>4419</v>
      </c>
      <c r="E61" s="102" t="s">
        <v>4420</v>
      </c>
      <c r="F61" s="164">
        <v>0.21</v>
      </c>
      <c r="G61" s="260" t="str">
        <f>VLOOKUP("CONTROL 25-1-WH",STOCK!$B$2:$Q$3692,3,FALSE)</f>
        <v>Mayor a 5</v>
      </c>
    </row>
    <row r="62" ht="15.75" customHeight="1">
      <c r="A62" s="166" t="s">
        <v>4318</v>
      </c>
      <c r="B62" s="167" t="s">
        <v>4423</v>
      </c>
      <c r="C62" s="166" t="s">
        <v>4424</v>
      </c>
      <c r="D62" s="249" t="s">
        <v>4425</v>
      </c>
      <c r="E62" s="105" t="s">
        <v>4426</v>
      </c>
      <c r="F62" s="169">
        <v>0.21</v>
      </c>
      <c r="G62" s="260" t="str">
        <f>VLOOKUP("CONTROL 25-1L",STOCK!$B$2:$Q$3692,3,FALSE)</f>
        <v>Mayor a 5</v>
      </c>
    </row>
    <row r="63" ht="15.75" customHeight="1">
      <c r="A63" s="161" t="s">
        <v>4318</v>
      </c>
      <c r="B63" s="172" t="s">
        <v>4427</v>
      </c>
      <c r="C63" s="161" t="s">
        <v>4428</v>
      </c>
      <c r="D63" s="247" t="s">
        <v>4425</v>
      </c>
      <c r="E63" s="102" t="s">
        <v>4426</v>
      </c>
      <c r="F63" s="164">
        <v>0.21</v>
      </c>
      <c r="G63" s="260" t="str">
        <f>VLOOKUP("CONTROL 25-1L-WH",STOCK!$B$2:$Q$3692,3,FALSE)</f>
        <v>Mayor a 5</v>
      </c>
    </row>
    <row r="64" ht="15.75" customHeight="1">
      <c r="A64" s="166" t="s">
        <v>4318</v>
      </c>
      <c r="B64" s="167" t="s">
        <v>4429</v>
      </c>
      <c r="C64" s="166" t="s">
        <v>4430</v>
      </c>
      <c r="D64" s="249" t="s">
        <v>4431</v>
      </c>
      <c r="E64" s="105" t="s">
        <v>4432</v>
      </c>
      <c r="F64" s="169">
        <v>0.21</v>
      </c>
      <c r="G64" s="260" t="str">
        <f>VLOOKUP("CONTROL 28-1",STOCK!$B$2:$Q$3692,3,FALSE)</f>
        <v>Menor a 5</v>
      </c>
    </row>
    <row r="65" ht="15.75" customHeight="1">
      <c r="A65" s="161" t="s">
        <v>4318</v>
      </c>
      <c r="B65" s="172" t="s">
        <v>4433</v>
      </c>
      <c r="C65" s="161" t="s">
        <v>4434</v>
      </c>
      <c r="D65" s="247" t="s">
        <v>4435</v>
      </c>
      <c r="E65" s="102" t="s">
        <v>4436</v>
      </c>
      <c r="F65" s="164">
        <v>0.21</v>
      </c>
      <c r="G65" s="261" t="str">
        <f>VLOOKUP("CONTROL HST",STOCK!$B$2:$Q$3692,3,FALSE)</f>
        <v>Menor a 5</v>
      </c>
    </row>
    <row r="66" ht="15.75" customHeight="1">
      <c r="A66" s="166" t="s">
        <v>4318</v>
      </c>
      <c r="B66" s="167" t="s">
        <v>4437</v>
      </c>
      <c r="C66" s="166" t="s">
        <v>4438</v>
      </c>
      <c r="D66" s="249" t="s">
        <v>4435</v>
      </c>
      <c r="E66" s="105" t="s">
        <v>4436</v>
      </c>
      <c r="F66" s="169">
        <v>0.21</v>
      </c>
      <c r="G66" s="261" t="str">
        <f>VLOOKUP("CONTROL HST-WH",STOCK!$B$2:$Q$3692,3,FALSE)</f>
        <v>Menor a 5</v>
      </c>
    </row>
    <row r="67" ht="15.75" customHeight="1">
      <c r="A67" s="161" t="s">
        <v>4318</v>
      </c>
      <c r="B67" s="172" t="s">
        <v>4439</v>
      </c>
      <c r="C67" s="161" t="s">
        <v>4440</v>
      </c>
      <c r="D67" s="247" t="s">
        <v>4441</v>
      </c>
      <c r="E67" s="102" t="s">
        <v>4442</v>
      </c>
      <c r="F67" s="164">
        <v>0.21</v>
      </c>
      <c r="G67" s="261" t="str">
        <f>VLOOKUP("CONTROLCRV",STOCK!$B$2:$Q$3692,3,FALSE)</f>
        <v>Menor a 5</v>
      </c>
    </row>
    <row r="68" ht="15.75" customHeight="1">
      <c r="A68" s="166" t="s">
        <v>4318</v>
      </c>
      <c r="B68" s="167" t="s">
        <v>4443</v>
      </c>
      <c r="C68" s="166" t="s">
        <v>4444</v>
      </c>
      <c r="D68" s="249" t="s">
        <v>4441</v>
      </c>
      <c r="E68" s="105" t="s">
        <v>4442</v>
      </c>
      <c r="F68" s="169">
        <v>0.21</v>
      </c>
      <c r="G68" s="261" t="str">
        <f>VLOOKUP("CONTROLCRV-WH",STOCK!$B$2:$Q$3692,3,FALSE)</f>
        <v>Menor a 5</v>
      </c>
    </row>
    <row r="69" ht="15.75" customHeight="1">
      <c r="A69" s="29" t="s">
        <v>4445</v>
      </c>
    </row>
    <row r="70" ht="15.75" customHeight="1">
      <c r="A70" s="161" t="s">
        <v>4318</v>
      </c>
      <c r="B70" s="170" t="s">
        <v>4446</v>
      </c>
      <c r="C70" s="161" t="s">
        <v>4447</v>
      </c>
      <c r="D70" s="247" t="s">
        <v>4448</v>
      </c>
      <c r="E70" s="102" t="s">
        <v>4449</v>
      </c>
      <c r="F70" s="173">
        <v>0.21</v>
      </c>
      <c r="G70" s="261" t="str">
        <f>VLOOKUP("CONTROL SB2210",STOCK!$B$2:$Q$3692,3,FALSE)</f>
        <v>Menor a 5</v>
      </c>
    </row>
    <row r="71" ht="15.75" customHeight="1">
      <c r="A71" s="166" t="s">
        <v>4318</v>
      </c>
      <c r="B71" s="171" t="s">
        <v>4450</v>
      </c>
      <c r="C71" s="166" t="s">
        <v>4451</v>
      </c>
      <c r="D71" s="249" t="s">
        <v>4448</v>
      </c>
      <c r="E71" s="105" t="s">
        <v>4449</v>
      </c>
      <c r="F71" s="106">
        <v>0.21</v>
      </c>
      <c r="G71" s="261" t="str">
        <f>VLOOKUP("CONTROL SB2210-WH",STOCK!$B$2:$Q$3692,3,FALSE)</f>
        <v>Menor a 5</v>
      </c>
    </row>
    <row r="72" ht="15.75" customHeight="1">
      <c r="A72" s="161" t="s">
        <v>4318</v>
      </c>
      <c r="B72" s="161" t="s">
        <v>4452</v>
      </c>
      <c r="C72" s="161" t="s">
        <v>4453</v>
      </c>
      <c r="D72" s="247" t="s">
        <v>4454</v>
      </c>
      <c r="E72" s="102" t="s">
        <v>4455</v>
      </c>
      <c r="F72" s="173">
        <v>0.21</v>
      </c>
      <c r="G72" s="260" t="str">
        <f>VLOOKUP("MTC-210UB",STOCK!$B$2:$Q$3692,3,FALSE)</f>
        <v>#N/A</v>
      </c>
    </row>
    <row r="73" ht="15.75" customHeight="1">
      <c r="A73" s="29" t="s">
        <v>4456</v>
      </c>
    </row>
    <row r="74" ht="15.75" customHeight="1">
      <c r="A74" s="161" t="s">
        <v>4318</v>
      </c>
      <c r="B74" s="170" t="s">
        <v>4457</v>
      </c>
      <c r="C74" s="161" t="s">
        <v>4458</v>
      </c>
      <c r="D74" s="247" t="s">
        <v>4459</v>
      </c>
      <c r="E74" s="102" t="s">
        <v>4460</v>
      </c>
      <c r="F74" s="173">
        <v>0.21</v>
      </c>
      <c r="G74" s="260" t="str">
        <f>VLOOKUP("JBL-SLP12/T-BK",STOCK!$B$2:$Q$3692,3,FALSE)</f>
        <v>Mayor a 5</v>
      </c>
    </row>
    <row r="75" ht="15.75" customHeight="1">
      <c r="A75" s="166" t="s">
        <v>4318</v>
      </c>
      <c r="B75" s="171" t="s">
        <v>4461</v>
      </c>
      <c r="C75" s="166" t="s">
        <v>4462</v>
      </c>
      <c r="D75" s="249" t="s">
        <v>4459</v>
      </c>
      <c r="E75" s="105" t="s">
        <v>4460</v>
      </c>
      <c r="F75" s="106">
        <v>0.21</v>
      </c>
      <c r="G75" s="260" t="str">
        <f>VLOOKUP("JBL-SLP12/T-WH",STOCK!$B$2:$Q$3692,3,FALSE)</f>
        <v>Mayor a 5</v>
      </c>
    </row>
    <row r="76" ht="15.75" customHeight="1">
      <c r="A76" s="161" t="s">
        <v>4318</v>
      </c>
      <c r="B76" s="170" t="s">
        <v>4463</v>
      </c>
      <c r="C76" s="161" t="s">
        <v>4464</v>
      </c>
      <c r="D76" s="247" t="s">
        <v>4465</v>
      </c>
      <c r="E76" s="102" t="s">
        <v>4466</v>
      </c>
      <c r="F76" s="173">
        <v>0.21</v>
      </c>
      <c r="G76" s="260" t="str">
        <f>VLOOKUP("JBL-SLP14/T-BK",STOCK!$B$2:$Q$3692,3,FALSE)</f>
        <v>Mayor a 5</v>
      </c>
    </row>
    <row r="77" ht="15.75" customHeight="1">
      <c r="A77" s="166" t="s">
        <v>4318</v>
      </c>
      <c r="B77" s="171" t="s">
        <v>4467</v>
      </c>
      <c r="C77" s="166" t="s">
        <v>4468</v>
      </c>
      <c r="D77" s="249" t="s">
        <v>4465</v>
      </c>
      <c r="E77" s="105" t="s">
        <v>4466</v>
      </c>
      <c r="F77" s="106">
        <v>0.21</v>
      </c>
      <c r="G77" s="260" t="str">
        <f>VLOOKUP("JBL-SLP14/T-WH",STOCK!$B$2:$Q$3692,3,FALSE)</f>
        <v>Mayor a 5</v>
      </c>
    </row>
    <row r="78" ht="15.75" customHeight="1">
      <c r="A78" s="29" t="s">
        <v>4469</v>
      </c>
    </row>
    <row r="79" ht="15.75" customHeight="1">
      <c r="A79" s="41" t="s">
        <v>4318</v>
      </c>
      <c r="B79" s="162" t="s">
        <v>4470</v>
      </c>
      <c r="C79" s="41" t="s">
        <v>4471</v>
      </c>
      <c r="D79" s="247" t="s">
        <v>4472</v>
      </c>
      <c r="E79" s="102" t="s">
        <v>2854</v>
      </c>
      <c r="F79" s="84">
        <v>0.21</v>
      </c>
      <c r="G79" s="182" t="str">
        <f>VLOOKUP("CSS-H15",STOCK!$B$2:$Q$3656,3,FALSE)</f>
        <v>Mayor a 5</v>
      </c>
    </row>
    <row r="80" ht="15.75" customHeight="1">
      <c r="A80" s="47" t="s">
        <v>4318</v>
      </c>
      <c r="B80" s="181" t="s">
        <v>4473</v>
      </c>
      <c r="C80" s="47" t="s">
        <v>4474</v>
      </c>
      <c r="D80" s="249" t="s">
        <v>4475</v>
      </c>
      <c r="E80" s="105" t="s">
        <v>4476</v>
      </c>
      <c r="F80" s="38">
        <v>0.21</v>
      </c>
      <c r="G80" s="182" t="str">
        <f>VLOOKUP("CSS-H30",STOCK!$B$2:$Q$3656,3,FALSE)</f>
        <v>Mayor a 5</v>
      </c>
    </row>
    <row r="81" ht="15.75" customHeight="1">
      <c r="A81" s="29" t="s">
        <v>4477</v>
      </c>
      <c r="C81" s="32"/>
      <c r="D81" s="177"/>
      <c r="E81" s="177"/>
      <c r="F81" s="177"/>
      <c r="G81" s="177"/>
    </row>
    <row r="82" ht="15.75" customHeight="1">
      <c r="A82" s="41" t="s">
        <v>4318</v>
      </c>
      <c r="B82" s="42" t="s">
        <v>4478</v>
      </c>
      <c r="C82" s="41" t="s">
        <v>4479</v>
      </c>
      <c r="D82" s="247" t="s">
        <v>4480</v>
      </c>
      <c r="E82" s="102" t="s">
        <v>4481</v>
      </c>
      <c r="F82" s="84">
        <v>0.21</v>
      </c>
      <c r="G82" s="39" t="str">
        <f>VLOOKUP("CBT50LA-1",STOCK!$B$2:$Q$3656,3,FALSE)</f>
        <v>SIN STOCK</v>
      </c>
    </row>
    <row r="83" ht="15.75" customHeight="1">
      <c r="A83" s="47" t="s">
        <v>4318</v>
      </c>
      <c r="B83" s="48" t="s">
        <v>4482</v>
      </c>
      <c r="C83" s="47" t="s">
        <v>4479</v>
      </c>
      <c r="D83" s="249" t="s">
        <v>4480</v>
      </c>
      <c r="E83" s="105" t="s">
        <v>4481</v>
      </c>
      <c r="F83" s="38">
        <v>0.21</v>
      </c>
      <c r="G83" s="39" t="str">
        <f>VLOOKUP("CBT50LA-1-WH",STOCK!$B$2:$Q$3656,3,FALSE)</f>
        <v>Menor a 5</v>
      </c>
    </row>
    <row r="84" ht="15.75" customHeight="1">
      <c r="A84" s="41" t="s">
        <v>4318</v>
      </c>
      <c r="B84" s="42" t="s">
        <v>4483</v>
      </c>
      <c r="C84" s="41" t="s">
        <v>4484</v>
      </c>
      <c r="D84" s="247" t="s">
        <v>4485</v>
      </c>
      <c r="E84" s="102" t="s">
        <v>4486</v>
      </c>
      <c r="F84" s="84">
        <v>0.21</v>
      </c>
      <c r="G84" s="53" t="str">
        <f>VLOOKUP("CBT70J-1",STOCK!$B$2:$Q$3656,3,FALSE)</f>
        <v>Menor a 5</v>
      </c>
    </row>
    <row r="85" ht="15.75" customHeight="1">
      <c r="A85" s="47" t="s">
        <v>4318</v>
      </c>
      <c r="B85" s="47" t="s">
        <v>4487</v>
      </c>
      <c r="C85" s="47" t="s">
        <v>4488</v>
      </c>
      <c r="D85" s="249" t="s">
        <v>4489</v>
      </c>
      <c r="E85" s="105" t="s">
        <v>4490</v>
      </c>
      <c r="F85" s="38">
        <v>0.21</v>
      </c>
      <c r="G85" s="182" t="str">
        <f>VLOOKUP("CBT70JE-1",STOCK!$B$2:$Q$3656,3,FALSE)</f>
        <v>Menor a 5</v>
      </c>
    </row>
    <row r="86" ht="15.75" customHeight="1">
      <c r="A86" s="29" t="s">
        <v>4491</v>
      </c>
    </row>
    <row r="87" ht="15.75" customHeight="1">
      <c r="A87" s="161" t="s">
        <v>4318</v>
      </c>
      <c r="B87" s="172" t="s">
        <v>4492</v>
      </c>
      <c r="C87" s="161" t="s">
        <v>4493</v>
      </c>
      <c r="D87" s="247" t="s">
        <v>4494</v>
      </c>
      <c r="E87" s="102" t="s">
        <v>4495</v>
      </c>
      <c r="F87" s="173">
        <v>0.21</v>
      </c>
      <c r="G87" s="260" t="str">
        <f>VLOOKUP("JBL-COL600-BK",STOCK!$B$2:$Q$3692,3,FALSE)</f>
        <v>Mayor a 5</v>
      </c>
    </row>
    <row r="88" ht="15.75" customHeight="1">
      <c r="A88" s="166" t="s">
        <v>4318</v>
      </c>
      <c r="B88" s="167" t="s">
        <v>4496</v>
      </c>
      <c r="C88" s="166" t="s">
        <v>4497</v>
      </c>
      <c r="D88" s="249" t="s">
        <v>4494</v>
      </c>
      <c r="E88" s="105" t="s">
        <v>4495</v>
      </c>
      <c r="F88" s="106">
        <v>0.21</v>
      </c>
      <c r="G88" s="260" t="str">
        <f>VLOOKUP("JBL-COL600-WH",STOCK!$B$2:$Q$3692,3,FALSE)</f>
        <v>Mayor a 5</v>
      </c>
    </row>
    <row r="89" ht="15.75" customHeight="1">
      <c r="A89" s="29" t="s">
        <v>4498</v>
      </c>
      <c r="C89" s="32"/>
      <c r="D89" s="55"/>
      <c r="E89" s="153"/>
      <c r="F89" s="114"/>
      <c r="G89" s="177"/>
    </row>
    <row r="90" ht="15.75" customHeight="1">
      <c r="A90" s="41" t="s">
        <v>4318</v>
      </c>
      <c r="B90" s="42" t="s">
        <v>4499</v>
      </c>
      <c r="C90" s="41" t="s">
        <v>4500</v>
      </c>
      <c r="D90" s="247" t="s">
        <v>4501</v>
      </c>
      <c r="E90" s="102" t="s">
        <v>4502</v>
      </c>
      <c r="F90" s="84">
        <v>0.21</v>
      </c>
      <c r="G90" s="39" t="str">
        <f>VLOOKUP("CONTROL85M",STOCK!$B$2:$Q$3656,3,FALSE)</f>
        <v>Mayor a 5</v>
      </c>
    </row>
    <row r="91" ht="15.75" customHeight="1">
      <c r="A91" s="47" t="s">
        <v>4318</v>
      </c>
      <c r="B91" s="48" t="s">
        <v>4503</v>
      </c>
      <c r="C91" s="47" t="s">
        <v>4504</v>
      </c>
      <c r="D91" s="249" t="s">
        <v>4505</v>
      </c>
      <c r="E91" s="105" t="s">
        <v>4506</v>
      </c>
      <c r="F91" s="38">
        <v>0.21</v>
      </c>
      <c r="G91" s="39" t="str">
        <f>VLOOKUP("CONTROL88M",STOCK!$B$2:$Q$3656,3,FALSE)</f>
        <v>Mayor a 5</v>
      </c>
    </row>
    <row r="92" ht="15.75" customHeight="1">
      <c r="A92" s="100" t="s">
        <v>4318</v>
      </c>
      <c r="B92" s="101" t="s">
        <v>4507</v>
      </c>
      <c r="C92" s="41" t="s">
        <v>4508</v>
      </c>
      <c r="D92" s="247" t="s">
        <v>4509</v>
      </c>
      <c r="E92" s="102" t="s">
        <v>4510</v>
      </c>
      <c r="F92" s="84">
        <v>0.21</v>
      </c>
      <c r="G92" s="262" t="str">
        <f>VLOOKUP("CONTROL89MS",STOCK!$B$2:$Q$3656,3,FALSE)</f>
        <v>Mayor a 5</v>
      </c>
    </row>
    <row r="93" ht="15.75" customHeight="1">
      <c r="A93" s="29" t="s">
        <v>4511</v>
      </c>
      <c r="C93" s="32"/>
      <c r="D93" s="55"/>
      <c r="E93" s="153"/>
      <c r="F93" s="114"/>
      <c r="G93" s="177"/>
    </row>
    <row r="94" ht="15.75" customHeight="1">
      <c r="A94" s="41" t="s">
        <v>4318</v>
      </c>
      <c r="B94" s="42" t="s">
        <v>4512</v>
      </c>
      <c r="C94" s="41" t="s">
        <v>4513</v>
      </c>
      <c r="D94" s="247" t="s">
        <v>4514</v>
      </c>
      <c r="E94" s="102" t="s">
        <v>4515</v>
      </c>
      <c r="F94" s="84">
        <v>0.21</v>
      </c>
      <c r="G94" s="53" t="str">
        <f>VLOOKUP("GSB8-GN",STOCK!$B$2:$Q$3656,3,FALSE)</f>
        <v>Menor a 5</v>
      </c>
    </row>
    <row r="95" ht="15.75" customHeight="1">
      <c r="A95" s="47" t="s">
        <v>4318</v>
      </c>
      <c r="B95" s="48" t="s">
        <v>4516</v>
      </c>
      <c r="C95" s="47" t="s">
        <v>4517</v>
      </c>
      <c r="D95" s="249" t="s">
        <v>4518</v>
      </c>
      <c r="E95" s="105" t="s">
        <v>4519</v>
      </c>
      <c r="F95" s="38">
        <v>0.21</v>
      </c>
      <c r="G95" s="39" t="str">
        <f>VLOOKUP("GSB12-GN",STOCK!$B$2:$Q$3656,3,FALSE)</f>
        <v>Mayor a 5</v>
      </c>
    </row>
    <row r="96" ht="15.75" customHeight="1">
      <c r="A96" s="29" t="s">
        <v>4520</v>
      </c>
      <c r="B96" s="32"/>
      <c r="C96" s="32"/>
      <c r="D96" s="32"/>
      <c r="E96" s="32"/>
      <c r="F96" s="32"/>
      <c r="G96" s="32"/>
    </row>
    <row r="97" ht="15.75" customHeight="1">
      <c r="A97" s="41" t="s">
        <v>4318</v>
      </c>
      <c r="B97" s="42" t="s">
        <v>4521</v>
      </c>
      <c r="C97" s="41" t="s">
        <v>4522</v>
      </c>
      <c r="D97" s="247" t="s">
        <v>4523</v>
      </c>
      <c r="E97" s="102" t="s">
        <v>4524</v>
      </c>
      <c r="F97" s="84">
        <v>0.21</v>
      </c>
      <c r="G97" s="39" t="str">
        <f>VLOOKUP("GSF3-GN",STOCK!$B$2:$Q$3656,3,FALSE)</f>
        <v>Mayor a 5</v>
      </c>
    </row>
    <row r="98" ht="15.75" customHeight="1">
      <c r="A98" s="47" t="s">
        <v>4318</v>
      </c>
      <c r="B98" s="263" t="s">
        <v>4525</v>
      </c>
      <c r="C98" s="47" t="s">
        <v>4526</v>
      </c>
      <c r="D98" s="249" t="s">
        <v>4527</v>
      </c>
      <c r="E98" s="105" t="s">
        <v>4528</v>
      </c>
      <c r="F98" s="38">
        <v>0.21</v>
      </c>
      <c r="G98" s="50" t="str">
        <f>VLOOKUP("GSF6-GN",STOCK!$B$2:$Q$3656,3,FALSE)</f>
        <v>SIN STOCK</v>
      </c>
    </row>
    <row r="99" ht="15.75" customHeight="1">
      <c r="A99" s="29" t="s">
        <v>4529</v>
      </c>
      <c r="C99" s="32"/>
      <c r="D99" s="55"/>
      <c r="E99" s="153"/>
      <c r="F99" s="114"/>
      <c r="G99" s="177"/>
    </row>
    <row r="100" ht="15.75" customHeight="1">
      <c r="A100" s="41" t="s">
        <v>4318</v>
      </c>
      <c r="B100" s="42" t="s">
        <v>4530</v>
      </c>
      <c r="C100" s="41" t="s">
        <v>4531</v>
      </c>
      <c r="D100" s="247" t="s">
        <v>4532</v>
      </c>
      <c r="E100" s="102" t="s">
        <v>4533</v>
      </c>
      <c r="F100" s="84">
        <v>0.21</v>
      </c>
      <c r="G100" s="50" t="str">
        <f>VLOOKUP("CONTROL24C-M",STOCK!$B$2:$Q$3656,3,FALSE)</f>
        <v>SIN STOCK</v>
      </c>
    </row>
    <row r="101" ht="15.75" customHeight="1">
      <c r="A101" s="47" t="s">
        <v>4318</v>
      </c>
      <c r="B101" s="48" t="s">
        <v>4534</v>
      </c>
      <c r="C101" s="47" t="s">
        <v>4535</v>
      </c>
      <c r="D101" s="249" t="s">
        <v>4536</v>
      </c>
      <c r="E101" s="105" t="s">
        <v>4537</v>
      </c>
      <c r="F101" s="38">
        <v>0.21</v>
      </c>
      <c r="G101" s="53" t="str">
        <f>VLOOKUP("CONTROL24C-T",STOCK!$B$2:$Q$3656,3,FALSE)</f>
        <v>Menor a 5</v>
      </c>
    </row>
    <row r="102" ht="15.75" customHeight="1">
      <c r="A102" s="41" t="s">
        <v>4318</v>
      </c>
      <c r="B102" s="264">
        <v>8124.0</v>
      </c>
      <c r="C102" s="41" t="s">
        <v>4538</v>
      </c>
      <c r="D102" s="247" t="s">
        <v>4539</v>
      </c>
      <c r="E102" s="102" t="s">
        <v>4540</v>
      </c>
      <c r="F102" s="84">
        <v>0.21</v>
      </c>
      <c r="G102" s="177"/>
    </row>
    <row r="103" ht="15.75" customHeight="1">
      <c r="A103" s="47" t="s">
        <v>4318</v>
      </c>
      <c r="B103" s="265">
        <v>8128.0</v>
      </c>
      <c r="C103" s="47" t="s">
        <v>4541</v>
      </c>
      <c r="D103" s="249" t="s">
        <v>4542</v>
      </c>
      <c r="E103" s="105" t="s">
        <v>4543</v>
      </c>
      <c r="F103" s="38">
        <v>0.21</v>
      </c>
      <c r="G103" s="177"/>
    </row>
    <row r="104" ht="15.75" customHeight="1">
      <c r="A104" s="41" t="s">
        <v>4318</v>
      </c>
      <c r="B104" s="42" t="s">
        <v>4544</v>
      </c>
      <c r="C104" s="41" t="s">
        <v>4545</v>
      </c>
      <c r="D104" s="247" t="s">
        <v>4546</v>
      </c>
      <c r="E104" s="102" t="s">
        <v>4547</v>
      </c>
      <c r="F104" s="84">
        <v>0.21</v>
      </c>
      <c r="G104" s="39" t="str">
        <f>VLOOKUP("CSS8004",STOCK!$B$2:$Q$3656,3,FALSE)</f>
        <v>Mayor a 5</v>
      </c>
    </row>
    <row r="105" ht="15.75" customHeight="1">
      <c r="A105" s="47" t="s">
        <v>4318</v>
      </c>
      <c r="B105" s="48" t="s">
        <v>4548</v>
      </c>
      <c r="C105" s="47" t="s">
        <v>4549</v>
      </c>
      <c r="D105" s="249" t="s">
        <v>4550</v>
      </c>
      <c r="E105" s="105" t="s">
        <v>4551</v>
      </c>
      <c r="F105" s="38">
        <v>0.21</v>
      </c>
      <c r="G105" s="50" t="str">
        <f>VLOOKUP("CSS8008",STOCK!$B$2:$Q$3656,3,FALSE)</f>
        <v>SIN STOCK</v>
      </c>
    </row>
    <row r="106" ht="15.75" customHeight="1">
      <c r="A106" s="41" t="s">
        <v>4318</v>
      </c>
      <c r="B106" s="42" t="s">
        <v>4552</v>
      </c>
      <c r="C106" s="41" t="s">
        <v>4553</v>
      </c>
      <c r="D106" s="266" t="s">
        <v>4554</v>
      </c>
      <c r="E106" s="44" t="s">
        <v>4555</v>
      </c>
      <c r="F106" s="84">
        <v>0.21</v>
      </c>
      <c r="G106" s="182" t="str">
        <f>VLOOKUP("C64P/T",STOCK!$B$2:$Q$3656,3,FALSE)</f>
        <v>Mayor a 5</v>
      </c>
    </row>
    <row r="107" ht="15.75" customHeight="1">
      <c r="A107" s="47" t="s">
        <v>4318</v>
      </c>
      <c r="B107" s="48" t="s">
        <v>4556</v>
      </c>
      <c r="C107" s="47" t="s">
        <v>4557</v>
      </c>
      <c r="D107" s="249" t="s">
        <v>4554</v>
      </c>
      <c r="E107" s="105" t="s">
        <v>4555</v>
      </c>
      <c r="F107" s="38">
        <v>0.21</v>
      </c>
      <c r="G107" s="182" t="str">
        <f>VLOOKUP("C64P/T-WH",STOCK!$B$2:$Q$3656,3,FALSE)</f>
        <v>Mayor a 5</v>
      </c>
    </row>
    <row r="108" ht="15.75" customHeight="1">
      <c r="A108" s="41" t="s">
        <v>4318</v>
      </c>
      <c r="B108" s="42" t="s">
        <v>4558</v>
      </c>
      <c r="C108" s="41" t="s">
        <v>4559</v>
      </c>
      <c r="D108" s="247" t="s">
        <v>4560</v>
      </c>
      <c r="E108" s="102" t="s">
        <v>4561</v>
      </c>
      <c r="F108" s="84">
        <v>0.21</v>
      </c>
      <c r="G108" s="53" t="str">
        <f>VLOOKUP("C65P/T",STOCK!$B$2:$Q$3656,3,FALSE)</f>
        <v>Menor a 5</v>
      </c>
    </row>
    <row r="109" ht="15.75" customHeight="1">
      <c r="A109" s="47" t="s">
        <v>4318</v>
      </c>
      <c r="B109" s="48" t="s">
        <v>4562</v>
      </c>
      <c r="C109" s="47" t="s">
        <v>4563</v>
      </c>
      <c r="D109" s="249" t="s">
        <v>4564</v>
      </c>
      <c r="E109" s="105" t="s">
        <v>4565</v>
      </c>
      <c r="F109" s="38">
        <v>0.21</v>
      </c>
      <c r="G109" s="182" t="str">
        <f>VLOOKUP("LCT 81C/TM",STOCK!$B$2:$Q$3656,3,FALSE)</f>
        <v>Menor a 5</v>
      </c>
    </row>
    <row r="110" ht="15.75" customHeight="1">
      <c r="A110" s="241" t="s">
        <v>1723</v>
      </c>
      <c r="B110" s="242"/>
      <c r="C110" s="242"/>
      <c r="D110" s="243"/>
      <c r="E110" s="244"/>
      <c r="F110" s="245"/>
      <c r="G110" s="267"/>
    </row>
    <row r="111" ht="15.75" customHeight="1">
      <c r="A111" s="41" t="s">
        <v>4566</v>
      </c>
      <c r="B111" s="41" t="s">
        <v>4567</v>
      </c>
      <c r="C111" s="41" t="s">
        <v>4568</v>
      </c>
      <c r="D111" s="247" t="s">
        <v>4569</v>
      </c>
      <c r="E111" s="102" t="s">
        <v>4570</v>
      </c>
      <c r="F111" s="84">
        <v>0.21</v>
      </c>
      <c r="G111" s="39" t="str">
        <f>VLOOKUP("C44-USB",STOCK!$B$2:$Q$3656,3,FALSE)</f>
        <v>Mayor a 5</v>
      </c>
    </row>
    <row r="112" ht="15.75" customHeight="1">
      <c r="A112" s="47" t="s">
        <v>4566</v>
      </c>
      <c r="B112" s="47" t="s">
        <v>4571</v>
      </c>
      <c r="C112" s="47" t="s">
        <v>4572</v>
      </c>
      <c r="D112" s="249" t="s">
        <v>4573</v>
      </c>
      <c r="E112" s="105" t="s">
        <v>4574</v>
      </c>
      <c r="F112" s="38">
        <v>0.21</v>
      </c>
      <c r="G112" s="50" t="str">
        <f>VLOOKUP("p220",STOCK!$B$2:$Q$3656,3,FALSE)</f>
        <v>SIN STOCK</v>
      </c>
    </row>
    <row r="113" ht="15.75" customHeight="1">
      <c r="A113" s="41" t="s">
        <v>4566</v>
      </c>
      <c r="B113" s="41" t="s">
        <v>4575</v>
      </c>
      <c r="C113" s="41" t="s">
        <v>4576</v>
      </c>
      <c r="D113" s="247" t="s">
        <v>4577</v>
      </c>
      <c r="E113" s="102" t="s">
        <v>4578</v>
      </c>
      <c r="F113" s="84">
        <v>0.21</v>
      </c>
      <c r="G113" s="262" t="str">
        <f>VLOOKUP("p420",STOCK!$B$2:$Q$3656,3,FALSE)</f>
        <v>SIN STOCK</v>
      </c>
    </row>
    <row r="114" ht="15.75" customHeight="1">
      <c r="A114" s="241" t="s">
        <v>4579</v>
      </c>
      <c r="B114" s="242"/>
      <c r="C114" s="242"/>
      <c r="D114" s="243"/>
      <c r="E114" s="244"/>
      <c r="F114" s="245"/>
      <c r="G114" s="267"/>
    </row>
    <row r="115" ht="15.75" customHeight="1">
      <c r="A115" s="41" t="s">
        <v>4318</v>
      </c>
      <c r="B115" s="42" t="s">
        <v>4580</v>
      </c>
      <c r="C115" s="41" t="s">
        <v>4581</v>
      </c>
      <c r="D115" s="247" t="s">
        <v>4582</v>
      </c>
      <c r="E115" s="102" t="s">
        <v>4583</v>
      </c>
      <c r="F115" s="84">
        <v>0.21</v>
      </c>
      <c r="G115" s="175" t="str">
        <f>VLOOKUP("PSB-1/230",STOCK!$B$2:$Q$3656,3,FALSE)</f>
        <v>SIN STOCK</v>
      </c>
    </row>
    <row r="116" ht="15.75" customHeight="1">
      <c r="A116" s="241" t="s">
        <v>4584</v>
      </c>
      <c r="B116" s="242"/>
      <c r="C116" s="242"/>
      <c r="D116" s="243"/>
      <c r="E116" s="244"/>
      <c r="F116" s="245"/>
      <c r="G116" s="267"/>
    </row>
    <row r="117" ht="15.75" customHeight="1">
      <c r="A117" s="41" t="s">
        <v>4318</v>
      </c>
      <c r="B117" s="41" t="s">
        <v>4585</v>
      </c>
      <c r="C117" s="41" t="s">
        <v>4586</v>
      </c>
      <c r="D117" s="268" t="s">
        <v>3006</v>
      </c>
      <c r="E117" s="236"/>
      <c r="F117" s="159"/>
      <c r="G117" s="262" t="str">
        <f>VLOOKUP("ACTPACK",STOCK!$B$2:$Q$3656,3,FALSE)</f>
        <v>Mayor a 5</v>
      </c>
    </row>
    <row r="118" ht="15.75" customHeight="1">
      <c r="A118" s="241" t="s">
        <v>4587</v>
      </c>
      <c r="B118" s="242"/>
      <c r="C118" s="242"/>
      <c r="D118" s="243"/>
      <c r="E118" s="244"/>
      <c r="F118" s="245"/>
      <c r="G118" s="267"/>
    </row>
    <row r="119" ht="15.75" customHeight="1">
      <c r="A119" s="41" t="s">
        <v>4588</v>
      </c>
      <c r="B119" s="41" t="s">
        <v>4589</v>
      </c>
      <c r="C119" s="41" t="s">
        <v>4590</v>
      </c>
      <c r="D119" s="247" t="s">
        <v>4591</v>
      </c>
      <c r="E119" s="102" t="s">
        <v>4592</v>
      </c>
      <c r="F119" s="84">
        <v>0.21</v>
      </c>
      <c r="G119" s="39" t="str">
        <f>VLOOKUP("DBXCT2",STOCK!$B$2:$Q$3656,3,FALSE)</f>
        <v>Mayor a 5</v>
      </c>
    </row>
    <row r="120" ht="15.75" customHeight="1">
      <c r="A120" s="47" t="s">
        <v>4588</v>
      </c>
      <c r="B120" s="47" t="s">
        <v>4593</v>
      </c>
      <c r="C120" s="47" t="s">
        <v>4594</v>
      </c>
      <c r="D120" s="249" t="s">
        <v>4595</v>
      </c>
      <c r="E120" s="105" t="s">
        <v>4596</v>
      </c>
      <c r="F120" s="38">
        <v>0.21</v>
      </c>
      <c r="G120" s="39" t="str">
        <f>VLOOKUP("DBXRTA-M",STOCK!$B$2:$Q$3656,3,FALSE)</f>
        <v>Mayor a 5</v>
      </c>
    </row>
    <row r="121" ht="15.75" customHeight="1">
      <c r="A121" s="41" t="s">
        <v>4588</v>
      </c>
      <c r="B121" s="41" t="s">
        <v>4597</v>
      </c>
      <c r="C121" s="41" t="s">
        <v>4598</v>
      </c>
      <c r="D121" s="247" t="s">
        <v>4599</v>
      </c>
      <c r="E121" s="102" t="s">
        <v>4600</v>
      </c>
      <c r="F121" s="84">
        <v>0.21</v>
      </c>
      <c r="G121" s="182" t="str">
        <f>VLOOKUP("DBX234SV/220V",STOCK!$B$2:$Q$3656,3,FALSE)</f>
        <v>SIN STOCK</v>
      </c>
    </row>
    <row r="122" ht="15.75" customHeight="1">
      <c r="A122" s="47" t="s">
        <v>4588</v>
      </c>
      <c r="B122" s="47" t="s">
        <v>4601</v>
      </c>
      <c r="C122" s="155"/>
      <c r="D122" s="249" t="s">
        <v>4602</v>
      </c>
      <c r="E122" s="105" t="s">
        <v>4603</v>
      </c>
      <c r="F122" s="269" t="s">
        <v>4604</v>
      </c>
      <c r="G122" s="39" t="str">
        <f>VLOOKUP("DBXPA2-V/220V",STOCK!$B$2:$Q$3656,3,FALSE)</f>
        <v>Mayor a 5</v>
      </c>
    </row>
    <row r="123" ht="15.75" customHeight="1">
      <c r="A123" s="241" t="s">
        <v>4605</v>
      </c>
      <c r="B123" s="242"/>
      <c r="C123" s="242"/>
      <c r="D123" s="243"/>
      <c r="E123" s="244"/>
      <c r="F123" s="245"/>
      <c r="G123" s="267"/>
    </row>
    <row r="124" ht="15.75" customHeight="1">
      <c r="A124" s="41" t="s">
        <v>4318</v>
      </c>
      <c r="B124" s="41" t="s">
        <v>4606</v>
      </c>
      <c r="C124" s="41" t="s">
        <v>4607</v>
      </c>
      <c r="D124" s="247" t="s">
        <v>4608</v>
      </c>
      <c r="E124" s="102" t="s">
        <v>4609</v>
      </c>
      <c r="F124" s="84">
        <v>0.21</v>
      </c>
      <c r="G124" s="53" t="str">
        <f>VLOOKUP("HPD5739",STOCK!$B$2:$Q$3656,3,FALSE)</f>
        <v>Menor a 5</v>
      </c>
    </row>
    <row r="125" ht="15.75" customHeight="1">
      <c r="A125" s="47" t="s">
        <v>4318</v>
      </c>
      <c r="B125" s="48" t="s">
        <v>4610</v>
      </c>
      <c r="C125" s="47" t="s">
        <v>4611</v>
      </c>
      <c r="D125" s="249" t="s">
        <v>4612</v>
      </c>
      <c r="E125" s="105" t="s">
        <v>4613</v>
      </c>
      <c r="F125" s="38">
        <v>0.21</v>
      </c>
      <c r="G125" s="53" t="str">
        <f>VLOOKUP("5732-M/HF",STOCK!$B$2:$Q$3656,3,FALSE)</f>
        <v>Menor a 5</v>
      </c>
    </row>
    <row r="126" ht="15.75" customHeight="1">
      <c r="A126" s="270" t="s">
        <v>4614</v>
      </c>
      <c r="B126" s="271"/>
      <c r="C126" s="271"/>
      <c r="D126" s="271"/>
      <c r="E126" s="271"/>
      <c r="F126" s="271"/>
      <c r="G126" s="271"/>
    </row>
    <row r="127" ht="15.75" customHeight="1">
      <c r="A127" s="161" t="s">
        <v>4318</v>
      </c>
      <c r="B127" s="180" t="s">
        <v>4615</v>
      </c>
      <c r="C127" s="161" t="s">
        <v>4616</v>
      </c>
      <c r="D127" s="247" t="s">
        <v>4617</v>
      </c>
      <c r="E127" s="102" t="s">
        <v>4618</v>
      </c>
      <c r="F127" s="84">
        <v>0.21</v>
      </c>
      <c r="G127" s="272" t="str">
        <f>VLOOKUP("VRX915M",STOCK!$B$2:$Q$3692,3,FALSE)</f>
        <v>Menor a 5</v>
      </c>
    </row>
    <row r="128" ht="15.75" customHeight="1">
      <c r="A128" s="273"/>
      <c r="B128" s="273"/>
      <c r="C128" s="273"/>
      <c r="D128" s="274"/>
      <c r="E128" s="275"/>
      <c r="F128" s="276"/>
      <c r="G128" s="273"/>
    </row>
    <row r="129" ht="15.75" customHeight="1">
      <c r="A129" s="273"/>
      <c r="B129" s="273"/>
      <c r="C129" s="273"/>
      <c r="D129" s="274"/>
      <c r="E129" s="275"/>
      <c r="F129" s="276"/>
      <c r="G129" s="273"/>
    </row>
    <row r="130" ht="15.75" customHeight="1">
      <c r="A130" s="273"/>
      <c r="B130" s="273"/>
      <c r="C130" s="273"/>
      <c r="D130" s="274"/>
      <c r="E130" s="275"/>
      <c r="F130" s="276"/>
      <c r="G130" s="273"/>
    </row>
    <row r="131" ht="15.75" customHeight="1">
      <c r="A131" s="273"/>
      <c r="B131" s="273"/>
      <c r="C131" s="273"/>
      <c r="D131" s="274"/>
      <c r="E131" s="275"/>
      <c r="F131" s="276"/>
      <c r="G131" s="273"/>
    </row>
    <row r="132" ht="15.75" customHeight="1">
      <c r="A132" s="273"/>
      <c r="B132" s="273"/>
      <c r="C132" s="273"/>
      <c r="D132" s="274"/>
      <c r="E132" s="275"/>
      <c r="F132" s="276"/>
      <c r="G132" s="273"/>
    </row>
    <row r="133" ht="15.75" customHeight="1">
      <c r="A133" s="273"/>
      <c r="B133" s="273"/>
      <c r="C133" s="273"/>
      <c r="D133" s="274"/>
      <c r="E133" s="275"/>
      <c r="F133" s="276"/>
      <c r="G133" s="273"/>
    </row>
    <row r="134" ht="15.75" customHeight="1">
      <c r="A134" s="273"/>
      <c r="B134" s="273"/>
      <c r="C134" s="273"/>
      <c r="D134" s="274"/>
      <c r="E134" s="275"/>
      <c r="F134" s="276"/>
      <c r="G134" s="273"/>
    </row>
    <row r="135" ht="15.75" customHeight="1">
      <c r="A135" s="273"/>
      <c r="B135" s="273"/>
      <c r="C135" s="273"/>
      <c r="D135" s="274"/>
      <c r="E135" s="275"/>
      <c r="F135" s="276"/>
      <c r="G135" s="273"/>
    </row>
    <row r="136" ht="15.75" customHeight="1">
      <c r="A136" s="273"/>
      <c r="B136" s="273"/>
      <c r="C136" s="273"/>
      <c r="D136" s="274"/>
      <c r="E136" s="275"/>
      <c r="F136" s="276"/>
      <c r="G136" s="273"/>
    </row>
    <row r="137" ht="15.75" customHeight="1">
      <c r="A137" s="273"/>
      <c r="B137" s="273"/>
      <c r="C137" s="273"/>
      <c r="D137" s="274"/>
      <c r="E137" s="275"/>
      <c r="F137" s="276"/>
      <c r="G137" s="273"/>
    </row>
    <row r="138" ht="15.75" customHeight="1">
      <c r="A138" s="273"/>
      <c r="B138" s="273"/>
      <c r="C138" s="273"/>
      <c r="D138" s="274"/>
      <c r="E138" s="275"/>
      <c r="F138" s="276"/>
      <c r="G138" s="273"/>
    </row>
    <row r="139" ht="15.75" customHeight="1">
      <c r="A139" s="273"/>
      <c r="B139" s="273"/>
      <c r="C139" s="273"/>
      <c r="D139" s="274"/>
      <c r="E139" s="275"/>
      <c r="F139" s="276"/>
      <c r="G139" s="273"/>
    </row>
    <row r="140" ht="15.75" customHeight="1">
      <c r="A140" s="273"/>
      <c r="B140" s="273"/>
      <c r="C140" s="273"/>
      <c r="D140" s="274"/>
      <c r="E140" s="275"/>
      <c r="F140" s="276"/>
      <c r="G140" s="273"/>
    </row>
    <row r="141" ht="15.75" customHeight="1">
      <c r="A141" s="273"/>
      <c r="B141" s="273"/>
      <c r="C141" s="273"/>
      <c r="D141" s="274"/>
      <c r="E141" s="275"/>
      <c r="F141" s="276"/>
      <c r="G141" s="273"/>
    </row>
    <row r="142" ht="15.75" customHeight="1">
      <c r="A142" s="273"/>
      <c r="B142" s="273"/>
      <c r="C142" s="273"/>
      <c r="D142" s="274"/>
      <c r="E142" s="275"/>
      <c r="F142" s="276"/>
      <c r="G142" s="273"/>
    </row>
    <row r="143" ht="15.75" customHeight="1">
      <c r="A143" s="273"/>
      <c r="B143" s="273"/>
      <c r="C143" s="273"/>
      <c r="D143" s="274"/>
      <c r="E143" s="275"/>
      <c r="F143" s="276"/>
      <c r="G143" s="273"/>
    </row>
    <row r="144" ht="15.75" customHeight="1">
      <c r="A144" s="273"/>
      <c r="B144" s="273"/>
      <c r="C144" s="273"/>
      <c r="D144" s="274"/>
      <c r="E144" s="275"/>
      <c r="F144" s="276"/>
      <c r="G144" s="273"/>
    </row>
    <row r="145" ht="15.75" customHeight="1">
      <c r="A145" s="273"/>
      <c r="B145" s="273"/>
      <c r="C145" s="273"/>
      <c r="D145" s="274"/>
      <c r="E145" s="275"/>
      <c r="F145" s="276"/>
      <c r="G145" s="273"/>
    </row>
    <row r="146" ht="15.75" customHeight="1">
      <c r="A146" s="273"/>
      <c r="B146" s="273"/>
      <c r="C146" s="273"/>
      <c r="D146" s="274"/>
      <c r="E146" s="275"/>
      <c r="F146" s="276"/>
      <c r="G146" s="273"/>
    </row>
    <row r="147" ht="15.75" customHeight="1">
      <c r="A147" s="273"/>
      <c r="B147" s="273"/>
      <c r="C147" s="273"/>
      <c r="D147" s="274"/>
      <c r="E147" s="275"/>
      <c r="F147" s="276"/>
      <c r="G147" s="273"/>
    </row>
    <row r="148" ht="15.75" customHeight="1">
      <c r="A148" s="273"/>
      <c r="B148" s="273"/>
      <c r="C148" s="273"/>
      <c r="D148" s="274"/>
      <c r="E148" s="275"/>
      <c r="F148" s="276"/>
      <c r="G148" s="273"/>
    </row>
    <row r="149" ht="15.75" customHeight="1">
      <c r="A149" s="273"/>
      <c r="B149" s="273"/>
      <c r="C149" s="273"/>
      <c r="D149" s="274"/>
      <c r="E149" s="275"/>
      <c r="F149" s="276"/>
      <c r="G149" s="273"/>
    </row>
    <row r="150" ht="15.75" customHeight="1">
      <c r="A150" s="273"/>
      <c r="B150" s="273"/>
      <c r="C150" s="273"/>
      <c r="D150" s="274"/>
      <c r="E150" s="275"/>
      <c r="F150" s="276"/>
      <c r="G150" s="273"/>
    </row>
    <row r="151" ht="15.75" customHeight="1">
      <c r="A151" s="273"/>
      <c r="B151" s="273"/>
      <c r="C151" s="273"/>
      <c r="D151" s="274"/>
      <c r="E151" s="275"/>
      <c r="F151" s="276"/>
      <c r="G151" s="273"/>
    </row>
    <row r="152" ht="15.75" customHeight="1">
      <c r="A152" s="273"/>
      <c r="B152" s="273"/>
      <c r="C152" s="273"/>
      <c r="D152" s="274"/>
      <c r="E152" s="275"/>
      <c r="F152" s="276"/>
      <c r="G152" s="273"/>
    </row>
    <row r="153" ht="15.75" customHeight="1">
      <c r="A153" s="273"/>
      <c r="B153" s="273"/>
      <c r="C153" s="273"/>
      <c r="D153" s="274"/>
      <c r="E153" s="275"/>
      <c r="F153" s="276"/>
      <c r="G153" s="273"/>
    </row>
    <row r="154" ht="15.75" customHeight="1">
      <c r="A154" s="273"/>
      <c r="B154" s="273"/>
      <c r="C154" s="273"/>
      <c r="D154" s="274"/>
      <c r="E154" s="275"/>
      <c r="F154" s="276"/>
      <c r="G154" s="273"/>
    </row>
    <row r="155" ht="15.75" customHeight="1">
      <c r="A155" s="273"/>
      <c r="B155" s="273"/>
      <c r="C155" s="273"/>
      <c r="D155" s="274"/>
      <c r="E155" s="275"/>
      <c r="F155" s="276"/>
      <c r="G155" s="273"/>
    </row>
    <row r="156" ht="15.75" customHeight="1">
      <c r="A156" s="273"/>
      <c r="B156" s="273"/>
      <c r="C156" s="273"/>
      <c r="D156" s="274"/>
      <c r="E156" s="275"/>
      <c r="F156" s="276"/>
      <c r="G156" s="273"/>
    </row>
    <row r="157" ht="15.75" customHeight="1">
      <c r="A157" s="273"/>
      <c r="B157" s="273"/>
      <c r="C157" s="273"/>
      <c r="D157" s="274"/>
      <c r="E157" s="275"/>
      <c r="F157" s="276"/>
      <c r="G157" s="273"/>
    </row>
    <row r="158" ht="15.75" customHeight="1">
      <c r="A158" s="273"/>
      <c r="B158" s="273"/>
      <c r="C158" s="273"/>
      <c r="D158" s="274"/>
      <c r="E158" s="275"/>
      <c r="F158" s="276"/>
      <c r="G158" s="273"/>
    </row>
    <row r="159" ht="15.75" customHeight="1">
      <c r="A159" s="273"/>
      <c r="B159" s="273"/>
      <c r="C159" s="273"/>
      <c r="D159" s="274"/>
      <c r="E159" s="275"/>
      <c r="F159" s="276"/>
      <c r="G159" s="273"/>
    </row>
    <row r="160" ht="15.75" customHeight="1">
      <c r="A160" s="273"/>
      <c r="B160" s="273"/>
      <c r="C160" s="273"/>
      <c r="D160" s="274"/>
      <c r="E160" s="275"/>
      <c r="F160" s="276"/>
      <c r="G160" s="273"/>
    </row>
    <row r="161" ht="15.75" customHeight="1">
      <c r="A161" s="273"/>
      <c r="B161" s="273"/>
      <c r="C161" s="273"/>
      <c r="D161" s="274"/>
      <c r="E161" s="275"/>
      <c r="F161" s="276"/>
      <c r="G161" s="273"/>
    </row>
    <row r="162" ht="15.75" customHeight="1">
      <c r="A162" s="273"/>
      <c r="B162" s="273"/>
      <c r="C162" s="273"/>
      <c r="D162" s="274"/>
      <c r="E162" s="275"/>
      <c r="F162" s="276"/>
      <c r="G162" s="273"/>
    </row>
    <row r="163" ht="15.75" customHeight="1">
      <c r="A163" s="273"/>
      <c r="B163" s="273"/>
      <c r="C163" s="273"/>
      <c r="D163" s="274"/>
      <c r="E163" s="275"/>
      <c r="F163" s="276"/>
      <c r="G163" s="273"/>
    </row>
    <row r="164" ht="15.75" customHeight="1">
      <c r="A164" s="273"/>
      <c r="B164" s="273"/>
      <c r="C164" s="273"/>
      <c r="D164" s="274"/>
      <c r="E164" s="275"/>
      <c r="F164" s="276"/>
      <c r="G164" s="273"/>
    </row>
    <row r="165" ht="15.75" customHeight="1">
      <c r="A165" s="273"/>
      <c r="B165" s="273"/>
      <c r="C165" s="273"/>
      <c r="D165" s="274"/>
      <c r="E165" s="275"/>
      <c r="F165" s="276"/>
      <c r="G165" s="273"/>
    </row>
    <row r="166" ht="15.75" customHeight="1">
      <c r="A166" s="273"/>
      <c r="B166" s="273"/>
      <c r="C166" s="273"/>
      <c r="D166" s="274"/>
      <c r="E166" s="275"/>
      <c r="F166" s="276"/>
      <c r="G166" s="273"/>
    </row>
    <row r="167" ht="15.75" customHeight="1">
      <c r="A167" s="273"/>
      <c r="B167" s="273"/>
      <c r="C167" s="273"/>
      <c r="D167" s="274"/>
      <c r="E167" s="275"/>
      <c r="F167" s="276"/>
      <c r="G167" s="273"/>
    </row>
    <row r="168" ht="15.75" customHeight="1">
      <c r="A168" s="273"/>
      <c r="B168" s="273"/>
      <c r="C168" s="273"/>
      <c r="D168" s="274"/>
      <c r="E168" s="275"/>
      <c r="F168" s="276"/>
      <c r="G168" s="273"/>
    </row>
    <row r="169" ht="15.75" customHeight="1">
      <c r="A169" s="273"/>
      <c r="B169" s="273"/>
      <c r="C169" s="273"/>
      <c r="D169" s="274"/>
      <c r="E169" s="275"/>
      <c r="F169" s="276"/>
      <c r="G169" s="273"/>
    </row>
    <row r="170" ht="15.75" customHeight="1">
      <c r="A170" s="273"/>
      <c r="B170" s="273"/>
      <c r="C170" s="273"/>
      <c r="D170" s="274"/>
      <c r="E170" s="275"/>
      <c r="F170" s="276"/>
      <c r="G170" s="273"/>
    </row>
    <row r="171" ht="15.75" customHeight="1">
      <c r="A171" s="273"/>
      <c r="B171" s="273"/>
      <c r="C171" s="273"/>
      <c r="D171" s="274"/>
      <c r="E171" s="275"/>
      <c r="F171" s="276"/>
      <c r="G171" s="273"/>
    </row>
    <row r="172" ht="15.75" customHeight="1">
      <c r="A172" s="273"/>
      <c r="B172" s="273"/>
      <c r="C172" s="273"/>
      <c r="D172" s="274"/>
      <c r="E172" s="275"/>
      <c r="F172" s="276"/>
      <c r="G172" s="273"/>
    </row>
    <row r="173" ht="15.75" customHeight="1">
      <c r="A173" s="273"/>
      <c r="B173" s="273"/>
      <c r="C173" s="273"/>
      <c r="D173" s="274"/>
      <c r="E173" s="275"/>
      <c r="F173" s="276"/>
      <c r="G173" s="273"/>
    </row>
    <row r="174" ht="15.75" customHeight="1">
      <c r="A174" s="273"/>
      <c r="B174" s="273"/>
      <c r="C174" s="273"/>
      <c r="D174" s="274"/>
      <c r="E174" s="275"/>
      <c r="F174" s="276"/>
      <c r="G174" s="273"/>
    </row>
    <row r="175" ht="15.75" customHeight="1">
      <c r="A175" s="273"/>
      <c r="B175" s="273"/>
      <c r="C175" s="273"/>
      <c r="D175" s="274"/>
      <c r="E175" s="275"/>
      <c r="F175" s="276"/>
      <c r="G175" s="273"/>
    </row>
    <row r="176" ht="15.75" customHeight="1">
      <c r="A176" s="273"/>
      <c r="B176" s="273"/>
      <c r="C176" s="273"/>
      <c r="D176" s="274"/>
      <c r="E176" s="275"/>
      <c r="F176" s="276"/>
      <c r="G176" s="273"/>
    </row>
    <row r="177" ht="15.75" customHeight="1">
      <c r="A177" s="273"/>
      <c r="B177" s="273"/>
      <c r="C177" s="273"/>
      <c r="D177" s="274"/>
      <c r="E177" s="275"/>
      <c r="F177" s="276"/>
      <c r="G177" s="273"/>
    </row>
    <row r="178" ht="15.75" customHeight="1">
      <c r="A178" s="273"/>
      <c r="B178" s="273"/>
      <c r="C178" s="273"/>
      <c r="D178" s="274"/>
      <c r="E178" s="275"/>
      <c r="F178" s="276"/>
      <c r="G178" s="273"/>
    </row>
    <row r="179" ht="15.75" customHeight="1">
      <c r="A179" s="273"/>
      <c r="B179" s="273"/>
      <c r="C179" s="273"/>
      <c r="D179" s="274"/>
      <c r="E179" s="275"/>
      <c r="F179" s="276"/>
      <c r="G179" s="273"/>
    </row>
    <row r="180" ht="15.75" customHeight="1">
      <c r="A180" s="273"/>
      <c r="B180" s="273"/>
      <c r="C180" s="273"/>
      <c r="D180" s="274"/>
      <c r="E180" s="275"/>
      <c r="F180" s="276"/>
      <c r="G180" s="273"/>
    </row>
    <row r="181" ht="15.75" customHeight="1">
      <c r="A181" s="273"/>
      <c r="B181" s="273"/>
      <c r="C181" s="273"/>
      <c r="D181" s="274"/>
      <c r="E181" s="275"/>
      <c r="F181" s="276"/>
      <c r="G181" s="273"/>
    </row>
    <row r="182" ht="15.75" customHeight="1">
      <c r="A182" s="273"/>
      <c r="B182" s="273"/>
      <c r="C182" s="273"/>
      <c r="D182" s="274"/>
      <c r="E182" s="275"/>
      <c r="F182" s="276"/>
      <c r="G182" s="273"/>
    </row>
    <row r="183" ht="15.75" customHeight="1">
      <c r="A183" s="273"/>
      <c r="B183" s="273"/>
      <c r="C183" s="273"/>
      <c r="D183" s="274"/>
      <c r="E183" s="275"/>
      <c r="F183" s="276"/>
      <c r="G183" s="273"/>
    </row>
    <row r="184" ht="15.75" customHeight="1">
      <c r="A184" s="273"/>
      <c r="B184" s="273"/>
      <c r="C184" s="273"/>
      <c r="D184" s="274"/>
      <c r="E184" s="275"/>
      <c r="F184" s="276"/>
      <c r="G184" s="273"/>
    </row>
    <row r="185" ht="15.75" customHeight="1">
      <c r="A185" s="273"/>
      <c r="B185" s="273"/>
      <c r="C185" s="273"/>
      <c r="D185" s="274"/>
      <c r="E185" s="275"/>
      <c r="F185" s="276"/>
      <c r="G185" s="273"/>
    </row>
    <row r="186" ht="15.75" customHeight="1">
      <c r="A186" s="273"/>
      <c r="B186" s="273"/>
      <c r="C186" s="273"/>
      <c r="D186" s="274"/>
      <c r="E186" s="275"/>
      <c r="F186" s="276"/>
      <c r="G186" s="273"/>
    </row>
    <row r="187" ht="15.75" customHeight="1">
      <c r="A187" s="273"/>
      <c r="B187" s="273"/>
      <c r="C187" s="273"/>
      <c r="D187" s="274"/>
      <c r="E187" s="275"/>
      <c r="F187" s="276"/>
      <c r="G187" s="273"/>
    </row>
    <row r="188" ht="15.75" customHeight="1">
      <c r="A188" s="273"/>
      <c r="B188" s="273"/>
      <c r="C188" s="273"/>
      <c r="D188" s="274"/>
      <c r="E188" s="275"/>
      <c r="F188" s="276"/>
      <c r="G188" s="273"/>
    </row>
    <row r="189" ht="15.75" customHeight="1">
      <c r="A189" s="273"/>
      <c r="B189" s="273"/>
      <c r="C189" s="273"/>
      <c r="D189" s="274"/>
      <c r="E189" s="275"/>
      <c r="F189" s="276"/>
      <c r="G189" s="273"/>
    </row>
    <row r="190" ht="15.75" customHeight="1">
      <c r="A190" s="273"/>
      <c r="B190" s="273"/>
      <c r="C190" s="273"/>
      <c r="D190" s="274"/>
      <c r="E190" s="275"/>
      <c r="F190" s="276"/>
      <c r="G190" s="273"/>
    </row>
    <row r="191" ht="15.75" customHeight="1">
      <c r="A191" s="273"/>
      <c r="B191" s="273"/>
      <c r="C191" s="273"/>
      <c r="D191" s="274"/>
      <c r="E191" s="275"/>
      <c r="F191" s="276"/>
      <c r="G191" s="273"/>
    </row>
    <row r="192" ht="15.75" customHeight="1">
      <c r="A192" s="273"/>
      <c r="B192" s="273"/>
      <c r="C192" s="273"/>
      <c r="D192" s="274"/>
      <c r="E192" s="275"/>
      <c r="F192" s="276"/>
      <c r="G192" s="273"/>
    </row>
    <row r="193" ht="15.75" customHeight="1">
      <c r="A193" s="273"/>
      <c r="B193" s="273"/>
      <c r="C193" s="273"/>
      <c r="D193" s="274"/>
      <c r="E193" s="275"/>
      <c r="F193" s="276"/>
      <c r="G193" s="273"/>
    </row>
    <row r="194" ht="15.75" customHeight="1">
      <c r="A194" s="273"/>
      <c r="B194" s="273"/>
      <c r="C194" s="273"/>
      <c r="D194" s="274"/>
      <c r="E194" s="275"/>
      <c r="F194" s="276"/>
      <c r="G194" s="273"/>
    </row>
    <row r="195" ht="15.75" customHeight="1">
      <c r="A195" s="273"/>
      <c r="B195" s="273"/>
      <c r="C195" s="273"/>
      <c r="D195" s="274"/>
      <c r="E195" s="275"/>
      <c r="F195" s="276"/>
      <c r="G195" s="273"/>
    </row>
    <row r="196" ht="15.75" customHeight="1">
      <c r="A196" s="273"/>
      <c r="B196" s="273"/>
      <c r="C196" s="273"/>
      <c r="D196" s="274"/>
      <c r="E196" s="275"/>
      <c r="F196" s="276"/>
      <c r="G196" s="273"/>
    </row>
    <row r="197" ht="15.75" customHeight="1">
      <c r="A197" s="273"/>
      <c r="B197" s="273"/>
      <c r="C197" s="273"/>
      <c r="D197" s="274"/>
      <c r="E197" s="275"/>
      <c r="F197" s="276"/>
      <c r="G197" s="273"/>
    </row>
    <row r="198" ht="15.75" customHeight="1">
      <c r="A198" s="273"/>
      <c r="B198" s="273"/>
      <c r="C198" s="273"/>
      <c r="D198" s="274"/>
      <c r="E198" s="275"/>
      <c r="F198" s="276"/>
      <c r="G198" s="273"/>
    </row>
    <row r="199" ht="15.75" customHeight="1">
      <c r="A199" s="273"/>
      <c r="B199" s="273"/>
      <c r="C199" s="273"/>
      <c r="D199" s="274"/>
      <c r="E199" s="275"/>
      <c r="F199" s="276"/>
      <c r="G199" s="273"/>
    </row>
    <row r="200" ht="15.75" customHeight="1">
      <c r="A200" s="273"/>
      <c r="B200" s="273"/>
      <c r="C200" s="273"/>
      <c r="D200" s="274"/>
      <c r="E200" s="275"/>
      <c r="F200" s="276"/>
      <c r="G200" s="273"/>
    </row>
    <row r="201" ht="15.75" customHeight="1">
      <c r="A201" s="273"/>
      <c r="B201" s="273"/>
      <c r="C201" s="273"/>
      <c r="D201" s="274"/>
      <c r="E201" s="275"/>
      <c r="F201" s="276"/>
      <c r="G201" s="273"/>
    </row>
    <row r="202" ht="15.75" customHeight="1">
      <c r="A202" s="273"/>
      <c r="B202" s="273"/>
      <c r="C202" s="273"/>
      <c r="D202" s="274"/>
      <c r="E202" s="275"/>
      <c r="F202" s="276"/>
      <c r="G202" s="273"/>
    </row>
    <row r="203" ht="15.75" customHeight="1">
      <c r="A203" s="273"/>
      <c r="B203" s="273"/>
      <c r="C203" s="273"/>
      <c r="D203" s="274"/>
      <c r="E203" s="275"/>
      <c r="F203" s="276"/>
      <c r="G203" s="273"/>
    </row>
    <row r="204" ht="15.75" customHeight="1">
      <c r="A204" s="273"/>
      <c r="B204" s="273"/>
      <c r="C204" s="273"/>
      <c r="D204" s="274"/>
      <c r="E204" s="275"/>
      <c r="F204" s="276"/>
      <c r="G204" s="273"/>
    </row>
    <row r="205" ht="15.75" customHeight="1">
      <c r="A205" s="273"/>
      <c r="B205" s="273"/>
      <c r="C205" s="273"/>
      <c r="D205" s="274"/>
      <c r="E205" s="275"/>
      <c r="F205" s="276"/>
      <c r="G205" s="273"/>
    </row>
    <row r="206" ht="15.75" customHeight="1">
      <c r="A206" s="273"/>
      <c r="B206" s="273"/>
      <c r="C206" s="273"/>
      <c r="D206" s="274"/>
      <c r="E206" s="275"/>
      <c r="F206" s="276"/>
      <c r="G206" s="273"/>
    </row>
    <row r="207" ht="15.75" customHeight="1">
      <c r="A207" s="273"/>
      <c r="B207" s="273"/>
      <c r="C207" s="273"/>
      <c r="D207" s="274"/>
      <c r="E207" s="275"/>
      <c r="F207" s="276"/>
      <c r="G207" s="273"/>
    </row>
    <row r="208" ht="15.75" customHeight="1">
      <c r="A208" s="273"/>
      <c r="B208" s="273"/>
      <c r="C208" s="273"/>
      <c r="D208" s="274"/>
      <c r="E208" s="275"/>
      <c r="F208" s="276"/>
      <c r="G208" s="273"/>
    </row>
    <row r="209" ht="15.75" customHeight="1">
      <c r="A209" s="273"/>
      <c r="B209" s="273"/>
      <c r="C209" s="273"/>
      <c r="D209" s="274"/>
      <c r="E209" s="275"/>
      <c r="F209" s="276"/>
      <c r="G209" s="273"/>
    </row>
    <row r="210" ht="15.75" customHeight="1">
      <c r="A210" s="273"/>
      <c r="B210" s="273"/>
      <c r="C210" s="273"/>
      <c r="D210" s="274"/>
      <c r="E210" s="275"/>
      <c r="F210" s="276"/>
      <c r="G210" s="273"/>
    </row>
    <row r="211" ht="15.75" customHeight="1">
      <c r="A211" s="273"/>
      <c r="B211" s="273"/>
      <c r="C211" s="273"/>
      <c r="D211" s="274"/>
      <c r="E211" s="275"/>
      <c r="F211" s="276"/>
      <c r="G211" s="273"/>
    </row>
    <row r="212" ht="15.75" customHeight="1">
      <c r="A212" s="273"/>
      <c r="B212" s="273"/>
      <c r="C212" s="273"/>
      <c r="D212" s="274"/>
      <c r="E212" s="275"/>
      <c r="F212" s="276"/>
      <c r="G212" s="273"/>
    </row>
    <row r="213" ht="15.75" customHeight="1">
      <c r="A213" s="273"/>
      <c r="B213" s="273"/>
      <c r="C213" s="273"/>
      <c r="D213" s="274"/>
      <c r="E213" s="275"/>
      <c r="F213" s="276"/>
      <c r="G213" s="273"/>
    </row>
    <row r="214" ht="15.75" customHeight="1">
      <c r="A214" s="273"/>
      <c r="B214" s="273"/>
      <c r="C214" s="273"/>
      <c r="D214" s="274"/>
      <c r="E214" s="275"/>
      <c r="F214" s="276"/>
      <c r="G214" s="273"/>
    </row>
    <row r="215" ht="15.75" customHeight="1">
      <c r="A215" s="273"/>
      <c r="B215" s="273"/>
      <c r="C215" s="273"/>
      <c r="D215" s="274"/>
      <c r="E215" s="275"/>
      <c r="F215" s="276"/>
      <c r="G215" s="273"/>
    </row>
    <row r="216" ht="15.75" customHeight="1">
      <c r="A216" s="273"/>
      <c r="B216" s="273"/>
      <c r="C216" s="273"/>
      <c r="D216" s="274"/>
      <c r="E216" s="275"/>
      <c r="F216" s="276"/>
      <c r="G216" s="273"/>
    </row>
    <row r="217" ht="15.75" customHeight="1">
      <c r="A217" s="273"/>
      <c r="B217" s="273"/>
      <c r="C217" s="273"/>
      <c r="D217" s="274"/>
      <c r="E217" s="275"/>
      <c r="F217" s="276"/>
      <c r="G217" s="273"/>
    </row>
    <row r="218" ht="15.75" customHeight="1">
      <c r="A218" s="273"/>
      <c r="B218" s="273"/>
      <c r="C218" s="273"/>
      <c r="D218" s="274"/>
      <c r="E218" s="275"/>
      <c r="F218" s="276"/>
      <c r="G218" s="273"/>
    </row>
    <row r="219" ht="15.75" customHeight="1">
      <c r="A219" s="273"/>
      <c r="B219" s="273"/>
      <c r="C219" s="273"/>
      <c r="D219" s="274"/>
      <c r="E219" s="275"/>
      <c r="F219" s="276"/>
      <c r="G219" s="273"/>
    </row>
    <row r="220" ht="15.75" customHeight="1">
      <c r="A220" s="273"/>
      <c r="B220" s="273"/>
      <c r="C220" s="273"/>
      <c r="D220" s="274"/>
      <c r="E220" s="275"/>
      <c r="F220" s="276"/>
      <c r="G220" s="273"/>
    </row>
    <row r="221" ht="15.75" customHeight="1">
      <c r="A221" s="273"/>
      <c r="B221" s="273"/>
      <c r="C221" s="273"/>
      <c r="D221" s="274"/>
      <c r="E221" s="275"/>
      <c r="F221" s="276"/>
      <c r="G221" s="273"/>
    </row>
    <row r="222" ht="15.75" customHeight="1">
      <c r="A222" s="273"/>
      <c r="B222" s="273"/>
      <c r="C222" s="273"/>
      <c r="D222" s="274"/>
      <c r="E222" s="275"/>
      <c r="F222" s="276"/>
      <c r="G222" s="273"/>
    </row>
    <row r="223" ht="15.75" customHeight="1">
      <c r="A223" s="273"/>
      <c r="B223" s="273"/>
      <c r="C223" s="273"/>
      <c r="D223" s="274"/>
      <c r="E223" s="275"/>
      <c r="F223" s="276"/>
      <c r="G223" s="273"/>
    </row>
    <row r="224" ht="15.75" customHeight="1">
      <c r="A224" s="273"/>
      <c r="B224" s="273"/>
      <c r="C224" s="273"/>
      <c r="D224" s="274"/>
      <c r="E224" s="275"/>
      <c r="F224" s="276"/>
      <c r="G224" s="273"/>
    </row>
    <row r="225" ht="15.75" customHeight="1">
      <c r="A225" s="273"/>
      <c r="B225" s="273"/>
      <c r="C225" s="273"/>
      <c r="D225" s="274"/>
      <c r="E225" s="275"/>
      <c r="F225" s="276"/>
      <c r="G225" s="273"/>
    </row>
    <row r="226" ht="15.75" customHeight="1">
      <c r="A226" s="273"/>
      <c r="B226" s="273"/>
      <c r="C226" s="273"/>
      <c r="D226" s="274"/>
      <c r="E226" s="275"/>
      <c r="F226" s="276"/>
      <c r="G226" s="273"/>
    </row>
    <row r="227" ht="15.75" customHeight="1">
      <c r="A227" s="273"/>
      <c r="B227" s="273"/>
      <c r="C227" s="273"/>
      <c r="D227" s="274"/>
      <c r="E227" s="275"/>
      <c r="F227" s="276"/>
      <c r="G227" s="273"/>
    </row>
    <row r="228" ht="15.75" customHeight="1">
      <c r="A228" s="273"/>
      <c r="B228" s="273"/>
      <c r="C228" s="273"/>
      <c r="D228" s="274"/>
      <c r="E228" s="275"/>
      <c r="F228" s="276"/>
      <c r="G228" s="273"/>
    </row>
    <row r="229" ht="15.75" customHeight="1">
      <c r="A229" s="273"/>
      <c r="B229" s="273"/>
      <c r="C229" s="273"/>
      <c r="D229" s="274"/>
      <c r="E229" s="275"/>
      <c r="F229" s="276"/>
      <c r="G229" s="273"/>
    </row>
    <row r="230" ht="15.75" customHeight="1">
      <c r="A230" s="273"/>
      <c r="B230" s="273"/>
      <c r="C230" s="273"/>
      <c r="D230" s="274"/>
      <c r="E230" s="275"/>
      <c r="F230" s="276"/>
      <c r="G230" s="273"/>
    </row>
    <row r="231" ht="15.75" customHeight="1">
      <c r="A231" s="273"/>
      <c r="B231" s="273"/>
      <c r="C231" s="273"/>
      <c r="D231" s="274"/>
      <c r="E231" s="275"/>
      <c r="F231" s="276"/>
      <c r="G231" s="273"/>
    </row>
    <row r="232" ht="15.75" customHeight="1">
      <c r="A232" s="273"/>
      <c r="B232" s="273"/>
      <c r="C232" s="273"/>
      <c r="D232" s="274"/>
      <c r="E232" s="275"/>
      <c r="F232" s="276"/>
      <c r="G232" s="273"/>
    </row>
    <row r="233" ht="15.75" customHeight="1">
      <c r="A233" s="273"/>
      <c r="B233" s="273"/>
      <c r="C233" s="273"/>
      <c r="D233" s="274"/>
      <c r="E233" s="275"/>
      <c r="F233" s="276"/>
      <c r="G233" s="273"/>
    </row>
    <row r="234" ht="15.75" customHeight="1">
      <c r="A234" s="273"/>
      <c r="B234" s="273"/>
      <c r="C234" s="273"/>
      <c r="D234" s="274"/>
      <c r="E234" s="275"/>
      <c r="F234" s="276"/>
      <c r="G234" s="273"/>
    </row>
    <row r="235" ht="15.75" customHeight="1">
      <c r="A235" s="273"/>
      <c r="B235" s="273"/>
      <c r="C235" s="273"/>
      <c r="D235" s="274"/>
      <c r="E235" s="275"/>
      <c r="F235" s="276"/>
      <c r="G235" s="273"/>
    </row>
    <row r="236" ht="15.75" customHeight="1">
      <c r="A236" s="273"/>
      <c r="B236" s="273"/>
      <c r="C236" s="273"/>
      <c r="D236" s="274"/>
      <c r="E236" s="275"/>
      <c r="F236" s="276"/>
      <c r="G236" s="273"/>
    </row>
    <row r="237" ht="15.75" customHeight="1">
      <c r="A237" s="273"/>
      <c r="B237" s="273"/>
      <c r="C237" s="273"/>
      <c r="D237" s="274"/>
      <c r="E237" s="275"/>
      <c r="F237" s="276"/>
      <c r="G237" s="273"/>
    </row>
    <row r="238" ht="15.75" customHeight="1">
      <c r="A238" s="273"/>
      <c r="B238" s="273"/>
      <c r="C238" s="273"/>
      <c r="D238" s="274"/>
      <c r="E238" s="275"/>
      <c r="F238" s="276"/>
      <c r="G238" s="273"/>
    </row>
    <row r="239" ht="15.75" customHeight="1">
      <c r="A239" s="273"/>
      <c r="B239" s="273"/>
      <c r="C239" s="273"/>
      <c r="D239" s="274"/>
      <c r="E239" s="275"/>
      <c r="F239" s="276"/>
      <c r="G239" s="273"/>
    </row>
    <row r="240" ht="15.75" customHeight="1">
      <c r="A240" s="273"/>
      <c r="B240" s="273"/>
      <c r="C240" s="273"/>
      <c r="D240" s="274"/>
      <c r="E240" s="275"/>
      <c r="F240" s="276"/>
      <c r="G240" s="273"/>
    </row>
    <row r="241" ht="15.75" customHeight="1">
      <c r="A241" s="273"/>
      <c r="B241" s="273"/>
      <c r="C241" s="273"/>
      <c r="D241" s="274"/>
      <c r="E241" s="275"/>
      <c r="F241" s="276"/>
      <c r="G241" s="273"/>
    </row>
    <row r="242" ht="15.75" customHeight="1">
      <c r="A242" s="273"/>
      <c r="B242" s="273"/>
      <c r="C242" s="273"/>
      <c r="D242" s="274"/>
      <c r="E242" s="275"/>
      <c r="F242" s="276"/>
      <c r="G242" s="273"/>
    </row>
    <row r="243" ht="15.75" customHeight="1">
      <c r="A243" s="273"/>
      <c r="B243" s="273"/>
      <c r="C243" s="273"/>
      <c r="D243" s="274"/>
      <c r="E243" s="275"/>
      <c r="F243" s="276"/>
      <c r="G243" s="273"/>
    </row>
    <row r="244" ht="15.75" customHeight="1">
      <c r="A244" s="273"/>
      <c r="B244" s="273"/>
      <c r="C244" s="273"/>
      <c r="D244" s="274"/>
      <c r="E244" s="275"/>
      <c r="F244" s="276"/>
      <c r="G244" s="273"/>
    </row>
    <row r="245" ht="15.75" customHeight="1">
      <c r="A245" s="273"/>
      <c r="B245" s="273"/>
      <c r="C245" s="273"/>
      <c r="D245" s="274"/>
      <c r="E245" s="275"/>
      <c r="F245" s="276"/>
      <c r="G245" s="273"/>
    </row>
    <row r="246" ht="15.75" customHeight="1">
      <c r="A246" s="273"/>
      <c r="B246" s="273"/>
      <c r="C246" s="273"/>
      <c r="D246" s="274"/>
      <c r="E246" s="275"/>
      <c r="F246" s="276"/>
      <c r="G246" s="273"/>
    </row>
    <row r="247" ht="15.75" customHeight="1">
      <c r="A247" s="273"/>
      <c r="B247" s="273"/>
      <c r="C247" s="273"/>
      <c r="D247" s="274"/>
      <c r="E247" s="275"/>
      <c r="F247" s="276"/>
      <c r="G247" s="273"/>
    </row>
    <row r="248" ht="15.75" customHeight="1">
      <c r="A248" s="273"/>
      <c r="B248" s="273"/>
      <c r="C248" s="273"/>
      <c r="D248" s="274"/>
      <c r="E248" s="275"/>
      <c r="F248" s="276"/>
      <c r="G248" s="273"/>
    </row>
    <row r="249" ht="15.75" customHeight="1">
      <c r="A249" s="273"/>
      <c r="B249" s="273"/>
      <c r="C249" s="273"/>
      <c r="D249" s="274"/>
      <c r="E249" s="275"/>
      <c r="F249" s="276"/>
      <c r="G249" s="273"/>
    </row>
    <row r="250" ht="15.75" customHeight="1">
      <c r="A250" s="273"/>
      <c r="B250" s="273"/>
      <c r="C250" s="273"/>
      <c r="D250" s="274"/>
      <c r="E250" s="275"/>
      <c r="F250" s="276"/>
      <c r="G250" s="273"/>
    </row>
    <row r="251" ht="15.75" customHeight="1">
      <c r="A251" s="273"/>
      <c r="B251" s="273"/>
      <c r="C251" s="273"/>
      <c r="D251" s="274"/>
      <c r="E251" s="275"/>
      <c r="F251" s="276"/>
      <c r="G251" s="273"/>
    </row>
    <row r="252" ht="15.75" customHeight="1">
      <c r="A252" s="273"/>
      <c r="B252" s="273"/>
      <c r="C252" s="273"/>
      <c r="D252" s="274"/>
      <c r="E252" s="275"/>
      <c r="F252" s="276"/>
      <c r="G252" s="273"/>
    </row>
    <row r="253" ht="15.75" customHeight="1">
      <c r="A253" s="273"/>
      <c r="B253" s="273"/>
      <c r="C253" s="273"/>
      <c r="D253" s="274"/>
      <c r="E253" s="275"/>
      <c r="F253" s="276"/>
      <c r="G253" s="273"/>
    </row>
    <row r="254" ht="15.75" customHeight="1">
      <c r="A254" s="273"/>
      <c r="B254" s="273"/>
      <c r="C254" s="273"/>
      <c r="D254" s="274"/>
      <c r="E254" s="275"/>
      <c r="F254" s="276"/>
      <c r="G254" s="273"/>
    </row>
    <row r="255" ht="15.75" customHeight="1">
      <c r="A255" s="273"/>
      <c r="B255" s="273"/>
      <c r="C255" s="273"/>
      <c r="D255" s="274"/>
      <c r="E255" s="275"/>
      <c r="F255" s="276"/>
      <c r="G255" s="273"/>
    </row>
    <row r="256" ht="15.75" customHeight="1">
      <c r="A256" s="273"/>
      <c r="B256" s="273"/>
      <c r="C256" s="273"/>
      <c r="D256" s="274"/>
      <c r="E256" s="275"/>
      <c r="F256" s="276"/>
      <c r="G256" s="273"/>
    </row>
    <row r="257" ht="15.75" customHeight="1">
      <c r="A257" s="273"/>
      <c r="B257" s="273"/>
      <c r="C257" s="273"/>
      <c r="D257" s="274"/>
      <c r="E257" s="275"/>
      <c r="F257" s="276"/>
      <c r="G257" s="273"/>
    </row>
    <row r="258" ht="15.75" customHeight="1">
      <c r="A258" s="273"/>
      <c r="B258" s="273"/>
      <c r="C258" s="273"/>
      <c r="D258" s="274"/>
      <c r="E258" s="275"/>
      <c r="F258" s="276"/>
      <c r="G258" s="273"/>
    </row>
    <row r="259" ht="15.75" customHeight="1">
      <c r="A259" s="273"/>
      <c r="B259" s="273"/>
      <c r="C259" s="273"/>
      <c r="D259" s="274"/>
      <c r="E259" s="275"/>
      <c r="F259" s="276"/>
      <c r="G259" s="273"/>
    </row>
    <row r="260" ht="15.75" customHeight="1">
      <c r="A260" s="273"/>
      <c r="B260" s="273"/>
      <c r="C260" s="273"/>
      <c r="D260" s="274"/>
      <c r="E260" s="275"/>
      <c r="F260" s="276"/>
      <c r="G260" s="273"/>
    </row>
    <row r="261" ht="15.75" customHeight="1">
      <c r="A261" s="273"/>
      <c r="B261" s="273"/>
      <c r="C261" s="273"/>
      <c r="D261" s="274"/>
      <c r="E261" s="275"/>
      <c r="F261" s="276"/>
      <c r="G261" s="273"/>
    </row>
    <row r="262" ht="15.75" customHeight="1">
      <c r="A262" s="273"/>
      <c r="B262" s="273"/>
      <c r="C262" s="273"/>
      <c r="D262" s="274"/>
      <c r="E262" s="275"/>
      <c r="F262" s="276"/>
      <c r="G262" s="273"/>
    </row>
    <row r="263" ht="15.75" customHeight="1">
      <c r="A263" s="273"/>
      <c r="B263" s="273"/>
      <c r="C263" s="273"/>
      <c r="D263" s="274"/>
      <c r="E263" s="275"/>
      <c r="F263" s="276"/>
      <c r="G263" s="273"/>
    </row>
    <row r="264" ht="15.75" customHeight="1">
      <c r="A264" s="273"/>
      <c r="B264" s="273"/>
      <c r="C264" s="273"/>
      <c r="D264" s="274"/>
      <c r="E264" s="275"/>
      <c r="F264" s="276"/>
      <c r="G264" s="273"/>
    </row>
    <row r="265" ht="15.75" customHeight="1">
      <c r="A265" s="273"/>
      <c r="B265" s="273"/>
      <c r="C265" s="273"/>
      <c r="D265" s="274"/>
      <c r="E265" s="275"/>
      <c r="F265" s="276"/>
      <c r="G265" s="273"/>
    </row>
    <row r="266" ht="15.75" customHeight="1">
      <c r="A266" s="273"/>
      <c r="B266" s="273"/>
      <c r="C266" s="273"/>
      <c r="D266" s="274"/>
      <c r="E266" s="275"/>
      <c r="F266" s="276"/>
      <c r="G266" s="273"/>
    </row>
    <row r="267" ht="15.75" customHeight="1">
      <c r="A267" s="273"/>
      <c r="B267" s="273"/>
      <c r="C267" s="273"/>
      <c r="D267" s="274"/>
      <c r="E267" s="275"/>
      <c r="F267" s="276"/>
      <c r="G267" s="273"/>
    </row>
    <row r="268" ht="15.75" customHeight="1">
      <c r="A268" s="273"/>
      <c r="B268" s="273"/>
      <c r="C268" s="273"/>
      <c r="D268" s="274"/>
      <c r="E268" s="275"/>
      <c r="F268" s="276"/>
      <c r="G268" s="273"/>
    </row>
    <row r="269" ht="15.75" customHeight="1">
      <c r="A269" s="273"/>
      <c r="B269" s="273"/>
      <c r="C269" s="273"/>
      <c r="D269" s="274"/>
      <c r="E269" s="275"/>
      <c r="F269" s="276"/>
      <c r="G269" s="273"/>
    </row>
    <row r="270" ht="15.75" customHeight="1">
      <c r="A270" s="273"/>
      <c r="B270" s="273"/>
      <c r="C270" s="273"/>
      <c r="D270" s="274"/>
      <c r="E270" s="275"/>
      <c r="F270" s="276"/>
      <c r="G270" s="273"/>
    </row>
    <row r="271" ht="15.75" customHeight="1">
      <c r="A271" s="273"/>
      <c r="B271" s="273"/>
      <c r="C271" s="273"/>
      <c r="D271" s="274"/>
      <c r="E271" s="275"/>
      <c r="F271" s="276"/>
      <c r="G271" s="273"/>
    </row>
    <row r="272" ht="15.75" customHeight="1">
      <c r="A272" s="273"/>
      <c r="B272" s="273"/>
      <c r="C272" s="273"/>
      <c r="D272" s="274"/>
      <c r="E272" s="275"/>
      <c r="F272" s="276"/>
      <c r="G272" s="273"/>
    </row>
    <row r="273" ht="15.75" customHeight="1">
      <c r="A273" s="273"/>
      <c r="B273" s="273"/>
      <c r="C273" s="273"/>
      <c r="D273" s="274"/>
      <c r="E273" s="275"/>
      <c r="F273" s="276"/>
      <c r="G273" s="273"/>
    </row>
    <row r="274" ht="15.75" customHeight="1">
      <c r="A274" s="273"/>
      <c r="B274" s="273"/>
      <c r="C274" s="273"/>
      <c r="D274" s="274"/>
      <c r="E274" s="275"/>
      <c r="F274" s="276"/>
      <c r="G274" s="273"/>
    </row>
    <row r="275" ht="15.75" customHeight="1">
      <c r="A275" s="273"/>
      <c r="B275" s="273"/>
      <c r="C275" s="273"/>
      <c r="D275" s="274"/>
      <c r="E275" s="275"/>
      <c r="F275" s="276"/>
      <c r="G275" s="273"/>
    </row>
    <row r="276" ht="15.75" customHeight="1">
      <c r="A276" s="273"/>
      <c r="B276" s="273"/>
      <c r="C276" s="273"/>
      <c r="D276" s="274"/>
      <c r="E276" s="275"/>
      <c r="F276" s="276"/>
      <c r="G276" s="273"/>
    </row>
    <row r="277" ht="15.75" customHeight="1">
      <c r="A277" s="273"/>
      <c r="B277" s="273"/>
      <c r="C277" s="273"/>
      <c r="D277" s="274"/>
      <c r="E277" s="275"/>
      <c r="F277" s="276"/>
      <c r="G277" s="273"/>
    </row>
    <row r="278" ht="15.75" customHeight="1">
      <c r="A278" s="273"/>
      <c r="B278" s="273"/>
      <c r="C278" s="273"/>
      <c r="D278" s="274"/>
      <c r="E278" s="275"/>
      <c r="F278" s="276"/>
      <c r="G278" s="273"/>
    </row>
    <row r="279" ht="15.75" customHeight="1">
      <c r="A279" s="273"/>
      <c r="B279" s="273"/>
      <c r="C279" s="273"/>
      <c r="D279" s="274"/>
      <c r="E279" s="275"/>
      <c r="F279" s="276"/>
      <c r="G279" s="273"/>
    </row>
    <row r="280" ht="15.75" customHeight="1">
      <c r="A280" s="273"/>
      <c r="B280" s="273"/>
      <c r="C280" s="273"/>
      <c r="D280" s="274"/>
      <c r="E280" s="275"/>
      <c r="F280" s="276"/>
      <c r="G280" s="273"/>
    </row>
    <row r="281" ht="15.75" customHeight="1">
      <c r="A281" s="273"/>
      <c r="B281" s="273"/>
      <c r="C281" s="273"/>
      <c r="D281" s="274"/>
      <c r="E281" s="275"/>
      <c r="F281" s="276"/>
      <c r="G281" s="273"/>
    </row>
    <row r="282" ht="15.75" customHeight="1">
      <c r="A282" s="273"/>
      <c r="B282" s="273"/>
      <c r="C282" s="273"/>
      <c r="D282" s="274"/>
      <c r="E282" s="275"/>
      <c r="F282" s="276"/>
      <c r="G282" s="273"/>
    </row>
    <row r="283" ht="15.75" customHeight="1">
      <c r="A283" s="273"/>
      <c r="B283" s="273"/>
      <c r="C283" s="273"/>
      <c r="D283" s="274"/>
      <c r="E283" s="275"/>
      <c r="F283" s="276"/>
      <c r="G283" s="273"/>
    </row>
    <row r="284" ht="15.75" customHeight="1">
      <c r="A284" s="273"/>
      <c r="B284" s="273"/>
      <c r="C284" s="273"/>
      <c r="D284" s="274"/>
      <c r="E284" s="275"/>
      <c r="F284" s="276"/>
      <c r="G284" s="273"/>
    </row>
    <row r="285" ht="15.75" customHeight="1">
      <c r="A285" s="273"/>
      <c r="B285" s="273"/>
      <c r="C285" s="273"/>
      <c r="D285" s="274"/>
      <c r="E285" s="275"/>
      <c r="F285" s="276"/>
      <c r="G285" s="273"/>
    </row>
    <row r="286" ht="15.75" customHeight="1">
      <c r="A286" s="273"/>
      <c r="B286" s="273"/>
      <c r="C286" s="273"/>
      <c r="D286" s="274"/>
      <c r="E286" s="275"/>
      <c r="F286" s="276"/>
      <c r="G286" s="273"/>
    </row>
    <row r="287" ht="15.75" customHeight="1">
      <c r="A287" s="273"/>
      <c r="B287" s="273"/>
      <c r="C287" s="273"/>
      <c r="D287" s="274"/>
      <c r="E287" s="275"/>
      <c r="F287" s="276"/>
      <c r="G287" s="273"/>
    </row>
    <row r="288" ht="15.75" customHeight="1">
      <c r="A288" s="273"/>
      <c r="B288" s="273"/>
      <c r="C288" s="273"/>
      <c r="D288" s="274"/>
      <c r="E288" s="275"/>
      <c r="F288" s="276"/>
      <c r="G288" s="273"/>
    </row>
    <row r="289" ht="15.75" customHeight="1">
      <c r="A289" s="273"/>
      <c r="B289" s="273"/>
      <c r="C289" s="273"/>
      <c r="D289" s="274"/>
      <c r="E289" s="275"/>
      <c r="F289" s="276"/>
      <c r="G289" s="273"/>
    </row>
    <row r="290" ht="15.75" customHeight="1">
      <c r="A290" s="273"/>
      <c r="B290" s="273"/>
      <c r="C290" s="273"/>
      <c r="D290" s="274"/>
      <c r="E290" s="275"/>
      <c r="F290" s="276"/>
      <c r="G290" s="273"/>
    </row>
    <row r="291" ht="15.75" customHeight="1">
      <c r="A291" s="273"/>
      <c r="B291" s="273"/>
      <c r="C291" s="273"/>
      <c r="D291" s="274"/>
      <c r="E291" s="275"/>
      <c r="F291" s="276"/>
      <c r="G291" s="273"/>
    </row>
    <row r="292" ht="15.75" customHeight="1">
      <c r="A292" s="273"/>
      <c r="B292" s="273"/>
      <c r="C292" s="273"/>
      <c r="D292" s="274"/>
      <c r="E292" s="275"/>
      <c r="F292" s="276"/>
      <c r="G292" s="273"/>
    </row>
    <row r="293" ht="15.75" customHeight="1">
      <c r="A293" s="273"/>
      <c r="B293" s="273"/>
      <c r="C293" s="273"/>
      <c r="D293" s="274"/>
      <c r="E293" s="275"/>
      <c r="F293" s="276"/>
      <c r="G293" s="273"/>
    </row>
    <row r="294" ht="15.75" customHeight="1">
      <c r="A294" s="273"/>
      <c r="B294" s="273"/>
      <c r="C294" s="273"/>
      <c r="D294" s="274"/>
      <c r="E294" s="275"/>
      <c r="F294" s="276"/>
      <c r="G294" s="273"/>
    </row>
    <row r="295" ht="15.75" customHeight="1">
      <c r="A295" s="273"/>
      <c r="B295" s="273"/>
      <c r="C295" s="273"/>
      <c r="D295" s="274"/>
      <c r="E295" s="275"/>
      <c r="F295" s="276"/>
      <c r="G295" s="273"/>
    </row>
    <row r="296" ht="15.75" customHeight="1">
      <c r="A296" s="273"/>
      <c r="B296" s="273"/>
      <c r="C296" s="273"/>
      <c r="D296" s="274"/>
      <c r="E296" s="275"/>
      <c r="F296" s="276"/>
      <c r="G296" s="273"/>
    </row>
    <row r="297" ht="15.75" customHeight="1">
      <c r="A297" s="273"/>
      <c r="B297" s="273"/>
      <c r="C297" s="273"/>
      <c r="D297" s="274"/>
      <c r="E297" s="275"/>
      <c r="F297" s="276"/>
      <c r="G297" s="273"/>
    </row>
    <row r="298" ht="15.75" customHeight="1">
      <c r="A298" s="273"/>
      <c r="B298" s="273"/>
      <c r="C298" s="273"/>
      <c r="D298" s="274"/>
      <c r="E298" s="275"/>
      <c r="F298" s="276"/>
      <c r="G298" s="273"/>
    </row>
    <row r="299" ht="15.75" customHeight="1">
      <c r="A299" s="273"/>
      <c r="B299" s="273"/>
      <c r="C299" s="273"/>
      <c r="D299" s="274"/>
      <c r="E299" s="275"/>
      <c r="F299" s="276"/>
      <c r="G299" s="273"/>
    </row>
    <row r="300" ht="15.75" customHeight="1">
      <c r="A300" s="273"/>
      <c r="B300" s="273"/>
      <c r="C300" s="273"/>
      <c r="D300" s="274"/>
      <c r="E300" s="275"/>
      <c r="F300" s="276"/>
      <c r="G300" s="273"/>
    </row>
    <row r="301" ht="15.75" customHeight="1">
      <c r="A301" s="273"/>
      <c r="B301" s="273"/>
      <c r="C301" s="273"/>
      <c r="D301" s="274"/>
      <c r="E301" s="275"/>
      <c r="F301" s="276"/>
      <c r="G301" s="273"/>
    </row>
    <row r="302" ht="15.75" customHeight="1">
      <c r="A302" s="273"/>
      <c r="B302" s="273"/>
      <c r="C302" s="273"/>
      <c r="D302" s="274"/>
      <c r="E302" s="275"/>
      <c r="F302" s="276"/>
      <c r="G302" s="273"/>
    </row>
    <row r="303" ht="15.75" customHeight="1">
      <c r="A303" s="273"/>
      <c r="B303" s="273"/>
      <c r="C303" s="273"/>
      <c r="D303" s="274"/>
      <c r="E303" s="275"/>
      <c r="F303" s="276"/>
      <c r="G303" s="273"/>
    </row>
    <row r="304" ht="15.75" customHeight="1">
      <c r="A304" s="273"/>
      <c r="B304" s="273"/>
      <c r="C304" s="273"/>
      <c r="D304" s="274"/>
      <c r="E304" s="275"/>
      <c r="F304" s="276"/>
      <c r="G304" s="273"/>
    </row>
    <row r="305" ht="15.75" customHeight="1">
      <c r="A305" s="273"/>
      <c r="B305" s="273"/>
      <c r="C305" s="273"/>
      <c r="D305" s="274"/>
      <c r="E305" s="275"/>
      <c r="F305" s="276"/>
      <c r="G305" s="273"/>
    </row>
    <row r="306" ht="15.75" customHeight="1">
      <c r="A306" s="273"/>
      <c r="B306" s="273"/>
      <c r="C306" s="273"/>
      <c r="D306" s="274"/>
      <c r="E306" s="275"/>
      <c r="F306" s="276"/>
      <c r="G306" s="273"/>
    </row>
    <row r="307" ht="15.75" customHeight="1">
      <c r="A307" s="273"/>
      <c r="B307" s="273"/>
      <c r="C307" s="273"/>
      <c r="D307" s="274"/>
      <c r="E307" s="275"/>
      <c r="F307" s="276"/>
      <c r="G307" s="273"/>
    </row>
    <row r="308" ht="15.75" customHeight="1">
      <c r="A308" s="273"/>
      <c r="B308" s="273"/>
      <c r="C308" s="273"/>
      <c r="D308" s="274"/>
      <c r="E308" s="275"/>
      <c r="F308" s="276"/>
      <c r="G308" s="273"/>
    </row>
    <row r="309" ht="15.75" customHeight="1">
      <c r="A309" s="273"/>
      <c r="B309" s="273"/>
      <c r="C309" s="273"/>
      <c r="D309" s="274"/>
      <c r="E309" s="275"/>
      <c r="F309" s="276"/>
      <c r="G309" s="273"/>
    </row>
    <row r="310" ht="15.75" customHeight="1">
      <c r="A310" s="273"/>
      <c r="B310" s="273"/>
      <c r="C310" s="273"/>
      <c r="D310" s="274"/>
      <c r="E310" s="275"/>
      <c r="F310" s="276"/>
      <c r="G310" s="273"/>
    </row>
    <row r="311" ht="15.75" customHeight="1">
      <c r="A311" s="273"/>
      <c r="B311" s="273"/>
      <c r="C311" s="273"/>
      <c r="D311" s="274"/>
      <c r="E311" s="275"/>
      <c r="F311" s="276"/>
      <c r="G311" s="273"/>
    </row>
    <row r="312" ht="15.75" customHeight="1">
      <c r="A312" s="273"/>
      <c r="B312" s="273"/>
      <c r="C312" s="273"/>
      <c r="D312" s="274"/>
      <c r="E312" s="275"/>
      <c r="F312" s="276"/>
      <c r="G312" s="273"/>
    </row>
    <row r="313" ht="15.75" customHeight="1">
      <c r="A313" s="273"/>
      <c r="B313" s="273"/>
      <c r="C313" s="273"/>
      <c r="D313" s="274"/>
      <c r="E313" s="275"/>
      <c r="F313" s="276"/>
      <c r="G313" s="273"/>
    </row>
    <row r="314" ht="15.75" customHeight="1">
      <c r="A314" s="273"/>
      <c r="B314" s="273"/>
      <c r="C314" s="273"/>
      <c r="D314" s="274"/>
      <c r="E314" s="275"/>
      <c r="F314" s="276"/>
      <c r="G314" s="273"/>
    </row>
    <row r="315" ht="15.75" customHeight="1">
      <c r="A315" s="273"/>
      <c r="B315" s="273"/>
      <c r="C315" s="273"/>
      <c r="D315" s="274"/>
      <c r="E315" s="275"/>
      <c r="F315" s="276"/>
      <c r="G315" s="273"/>
    </row>
    <row r="316" ht="15.75" customHeight="1">
      <c r="A316" s="273"/>
      <c r="B316" s="273"/>
      <c r="C316" s="273"/>
      <c r="D316" s="274"/>
      <c r="E316" s="275"/>
      <c r="F316" s="276"/>
      <c r="G316" s="273"/>
    </row>
    <row r="317" ht="15.75" customHeight="1">
      <c r="A317" s="273"/>
      <c r="B317" s="273"/>
      <c r="C317" s="273"/>
      <c r="D317" s="274"/>
      <c r="E317" s="275"/>
      <c r="F317" s="276"/>
      <c r="G317" s="273"/>
    </row>
    <row r="318" ht="15.75" customHeight="1">
      <c r="A318" s="273"/>
      <c r="B318" s="273"/>
      <c r="C318" s="273"/>
      <c r="D318" s="274"/>
      <c r="E318" s="275"/>
      <c r="F318" s="276"/>
      <c r="G318" s="273"/>
    </row>
    <row r="319" ht="15.75" customHeight="1">
      <c r="A319" s="273"/>
      <c r="B319" s="273"/>
      <c r="C319" s="273"/>
      <c r="D319" s="274"/>
      <c r="E319" s="275"/>
      <c r="F319" s="276"/>
      <c r="G319" s="273"/>
    </row>
    <row r="320" ht="15.75" customHeight="1">
      <c r="A320" s="273"/>
      <c r="B320" s="273"/>
      <c r="C320" s="273"/>
      <c r="D320" s="274"/>
      <c r="E320" s="275"/>
      <c r="F320" s="276"/>
      <c r="G320" s="273"/>
    </row>
    <row r="321" ht="15.75" customHeight="1">
      <c r="A321" s="273"/>
      <c r="B321" s="273"/>
      <c r="C321" s="273"/>
      <c r="D321" s="274"/>
      <c r="E321" s="275"/>
      <c r="F321" s="276"/>
      <c r="G321" s="273"/>
    </row>
    <row r="322" ht="15.75" customHeight="1">
      <c r="A322" s="273"/>
      <c r="B322" s="273"/>
      <c r="C322" s="273"/>
      <c r="D322" s="274"/>
      <c r="E322" s="275"/>
      <c r="F322" s="276"/>
      <c r="G322" s="273"/>
    </row>
    <row r="323" ht="15.75" customHeight="1">
      <c r="A323" s="273"/>
      <c r="B323" s="273"/>
      <c r="C323" s="273"/>
      <c r="D323" s="274"/>
      <c r="E323" s="275"/>
      <c r="F323" s="276"/>
      <c r="G323" s="273"/>
    </row>
    <row r="324" ht="15.75" customHeight="1">
      <c r="A324" s="273"/>
      <c r="B324" s="273"/>
      <c r="C324" s="273"/>
      <c r="D324" s="274"/>
      <c r="E324" s="275"/>
      <c r="F324" s="276"/>
      <c r="G324" s="273"/>
    </row>
    <row r="325" ht="15.75" customHeight="1">
      <c r="A325" s="273"/>
      <c r="B325" s="273"/>
      <c r="C325" s="273"/>
      <c r="D325" s="274"/>
      <c r="E325" s="275"/>
      <c r="F325" s="276"/>
      <c r="G325" s="273"/>
    </row>
    <row r="326" ht="15.75" customHeight="1">
      <c r="A326" s="273"/>
      <c r="B326" s="273"/>
      <c r="C326" s="273"/>
      <c r="D326" s="274"/>
      <c r="E326" s="275"/>
      <c r="F326" s="276"/>
      <c r="G326" s="273"/>
    </row>
    <row r="327" ht="15.75" customHeight="1">
      <c r="A327" s="273"/>
      <c r="B327" s="273"/>
      <c r="C327" s="273"/>
      <c r="D327" s="274"/>
      <c r="E327" s="275"/>
      <c r="F327" s="276"/>
      <c r="G327" s="273"/>
    </row>
    <row r="328" ht="15.75" customHeight="1">
      <c r="A328" s="273"/>
      <c r="B328" s="273"/>
      <c r="C328" s="273"/>
      <c r="D328" s="274"/>
      <c r="E328" s="275"/>
      <c r="F328" s="276"/>
      <c r="G328" s="273"/>
    </row>
    <row r="329" ht="15.75" customHeight="1">
      <c r="A329" s="273"/>
      <c r="B329" s="273"/>
      <c r="C329" s="273"/>
      <c r="D329" s="274"/>
      <c r="E329" s="275"/>
      <c r="F329" s="276"/>
      <c r="G329" s="273"/>
    </row>
    <row r="330" ht="15.75" customHeight="1">
      <c r="A330" s="273"/>
      <c r="B330" s="273"/>
      <c r="C330" s="273"/>
      <c r="D330" s="274"/>
      <c r="E330" s="275"/>
      <c r="F330" s="276"/>
      <c r="G330" s="273"/>
    </row>
    <row r="331" ht="15.75" customHeight="1">
      <c r="A331" s="273"/>
      <c r="B331" s="273"/>
      <c r="C331" s="273"/>
      <c r="D331" s="274"/>
      <c r="E331" s="275"/>
      <c r="F331" s="276"/>
      <c r="G331" s="273"/>
    </row>
    <row r="332" ht="15.75" customHeight="1">
      <c r="A332" s="273"/>
      <c r="B332" s="273"/>
      <c r="C332" s="273"/>
      <c r="D332" s="274"/>
      <c r="E332" s="275"/>
      <c r="F332" s="276"/>
      <c r="G332" s="273"/>
    </row>
    <row r="333" ht="15.75" customHeight="1">
      <c r="A333" s="273"/>
      <c r="B333" s="273"/>
      <c r="C333" s="273"/>
      <c r="D333" s="274"/>
      <c r="E333" s="275"/>
      <c r="F333" s="276"/>
      <c r="G333" s="273"/>
    </row>
    <row r="334" ht="15.75" customHeight="1">
      <c r="A334" s="273"/>
      <c r="B334" s="273"/>
      <c r="C334" s="273"/>
      <c r="D334" s="274"/>
      <c r="E334" s="275"/>
      <c r="F334" s="276"/>
      <c r="G334" s="273"/>
    </row>
    <row r="335" ht="15.75" customHeight="1">
      <c r="A335" s="273"/>
      <c r="B335" s="273"/>
      <c r="C335" s="273"/>
      <c r="D335" s="274"/>
      <c r="E335" s="275"/>
      <c r="F335" s="276"/>
      <c r="G335" s="273"/>
    </row>
    <row r="336" ht="15.75" customHeight="1">
      <c r="A336" s="273"/>
      <c r="B336" s="273"/>
      <c r="C336" s="273"/>
      <c r="D336" s="274"/>
      <c r="E336" s="275"/>
      <c r="F336" s="276"/>
      <c r="G336" s="273"/>
    </row>
    <row r="337" ht="15.75" customHeight="1">
      <c r="A337" s="273"/>
      <c r="B337" s="273"/>
      <c r="C337" s="273"/>
      <c r="D337" s="274"/>
      <c r="E337" s="275"/>
      <c r="F337" s="276"/>
      <c r="G337" s="273"/>
    </row>
    <row r="338" ht="15.75" customHeight="1">
      <c r="A338" s="273"/>
      <c r="B338" s="273"/>
      <c r="C338" s="273"/>
      <c r="D338" s="274"/>
      <c r="E338" s="275"/>
      <c r="F338" s="276"/>
      <c r="G338" s="273"/>
    </row>
    <row r="339" ht="15.75" customHeight="1">
      <c r="A339" s="273"/>
      <c r="B339" s="273"/>
      <c r="C339" s="273"/>
      <c r="D339" s="274"/>
      <c r="E339" s="275"/>
      <c r="F339" s="276"/>
      <c r="G339" s="273"/>
    </row>
    <row r="340" ht="15.75" customHeight="1">
      <c r="A340" s="273"/>
      <c r="B340" s="273"/>
      <c r="C340" s="273"/>
      <c r="D340" s="274"/>
      <c r="E340" s="275"/>
      <c r="F340" s="276"/>
      <c r="G340" s="273"/>
    </row>
    <row r="341" ht="15.75" customHeight="1">
      <c r="A341" s="273"/>
      <c r="B341" s="273"/>
      <c r="C341" s="273"/>
      <c r="D341" s="274"/>
      <c r="E341" s="275"/>
      <c r="F341" s="276"/>
      <c r="G341" s="273"/>
    </row>
    <row r="342" ht="15.75" customHeight="1">
      <c r="A342" s="273"/>
      <c r="B342" s="273"/>
      <c r="C342" s="273"/>
      <c r="D342" s="274"/>
      <c r="E342" s="275"/>
      <c r="F342" s="276"/>
      <c r="G342" s="273"/>
    </row>
    <row r="343" ht="15.75" customHeight="1">
      <c r="A343" s="273"/>
      <c r="B343" s="273"/>
      <c r="C343" s="273"/>
      <c r="D343" s="274"/>
      <c r="E343" s="275"/>
      <c r="F343" s="276"/>
      <c r="G343" s="273"/>
    </row>
    <row r="344" ht="15.75" customHeight="1">
      <c r="A344" s="273"/>
      <c r="B344" s="273"/>
      <c r="C344" s="273"/>
      <c r="D344" s="274"/>
      <c r="E344" s="275"/>
      <c r="F344" s="276"/>
      <c r="G344" s="273"/>
    </row>
    <row r="345" ht="15.75" customHeight="1">
      <c r="A345" s="273"/>
      <c r="B345" s="273"/>
      <c r="C345" s="273"/>
      <c r="D345" s="274"/>
      <c r="E345" s="275"/>
      <c r="F345" s="276"/>
      <c r="G345" s="273"/>
    </row>
    <row r="346" ht="15.75" customHeight="1">
      <c r="A346" s="273"/>
      <c r="B346" s="273"/>
      <c r="C346" s="273"/>
      <c r="D346" s="274"/>
      <c r="E346" s="275"/>
      <c r="F346" s="276"/>
      <c r="G346" s="273"/>
    </row>
    <row r="347" ht="15.75" customHeight="1">
      <c r="A347" s="273"/>
      <c r="B347" s="273"/>
      <c r="C347" s="273"/>
      <c r="D347" s="274"/>
      <c r="E347" s="275"/>
      <c r="F347" s="276"/>
      <c r="G347" s="273"/>
    </row>
    <row r="348" ht="15.75" customHeight="1">
      <c r="A348" s="273"/>
      <c r="B348" s="273"/>
      <c r="C348" s="273"/>
      <c r="D348" s="274"/>
      <c r="E348" s="275"/>
      <c r="F348" s="276"/>
      <c r="G348" s="273"/>
    </row>
    <row r="349" ht="15.75" customHeight="1">
      <c r="A349" s="273"/>
      <c r="B349" s="273"/>
      <c r="C349" s="273"/>
      <c r="D349" s="274"/>
      <c r="E349" s="275"/>
      <c r="F349" s="276"/>
      <c r="G349" s="273"/>
    </row>
    <row r="350" ht="15.75" customHeight="1">
      <c r="A350" s="273"/>
      <c r="B350" s="273"/>
      <c r="C350" s="273"/>
      <c r="D350" s="274"/>
      <c r="E350" s="275"/>
      <c r="F350" s="276"/>
      <c r="G350" s="273"/>
    </row>
    <row r="351" ht="15.75" customHeight="1">
      <c r="A351" s="273"/>
      <c r="B351" s="273"/>
      <c r="C351" s="273"/>
      <c r="D351" s="274"/>
      <c r="E351" s="275"/>
      <c r="F351" s="276"/>
      <c r="G351" s="273"/>
    </row>
    <row r="352" ht="15.75" customHeight="1">
      <c r="A352" s="273"/>
      <c r="B352" s="273"/>
      <c r="C352" s="273"/>
      <c r="D352" s="274"/>
      <c r="E352" s="275"/>
      <c r="F352" s="276"/>
      <c r="G352" s="273"/>
    </row>
    <row r="353" ht="15.75" customHeight="1">
      <c r="A353" s="273"/>
      <c r="B353" s="273"/>
      <c r="C353" s="273"/>
      <c r="D353" s="274"/>
      <c r="E353" s="275"/>
      <c r="F353" s="276"/>
      <c r="G353" s="273"/>
    </row>
    <row r="354" ht="15.75" customHeight="1">
      <c r="A354" s="273"/>
      <c r="B354" s="273"/>
      <c r="C354" s="273"/>
      <c r="D354" s="274"/>
      <c r="E354" s="275"/>
      <c r="F354" s="276"/>
      <c r="G354" s="273"/>
    </row>
    <row r="355" ht="15.75" customHeight="1">
      <c r="A355" s="273"/>
      <c r="B355" s="273"/>
      <c r="C355" s="273"/>
      <c r="D355" s="274"/>
      <c r="E355" s="275"/>
      <c r="F355" s="276"/>
      <c r="G355" s="273"/>
    </row>
    <row r="356" ht="15.75" customHeight="1">
      <c r="A356" s="273"/>
      <c r="B356" s="273"/>
      <c r="C356" s="273"/>
      <c r="D356" s="274"/>
      <c r="E356" s="275"/>
      <c r="F356" s="276"/>
      <c r="G356" s="273"/>
    </row>
    <row r="357" ht="15.75" customHeight="1">
      <c r="A357" s="273"/>
      <c r="B357" s="273"/>
      <c r="C357" s="273"/>
      <c r="D357" s="274"/>
      <c r="E357" s="275"/>
      <c r="F357" s="276"/>
      <c r="G357" s="273"/>
    </row>
    <row r="358" ht="15.75" customHeight="1">
      <c r="A358" s="273"/>
      <c r="B358" s="273"/>
      <c r="C358" s="273"/>
      <c r="D358" s="274"/>
      <c r="E358" s="275"/>
      <c r="F358" s="276"/>
      <c r="G358" s="273"/>
    </row>
    <row r="359" ht="15.75" customHeight="1">
      <c r="A359" s="273"/>
      <c r="B359" s="273"/>
      <c r="C359" s="273"/>
      <c r="D359" s="274"/>
      <c r="E359" s="275"/>
      <c r="F359" s="276"/>
      <c r="G359" s="273"/>
    </row>
    <row r="360" ht="15.75" customHeight="1">
      <c r="A360" s="273"/>
      <c r="B360" s="273"/>
      <c r="C360" s="273"/>
      <c r="D360" s="274"/>
      <c r="E360" s="275"/>
      <c r="F360" s="276"/>
      <c r="G360" s="273"/>
    </row>
    <row r="361" ht="15.75" customHeight="1">
      <c r="A361" s="273"/>
      <c r="B361" s="273"/>
      <c r="C361" s="273"/>
      <c r="D361" s="274"/>
      <c r="E361" s="275"/>
      <c r="F361" s="276"/>
      <c r="G361" s="273"/>
    </row>
    <row r="362" ht="15.75" customHeight="1">
      <c r="A362" s="273"/>
      <c r="B362" s="273"/>
      <c r="C362" s="273"/>
      <c r="D362" s="274"/>
      <c r="E362" s="275"/>
      <c r="F362" s="276"/>
      <c r="G362" s="273"/>
    </row>
    <row r="363" ht="15.75" customHeight="1">
      <c r="A363" s="273"/>
      <c r="B363" s="273"/>
      <c r="C363" s="273"/>
      <c r="D363" s="274"/>
      <c r="E363" s="275"/>
      <c r="F363" s="276"/>
      <c r="G363" s="273"/>
    </row>
    <row r="364" ht="15.75" customHeight="1">
      <c r="A364" s="273"/>
      <c r="B364" s="273"/>
      <c r="C364" s="273"/>
      <c r="D364" s="274"/>
      <c r="E364" s="275"/>
      <c r="F364" s="276"/>
      <c r="G364" s="273"/>
    </row>
    <row r="365" ht="15.75" customHeight="1">
      <c r="A365" s="273"/>
      <c r="B365" s="273"/>
      <c r="C365" s="273"/>
      <c r="D365" s="274"/>
      <c r="E365" s="275"/>
      <c r="F365" s="276"/>
      <c r="G365" s="273"/>
    </row>
    <row r="366" ht="15.75" customHeight="1">
      <c r="A366" s="273"/>
      <c r="B366" s="273"/>
      <c r="C366" s="273"/>
      <c r="D366" s="274"/>
      <c r="E366" s="275"/>
      <c r="F366" s="276"/>
      <c r="G366" s="273"/>
    </row>
    <row r="367" ht="15.75" customHeight="1">
      <c r="A367" s="273"/>
      <c r="B367" s="273"/>
      <c r="C367" s="273"/>
      <c r="D367" s="274"/>
      <c r="E367" s="275"/>
      <c r="F367" s="276"/>
      <c r="G367" s="273"/>
    </row>
    <row r="368" ht="15.75" customHeight="1">
      <c r="A368" s="273"/>
      <c r="B368" s="273"/>
      <c r="C368" s="273"/>
      <c r="D368" s="274"/>
      <c r="E368" s="275"/>
      <c r="F368" s="276"/>
      <c r="G368" s="273"/>
    </row>
    <row r="369" ht="15.75" customHeight="1">
      <c r="A369" s="273"/>
      <c r="B369" s="273"/>
      <c r="C369" s="273"/>
      <c r="D369" s="274"/>
      <c r="E369" s="275"/>
      <c r="F369" s="276"/>
      <c r="G369" s="273"/>
    </row>
    <row r="370" ht="15.75" customHeight="1">
      <c r="A370" s="273"/>
      <c r="B370" s="273"/>
      <c r="C370" s="273"/>
      <c r="D370" s="274"/>
      <c r="E370" s="275"/>
      <c r="F370" s="276"/>
      <c r="G370" s="273"/>
    </row>
    <row r="371" ht="15.75" customHeight="1">
      <c r="A371" s="273"/>
      <c r="B371" s="273"/>
      <c r="C371" s="273"/>
      <c r="D371" s="274"/>
      <c r="E371" s="275"/>
      <c r="F371" s="276"/>
      <c r="G371" s="273"/>
    </row>
    <row r="372" ht="15.75" customHeight="1">
      <c r="A372" s="273"/>
      <c r="B372" s="273"/>
      <c r="C372" s="273"/>
      <c r="D372" s="274"/>
      <c r="E372" s="275"/>
      <c r="F372" s="276"/>
      <c r="G372" s="273"/>
    </row>
    <row r="373" ht="15.75" customHeight="1">
      <c r="A373" s="273"/>
      <c r="B373" s="273"/>
      <c r="C373" s="273"/>
      <c r="D373" s="274"/>
      <c r="E373" s="275"/>
      <c r="F373" s="276"/>
      <c r="G373" s="273"/>
    </row>
    <row r="374" ht="15.75" customHeight="1">
      <c r="A374" s="273"/>
      <c r="B374" s="273"/>
      <c r="C374" s="273"/>
      <c r="D374" s="274"/>
      <c r="E374" s="275"/>
      <c r="F374" s="276"/>
      <c r="G374" s="273"/>
    </row>
    <row r="375" ht="15.75" customHeight="1">
      <c r="A375" s="273"/>
      <c r="B375" s="273"/>
      <c r="C375" s="273"/>
      <c r="D375" s="274"/>
      <c r="E375" s="275"/>
      <c r="F375" s="276"/>
      <c r="G375" s="273"/>
    </row>
    <row r="376" ht="15.75" customHeight="1">
      <c r="A376" s="273"/>
      <c r="B376" s="273"/>
      <c r="C376" s="273"/>
      <c r="D376" s="274"/>
      <c r="E376" s="275"/>
      <c r="F376" s="276"/>
      <c r="G376" s="273"/>
    </row>
    <row r="377" ht="15.75" customHeight="1">
      <c r="A377" s="273"/>
      <c r="B377" s="273"/>
      <c r="C377" s="273"/>
      <c r="D377" s="274"/>
      <c r="E377" s="275"/>
      <c r="F377" s="276"/>
      <c r="G377" s="273"/>
    </row>
    <row r="378" ht="15.75" customHeight="1">
      <c r="A378" s="273"/>
      <c r="B378" s="273"/>
      <c r="C378" s="273"/>
      <c r="D378" s="274"/>
      <c r="E378" s="275"/>
      <c r="F378" s="276"/>
      <c r="G378" s="273"/>
    </row>
    <row r="379" ht="15.75" customHeight="1">
      <c r="A379" s="273"/>
      <c r="B379" s="273"/>
      <c r="C379" s="273"/>
      <c r="D379" s="274"/>
      <c r="E379" s="275"/>
      <c r="F379" s="276"/>
      <c r="G379" s="273"/>
    </row>
    <row r="380" ht="15.75" customHeight="1">
      <c r="A380" s="273"/>
      <c r="B380" s="273"/>
      <c r="C380" s="273"/>
      <c r="D380" s="274"/>
      <c r="E380" s="275"/>
      <c r="F380" s="276"/>
      <c r="G380" s="273"/>
    </row>
    <row r="381" ht="15.75" customHeight="1">
      <c r="A381" s="273"/>
      <c r="B381" s="273"/>
      <c r="C381" s="273"/>
      <c r="D381" s="274"/>
      <c r="E381" s="275"/>
      <c r="F381" s="276"/>
      <c r="G381" s="273"/>
    </row>
    <row r="382" ht="15.75" customHeight="1">
      <c r="A382" s="273"/>
      <c r="B382" s="273"/>
      <c r="C382" s="273"/>
      <c r="D382" s="274"/>
      <c r="E382" s="275"/>
      <c r="F382" s="276"/>
      <c r="G382" s="273"/>
    </row>
    <row r="383" ht="15.75" customHeight="1">
      <c r="A383" s="273"/>
      <c r="B383" s="273"/>
      <c r="C383" s="273"/>
      <c r="D383" s="274"/>
      <c r="E383" s="275"/>
      <c r="F383" s="276"/>
      <c r="G383" s="273"/>
    </row>
    <row r="384" ht="15.75" customHeight="1">
      <c r="A384" s="273"/>
      <c r="B384" s="273"/>
      <c r="C384" s="273"/>
      <c r="D384" s="274"/>
      <c r="E384" s="275"/>
      <c r="F384" s="276"/>
      <c r="G384" s="273"/>
    </row>
    <row r="385" ht="15.75" customHeight="1">
      <c r="A385" s="273"/>
      <c r="B385" s="273"/>
      <c r="C385" s="273"/>
      <c r="D385" s="274"/>
      <c r="E385" s="275"/>
      <c r="F385" s="276"/>
      <c r="G385" s="273"/>
    </row>
    <row r="386" ht="15.75" customHeight="1">
      <c r="A386" s="273"/>
      <c r="B386" s="273"/>
      <c r="C386" s="273"/>
      <c r="D386" s="274"/>
      <c r="E386" s="275"/>
      <c r="F386" s="276"/>
      <c r="G386" s="273"/>
    </row>
    <row r="387" ht="15.75" customHeight="1">
      <c r="A387" s="273"/>
      <c r="B387" s="273"/>
      <c r="C387" s="273"/>
      <c r="D387" s="274"/>
      <c r="E387" s="275"/>
      <c r="F387" s="276"/>
      <c r="G387" s="273"/>
    </row>
    <row r="388" ht="15.75" customHeight="1">
      <c r="A388" s="273"/>
      <c r="B388" s="273"/>
      <c r="C388" s="273"/>
      <c r="D388" s="274"/>
      <c r="E388" s="275"/>
      <c r="F388" s="276"/>
      <c r="G388" s="273"/>
    </row>
    <row r="389" ht="15.75" customHeight="1">
      <c r="A389" s="273"/>
      <c r="B389" s="273"/>
      <c r="C389" s="273"/>
      <c r="D389" s="274"/>
      <c r="E389" s="275"/>
      <c r="F389" s="276"/>
      <c r="G389" s="273"/>
    </row>
    <row r="390" ht="15.75" customHeight="1">
      <c r="A390" s="273"/>
      <c r="B390" s="273"/>
      <c r="C390" s="273"/>
      <c r="D390" s="274"/>
      <c r="E390" s="275"/>
      <c r="F390" s="276"/>
      <c r="G390" s="273"/>
    </row>
    <row r="391" ht="15.75" customHeight="1">
      <c r="A391" s="273"/>
      <c r="B391" s="273"/>
      <c r="C391" s="273"/>
      <c r="D391" s="274"/>
      <c r="E391" s="275"/>
      <c r="F391" s="276"/>
      <c r="G391" s="273"/>
    </row>
    <row r="392" ht="15.75" customHeight="1">
      <c r="A392" s="273"/>
      <c r="B392" s="273"/>
      <c r="C392" s="273"/>
      <c r="D392" s="274"/>
      <c r="E392" s="275"/>
      <c r="F392" s="276"/>
      <c r="G392" s="273"/>
    </row>
    <row r="393" ht="15.75" customHeight="1">
      <c r="A393" s="273"/>
      <c r="B393" s="273"/>
      <c r="C393" s="273"/>
      <c r="D393" s="274"/>
      <c r="E393" s="275"/>
      <c r="F393" s="276"/>
      <c r="G393" s="273"/>
    </row>
    <row r="394" ht="15.75" customHeight="1">
      <c r="A394" s="273"/>
      <c r="B394" s="273"/>
      <c r="C394" s="273"/>
      <c r="D394" s="274"/>
      <c r="E394" s="275"/>
      <c r="F394" s="276"/>
      <c r="G394" s="273"/>
    </row>
    <row r="395" ht="15.75" customHeight="1">
      <c r="A395" s="273"/>
      <c r="B395" s="273"/>
      <c r="C395" s="273"/>
      <c r="D395" s="274"/>
      <c r="E395" s="275"/>
      <c r="F395" s="276"/>
      <c r="G395" s="273"/>
    </row>
    <row r="396" ht="15.75" customHeight="1">
      <c r="A396" s="273"/>
      <c r="B396" s="273"/>
      <c r="C396" s="273"/>
      <c r="D396" s="274"/>
      <c r="E396" s="275"/>
      <c r="F396" s="276"/>
      <c r="G396" s="273"/>
    </row>
    <row r="397" ht="15.75" customHeight="1">
      <c r="A397" s="273"/>
      <c r="B397" s="273"/>
      <c r="C397" s="273"/>
      <c r="D397" s="274"/>
      <c r="E397" s="275"/>
      <c r="F397" s="276"/>
      <c r="G397" s="273"/>
    </row>
    <row r="398" ht="15.75" customHeight="1">
      <c r="A398" s="273"/>
      <c r="B398" s="273"/>
      <c r="C398" s="273"/>
      <c r="D398" s="274"/>
      <c r="E398" s="275"/>
      <c r="F398" s="276"/>
      <c r="G398" s="273"/>
    </row>
    <row r="399" ht="15.75" customHeight="1">
      <c r="A399" s="273"/>
      <c r="B399" s="273"/>
      <c r="C399" s="273"/>
      <c r="D399" s="274"/>
      <c r="E399" s="275"/>
      <c r="F399" s="276"/>
      <c r="G399" s="273"/>
    </row>
    <row r="400" ht="15.75" customHeight="1">
      <c r="A400" s="273"/>
      <c r="B400" s="273"/>
      <c r="C400" s="273"/>
      <c r="D400" s="274"/>
      <c r="E400" s="275"/>
      <c r="F400" s="276"/>
      <c r="G400" s="273"/>
    </row>
    <row r="401" ht="15.75" customHeight="1">
      <c r="A401" s="273"/>
      <c r="B401" s="273"/>
      <c r="C401" s="273"/>
      <c r="D401" s="274"/>
      <c r="E401" s="275"/>
      <c r="F401" s="276"/>
      <c r="G401" s="273"/>
    </row>
    <row r="402" ht="15.75" customHeight="1">
      <c r="A402" s="273"/>
      <c r="B402" s="273"/>
      <c r="C402" s="273"/>
      <c r="D402" s="274"/>
      <c r="E402" s="275"/>
      <c r="F402" s="276"/>
      <c r="G402" s="273"/>
    </row>
    <row r="403" ht="15.75" customHeight="1">
      <c r="A403" s="273"/>
      <c r="B403" s="273"/>
      <c r="C403" s="273"/>
      <c r="D403" s="274"/>
      <c r="E403" s="275"/>
      <c r="F403" s="276"/>
      <c r="G403" s="273"/>
    </row>
    <row r="404" ht="15.75" customHeight="1">
      <c r="A404" s="273"/>
      <c r="B404" s="273"/>
      <c r="C404" s="273"/>
      <c r="D404" s="274"/>
      <c r="E404" s="275"/>
      <c r="F404" s="276"/>
      <c r="G404" s="273"/>
    </row>
    <row r="405" ht="15.75" customHeight="1">
      <c r="A405" s="273"/>
      <c r="B405" s="273"/>
      <c r="C405" s="273"/>
      <c r="D405" s="274"/>
      <c r="E405" s="275"/>
      <c r="F405" s="276"/>
      <c r="G405" s="273"/>
    </row>
    <row r="406" ht="15.75" customHeight="1">
      <c r="A406" s="273"/>
      <c r="B406" s="273"/>
      <c r="C406" s="273"/>
      <c r="D406" s="274"/>
      <c r="E406" s="275"/>
      <c r="F406" s="276"/>
      <c r="G406" s="273"/>
    </row>
    <row r="407" ht="15.75" customHeight="1">
      <c r="A407" s="273"/>
      <c r="B407" s="273"/>
      <c r="C407" s="273"/>
      <c r="D407" s="274"/>
      <c r="E407" s="275"/>
      <c r="F407" s="276"/>
      <c r="G407" s="273"/>
    </row>
    <row r="408" ht="15.75" customHeight="1">
      <c r="A408" s="273"/>
      <c r="B408" s="273"/>
      <c r="C408" s="273"/>
      <c r="D408" s="274"/>
      <c r="E408" s="275"/>
      <c r="F408" s="276"/>
      <c r="G408" s="273"/>
    </row>
    <row r="409" ht="15.75" customHeight="1">
      <c r="A409" s="273"/>
      <c r="B409" s="273"/>
      <c r="C409" s="273"/>
      <c r="D409" s="274"/>
      <c r="E409" s="275"/>
      <c r="F409" s="276"/>
      <c r="G409" s="273"/>
    </row>
    <row r="410" ht="15.75" customHeight="1">
      <c r="A410" s="273"/>
      <c r="B410" s="273"/>
      <c r="C410" s="273"/>
      <c r="D410" s="274"/>
      <c r="E410" s="275"/>
      <c r="F410" s="276"/>
      <c r="G410" s="273"/>
    </row>
    <row r="411" ht="15.75" customHeight="1">
      <c r="A411" s="273"/>
      <c r="B411" s="273"/>
      <c r="C411" s="273"/>
      <c r="D411" s="274"/>
      <c r="E411" s="275"/>
      <c r="F411" s="276"/>
      <c r="G411" s="273"/>
    </row>
    <row r="412" ht="15.75" customHeight="1">
      <c r="A412" s="273"/>
      <c r="B412" s="273"/>
      <c r="C412" s="273"/>
      <c r="D412" s="274"/>
      <c r="E412" s="275"/>
      <c r="F412" s="276"/>
      <c r="G412" s="273"/>
    </row>
    <row r="413" ht="15.75" customHeight="1">
      <c r="A413" s="273"/>
      <c r="B413" s="273"/>
      <c r="C413" s="273"/>
      <c r="D413" s="274"/>
      <c r="E413" s="275"/>
      <c r="F413" s="276"/>
      <c r="G413" s="273"/>
    </row>
    <row r="414" ht="15.75" customHeight="1">
      <c r="A414" s="273"/>
      <c r="B414" s="273"/>
      <c r="C414" s="273"/>
      <c r="D414" s="274"/>
      <c r="E414" s="275"/>
      <c r="F414" s="276"/>
      <c r="G414" s="273"/>
    </row>
    <row r="415" ht="15.75" customHeight="1">
      <c r="A415" s="273"/>
      <c r="B415" s="273"/>
      <c r="C415" s="273"/>
      <c r="D415" s="274"/>
      <c r="E415" s="275"/>
      <c r="F415" s="276"/>
      <c r="G415" s="273"/>
    </row>
    <row r="416" ht="15.75" customHeight="1">
      <c r="A416" s="273"/>
      <c r="B416" s="273"/>
      <c r="C416" s="273"/>
      <c r="D416" s="274"/>
      <c r="E416" s="275"/>
      <c r="F416" s="276"/>
      <c r="G416" s="273"/>
    </row>
    <row r="417" ht="15.75" customHeight="1">
      <c r="A417" s="273"/>
      <c r="B417" s="273"/>
      <c r="C417" s="273"/>
      <c r="D417" s="274"/>
      <c r="E417" s="275"/>
      <c r="F417" s="276"/>
      <c r="G417" s="273"/>
    </row>
    <row r="418" ht="15.75" customHeight="1">
      <c r="A418" s="273"/>
      <c r="B418" s="273"/>
      <c r="C418" s="273"/>
      <c r="D418" s="274"/>
      <c r="E418" s="275"/>
      <c r="F418" s="276"/>
      <c r="G418" s="273"/>
    </row>
    <row r="419" ht="15.75" customHeight="1">
      <c r="A419" s="273"/>
      <c r="B419" s="273"/>
      <c r="C419" s="273"/>
      <c r="D419" s="274"/>
      <c r="E419" s="275"/>
      <c r="F419" s="276"/>
      <c r="G419" s="273"/>
    </row>
    <row r="420" ht="15.75" customHeight="1">
      <c r="A420" s="273"/>
      <c r="B420" s="273"/>
      <c r="C420" s="273"/>
      <c r="D420" s="274"/>
      <c r="E420" s="275"/>
      <c r="F420" s="276"/>
      <c r="G420" s="273"/>
    </row>
    <row r="421" ht="15.75" customHeight="1">
      <c r="A421" s="273"/>
      <c r="B421" s="273"/>
      <c r="C421" s="273"/>
      <c r="D421" s="274"/>
      <c r="E421" s="275"/>
      <c r="F421" s="276"/>
      <c r="G421" s="273"/>
    </row>
    <row r="422" ht="15.75" customHeight="1">
      <c r="A422" s="273"/>
      <c r="B422" s="273"/>
      <c r="C422" s="273"/>
      <c r="D422" s="274"/>
      <c r="E422" s="275"/>
      <c r="F422" s="276"/>
      <c r="G422" s="273"/>
    </row>
    <row r="423" ht="15.75" customHeight="1">
      <c r="A423" s="273"/>
      <c r="B423" s="273"/>
      <c r="C423" s="273"/>
      <c r="D423" s="274"/>
      <c r="E423" s="275"/>
      <c r="F423" s="276"/>
      <c r="G423" s="273"/>
    </row>
    <row r="424" ht="15.75" customHeight="1">
      <c r="A424" s="273"/>
      <c r="B424" s="273"/>
      <c r="C424" s="273"/>
      <c r="D424" s="274"/>
      <c r="E424" s="275"/>
      <c r="F424" s="276"/>
      <c r="G424" s="273"/>
    </row>
    <row r="425" ht="15.75" customHeight="1">
      <c r="A425" s="273"/>
      <c r="B425" s="273"/>
      <c r="C425" s="273"/>
      <c r="D425" s="274"/>
      <c r="E425" s="275"/>
      <c r="F425" s="276"/>
      <c r="G425" s="273"/>
    </row>
    <row r="426" ht="15.75" customHeight="1">
      <c r="A426" s="273"/>
      <c r="B426" s="273"/>
      <c r="C426" s="273"/>
      <c r="D426" s="274"/>
      <c r="E426" s="275"/>
      <c r="F426" s="276"/>
      <c r="G426" s="273"/>
    </row>
    <row r="427" ht="15.75" customHeight="1">
      <c r="A427" s="273"/>
      <c r="B427" s="273"/>
      <c r="C427" s="273"/>
      <c r="D427" s="274"/>
      <c r="E427" s="275"/>
      <c r="F427" s="276"/>
      <c r="G427" s="273"/>
    </row>
    <row r="428" ht="15.75" customHeight="1">
      <c r="A428" s="273"/>
      <c r="B428" s="273"/>
      <c r="C428" s="273"/>
      <c r="D428" s="274"/>
      <c r="E428" s="275"/>
      <c r="F428" s="276"/>
      <c r="G428" s="273"/>
    </row>
    <row r="429" ht="15.75" customHeight="1">
      <c r="A429" s="273"/>
      <c r="B429" s="273"/>
      <c r="C429" s="273"/>
      <c r="D429" s="274"/>
      <c r="E429" s="275"/>
      <c r="F429" s="276"/>
      <c r="G429" s="273"/>
    </row>
    <row r="430" ht="15.75" customHeight="1">
      <c r="A430" s="273"/>
      <c r="B430" s="273"/>
      <c r="C430" s="273"/>
      <c r="D430" s="274"/>
      <c r="E430" s="275"/>
      <c r="F430" s="276"/>
      <c r="G430" s="273"/>
    </row>
    <row r="431" ht="15.75" customHeight="1">
      <c r="A431" s="273"/>
      <c r="B431" s="273"/>
      <c r="C431" s="273"/>
      <c r="D431" s="274"/>
      <c r="E431" s="275"/>
      <c r="F431" s="276"/>
      <c r="G431" s="273"/>
    </row>
    <row r="432" ht="15.75" customHeight="1">
      <c r="A432" s="273"/>
      <c r="B432" s="273"/>
      <c r="C432" s="273"/>
      <c r="D432" s="274"/>
      <c r="E432" s="275"/>
      <c r="F432" s="276"/>
      <c r="G432" s="273"/>
    </row>
    <row r="433" ht="15.75" customHeight="1">
      <c r="A433" s="273"/>
      <c r="B433" s="273"/>
      <c r="C433" s="273"/>
      <c r="D433" s="274"/>
      <c r="E433" s="275"/>
      <c r="F433" s="276"/>
      <c r="G433" s="273"/>
    </row>
    <row r="434" ht="15.75" customHeight="1">
      <c r="A434" s="273"/>
      <c r="B434" s="273"/>
      <c r="C434" s="273"/>
      <c r="D434" s="274"/>
      <c r="E434" s="275"/>
      <c r="F434" s="276"/>
      <c r="G434" s="273"/>
    </row>
    <row r="435" ht="15.75" customHeight="1">
      <c r="A435" s="273"/>
      <c r="B435" s="273"/>
      <c r="C435" s="273"/>
      <c r="D435" s="274"/>
      <c r="E435" s="275"/>
      <c r="F435" s="276"/>
      <c r="G435" s="273"/>
    </row>
    <row r="436" ht="15.75" customHeight="1">
      <c r="A436" s="273"/>
      <c r="B436" s="273"/>
      <c r="C436" s="273"/>
      <c r="D436" s="274"/>
      <c r="E436" s="275"/>
      <c r="F436" s="276"/>
      <c r="G436" s="273"/>
    </row>
    <row r="437" ht="15.75" customHeight="1">
      <c r="A437" s="273"/>
      <c r="B437" s="273"/>
      <c r="C437" s="273"/>
      <c r="D437" s="274"/>
      <c r="E437" s="275"/>
      <c r="F437" s="276"/>
      <c r="G437" s="273"/>
    </row>
    <row r="438" ht="15.75" customHeight="1">
      <c r="A438" s="273"/>
      <c r="B438" s="273"/>
      <c r="C438" s="273"/>
      <c r="D438" s="274"/>
      <c r="E438" s="275"/>
      <c r="F438" s="276"/>
      <c r="G438" s="273"/>
    </row>
    <row r="439" ht="15.75" customHeight="1">
      <c r="A439" s="273"/>
      <c r="B439" s="273"/>
      <c r="C439" s="273"/>
      <c r="D439" s="274"/>
      <c r="E439" s="275"/>
      <c r="F439" s="276"/>
      <c r="G439" s="273"/>
    </row>
    <row r="440" ht="15.75" customHeight="1">
      <c r="A440" s="273"/>
      <c r="B440" s="273"/>
      <c r="C440" s="273"/>
      <c r="D440" s="274"/>
      <c r="E440" s="275"/>
      <c r="F440" s="276"/>
      <c r="G440" s="273"/>
    </row>
    <row r="441" ht="15.75" customHeight="1">
      <c r="A441" s="273"/>
      <c r="B441" s="273"/>
      <c r="C441" s="273"/>
      <c r="D441" s="274"/>
      <c r="E441" s="275"/>
      <c r="F441" s="276"/>
      <c r="G441" s="273"/>
    </row>
    <row r="442" ht="15.75" customHeight="1">
      <c r="A442" s="273"/>
      <c r="B442" s="273"/>
      <c r="C442" s="273"/>
      <c r="D442" s="274"/>
      <c r="E442" s="275"/>
      <c r="F442" s="276"/>
      <c r="G442" s="273"/>
    </row>
    <row r="443" ht="15.75" customHeight="1">
      <c r="A443" s="273"/>
      <c r="B443" s="273"/>
      <c r="C443" s="273"/>
      <c r="D443" s="274"/>
      <c r="E443" s="275"/>
      <c r="F443" s="276"/>
      <c r="G443" s="273"/>
    </row>
    <row r="444" ht="15.75" customHeight="1">
      <c r="A444" s="273"/>
      <c r="B444" s="273"/>
      <c r="C444" s="273"/>
      <c r="D444" s="274"/>
      <c r="E444" s="275"/>
      <c r="F444" s="276"/>
      <c r="G444" s="273"/>
    </row>
    <row r="445" ht="15.75" customHeight="1">
      <c r="A445" s="273"/>
      <c r="B445" s="273"/>
      <c r="C445" s="273"/>
      <c r="D445" s="274"/>
      <c r="E445" s="275"/>
      <c r="F445" s="276"/>
      <c r="G445" s="273"/>
    </row>
    <row r="446" ht="15.75" customHeight="1">
      <c r="A446" s="273"/>
      <c r="B446" s="273"/>
      <c r="C446" s="273"/>
      <c r="D446" s="274"/>
      <c r="E446" s="275"/>
      <c r="F446" s="276"/>
      <c r="G446" s="273"/>
    </row>
    <row r="447" ht="15.75" customHeight="1">
      <c r="A447" s="273"/>
      <c r="B447" s="273"/>
      <c r="C447" s="273"/>
      <c r="D447" s="274"/>
      <c r="E447" s="275"/>
      <c r="F447" s="276"/>
      <c r="G447" s="273"/>
    </row>
    <row r="448" ht="15.75" customHeight="1">
      <c r="A448" s="273"/>
      <c r="B448" s="273"/>
      <c r="C448" s="273"/>
      <c r="D448" s="274"/>
      <c r="E448" s="275"/>
      <c r="F448" s="276"/>
      <c r="G448" s="273"/>
    </row>
    <row r="449" ht="15.75" customHeight="1">
      <c r="A449" s="273"/>
      <c r="B449" s="273"/>
      <c r="C449" s="273"/>
      <c r="D449" s="274"/>
      <c r="E449" s="275"/>
      <c r="F449" s="276"/>
      <c r="G449" s="273"/>
    </row>
    <row r="450" ht="15.75" customHeight="1">
      <c r="A450" s="273"/>
      <c r="B450" s="273"/>
      <c r="C450" s="273"/>
      <c r="D450" s="274"/>
      <c r="E450" s="275"/>
      <c r="F450" s="276"/>
      <c r="G450" s="273"/>
    </row>
    <row r="451" ht="15.75" customHeight="1">
      <c r="A451" s="273"/>
      <c r="B451" s="273"/>
      <c r="C451" s="273"/>
      <c r="D451" s="274"/>
      <c r="E451" s="275"/>
      <c r="F451" s="276"/>
      <c r="G451" s="273"/>
    </row>
    <row r="452" ht="15.75" customHeight="1">
      <c r="A452" s="273"/>
      <c r="B452" s="273"/>
      <c r="C452" s="273"/>
      <c r="D452" s="274"/>
      <c r="E452" s="275"/>
      <c r="F452" s="276"/>
      <c r="G452" s="273"/>
    </row>
    <row r="453" ht="15.75" customHeight="1">
      <c r="A453" s="273"/>
      <c r="B453" s="273"/>
      <c r="C453" s="273"/>
      <c r="D453" s="274"/>
      <c r="E453" s="275"/>
      <c r="F453" s="276"/>
      <c r="G453" s="273"/>
    </row>
    <row r="454" ht="15.75" customHeight="1">
      <c r="A454" s="273"/>
      <c r="B454" s="273"/>
      <c r="C454" s="273"/>
      <c r="D454" s="274"/>
      <c r="E454" s="275"/>
      <c r="F454" s="276"/>
      <c r="G454" s="273"/>
    </row>
    <row r="455" ht="15.75" customHeight="1">
      <c r="A455" s="273"/>
      <c r="B455" s="273"/>
      <c r="C455" s="273"/>
      <c r="D455" s="274"/>
      <c r="E455" s="275"/>
      <c r="F455" s="276"/>
      <c r="G455" s="273"/>
    </row>
    <row r="456" ht="15.75" customHeight="1">
      <c r="A456" s="273"/>
      <c r="B456" s="273"/>
      <c r="C456" s="273"/>
      <c r="D456" s="274"/>
      <c r="E456" s="275"/>
      <c r="F456" s="276"/>
      <c r="G456" s="273"/>
    </row>
    <row r="457" ht="15.75" customHeight="1">
      <c r="A457" s="273"/>
      <c r="B457" s="273"/>
      <c r="C457" s="273"/>
      <c r="D457" s="274"/>
      <c r="E457" s="275"/>
      <c r="F457" s="276"/>
      <c r="G457" s="273"/>
    </row>
    <row r="458" ht="15.75" customHeight="1">
      <c r="A458" s="273"/>
      <c r="B458" s="273"/>
      <c r="C458" s="273"/>
      <c r="D458" s="274"/>
      <c r="E458" s="275"/>
      <c r="F458" s="276"/>
      <c r="G458" s="273"/>
    </row>
    <row r="459" ht="15.75" customHeight="1">
      <c r="A459" s="273"/>
      <c r="B459" s="273"/>
      <c r="C459" s="273"/>
      <c r="D459" s="274"/>
      <c r="E459" s="275"/>
      <c r="F459" s="276"/>
      <c r="G459" s="273"/>
    </row>
    <row r="460" ht="15.75" customHeight="1">
      <c r="A460" s="273"/>
      <c r="B460" s="273"/>
      <c r="C460" s="273"/>
      <c r="D460" s="274"/>
      <c r="E460" s="275"/>
      <c r="F460" s="276"/>
      <c r="G460" s="273"/>
    </row>
    <row r="461" ht="15.75" customHeight="1">
      <c r="A461" s="273"/>
      <c r="B461" s="273"/>
      <c r="C461" s="273"/>
      <c r="D461" s="274"/>
      <c r="E461" s="275"/>
      <c r="F461" s="276"/>
      <c r="G461" s="273"/>
    </row>
    <row r="462" ht="15.75" customHeight="1">
      <c r="A462" s="273"/>
      <c r="B462" s="273"/>
      <c r="C462" s="273"/>
      <c r="D462" s="274"/>
      <c r="E462" s="275"/>
      <c r="F462" s="276"/>
      <c r="G462" s="273"/>
    </row>
    <row r="463" ht="15.75" customHeight="1">
      <c r="A463" s="273"/>
      <c r="B463" s="273"/>
      <c r="C463" s="273"/>
      <c r="D463" s="274"/>
      <c r="E463" s="275"/>
      <c r="F463" s="276"/>
      <c r="G463" s="273"/>
    </row>
    <row r="464" ht="15.75" customHeight="1">
      <c r="A464" s="273"/>
      <c r="B464" s="273"/>
      <c r="C464" s="273"/>
      <c r="D464" s="274"/>
      <c r="E464" s="275"/>
      <c r="F464" s="276"/>
      <c r="G464" s="273"/>
    </row>
    <row r="465" ht="15.75" customHeight="1">
      <c r="A465" s="273"/>
      <c r="B465" s="273"/>
      <c r="C465" s="273"/>
      <c r="D465" s="274"/>
      <c r="E465" s="275"/>
      <c r="F465" s="276"/>
      <c r="G465" s="273"/>
    </row>
    <row r="466" ht="15.75" customHeight="1">
      <c r="A466" s="273"/>
      <c r="B466" s="273"/>
      <c r="C466" s="273"/>
      <c r="D466" s="274"/>
      <c r="E466" s="275"/>
      <c r="F466" s="276"/>
      <c r="G466" s="273"/>
    </row>
    <row r="467" ht="15.75" customHeight="1">
      <c r="A467" s="273"/>
      <c r="B467" s="273"/>
      <c r="C467" s="273"/>
      <c r="D467" s="274"/>
      <c r="E467" s="275"/>
      <c r="F467" s="276"/>
      <c r="G467" s="273"/>
    </row>
    <row r="468" ht="15.75" customHeight="1">
      <c r="A468" s="273"/>
      <c r="B468" s="273"/>
      <c r="C468" s="273"/>
      <c r="D468" s="274"/>
      <c r="E468" s="275"/>
      <c r="F468" s="276"/>
      <c r="G468" s="273"/>
    </row>
    <row r="469" ht="15.75" customHeight="1">
      <c r="A469" s="273"/>
      <c r="B469" s="273"/>
      <c r="C469" s="273"/>
      <c r="D469" s="274"/>
      <c r="E469" s="275"/>
      <c r="F469" s="276"/>
      <c r="G469" s="273"/>
    </row>
    <row r="470" ht="15.75" customHeight="1">
      <c r="A470" s="273"/>
      <c r="B470" s="273"/>
      <c r="C470" s="273"/>
      <c r="D470" s="274"/>
      <c r="E470" s="275"/>
      <c r="F470" s="276"/>
      <c r="G470" s="273"/>
    </row>
    <row r="471" ht="15.75" customHeight="1">
      <c r="A471" s="273"/>
      <c r="B471" s="273"/>
      <c r="C471" s="273"/>
      <c r="D471" s="274"/>
      <c r="E471" s="275"/>
      <c r="F471" s="276"/>
      <c r="G471" s="273"/>
    </row>
    <row r="472" ht="15.75" customHeight="1">
      <c r="A472" s="273"/>
      <c r="B472" s="273"/>
      <c r="C472" s="273"/>
      <c r="D472" s="274"/>
      <c r="E472" s="275"/>
      <c r="F472" s="276"/>
      <c r="G472" s="273"/>
    </row>
    <row r="473" ht="15.75" customHeight="1">
      <c r="A473" s="273"/>
      <c r="B473" s="273"/>
      <c r="C473" s="273"/>
      <c r="D473" s="274"/>
      <c r="E473" s="275"/>
      <c r="F473" s="276"/>
      <c r="G473" s="273"/>
    </row>
    <row r="474" ht="15.75" customHeight="1">
      <c r="A474" s="273"/>
      <c r="B474" s="273"/>
      <c r="C474" s="273"/>
      <c r="D474" s="274"/>
      <c r="E474" s="275"/>
      <c r="F474" s="276"/>
      <c r="G474" s="273"/>
    </row>
    <row r="475" ht="15.75" customHeight="1">
      <c r="A475" s="273"/>
      <c r="B475" s="273"/>
      <c r="C475" s="273"/>
      <c r="D475" s="274"/>
      <c r="E475" s="275"/>
      <c r="F475" s="276"/>
      <c r="G475" s="273"/>
    </row>
    <row r="476" ht="15.75" customHeight="1">
      <c r="A476" s="273"/>
      <c r="B476" s="273"/>
      <c r="C476" s="273"/>
      <c r="D476" s="274"/>
      <c r="E476" s="275"/>
      <c r="F476" s="276"/>
      <c r="G476" s="273"/>
    </row>
    <row r="477" ht="15.75" customHeight="1">
      <c r="A477" s="273"/>
      <c r="B477" s="273"/>
      <c r="C477" s="273"/>
      <c r="D477" s="274"/>
      <c r="E477" s="275"/>
      <c r="F477" s="276"/>
      <c r="G477" s="273"/>
    </row>
    <row r="478" ht="15.75" customHeight="1">
      <c r="A478" s="273"/>
      <c r="B478" s="273"/>
      <c r="C478" s="273"/>
      <c r="D478" s="274"/>
      <c r="E478" s="275"/>
      <c r="F478" s="276"/>
      <c r="G478" s="273"/>
    </row>
    <row r="479" ht="15.75" customHeight="1">
      <c r="A479" s="273"/>
      <c r="B479" s="273"/>
      <c r="C479" s="273"/>
      <c r="D479" s="274"/>
      <c r="E479" s="275"/>
      <c r="F479" s="276"/>
      <c r="G479" s="273"/>
    </row>
    <row r="480" ht="15.75" customHeight="1">
      <c r="A480" s="273"/>
      <c r="B480" s="273"/>
      <c r="C480" s="273"/>
      <c r="D480" s="274"/>
      <c r="E480" s="275"/>
      <c r="F480" s="276"/>
      <c r="G480" s="273"/>
    </row>
    <row r="481" ht="15.75" customHeight="1">
      <c r="A481" s="273"/>
      <c r="B481" s="273"/>
      <c r="C481" s="273"/>
      <c r="D481" s="274"/>
      <c r="E481" s="275"/>
      <c r="F481" s="276"/>
      <c r="G481" s="273"/>
    </row>
    <row r="482" ht="15.75" customHeight="1">
      <c r="A482" s="273"/>
      <c r="B482" s="273"/>
      <c r="C482" s="273"/>
      <c r="D482" s="274"/>
      <c r="E482" s="275"/>
      <c r="F482" s="276"/>
      <c r="G482" s="273"/>
    </row>
    <row r="483" ht="15.75" customHeight="1">
      <c r="A483" s="273"/>
      <c r="B483" s="273"/>
      <c r="C483" s="273"/>
      <c r="D483" s="274"/>
      <c r="E483" s="275"/>
      <c r="F483" s="276"/>
      <c r="G483" s="273"/>
    </row>
    <row r="484" ht="15.75" customHeight="1">
      <c r="A484" s="273"/>
      <c r="B484" s="273"/>
      <c r="C484" s="273"/>
      <c r="D484" s="274"/>
      <c r="E484" s="275"/>
      <c r="F484" s="276"/>
      <c r="G484" s="273"/>
    </row>
    <row r="485" ht="15.75" customHeight="1">
      <c r="A485" s="273"/>
      <c r="B485" s="273"/>
      <c r="C485" s="273"/>
      <c r="D485" s="274"/>
      <c r="E485" s="275"/>
      <c r="F485" s="276"/>
      <c r="G485" s="273"/>
    </row>
    <row r="486" ht="15.75" customHeight="1">
      <c r="A486" s="273"/>
      <c r="B486" s="273"/>
      <c r="C486" s="273"/>
      <c r="D486" s="274"/>
      <c r="E486" s="275"/>
      <c r="F486" s="276"/>
      <c r="G486" s="273"/>
    </row>
    <row r="487" ht="15.75" customHeight="1">
      <c r="A487" s="273"/>
      <c r="B487" s="273"/>
      <c r="C487" s="273"/>
      <c r="D487" s="274"/>
      <c r="E487" s="275"/>
      <c r="F487" s="276"/>
      <c r="G487" s="273"/>
    </row>
    <row r="488" ht="15.75" customHeight="1">
      <c r="A488" s="273"/>
      <c r="B488" s="273"/>
      <c r="C488" s="273"/>
      <c r="D488" s="274"/>
      <c r="E488" s="275"/>
      <c r="F488" s="276"/>
      <c r="G488" s="273"/>
    </row>
    <row r="489" ht="15.75" customHeight="1">
      <c r="A489" s="273"/>
      <c r="B489" s="273"/>
      <c r="C489" s="273"/>
      <c r="D489" s="274"/>
      <c r="E489" s="275"/>
      <c r="F489" s="276"/>
      <c r="G489" s="273"/>
    </row>
    <row r="490" ht="15.75" customHeight="1">
      <c r="A490" s="273"/>
      <c r="B490" s="273"/>
      <c r="C490" s="273"/>
      <c r="D490" s="274"/>
      <c r="E490" s="275"/>
      <c r="F490" s="276"/>
      <c r="G490" s="273"/>
    </row>
    <row r="491" ht="15.75" customHeight="1">
      <c r="A491" s="273"/>
      <c r="B491" s="273"/>
      <c r="C491" s="273"/>
      <c r="D491" s="274"/>
      <c r="E491" s="275"/>
      <c r="F491" s="276"/>
      <c r="G491" s="273"/>
    </row>
    <row r="492" ht="15.75" customHeight="1">
      <c r="A492" s="273"/>
      <c r="B492" s="273"/>
      <c r="C492" s="273"/>
      <c r="D492" s="274"/>
      <c r="E492" s="275"/>
      <c r="F492" s="276"/>
      <c r="G492" s="273"/>
    </row>
    <row r="493" ht="15.75" customHeight="1">
      <c r="A493" s="273"/>
      <c r="B493" s="273"/>
      <c r="C493" s="273"/>
      <c r="D493" s="274"/>
      <c r="E493" s="275"/>
      <c r="F493" s="276"/>
      <c r="G493" s="273"/>
    </row>
    <row r="494" ht="15.75" customHeight="1">
      <c r="A494" s="273"/>
      <c r="B494" s="273"/>
      <c r="C494" s="273"/>
      <c r="D494" s="274"/>
      <c r="E494" s="275"/>
      <c r="F494" s="276"/>
      <c r="G494" s="273"/>
    </row>
    <row r="495" ht="15.75" customHeight="1">
      <c r="A495" s="273"/>
      <c r="B495" s="273"/>
      <c r="C495" s="273"/>
      <c r="D495" s="274"/>
      <c r="E495" s="275"/>
      <c r="F495" s="276"/>
      <c r="G495" s="273"/>
    </row>
    <row r="496" ht="15.75" customHeight="1">
      <c r="A496" s="273"/>
      <c r="B496" s="273"/>
      <c r="C496" s="273"/>
      <c r="D496" s="274"/>
      <c r="E496" s="275"/>
      <c r="F496" s="276"/>
      <c r="G496" s="273"/>
    </row>
    <row r="497" ht="15.75" customHeight="1">
      <c r="A497" s="273"/>
      <c r="B497" s="273"/>
      <c r="C497" s="273"/>
      <c r="D497" s="274"/>
      <c r="E497" s="275"/>
      <c r="F497" s="276"/>
      <c r="G497" s="273"/>
    </row>
    <row r="498" ht="15.75" customHeight="1">
      <c r="A498" s="273"/>
      <c r="B498" s="273"/>
      <c r="C498" s="273"/>
      <c r="D498" s="274"/>
      <c r="E498" s="275"/>
      <c r="F498" s="276"/>
      <c r="G498" s="273"/>
    </row>
    <row r="499" ht="15.75" customHeight="1">
      <c r="A499" s="273"/>
      <c r="B499" s="273"/>
      <c r="C499" s="273"/>
      <c r="D499" s="274"/>
      <c r="E499" s="275"/>
      <c r="F499" s="276"/>
      <c r="G499" s="273"/>
    </row>
    <row r="500" ht="15.75" customHeight="1">
      <c r="A500" s="273"/>
      <c r="B500" s="273"/>
      <c r="C500" s="273"/>
      <c r="D500" s="274"/>
      <c r="E500" s="275"/>
      <c r="F500" s="276"/>
      <c r="G500" s="273"/>
    </row>
    <row r="501" ht="15.75" customHeight="1">
      <c r="A501" s="273"/>
      <c r="B501" s="273"/>
      <c r="C501" s="273"/>
      <c r="D501" s="274"/>
      <c r="E501" s="275"/>
      <c r="F501" s="276"/>
      <c r="G501" s="273"/>
    </row>
    <row r="502" ht="15.75" customHeight="1">
      <c r="A502" s="273"/>
      <c r="B502" s="273"/>
      <c r="C502" s="273"/>
      <c r="D502" s="274"/>
      <c r="E502" s="275"/>
      <c r="F502" s="276"/>
      <c r="G502" s="273"/>
    </row>
    <row r="503" ht="15.75" customHeight="1">
      <c r="A503" s="273"/>
      <c r="B503" s="273"/>
      <c r="C503" s="273"/>
      <c r="D503" s="274"/>
      <c r="E503" s="275"/>
      <c r="F503" s="276"/>
      <c r="G503" s="273"/>
    </row>
    <row r="504" ht="15.75" customHeight="1">
      <c r="A504" s="273"/>
      <c r="B504" s="273"/>
      <c r="C504" s="273"/>
      <c r="D504" s="274"/>
      <c r="E504" s="275"/>
      <c r="F504" s="276"/>
      <c r="G504" s="273"/>
    </row>
    <row r="505" ht="15.75" customHeight="1">
      <c r="A505" s="273"/>
      <c r="B505" s="273"/>
      <c r="C505" s="273"/>
      <c r="D505" s="274"/>
      <c r="E505" s="275"/>
      <c r="F505" s="276"/>
      <c r="G505" s="273"/>
    </row>
    <row r="506" ht="15.75" customHeight="1">
      <c r="A506" s="273"/>
      <c r="B506" s="273"/>
      <c r="C506" s="273"/>
      <c r="D506" s="274"/>
      <c r="E506" s="275"/>
      <c r="F506" s="276"/>
      <c r="G506" s="273"/>
    </row>
    <row r="507" ht="15.75" customHeight="1">
      <c r="A507" s="273"/>
      <c r="B507" s="273"/>
      <c r="C507" s="273"/>
      <c r="D507" s="274"/>
      <c r="E507" s="275"/>
      <c r="F507" s="276"/>
      <c r="G507" s="273"/>
    </row>
    <row r="508" ht="15.75" customHeight="1">
      <c r="A508" s="273"/>
      <c r="B508" s="273"/>
      <c r="C508" s="273"/>
      <c r="D508" s="274"/>
      <c r="E508" s="275"/>
      <c r="F508" s="276"/>
      <c r="G508" s="273"/>
    </row>
    <row r="509" ht="15.75" customHeight="1">
      <c r="A509" s="273"/>
      <c r="B509" s="273"/>
      <c r="C509" s="273"/>
      <c r="D509" s="274"/>
      <c r="E509" s="275"/>
      <c r="F509" s="276"/>
      <c r="G509" s="273"/>
    </row>
    <row r="510" ht="15.75" customHeight="1">
      <c r="A510" s="273"/>
      <c r="B510" s="273"/>
      <c r="C510" s="273"/>
      <c r="D510" s="274"/>
      <c r="E510" s="275"/>
      <c r="F510" s="276"/>
      <c r="G510" s="273"/>
    </row>
    <row r="511" ht="15.75" customHeight="1">
      <c r="A511" s="273"/>
      <c r="B511" s="273"/>
      <c r="C511" s="273"/>
      <c r="D511" s="274"/>
      <c r="E511" s="275"/>
      <c r="F511" s="276"/>
      <c r="G511" s="273"/>
    </row>
    <row r="512" ht="15.75" customHeight="1">
      <c r="A512" s="273"/>
      <c r="B512" s="273"/>
      <c r="C512" s="273"/>
      <c r="D512" s="274"/>
      <c r="E512" s="275"/>
      <c r="F512" s="276"/>
      <c r="G512" s="273"/>
    </row>
    <row r="513" ht="15.75" customHeight="1">
      <c r="A513" s="273"/>
      <c r="B513" s="273"/>
      <c r="C513" s="273"/>
      <c r="D513" s="274"/>
      <c r="E513" s="275"/>
      <c r="F513" s="276"/>
      <c r="G513" s="273"/>
    </row>
    <row r="514" ht="15.75" customHeight="1">
      <c r="A514" s="273"/>
      <c r="B514" s="273"/>
      <c r="C514" s="273"/>
      <c r="D514" s="274"/>
      <c r="E514" s="275"/>
      <c r="F514" s="276"/>
      <c r="G514" s="273"/>
    </row>
    <row r="515" ht="15.75" customHeight="1">
      <c r="A515" s="273"/>
      <c r="B515" s="273"/>
      <c r="C515" s="273"/>
      <c r="D515" s="274"/>
      <c r="E515" s="275"/>
      <c r="F515" s="276"/>
      <c r="G515" s="273"/>
    </row>
    <row r="516" ht="15.75" customHeight="1">
      <c r="A516" s="273"/>
      <c r="B516" s="273"/>
      <c r="C516" s="273"/>
      <c r="D516" s="274"/>
      <c r="E516" s="275"/>
      <c r="F516" s="276"/>
      <c r="G516" s="273"/>
    </row>
    <row r="517" ht="15.75" customHeight="1">
      <c r="A517" s="273"/>
      <c r="B517" s="273"/>
      <c r="C517" s="273"/>
      <c r="D517" s="274"/>
      <c r="E517" s="275"/>
      <c r="F517" s="276"/>
      <c r="G517" s="273"/>
    </row>
    <row r="518" ht="15.75" customHeight="1">
      <c r="A518" s="273"/>
      <c r="B518" s="273"/>
      <c r="C518" s="273"/>
      <c r="D518" s="274"/>
      <c r="E518" s="275"/>
      <c r="F518" s="276"/>
      <c r="G518" s="273"/>
    </row>
    <row r="519" ht="15.75" customHeight="1">
      <c r="A519" s="273"/>
      <c r="B519" s="273"/>
      <c r="C519" s="273"/>
      <c r="D519" s="274"/>
      <c r="E519" s="275"/>
      <c r="F519" s="276"/>
      <c r="G519" s="273"/>
    </row>
    <row r="520" ht="15.75" customHeight="1">
      <c r="A520" s="273"/>
      <c r="B520" s="273"/>
      <c r="C520" s="273"/>
      <c r="D520" s="274"/>
      <c r="E520" s="275"/>
      <c r="F520" s="276"/>
      <c r="G520" s="273"/>
    </row>
    <row r="521" ht="15.75" customHeight="1">
      <c r="A521" s="273"/>
      <c r="B521" s="273"/>
      <c r="C521" s="273"/>
      <c r="D521" s="274"/>
      <c r="E521" s="275"/>
      <c r="F521" s="276"/>
      <c r="G521" s="273"/>
    </row>
    <row r="522" ht="15.75" customHeight="1">
      <c r="A522" s="273"/>
      <c r="B522" s="273"/>
      <c r="C522" s="273"/>
      <c r="D522" s="274"/>
      <c r="E522" s="275"/>
      <c r="F522" s="276"/>
      <c r="G522" s="273"/>
    </row>
    <row r="523" ht="15.75" customHeight="1">
      <c r="A523" s="273"/>
      <c r="B523" s="273"/>
      <c r="C523" s="273"/>
      <c r="D523" s="274"/>
      <c r="E523" s="275"/>
      <c r="F523" s="276"/>
      <c r="G523" s="273"/>
    </row>
    <row r="524" ht="15.75" customHeight="1">
      <c r="A524" s="273"/>
      <c r="B524" s="273"/>
      <c r="C524" s="273"/>
      <c r="D524" s="274"/>
      <c r="E524" s="275"/>
      <c r="F524" s="276"/>
      <c r="G524" s="273"/>
    </row>
    <row r="525" ht="15.75" customHeight="1">
      <c r="A525" s="273"/>
      <c r="B525" s="273"/>
      <c r="C525" s="273"/>
      <c r="D525" s="274"/>
      <c r="E525" s="275"/>
      <c r="F525" s="276"/>
      <c r="G525" s="273"/>
    </row>
    <row r="526" ht="15.75" customHeight="1">
      <c r="A526" s="273"/>
      <c r="B526" s="273"/>
      <c r="C526" s="273"/>
      <c r="D526" s="274"/>
      <c r="E526" s="275"/>
      <c r="F526" s="276"/>
      <c r="G526" s="273"/>
    </row>
    <row r="527" ht="15.75" customHeight="1">
      <c r="A527" s="273"/>
      <c r="B527" s="273"/>
      <c r="C527" s="273"/>
      <c r="D527" s="274"/>
      <c r="E527" s="275"/>
      <c r="F527" s="276"/>
      <c r="G527" s="273"/>
    </row>
    <row r="528" ht="15.75" customHeight="1">
      <c r="A528" s="273"/>
      <c r="B528" s="273"/>
      <c r="C528" s="273"/>
      <c r="D528" s="274"/>
      <c r="E528" s="275"/>
      <c r="F528" s="276"/>
      <c r="G528" s="273"/>
    </row>
    <row r="529" ht="15.75" customHeight="1">
      <c r="A529" s="273"/>
      <c r="B529" s="273"/>
      <c r="C529" s="273"/>
      <c r="D529" s="274"/>
      <c r="E529" s="275"/>
      <c r="F529" s="276"/>
      <c r="G529" s="273"/>
    </row>
    <row r="530" ht="15.75" customHeight="1">
      <c r="A530" s="273"/>
      <c r="B530" s="273"/>
      <c r="C530" s="273"/>
      <c r="D530" s="274"/>
      <c r="E530" s="275"/>
      <c r="F530" s="276"/>
      <c r="G530" s="273"/>
    </row>
    <row r="531" ht="15.75" customHeight="1">
      <c r="A531" s="273"/>
      <c r="B531" s="273"/>
      <c r="C531" s="273"/>
      <c r="D531" s="274"/>
      <c r="E531" s="275"/>
      <c r="F531" s="276"/>
      <c r="G531" s="273"/>
    </row>
    <row r="532" ht="15.75" customHeight="1">
      <c r="A532" s="273"/>
      <c r="B532" s="273"/>
      <c r="C532" s="273"/>
      <c r="D532" s="274"/>
      <c r="E532" s="275"/>
      <c r="F532" s="276"/>
      <c r="G532" s="273"/>
    </row>
    <row r="533" ht="15.75" customHeight="1">
      <c r="A533" s="273"/>
      <c r="B533" s="273"/>
      <c r="C533" s="273"/>
      <c r="D533" s="274"/>
      <c r="E533" s="275"/>
      <c r="F533" s="276"/>
      <c r="G533" s="273"/>
    </row>
    <row r="534" ht="15.75" customHeight="1">
      <c r="A534" s="273"/>
      <c r="B534" s="273"/>
      <c r="C534" s="273"/>
      <c r="D534" s="274"/>
      <c r="E534" s="275"/>
      <c r="F534" s="276"/>
      <c r="G534" s="273"/>
    </row>
    <row r="535" ht="15.75" customHeight="1">
      <c r="A535" s="273"/>
      <c r="B535" s="273"/>
      <c r="C535" s="273"/>
      <c r="D535" s="274"/>
      <c r="E535" s="275"/>
      <c r="F535" s="276"/>
      <c r="G535" s="273"/>
    </row>
    <row r="536" ht="15.75" customHeight="1">
      <c r="A536" s="273"/>
      <c r="B536" s="273"/>
      <c r="C536" s="273"/>
      <c r="D536" s="274"/>
      <c r="E536" s="275"/>
      <c r="F536" s="276"/>
      <c r="G536" s="273"/>
    </row>
    <row r="537" ht="15.75" customHeight="1">
      <c r="A537" s="273"/>
      <c r="B537" s="273"/>
      <c r="C537" s="273"/>
      <c r="D537" s="274"/>
      <c r="E537" s="275"/>
      <c r="F537" s="276"/>
      <c r="G537" s="273"/>
    </row>
    <row r="538" ht="15.75" customHeight="1">
      <c r="A538" s="273"/>
      <c r="B538" s="273"/>
      <c r="C538" s="273"/>
      <c r="D538" s="274"/>
      <c r="E538" s="275"/>
      <c r="F538" s="276"/>
      <c r="G538" s="273"/>
    </row>
    <row r="539" ht="15.75" customHeight="1">
      <c r="A539" s="273"/>
      <c r="B539" s="273"/>
      <c r="C539" s="273"/>
      <c r="D539" s="274"/>
      <c r="E539" s="275"/>
      <c r="F539" s="276"/>
      <c r="G539" s="273"/>
    </row>
    <row r="540" ht="15.75" customHeight="1">
      <c r="A540" s="273"/>
      <c r="B540" s="273"/>
      <c r="C540" s="273"/>
      <c r="D540" s="274"/>
      <c r="E540" s="275"/>
      <c r="F540" s="276"/>
      <c r="G540" s="273"/>
    </row>
    <row r="541" ht="15.75" customHeight="1">
      <c r="A541" s="273"/>
      <c r="B541" s="273"/>
      <c r="C541" s="273"/>
      <c r="D541" s="274"/>
      <c r="E541" s="275"/>
      <c r="F541" s="276"/>
      <c r="G541" s="273"/>
    </row>
    <row r="542" ht="15.75" customHeight="1">
      <c r="A542" s="273"/>
      <c r="B542" s="273"/>
      <c r="C542" s="273"/>
      <c r="D542" s="274"/>
      <c r="E542" s="275"/>
      <c r="F542" s="276"/>
      <c r="G542" s="273"/>
    </row>
    <row r="543" ht="15.75" customHeight="1">
      <c r="A543" s="273"/>
      <c r="B543" s="273"/>
      <c r="C543" s="273"/>
      <c r="D543" s="274"/>
      <c r="E543" s="275"/>
      <c r="F543" s="276"/>
      <c r="G543" s="273"/>
    </row>
    <row r="544" ht="15.75" customHeight="1">
      <c r="A544" s="273"/>
      <c r="B544" s="273"/>
      <c r="C544" s="273"/>
      <c r="D544" s="274"/>
      <c r="E544" s="275"/>
      <c r="F544" s="276"/>
      <c r="G544" s="273"/>
    </row>
    <row r="545" ht="15.75" customHeight="1">
      <c r="A545" s="273"/>
      <c r="B545" s="273"/>
      <c r="C545" s="273"/>
      <c r="D545" s="274"/>
      <c r="E545" s="275"/>
      <c r="F545" s="276"/>
      <c r="G545" s="273"/>
    </row>
    <row r="546" ht="15.75" customHeight="1">
      <c r="A546" s="273"/>
      <c r="B546" s="273"/>
      <c r="C546" s="273"/>
      <c r="D546" s="274"/>
      <c r="E546" s="275"/>
      <c r="F546" s="276"/>
      <c r="G546" s="273"/>
    </row>
    <row r="547" ht="15.75" customHeight="1">
      <c r="A547" s="273"/>
      <c r="B547" s="273"/>
      <c r="C547" s="273"/>
      <c r="D547" s="274"/>
      <c r="E547" s="275"/>
      <c r="F547" s="276"/>
      <c r="G547" s="273"/>
    </row>
    <row r="548" ht="15.75" customHeight="1">
      <c r="A548" s="273"/>
      <c r="B548" s="273"/>
      <c r="C548" s="273"/>
      <c r="D548" s="274"/>
      <c r="E548" s="275"/>
      <c r="F548" s="276"/>
      <c r="G548" s="273"/>
    </row>
    <row r="549" ht="15.75" customHeight="1">
      <c r="A549" s="273"/>
      <c r="B549" s="273"/>
      <c r="C549" s="273"/>
      <c r="D549" s="274"/>
      <c r="E549" s="275"/>
      <c r="F549" s="276"/>
      <c r="G549" s="273"/>
    </row>
    <row r="550" ht="15.75" customHeight="1">
      <c r="A550" s="273"/>
      <c r="B550" s="273"/>
      <c r="C550" s="273"/>
      <c r="D550" s="274"/>
      <c r="E550" s="275"/>
      <c r="F550" s="276"/>
      <c r="G550" s="273"/>
    </row>
    <row r="551" ht="15.75" customHeight="1">
      <c r="A551" s="273"/>
      <c r="B551" s="273"/>
      <c r="C551" s="273"/>
      <c r="D551" s="274"/>
      <c r="E551" s="275"/>
      <c r="F551" s="276"/>
      <c r="G551" s="273"/>
    </row>
    <row r="552" ht="15.75" customHeight="1">
      <c r="A552" s="273"/>
      <c r="B552" s="273"/>
      <c r="C552" s="273"/>
      <c r="D552" s="274"/>
      <c r="E552" s="275"/>
      <c r="F552" s="276"/>
      <c r="G552" s="273"/>
    </row>
    <row r="553" ht="15.75" customHeight="1">
      <c r="A553" s="273"/>
      <c r="B553" s="273"/>
      <c r="C553" s="273"/>
      <c r="D553" s="274"/>
      <c r="E553" s="275"/>
      <c r="F553" s="276"/>
      <c r="G553" s="273"/>
    </row>
    <row r="554" ht="15.75" customHeight="1">
      <c r="A554" s="273"/>
      <c r="B554" s="273"/>
      <c r="C554" s="273"/>
      <c r="D554" s="274"/>
      <c r="E554" s="275"/>
      <c r="F554" s="276"/>
      <c r="G554" s="273"/>
    </row>
    <row r="555" ht="15.75" customHeight="1">
      <c r="A555" s="273"/>
      <c r="B555" s="273"/>
      <c r="C555" s="273"/>
      <c r="D555" s="274"/>
      <c r="E555" s="275"/>
      <c r="F555" s="276"/>
      <c r="G555" s="273"/>
    </row>
    <row r="556" ht="15.75" customHeight="1">
      <c r="A556" s="273"/>
      <c r="B556" s="273"/>
      <c r="C556" s="273"/>
      <c r="D556" s="274"/>
      <c r="E556" s="275"/>
      <c r="F556" s="276"/>
      <c r="G556" s="273"/>
    </row>
    <row r="557" ht="15.75" customHeight="1">
      <c r="A557" s="273"/>
      <c r="B557" s="273"/>
      <c r="C557" s="273"/>
      <c r="D557" s="274"/>
      <c r="E557" s="275"/>
      <c r="F557" s="276"/>
      <c r="G557" s="273"/>
    </row>
    <row r="558" ht="15.75" customHeight="1">
      <c r="A558" s="273"/>
      <c r="B558" s="273"/>
      <c r="C558" s="273"/>
      <c r="D558" s="274"/>
      <c r="E558" s="275"/>
      <c r="F558" s="276"/>
      <c r="G558" s="273"/>
    </row>
    <row r="559" ht="15.75" customHeight="1">
      <c r="A559" s="273"/>
      <c r="B559" s="273"/>
      <c r="C559" s="273"/>
      <c r="D559" s="274"/>
      <c r="E559" s="275"/>
      <c r="F559" s="276"/>
      <c r="G559" s="273"/>
    </row>
    <row r="560" ht="15.75" customHeight="1">
      <c r="A560" s="273"/>
      <c r="B560" s="273"/>
      <c r="C560" s="273"/>
      <c r="D560" s="274"/>
      <c r="E560" s="275"/>
      <c r="F560" s="276"/>
      <c r="G560" s="273"/>
    </row>
    <row r="561" ht="15.75" customHeight="1">
      <c r="A561" s="273"/>
      <c r="B561" s="273"/>
      <c r="C561" s="273"/>
      <c r="D561" s="274"/>
      <c r="E561" s="275"/>
      <c r="F561" s="276"/>
      <c r="G561" s="273"/>
    </row>
    <row r="562" ht="15.75" customHeight="1">
      <c r="A562" s="273"/>
      <c r="B562" s="273"/>
      <c r="C562" s="273"/>
      <c r="D562" s="274"/>
      <c r="E562" s="275"/>
      <c r="F562" s="276"/>
      <c r="G562" s="273"/>
    </row>
    <row r="563" ht="15.75" customHeight="1">
      <c r="A563" s="273"/>
      <c r="B563" s="273"/>
      <c r="C563" s="273"/>
      <c r="D563" s="274"/>
      <c r="E563" s="275"/>
      <c r="F563" s="276"/>
      <c r="G563" s="273"/>
    </row>
    <row r="564" ht="15.75" customHeight="1">
      <c r="A564" s="273"/>
      <c r="B564" s="273"/>
      <c r="C564" s="273"/>
      <c r="D564" s="274"/>
      <c r="E564" s="275"/>
      <c r="F564" s="276"/>
      <c r="G564" s="273"/>
    </row>
    <row r="565" ht="15.75" customHeight="1">
      <c r="A565" s="273"/>
      <c r="B565" s="273"/>
      <c r="C565" s="273"/>
      <c r="D565" s="274"/>
      <c r="E565" s="275"/>
      <c r="F565" s="276"/>
      <c r="G565" s="273"/>
    </row>
    <row r="566" ht="15.75" customHeight="1">
      <c r="A566" s="273"/>
      <c r="B566" s="273"/>
      <c r="C566" s="273"/>
      <c r="D566" s="274"/>
      <c r="E566" s="275"/>
      <c r="F566" s="276"/>
      <c r="G566" s="273"/>
    </row>
    <row r="567" ht="15.75" customHeight="1">
      <c r="A567" s="273"/>
      <c r="B567" s="273"/>
      <c r="C567" s="273"/>
      <c r="D567" s="274"/>
      <c r="E567" s="275"/>
      <c r="F567" s="276"/>
      <c r="G567" s="273"/>
    </row>
    <row r="568" ht="15.75" customHeight="1">
      <c r="A568" s="273"/>
      <c r="B568" s="273"/>
      <c r="C568" s="273"/>
      <c r="D568" s="274"/>
      <c r="E568" s="275"/>
      <c r="F568" s="276"/>
      <c r="G568" s="273"/>
    </row>
    <row r="569" ht="15.75" customHeight="1">
      <c r="A569" s="273"/>
      <c r="B569" s="273"/>
      <c r="C569" s="273"/>
      <c r="D569" s="274"/>
      <c r="E569" s="275"/>
      <c r="F569" s="276"/>
      <c r="G569" s="273"/>
    </row>
    <row r="570" ht="15.75" customHeight="1">
      <c r="A570" s="273"/>
      <c r="B570" s="273"/>
      <c r="C570" s="273"/>
      <c r="D570" s="274"/>
      <c r="E570" s="275"/>
      <c r="F570" s="276"/>
      <c r="G570" s="273"/>
    </row>
    <row r="571" ht="15.75" customHeight="1">
      <c r="A571" s="273"/>
      <c r="B571" s="273"/>
      <c r="C571" s="273"/>
      <c r="D571" s="274"/>
      <c r="E571" s="275"/>
      <c r="F571" s="276"/>
      <c r="G571" s="273"/>
    </row>
    <row r="572" ht="15.75" customHeight="1">
      <c r="A572" s="273"/>
      <c r="B572" s="273"/>
      <c r="C572" s="273"/>
      <c r="D572" s="274"/>
      <c r="E572" s="275"/>
      <c r="F572" s="276"/>
      <c r="G572" s="273"/>
    </row>
    <row r="573" ht="15.75" customHeight="1">
      <c r="A573" s="273"/>
      <c r="B573" s="273"/>
      <c r="C573" s="273"/>
      <c r="D573" s="274"/>
      <c r="E573" s="275"/>
      <c r="F573" s="276"/>
      <c r="G573" s="273"/>
    </row>
    <row r="574" ht="15.75" customHeight="1">
      <c r="A574" s="273"/>
      <c r="B574" s="273"/>
      <c r="C574" s="273"/>
      <c r="D574" s="274"/>
      <c r="E574" s="275"/>
      <c r="F574" s="276"/>
      <c r="G574" s="273"/>
    </row>
    <row r="575" ht="15.75" customHeight="1">
      <c r="A575" s="273"/>
      <c r="B575" s="273"/>
      <c r="C575" s="273"/>
      <c r="D575" s="274"/>
      <c r="E575" s="275"/>
      <c r="F575" s="276"/>
      <c r="G575" s="273"/>
    </row>
    <row r="576" ht="15.75" customHeight="1">
      <c r="A576" s="273"/>
      <c r="B576" s="273"/>
      <c r="C576" s="273"/>
      <c r="D576" s="274"/>
      <c r="E576" s="275"/>
      <c r="F576" s="276"/>
      <c r="G576" s="273"/>
    </row>
    <row r="577" ht="15.75" customHeight="1">
      <c r="A577" s="273"/>
      <c r="B577" s="273"/>
      <c r="C577" s="273"/>
      <c r="D577" s="274"/>
      <c r="E577" s="275"/>
      <c r="F577" s="276"/>
      <c r="G577" s="273"/>
    </row>
    <row r="578" ht="15.75" customHeight="1">
      <c r="A578" s="273"/>
      <c r="B578" s="273"/>
      <c r="C578" s="273"/>
      <c r="D578" s="274"/>
      <c r="E578" s="275"/>
      <c r="F578" s="276"/>
      <c r="G578" s="273"/>
    </row>
    <row r="579" ht="15.75" customHeight="1">
      <c r="A579" s="273"/>
      <c r="B579" s="273"/>
      <c r="C579" s="273"/>
      <c r="D579" s="274"/>
      <c r="E579" s="275"/>
      <c r="F579" s="276"/>
      <c r="G579" s="273"/>
    </row>
    <row r="580" ht="15.75" customHeight="1">
      <c r="A580" s="273"/>
      <c r="B580" s="273"/>
      <c r="C580" s="273"/>
      <c r="D580" s="274"/>
      <c r="E580" s="275"/>
      <c r="F580" s="276"/>
      <c r="G580" s="273"/>
    </row>
    <row r="581" ht="15.75" customHeight="1">
      <c r="A581" s="273"/>
      <c r="B581" s="273"/>
      <c r="C581" s="273"/>
      <c r="D581" s="274"/>
      <c r="E581" s="275"/>
      <c r="F581" s="276"/>
      <c r="G581" s="273"/>
    </row>
    <row r="582" ht="15.75" customHeight="1">
      <c r="A582" s="273"/>
      <c r="B582" s="273"/>
      <c r="C582" s="273"/>
      <c r="D582" s="274"/>
      <c r="E582" s="275"/>
      <c r="F582" s="276"/>
      <c r="G582" s="273"/>
    </row>
    <row r="583" ht="15.75" customHeight="1">
      <c r="A583" s="273"/>
      <c r="B583" s="273"/>
      <c r="C583" s="273"/>
      <c r="D583" s="274"/>
      <c r="E583" s="275"/>
      <c r="F583" s="276"/>
      <c r="G583" s="273"/>
    </row>
    <row r="584" ht="15.75" customHeight="1">
      <c r="A584" s="273"/>
      <c r="B584" s="273"/>
      <c r="C584" s="273"/>
      <c r="D584" s="274"/>
      <c r="E584" s="275"/>
      <c r="F584" s="276"/>
      <c r="G584" s="273"/>
    </row>
    <row r="585" ht="15.75" customHeight="1">
      <c r="A585" s="273"/>
      <c r="B585" s="273"/>
      <c r="C585" s="273"/>
      <c r="D585" s="274"/>
      <c r="E585" s="275"/>
      <c r="F585" s="276"/>
      <c r="G585" s="273"/>
    </row>
    <row r="586" ht="15.75" customHeight="1">
      <c r="A586" s="273"/>
      <c r="B586" s="273"/>
      <c r="C586" s="273"/>
      <c r="D586" s="274"/>
      <c r="E586" s="275"/>
      <c r="F586" s="276"/>
      <c r="G586" s="273"/>
    </row>
    <row r="587" ht="15.75" customHeight="1">
      <c r="A587" s="273"/>
      <c r="B587" s="273"/>
      <c r="C587" s="273"/>
      <c r="D587" s="274"/>
      <c r="E587" s="275"/>
      <c r="F587" s="276"/>
      <c r="G587" s="273"/>
    </row>
    <row r="588" ht="15.75" customHeight="1">
      <c r="A588" s="273"/>
      <c r="B588" s="273"/>
      <c r="C588" s="273"/>
      <c r="D588" s="274"/>
      <c r="E588" s="275"/>
      <c r="F588" s="276"/>
      <c r="G588" s="273"/>
    </row>
    <row r="589" ht="15.75" customHeight="1">
      <c r="A589" s="273"/>
      <c r="B589" s="273"/>
      <c r="C589" s="273"/>
      <c r="D589" s="274"/>
      <c r="E589" s="275"/>
      <c r="F589" s="276"/>
      <c r="G589" s="273"/>
    </row>
    <row r="590" ht="15.75" customHeight="1">
      <c r="A590" s="273"/>
      <c r="B590" s="273"/>
      <c r="C590" s="273"/>
      <c r="D590" s="274"/>
      <c r="E590" s="275"/>
      <c r="F590" s="276"/>
      <c r="G590" s="273"/>
    </row>
    <row r="591" ht="15.75" customHeight="1">
      <c r="A591" s="273"/>
      <c r="B591" s="273"/>
      <c r="C591" s="273"/>
      <c r="D591" s="274"/>
      <c r="E591" s="275"/>
      <c r="F591" s="276"/>
      <c r="G591" s="273"/>
    </row>
    <row r="592" ht="15.75" customHeight="1">
      <c r="A592" s="273"/>
      <c r="B592" s="273"/>
      <c r="C592" s="273"/>
      <c r="D592" s="274"/>
      <c r="E592" s="275"/>
      <c r="F592" s="276"/>
      <c r="G592" s="273"/>
    </row>
    <row r="593" ht="15.75" customHeight="1">
      <c r="A593" s="273"/>
      <c r="B593" s="273"/>
      <c r="C593" s="273"/>
      <c r="D593" s="274"/>
      <c r="E593" s="275"/>
      <c r="F593" s="276"/>
      <c r="G593" s="273"/>
    </row>
    <row r="594" ht="15.75" customHeight="1">
      <c r="A594" s="273"/>
      <c r="B594" s="273"/>
      <c r="C594" s="273"/>
      <c r="D594" s="274"/>
      <c r="E594" s="275"/>
      <c r="F594" s="276"/>
      <c r="G594" s="273"/>
    </row>
    <row r="595" ht="15.75" customHeight="1">
      <c r="A595" s="273"/>
      <c r="B595" s="273"/>
      <c r="C595" s="273"/>
      <c r="D595" s="274"/>
      <c r="E595" s="275"/>
      <c r="F595" s="276"/>
      <c r="G595" s="273"/>
    </row>
    <row r="596" ht="15.75" customHeight="1">
      <c r="A596" s="273"/>
      <c r="B596" s="273"/>
      <c r="C596" s="273"/>
      <c r="D596" s="274"/>
      <c r="E596" s="275"/>
      <c r="F596" s="276"/>
      <c r="G596" s="273"/>
    </row>
    <row r="597" ht="15.75" customHeight="1">
      <c r="A597" s="273"/>
      <c r="B597" s="273"/>
      <c r="C597" s="273"/>
      <c r="D597" s="274"/>
      <c r="E597" s="275"/>
      <c r="F597" s="276"/>
      <c r="G597" s="273"/>
    </row>
    <row r="598" ht="15.75" customHeight="1">
      <c r="A598" s="273"/>
      <c r="B598" s="273"/>
      <c r="C598" s="273"/>
      <c r="D598" s="274"/>
      <c r="E598" s="275"/>
      <c r="F598" s="276"/>
      <c r="G598" s="273"/>
    </row>
    <row r="599" ht="15.75" customHeight="1">
      <c r="A599" s="273"/>
      <c r="B599" s="273"/>
      <c r="C599" s="273"/>
      <c r="D599" s="274"/>
      <c r="E599" s="275"/>
      <c r="F599" s="276"/>
      <c r="G599" s="273"/>
    </row>
    <row r="600" ht="15.75" customHeight="1">
      <c r="A600" s="273"/>
      <c r="B600" s="273"/>
      <c r="C600" s="273"/>
      <c r="D600" s="274"/>
      <c r="E600" s="275"/>
      <c r="F600" s="276"/>
      <c r="G600" s="273"/>
    </row>
    <row r="601" ht="15.75" customHeight="1">
      <c r="A601" s="273"/>
      <c r="B601" s="273"/>
      <c r="C601" s="273"/>
      <c r="D601" s="274"/>
      <c r="E601" s="275"/>
      <c r="F601" s="276"/>
      <c r="G601" s="273"/>
    </row>
    <row r="602" ht="15.75" customHeight="1">
      <c r="A602" s="273"/>
      <c r="B602" s="273"/>
      <c r="C602" s="273"/>
      <c r="D602" s="274"/>
      <c r="E602" s="275"/>
      <c r="F602" s="276"/>
      <c r="G602" s="273"/>
    </row>
    <row r="603" ht="15.75" customHeight="1">
      <c r="A603" s="273"/>
      <c r="B603" s="273"/>
      <c r="C603" s="273"/>
      <c r="D603" s="274"/>
      <c r="E603" s="275"/>
      <c r="F603" s="276"/>
      <c r="G603" s="273"/>
    </row>
    <row r="604" ht="15.75" customHeight="1">
      <c r="A604" s="273"/>
      <c r="B604" s="273"/>
      <c r="C604" s="273"/>
      <c r="D604" s="274"/>
      <c r="E604" s="275"/>
      <c r="F604" s="276"/>
      <c r="G604" s="273"/>
    </row>
    <row r="605" ht="15.75" customHeight="1">
      <c r="A605" s="273"/>
      <c r="B605" s="273"/>
      <c r="C605" s="273"/>
      <c r="D605" s="274"/>
      <c r="E605" s="275"/>
      <c r="F605" s="276"/>
      <c r="G605" s="273"/>
    </row>
    <row r="606" ht="15.75" customHeight="1">
      <c r="A606" s="273"/>
      <c r="B606" s="273"/>
      <c r="C606" s="273"/>
      <c r="D606" s="274"/>
      <c r="E606" s="275"/>
      <c r="F606" s="276"/>
      <c r="G606" s="273"/>
    </row>
    <row r="607" ht="15.75" customHeight="1">
      <c r="A607" s="273"/>
      <c r="B607" s="273"/>
      <c r="C607" s="273"/>
      <c r="D607" s="274"/>
      <c r="E607" s="275"/>
      <c r="F607" s="276"/>
      <c r="G607" s="273"/>
    </row>
    <row r="608" ht="15.75" customHeight="1">
      <c r="A608" s="273"/>
      <c r="B608" s="273"/>
      <c r="C608" s="273"/>
      <c r="D608" s="274"/>
      <c r="E608" s="275"/>
      <c r="F608" s="276"/>
      <c r="G608" s="273"/>
    </row>
    <row r="609" ht="15.75" customHeight="1">
      <c r="A609" s="273"/>
      <c r="B609" s="273"/>
      <c r="C609" s="273"/>
      <c r="D609" s="274"/>
      <c r="E609" s="275"/>
      <c r="F609" s="276"/>
      <c r="G609" s="273"/>
    </row>
    <row r="610" ht="15.75" customHeight="1">
      <c r="A610" s="273"/>
      <c r="B610" s="273"/>
      <c r="C610" s="273"/>
      <c r="D610" s="274"/>
      <c r="E610" s="275"/>
      <c r="F610" s="276"/>
      <c r="G610" s="273"/>
    </row>
    <row r="611" ht="15.75" customHeight="1">
      <c r="A611" s="273"/>
      <c r="B611" s="273"/>
      <c r="C611" s="273"/>
      <c r="D611" s="274"/>
      <c r="E611" s="275"/>
      <c r="F611" s="276"/>
      <c r="G611" s="273"/>
    </row>
    <row r="612" ht="15.75" customHeight="1">
      <c r="A612" s="273"/>
      <c r="B612" s="273"/>
      <c r="C612" s="273"/>
      <c r="D612" s="274"/>
      <c r="E612" s="275"/>
      <c r="F612" s="276"/>
      <c r="G612" s="273"/>
    </row>
    <row r="613" ht="15.75" customHeight="1">
      <c r="A613" s="273"/>
      <c r="B613" s="273"/>
      <c r="C613" s="273"/>
      <c r="D613" s="274"/>
      <c r="E613" s="275"/>
      <c r="F613" s="276"/>
      <c r="G613" s="273"/>
    </row>
    <row r="614" ht="15.75" customHeight="1">
      <c r="A614" s="273"/>
      <c r="B614" s="273"/>
      <c r="C614" s="273"/>
      <c r="D614" s="274"/>
      <c r="E614" s="275"/>
      <c r="F614" s="276"/>
      <c r="G614" s="273"/>
    </row>
    <row r="615" ht="15.75" customHeight="1">
      <c r="A615" s="273"/>
      <c r="B615" s="273"/>
      <c r="C615" s="273"/>
      <c r="D615" s="274"/>
      <c r="E615" s="275"/>
      <c r="F615" s="276"/>
      <c r="G615" s="273"/>
    </row>
    <row r="616" ht="15.75" customHeight="1">
      <c r="A616" s="273"/>
      <c r="B616" s="273"/>
      <c r="C616" s="273"/>
      <c r="D616" s="274"/>
      <c r="E616" s="275"/>
      <c r="F616" s="276"/>
      <c r="G616" s="273"/>
    </row>
    <row r="617" ht="15.75" customHeight="1">
      <c r="A617" s="273"/>
      <c r="B617" s="273"/>
      <c r="C617" s="273"/>
      <c r="D617" s="274"/>
      <c r="E617" s="275"/>
      <c r="F617" s="276"/>
      <c r="G617" s="273"/>
    </row>
    <row r="618" ht="15.75" customHeight="1">
      <c r="A618" s="273"/>
      <c r="B618" s="273"/>
      <c r="C618" s="273"/>
      <c r="D618" s="274"/>
      <c r="E618" s="275"/>
      <c r="F618" s="276"/>
      <c r="G618" s="273"/>
    </row>
    <row r="619" ht="15.75" customHeight="1">
      <c r="A619" s="273"/>
      <c r="B619" s="273"/>
      <c r="C619" s="273"/>
      <c r="D619" s="274"/>
      <c r="E619" s="275"/>
      <c r="F619" s="276"/>
      <c r="G619" s="273"/>
    </row>
    <row r="620" ht="15.75" customHeight="1">
      <c r="A620" s="273"/>
      <c r="B620" s="273"/>
      <c r="C620" s="273"/>
      <c r="D620" s="274"/>
      <c r="E620" s="275"/>
      <c r="F620" s="276"/>
      <c r="G620" s="273"/>
    </row>
    <row r="621" ht="15.75" customHeight="1">
      <c r="A621" s="273"/>
      <c r="B621" s="273"/>
      <c r="C621" s="273"/>
      <c r="D621" s="274"/>
      <c r="E621" s="275"/>
      <c r="F621" s="276"/>
      <c r="G621" s="273"/>
    </row>
    <row r="622" ht="15.75" customHeight="1">
      <c r="A622" s="273"/>
      <c r="B622" s="273"/>
      <c r="C622" s="273"/>
      <c r="D622" s="274"/>
      <c r="E622" s="275"/>
      <c r="F622" s="276"/>
      <c r="G622" s="273"/>
    </row>
    <row r="623" ht="15.75" customHeight="1">
      <c r="A623" s="273"/>
      <c r="B623" s="273"/>
      <c r="C623" s="273"/>
      <c r="D623" s="274"/>
      <c r="E623" s="275"/>
      <c r="F623" s="276"/>
      <c r="G623" s="273"/>
    </row>
    <row r="624" ht="15.75" customHeight="1">
      <c r="A624" s="273"/>
      <c r="B624" s="273"/>
      <c r="C624" s="273"/>
      <c r="D624" s="274"/>
      <c r="E624" s="275"/>
      <c r="F624" s="276"/>
      <c r="G624" s="273"/>
    </row>
    <row r="625" ht="15.75" customHeight="1">
      <c r="A625" s="273"/>
      <c r="B625" s="273"/>
      <c r="C625" s="273"/>
      <c r="D625" s="274"/>
      <c r="E625" s="275"/>
      <c r="F625" s="276"/>
      <c r="G625" s="273"/>
    </row>
    <row r="626" ht="15.75" customHeight="1">
      <c r="A626" s="273"/>
      <c r="B626" s="273"/>
      <c r="C626" s="273"/>
      <c r="D626" s="274"/>
      <c r="E626" s="275"/>
      <c r="F626" s="276"/>
      <c r="G626" s="273"/>
    </row>
    <row r="627" ht="15.75" customHeight="1">
      <c r="A627" s="273"/>
      <c r="B627" s="273"/>
      <c r="C627" s="273"/>
      <c r="D627" s="274"/>
      <c r="E627" s="275"/>
      <c r="F627" s="276"/>
      <c r="G627" s="273"/>
    </row>
    <row r="628" ht="15.75" customHeight="1">
      <c r="A628" s="273"/>
      <c r="B628" s="273"/>
      <c r="C628" s="273"/>
      <c r="D628" s="274"/>
      <c r="E628" s="275"/>
      <c r="F628" s="276"/>
      <c r="G628" s="273"/>
    </row>
    <row r="629" ht="15.75" customHeight="1">
      <c r="A629" s="273"/>
      <c r="B629" s="273"/>
      <c r="C629" s="273"/>
      <c r="D629" s="274"/>
      <c r="E629" s="275"/>
      <c r="F629" s="276"/>
      <c r="G629" s="273"/>
    </row>
    <row r="630" ht="15.75" customHeight="1">
      <c r="A630" s="273"/>
      <c r="B630" s="273"/>
      <c r="C630" s="273"/>
      <c r="D630" s="274"/>
      <c r="E630" s="275"/>
      <c r="F630" s="276"/>
      <c r="G630" s="273"/>
    </row>
    <row r="631" ht="15.75" customHeight="1">
      <c r="A631" s="273"/>
      <c r="B631" s="273"/>
      <c r="C631" s="273"/>
      <c r="D631" s="274"/>
      <c r="E631" s="275"/>
      <c r="F631" s="276"/>
      <c r="G631" s="273"/>
    </row>
    <row r="632" ht="15.75" customHeight="1">
      <c r="A632" s="273"/>
      <c r="B632" s="273"/>
      <c r="C632" s="273"/>
      <c r="D632" s="274"/>
      <c r="E632" s="275"/>
      <c r="F632" s="276"/>
      <c r="G632" s="273"/>
    </row>
    <row r="633" ht="15.75" customHeight="1">
      <c r="A633" s="273"/>
      <c r="B633" s="273"/>
      <c r="C633" s="273"/>
      <c r="D633" s="274"/>
      <c r="E633" s="275"/>
      <c r="F633" s="276"/>
      <c r="G633" s="273"/>
    </row>
    <row r="634" ht="15.75" customHeight="1">
      <c r="A634" s="273"/>
      <c r="B634" s="273"/>
      <c r="C634" s="273"/>
      <c r="D634" s="274"/>
      <c r="E634" s="275"/>
      <c r="F634" s="276"/>
      <c r="G634" s="273"/>
    </row>
    <row r="635" ht="15.75" customHeight="1">
      <c r="A635" s="273"/>
      <c r="B635" s="273"/>
      <c r="C635" s="273"/>
      <c r="D635" s="274"/>
      <c r="E635" s="275"/>
      <c r="F635" s="276"/>
      <c r="G635" s="273"/>
    </row>
    <row r="636" ht="15.75" customHeight="1">
      <c r="A636" s="273"/>
      <c r="B636" s="273"/>
      <c r="C636" s="273"/>
      <c r="D636" s="274"/>
      <c r="E636" s="275"/>
      <c r="F636" s="276"/>
      <c r="G636" s="273"/>
    </row>
    <row r="637" ht="15.75" customHeight="1">
      <c r="A637" s="273"/>
      <c r="B637" s="273"/>
      <c r="C637" s="273"/>
      <c r="D637" s="274"/>
      <c r="E637" s="275"/>
      <c r="F637" s="276"/>
      <c r="G637" s="273"/>
    </row>
    <row r="638" ht="15.75" customHeight="1">
      <c r="A638" s="273"/>
      <c r="B638" s="273"/>
      <c r="C638" s="273"/>
      <c r="D638" s="274"/>
      <c r="E638" s="275"/>
      <c r="F638" s="276"/>
      <c r="G638" s="273"/>
    </row>
    <row r="639" ht="15.75" customHeight="1">
      <c r="A639" s="273"/>
      <c r="B639" s="273"/>
      <c r="C639" s="273"/>
      <c r="D639" s="274"/>
      <c r="E639" s="275"/>
      <c r="F639" s="276"/>
      <c r="G639" s="273"/>
    </row>
    <row r="640" ht="15.75" customHeight="1">
      <c r="A640" s="273"/>
      <c r="B640" s="273"/>
      <c r="C640" s="273"/>
      <c r="D640" s="274"/>
      <c r="E640" s="275"/>
      <c r="F640" s="276"/>
      <c r="G640" s="273"/>
    </row>
    <row r="641" ht="15.75" customHeight="1">
      <c r="A641" s="273"/>
      <c r="B641" s="273"/>
      <c r="C641" s="273"/>
      <c r="D641" s="274"/>
      <c r="E641" s="275"/>
      <c r="F641" s="276"/>
      <c r="G641" s="273"/>
    </row>
    <row r="642" ht="15.75" customHeight="1">
      <c r="A642" s="273"/>
      <c r="B642" s="273"/>
      <c r="C642" s="273"/>
      <c r="D642" s="274"/>
      <c r="E642" s="275"/>
      <c r="F642" s="276"/>
      <c r="G642" s="273"/>
    </row>
    <row r="643" ht="15.75" customHeight="1">
      <c r="A643" s="273"/>
      <c r="B643" s="273"/>
      <c r="C643" s="273"/>
      <c r="D643" s="274"/>
      <c r="E643" s="275"/>
      <c r="F643" s="276"/>
      <c r="G643" s="273"/>
    </row>
    <row r="644" ht="15.75" customHeight="1">
      <c r="A644" s="273"/>
      <c r="B644" s="273"/>
      <c r="C644" s="273"/>
      <c r="D644" s="274"/>
      <c r="E644" s="275"/>
      <c r="F644" s="276"/>
      <c r="G644" s="273"/>
    </row>
    <row r="645" ht="15.75" customHeight="1">
      <c r="A645" s="273"/>
      <c r="B645" s="273"/>
      <c r="C645" s="273"/>
      <c r="D645" s="274"/>
      <c r="E645" s="275"/>
      <c r="F645" s="276"/>
      <c r="G645" s="273"/>
    </row>
    <row r="646" ht="15.75" customHeight="1">
      <c r="A646" s="273"/>
      <c r="B646" s="273"/>
      <c r="C646" s="273"/>
      <c r="D646" s="274"/>
      <c r="E646" s="275"/>
      <c r="F646" s="276"/>
      <c r="G646" s="273"/>
    </row>
    <row r="647" ht="15.75" customHeight="1">
      <c r="A647" s="273"/>
      <c r="B647" s="273"/>
      <c r="C647" s="273"/>
      <c r="D647" s="274"/>
      <c r="E647" s="275"/>
      <c r="F647" s="276"/>
      <c r="G647" s="273"/>
    </row>
    <row r="648" ht="15.75" customHeight="1">
      <c r="A648" s="273"/>
      <c r="B648" s="273"/>
      <c r="C648" s="273"/>
      <c r="D648" s="274"/>
      <c r="E648" s="275"/>
      <c r="F648" s="276"/>
      <c r="G648" s="273"/>
    </row>
    <row r="649" ht="15.75" customHeight="1">
      <c r="A649" s="273"/>
      <c r="B649" s="273"/>
      <c r="C649" s="273"/>
      <c r="D649" s="274"/>
      <c r="E649" s="275"/>
      <c r="F649" s="276"/>
      <c r="G649" s="273"/>
    </row>
    <row r="650" ht="15.75" customHeight="1">
      <c r="A650" s="273"/>
      <c r="B650" s="273"/>
      <c r="C650" s="273"/>
      <c r="D650" s="274"/>
      <c r="E650" s="275"/>
      <c r="F650" s="276"/>
      <c r="G650" s="273"/>
    </row>
    <row r="651" ht="15.75" customHeight="1">
      <c r="A651" s="273"/>
      <c r="B651" s="273"/>
      <c r="C651" s="273"/>
      <c r="D651" s="274"/>
      <c r="E651" s="275"/>
      <c r="F651" s="276"/>
      <c r="G651" s="273"/>
    </row>
    <row r="652" ht="15.75" customHeight="1">
      <c r="A652" s="273"/>
      <c r="B652" s="273"/>
      <c r="C652" s="273"/>
      <c r="D652" s="274"/>
      <c r="E652" s="275"/>
      <c r="F652" s="276"/>
      <c r="G652" s="273"/>
    </row>
    <row r="653" ht="15.75" customHeight="1">
      <c r="A653" s="273"/>
      <c r="B653" s="273"/>
      <c r="C653" s="273"/>
      <c r="D653" s="274"/>
      <c r="E653" s="275"/>
      <c r="F653" s="276"/>
      <c r="G653" s="273"/>
    </row>
    <row r="654" ht="15.75" customHeight="1">
      <c r="A654" s="273"/>
      <c r="B654" s="273"/>
      <c r="C654" s="273"/>
      <c r="D654" s="274"/>
      <c r="E654" s="275"/>
      <c r="F654" s="276"/>
      <c r="G654" s="273"/>
    </row>
    <row r="655" ht="15.75" customHeight="1">
      <c r="A655" s="273"/>
      <c r="B655" s="273"/>
      <c r="C655" s="273"/>
      <c r="D655" s="274"/>
      <c r="E655" s="275"/>
      <c r="F655" s="276"/>
      <c r="G655" s="273"/>
    </row>
    <row r="656" ht="15.75" customHeight="1">
      <c r="A656" s="273"/>
      <c r="B656" s="273"/>
      <c r="C656" s="273"/>
      <c r="D656" s="274"/>
      <c r="E656" s="275"/>
      <c r="F656" s="276"/>
      <c r="G656" s="273"/>
    </row>
    <row r="657" ht="15.75" customHeight="1">
      <c r="A657" s="273"/>
      <c r="B657" s="273"/>
      <c r="C657" s="273"/>
      <c r="D657" s="274"/>
      <c r="E657" s="275"/>
      <c r="F657" s="276"/>
      <c r="G657" s="273"/>
    </row>
    <row r="658" ht="15.75" customHeight="1">
      <c r="A658" s="273"/>
      <c r="B658" s="273"/>
      <c r="C658" s="273"/>
      <c r="D658" s="274"/>
      <c r="E658" s="275"/>
      <c r="F658" s="276"/>
      <c r="G658" s="273"/>
    </row>
    <row r="659" ht="15.75" customHeight="1">
      <c r="A659" s="273"/>
      <c r="B659" s="273"/>
      <c r="C659" s="273"/>
      <c r="D659" s="274"/>
      <c r="E659" s="275"/>
      <c r="F659" s="276"/>
      <c r="G659" s="273"/>
    </row>
    <row r="660" ht="15.75" customHeight="1">
      <c r="A660" s="273"/>
      <c r="B660" s="273"/>
      <c r="C660" s="273"/>
      <c r="D660" s="274"/>
      <c r="E660" s="275"/>
      <c r="F660" s="276"/>
      <c r="G660" s="273"/>
    </row>
    <row r="661" ht="15.75" customHeight="1">
      <c r="A661" s="273"/>
      <c r="B661" s="273"/>
      <c r="C661" s="273"/>
      <c r="D661" s="274"/>
      <c r="E661" s="275"/>
      <c r="F661" s="276"/>
      <c r="G661" s="273"/>
    </row>
    <row r="662" ht="15.75" customHeight="1">
      <c r="A662" s="273"/>
      <c r="B662" s="273"/>
      <c r="C662" s="273"/>
      <c r="D662" s="274"/>
      <c r="E662" s="275"/>
      <c r="F662" s="276"/>
      <c r="G662" s="273"/>
    </row>
    <row r="663" ht="15.75" customHeight="1">
      <c r="A663" s="273"/>
      <c r="B663" s="273"/>
      <c r="C663" s="273"/>
      <c r="D663" s="274"/>
      <c r="E663" s="275"/>
      <c r="F663" s="276"/>
      <c r="G663" s="273"/>
    </row>
    <row r="664" ht="15.75" customHeight="1">
      <c r="A664" s="273"/>
      <c r="B664" s="273"/>
      <c r="C664" s="273"/>
      <c r="D664" s="274"/>
      <c r="E664" s="275"/>
      <c r="F664" s="276"/>
      <c r="G664" s="273"/>
    </row>
    <row r="665" ht="15.75" customHeight="1">
      <c r="A665" s="273"/>
      <c r="B665" s="273"/>
      <c r="C665" s="273"/>
      <c r="D665" s="274"/>
      <c r="E665" s="275"/>
      <c r="F665" s="276"/>
      <c r="G665" s="273"/>
    </row>
    <row r="666" ht="15.75" customHeight="1">
      <c r="A666" s="273"/>
      <c r="B666" s="273"/>
      <c r="C666" s="273"/>
      <c r="D666" s="274"/>
      <c r="E666" s="275"/>
      <c r="F666" s="276"/>
      <c r="G666" s="273"/>
    </row>
    <row r="667" ht="15.75" customHeight="1">
      <c r="A667" s="273"/>
      <c r="B667" s="273"/>
      <c r="C667" s="273"/>
      <c r="D667" s="274"/>
      <c r="E667" s="275"/>
      <c r="F667" s="276"/>
      <c r="G667" s="273"/>
    </row>
    <row r="668" ht="15.75" customHeight="1">
      <c r="A668" s="273"/>
      <c r="B668" s="273"/>
      <c r="C668" s="273"/>
      <c r="D668" s="274"/>
      <c r="E668" s="275"/>
      <c r="F668" s="276"/>
      <c r="G668" s="273"/>
    </row>
    <row r="669" ht="15.75" customHeight="1">
      <c r="A669" s="273"/>
      <c r="B669" s="273"/>
      <c r="C669" s="273"/>
      <c r="D669" s="274"/>
      <c r="E669" s="275"/>
      <c r="F669" s="276"/>
      <c r="G669" s="273"/>
    </row>
    <row r="670" ht="15.75" customHeight="1">
      <c r="A670" s="273"/>
      <c r="B670" s="273"/>
      <c r="C670" s="273"/>
      <c r="D670" s="274"/>
      <c r="E670" s="275"/>
      <c r="F670" s="276"/>
      <c r="G670" s="273"/>
    </row>
    <row r="671" ht="15.75" customHeight="1">
      <c r="A671" s="273"/>
      <c r="B671" s="273"/>
      <c r="C671" s="273"/>
      <c r="D671" s="274"/>
      <c r="E671" s="275"/>
      <c r="F671" s="276"/>
      <c r="G671" s="273"/>
    </row>
    <row r="672" ht="15.75" customHeight="1">
      <c r="A672" s="273"/>
      <c r="B672" s="273"/>
      <c r="C672" s="273"/>
      <c r="D672" s="274"/>
      <c r="E672" s="275"/>
      <c r="F672" s="276"/>
      <c r="G672" s="273"/>
    </row>
    <row r="673" ht="15.75" customHeight="1">
      <c r="A673" s="273"/>
      <c r="B673" s="273"/>
      <c r="C673" s="273"/>
      <c r="D673" s="274"/>
      <c r="E673" s="275"/>
      <c r="F673" s="276"/>
      <c r="G673" s="273"/>
    </row>
    <row r="674" ht="15.75" customHeight="1">
      <c r="A674" s="273"/>
      <c r="B674" s="273"/>
      <c r="C674" s="273"/>
      <c r="D674" s="274"/>
      <c r="E674" s="275"/>
      <c r="F674" s="276"/>
      <c r="G674" s="273"/>
    </row>
    <row r="675" ht="15.75" customHeight="1">
      <c r="A675" s="273"/>
      <c r="B675" s="273"/>
      <c r="C675" s="273"/>
      <c r="D675" s="274"/>
      <c r="E675" s="275"/>
      <c r="F675" s="276"/>
      <c r="G675" s="273"/>
    </row>
    <row r="676" ht="15.75" customHeight="1">
      <c r="A676" s="273"/>
      <c r="B676" s="273"/>
      <c r="C676" s="273"/>
      <c r="D676" s="274"/>
      <c r="E676" s="275"/>
      <c r="F676" s="276"/>
      <c r="G676" s="273"/>
    </row>
    <row r="677" ht="15.75" customHeight="1">
      <c r="A677" s="273"/>
      <c r="B677" s="273"/>
      <c r="C677" s="273"/>
      <c r="D677" s="274"/>
      <c r="E677" s="275"/>
      <c r="F677" s="276"/>
      <c r="G677" s="273"/>
    </row>
    <row r="678" ht="15.75" customHeight="1">
      <c r="A678" s="273"/>
      <c r="B678" s="273"/>
      <c r="C678" s="273"/>
      <c r="D678" s="274"/>
      <c r="E678" s="275"/>
      <c r="F678" s="276"/>
      <c r="G678" s="273"/>
    </row>
    <row r="679" ht="15.75" customHeight="1">
      <c r="A679" s="273"/>
      <c r="B679" s="273"/>
      <c r="C679" s="273"/>
      <c r="D679" s="274"/>
      <c r="E679" s="275"/>
      <c r="F679" s="276"/>
      <c r="G679" s="273"/>
    </row>
    <row r="680" ht="15.75" customHeight="1">
      <c r="A680" s="273"/>
      <c r="B680" s="273"/>
      <c r="C680" s="273"/>
      <c r="D680" s="274"/>
      <c r="E680" s="275"/>
      <c r="F680" s="276"/>
      <c r="G680" s="273"/>
    </row>
    <row r="681" ht="15.75" customHeight="1">
      <c r="A681" s="273"/>
      <c r="B681" s="273"/>
      <c r="C681" s="273"/>
      <c r="D681" s="274"/>
      <c r="E681" s="275"/>
      <c r="F681" s="276"/>
      <c r="G681" s="273"/>
    </row>
    <row r="682" ht="15.75" customHeight="1">
      <c r="A682" s="273"/>
      <c r="B682" s="273"/>
      <c r="C682" s="273"/>
      <c r="D682" s="274"/>
      <c r="E682" s="275"/>
      <c r="F682" s="276"/>
      <c r="G682" s="273"/>
    </row>
    <row r="683" ht="15.75" customHeight="1">
      <c r="A683" s="273"/>
      <c r="B683" s="273"/>
      <c r="C683" s="273"/>
      <c r="D683" s="274"/>
      <c r="E683" s="275"/>
      <c r="F683" s="276"/>
      <c r="G683" s="273"/>
    </row>
    <row r="684" ht="15.75" customHeight="1">
      <c r="A684" s="273"/>
      <c r="B684" s="273"/>
      <c r="C684" s="273"/>
      <c r="D684" s="274"/>
      <c r="E684" s="275"/>
      <c r="F684" s="276"/>
      <c r="G684" s="273"/>
    </row>
    <row r="685" ht="15.75" customHeight="1">
      <c r="A685" s="273"/>
      <c r="B685" s="273"/>
      <c r="C685" s="273"/>
      <c r="D685" s="274"/>
      <c r="E685" s="275"/>
      <c r="F685" s="276"/>
      <c r="G685" s="273"/>
    </row>
    <row r="686" ht="15.75" customHeight="1">
      <c r="A686" s="273"/>
      <c r="B686" s="273"/>
      <c r="C686" s="273"/>
      <c r="D686" s="274"/>
      <c r="E686" s="275"/>
      <c r="F686" s="276"/>
      <c r="G686" s="273"/>
    </row>
    <row r="687" ht="15.75" customHeight="1">
      <c r="A687" s="273"/>
      <c r="B687" s="273"/>
      <c r="C687" s="273"/>
      <c r="D687" s="274"/>
      <c r="E687" s="275"/>
      <c r="F687" s="276"/>
      <c r="G687" s="273"/>
    </row>
    <row r="688" ht="15.75" customHeight="1">
      <c r="A688" s="273"/>
      <c r="B688" s="273"/>
      <c r="C688" s="273"/>
      <c r="D688" s="274"/>
      <c r="E688" s="275"/>
      <c r="F688" s="276"/>
      <c r="G688" s="273"/>
    </row>
    <row r="689" ht="15.75" customHeight="1">
      <c r="A689" s="273"/>
      <c r="B689" s="273"/>
      <c r="C689" s="273"/>
      <c r="D689" s="274"/>
      <c r="E689" s="275"/>
      <c r="F689" s="276"/>
      <c r="G689" s="273"/>
    </row>
    <row r="690" ht="15.75" customHeight="1">
      <c r="A690" s="273"/>
      <c r="B690" s="273"/>
      <c r="C690" s="273"/>
      <c r="D690" s="274"/>
      <c r="E690" s="275"/>
      <c r="F690" s="276"/>
      <c r="G690" s="273"/>
    </row>
    <row r="691" ht="15.75" customHeight="1">
      <c r="A691" s="273"/>
      <c r="B691" s="273"/>
      <c r="C691" s="273"/>
      <c r="D691" s="274"/>
      <c r="E691" s="275"/>
      <c r="F691" s="276"/>
      <c r="G691" s="273"/>
    </row>
    <row r="692" ht="15.75" customHeight="1">
      <c r="A692" s="273"/>
      <c r="B692" s="273"/>
      <c r="C692" s="273"/>
      <c r="D692" s="274"/>
      <c r="E692" s="275"/>
      <c r="F692" s="276"/>
      <c r="G692" s="273"/>
    </row>
    <row r="693" ht="15.75" customHeight="1">
      <c r="A693" s="273"/>
      <c r="B693" s="273"/>
      <c r="C693" s="273"/>
      <c r="D693" s="274"/>
      <c r="E693" s="275"/>
      <c r="F693" s="276"/>
      <c r="G693" s="273"/>
    </row>
    <row r="694" ht="15.75" customHeight="1">
      <c r="A694" s="273"/>
      <c r="B694" s="273"/>
      <c r="C694" s="273"/>
      <c r="D694" s="274"/>
      <c r="E694" s="275"/>
      <c r="F694" s="276"/>
      <c r="G694" s="273"/>
    </row>
    <row r="695" ht="15.75" customHeight="1">
      <c r="A695" s="273"/>
      <c r="B695" s="273"/>
      <c r="C695" s="273"/>
      <c r="D695" s="274"/>
      <c r="E695" s="275"/>
      <c r="F695" s="276"/>
      <c r="G695" s="273"/>
    </row>
    <row r="696" ht="15.75" customHeight="1">
      <c r="A696" s="273"/>
      <c r="B696" s="273"/>
      <c r="C696" s="273"/>
      <c r="D696" s="274"/>
      <c r="E696" s="275"/>
      <c r="F696" s="276"/>
      <c r="G696" s="273"/>
    </row>
    <row r="697" ht="15.75" customHeight="1">
      <c r="A697" s="273"/>
      <c r="B697" s="273"/>
      <c r="C697" s="273"/>
      <c r="D697" s="274"/>
      <c r="E697" s="275"/>
      <c r="F697" s="276"/>
      <c r="G697" s="273"/>
    </row>
    <row r="698" ht="15.75" customHeight="1">
      <c r="A698" s="273"/>
      <c r="B698" s="273"/>
      <c r="C698" s="273"/>
      <c r="D698" s="274"/>
      <c r="E698" s="275"/>
      <c r="F698" s="276"/>
      <c r="G698" s="273"/>
    </row>
    <row r="699" ht="15.75" customHeight="1">
      <c r="A699" s="273"/>
      <c r="B699" s="273"/>
      <c r="C699" s="273"/>
      <c r="D699" s="274"/>
      <c r="E699" s="275"/>
      <c r="F699" s="276"/>
      <c r="G699" s="273"/>
    </row>
    <row r="700" ht="15.75" customHeight="1">
      <c r="A700" s="273"/>
      <c r="B700" s="273"/>
      <c r="C700" s="273"/>
      <c r="D700" s="274"/>
      <c r="E700" s="275"/>
      <c r="F700" s="276"/>
      <c r="G700" s="273"/>
    </row>
    <row r="701" ht="15.75" customHeight="1">
      <c r="A701" s="273"/>
      <c r="B701" s="273"/>
      <c r="C701" s="273"/>
      <c r="D701" s="274"/>
      <c r="E701" s="275"/>
      <c r="F701" s="276"/>
      <c r="G701" s="273"/>
    </row>
    <row r="702" ht="15.75" customHeight="1">
      <c r="A702" s="273"/>
      <c r="B702" s="273"/>
      <c r="C702" s="273"/>
      <c r="D702" s="274"/>
      <c r="E702" s="275"/>
      <c r="F702" s="276"/>
      <c r="G702" s="273"/>
    </row>
    <row r="703" ht="15.75" customHeight="1">
      <c r="A703" s="273"/>
      <c r="B703" s="273"/>
      <c r="C703" s="273"/>
      <c r="D703" s="274"/>
      <c r="E703" s="275"/>
      <c r="F703" s="276"/>
      <c r="G703" s="273"/>
    </row>
    <row r="704" ht="15.75" customHeight="1">
      <c r="A704" s="273"/>
      <c r="B704" s="273"/>
      <c r="C704" s="273"/>
      <c r="D704" s="274"/>
      <c r="E704" s="275"/>
      <c r="F704" s="276"/>
      <c r="G704" s="273"/>
    </row>
    <row r="705" ht="15.75" customHeight="1">
      <c r="A705" s="273"/>
      <c r="B705" s="273"/>
      <c r="C705" s="273"/>
      <c r="D705" s="274"/>
      <c r="E705" s="275"/>
      <c r="F705" s="276"/>
      <c r="G705" s="273"/>
    </row>
    <row r="706" ht="15.75" customHeight="1">
      <c r="A706" s="273"/>
      <c r="B706" s="273"/>
      <c r="C706" s="273"/>
      <c r="D706" s="274"/>
      <c r="E706" s="275"/>
      <c r="F706" s="276"/>
      <c r="G706" s="273"/>
    </row>
    <row r="707" ht="15.75" customHeight="1">
      <c r="A707" s="273"/>
      <c r="B707" s="273"/>
      <c r="C707" s="273"/>
      <c r="D707" s="274"/>
      <c r="E707" s="275"/>
      <c r="F707" s="276"/>
      <c r="G707" s="273"/>
    </row>
    <row r="708" ht="15.75" customHeight="1">
      <c r="A708" s="273"/>
      <c r="B708" s="273"/>
      <c r="C708" s="273"/>
      <c r="D708" s="274"/>
      <c r="E708" s="275"/>
      <c r="F708" s="276"/>
      <c r="G708" s="273"/>
    </row>
    <row r="709" ht="15.75" customHeight="1">
      <c r="A709" s="273"/>
      <c r="B709" s="273"/>
      <c r="C709" s="273"/>
      <c r="D709" s="274"/>
      <c r="E709" s="275"/>
      <c r="F709" s="276"/>
      <c r="G709" s="273"/>
    </row>
    <row r="710" ht="15.75" customHeight="1">
      <c r="A710" s="273"/>
      <c r="B710" s="273"/>
      <c r="C710" s="273"/>
      <c r="D710" s="274"/>
      <c r="E710" s="275"/>
      <c r="F710" s="276"/>
      <c r="G710" s="273"/>
    </row>
    <row r="711" ht="15.75" customHeight="1">
      <c r="A711" s="273"/>
      <c r="B711" s="273"/>
      <c r="C711" s="273"/>
      <c r="D711" s="274"/>
      <c r="E711" s="275"/>
      <c r="F711" s="276"/>
      <c r="G711" s="273"/>
    </row>
    <row r="712" ht="15.75" customHeight="1">
      <c r="A712" s="273"/>
      <c r="B712" s="273"/>
      <c r="C712" s="273"/>
      <c r="D712" s="274"/>
      <c r="E712" s="275"/>
      <c r="F712" s="276"/>
      <c r="G712" s="273"/>
    </row>
    <row r="713" ht="15.75" customHeight="1">
      <c r="A713" s="273"/>
      <c r="B713" s="273"/>
      <c r="C713" s="273"/>
      <c r="D713" s="274"/>
      <c r="E713" s="275"/>
      <c r="F713" s="276"/>
      <c r="G713" s="273"/>
    </row>
    <row r="714" ht="15.75" customHeight="1">
      <c r="A714" s="273"/>
      <c r="B714" s="273"/>
      <c r="C714" s="273"/>
      <c r="D714" s="274"/>
      <c r="E714" s="275"/>
      <c r="F714" s="276"/>
      <c r="G714" s="273"/>
    </row>
    <row r="715" ht="15.75" customHeight="1">
      <c r="A715" s="273"/>
      <c r="B715" s="273"/>
      <c r="C715" s="273"/>
      <c r="D715" s="274"/>
      <c r="E715" s="275"/>
      <c r="F715" s="276"/>
      <c r="G715" s="273"/>
    </row>
    <row r="716" ht="15.75" customHeight="1">
      <c r="A716" s="273"/>
      <c r="B716" s="273"/>
      <c r="C716" s="273"/>
      <c r="D716" s="274"/>
      <c r="E716" s="275"/>
      <c r="F716" s="276"/>
      <c r="G716" s="273"/>
    </row>
    <row r="717" ht="15.75" customHeight="1">
      <c r="A717" s="273"/>
      <c r="B717" s="273"/>
      <c r="C717" s="273"/>
      <c r="D717" s="274"/>
      <c r="E717" s="275"/>
      <c r="F717" s="276"/>
      <c r="G717" s="273"/>
    </row>
    <row r="718" ht="15.75" customHeight="1">
      <c r="A718" s="273"/>
      <c r="B718" s="273"/>
      <c r="C718" s="273"/>
      <c r="D718" s="274"/>
      <c r="E718" s="275"/>
      <c r="F718" s="276"/>
      <c r="G718" s="273"/>
    </row>
    <row r="719" ht="15.75" customHeight="1">
      <c r="A719" s="273"/>
      <c r="B719" s="273"/>
      <c r="C719" s="273"/>
      <c r="D719" s="274"/>
      <c r="E719" s="275"/>
      <c r="F719" s="276"/>
      <c r="G719" s="273"/>
    </row>
    <row r="720" ht="15.75" customHeight="1">
      <c r="A720" s="273"/>
      <c r="B720" s="273"/>
      <c r="C720" s="273"/>
      <c r="D720" s="274"/>
      <c r="E720" s="275"/>
      <c r="F720" s="276"/>
      <c r="G720" s="273"/>
    </row>
    <row r="721" ht="15.75" customHeight="1">
      <c r="A721" s="273"/>
      <c r="B721" s="273"/>
      <c r="C721" s="273"/>
      <c r="D721" s="274"/>
      <c r="E721" s="275"/>
      <c r="F721" s="276"/>
      <c r="G721" s="273"/>
    </row>
    <row r="722" ht="15.75" customHeight="1">
      <c r="A722" s="273"/>
      <c r="B722" s="273"/>
      <c r="C722" s="273"/>
      <c r="D722" s="274"/>
      <c r="E722" s="275"/>
      <c r="F722" s="276"/>
      <c r="G722" s="273"/>
    </row>
    <row r="723" ht="15.75" customHeight="1">
      <c r="A723" s="273"/>
      <c r="B723" s="273"/>
      <c r="C723" s="273"/>
      <c r="D723" s="274"/>
      <c r="E723" s="275"/>
      <c r="F723" s="276"/>
      <c r="G723" s="273"/>
    </row>
    <row r="724" ht="15.75" customHeight="1">
      <c r="A724" s="273"/>
      <c r="B724" s="273"/>
      <c r="C724" s="273"/>
      <c r="D724" s="274"/>
      <c r="E724" s="275"/>
      <c r="F724" s="276"/>
      <c r="G724" s="273"/>
    </row>
    <row r="725" ht="15.75" customHeight="1">
      <c r="A725" s="273"/>
      <c r="B725" s="273"/>
      <c r="C725" s="273"/>
      <c r="D725" s="274"/>
      <c r="E725" s="275"/>
      <c r="F725" s="276"/>
      <c r="G725" s="273"/>
    </row>
    <row r="726" ht="15.75" customHeight="1">
      <c r="A726" s="273"/>
      <c r="B726" s="273"/>
      <c r="C726" s="273"/>
      <c r="D726" s="274"/>
      <c r="E726" s="275"/>
      <c r="F726" s="276"/>
      <c r="G726" s="273"/>
    </row>
    <row r="727" ht="15.75" customHeight="1">
      <c r="A727" s="273"/>
      <c r="B727" s="273"/>
      <c r="C727" s="273"/>
      <c r="D727" s="274"/>
      <c r="E727" s="275"/>
      <c r="F727" s="276"/>
      <c r="G727" s="273"/>
    </row>
    <row r="728" ht="15.75" customHeight="1">
      <c r="A728" s="273"/>
      <c r="B728" s="273"/>
      <c r="C728" s="273"/>
      <c r="D728" s="274"/>
      <c r="E728" s="275"/>
      <c r="F728" s="276"/>
      <c r="G728" s="273"/>
    </row>
    <row r="729" ht="15.75" customHeight="1">
      <c r="A729" s="273"/>
      <c r="B729" s="273"/>
      <c r="C729" s="273"/>
      <c r="D729" s="274"/>
      <c r="E729" s="275"/>
      <c r="F729" s="276"/>
      <c r="G729" s="273"/>
    </row>
    <row r="730" ht="15.75" customHeight="1">
      <c r="A730" s="273"/>
      <c r="B730" s="273"/>
      <c r="C730" s="273"/>
      <c r="D730" s="274"/>
      <c r="E730" s="275"/>
      <c r="F730" s="276"/>
      <c r="G730" s="273"/>
    </row>
    <row r="731" ht="15.75" customHeight="1">
      <c r="A731" s="273"/>
      <c r="B731" s="273"/>
      <c r="C731" s="273"/>
      <c r="D731" s="274"/>
      <c r="E731" s="275"/>
      <c r="F731" s="276"/>
      <c r="G731" s="273"/>
    </row>
    <row r="732" ht="15.75" customHeight="1">
      <c r="A732" s="273"/>
      <c r="B732" s="273"/>
      <c r="C732" s="273"/>
      <c r="D732" s="274"/>
      <c r="E732" s="275"/>
      <c r="F732" s="276"/>
      <c r="G732" s="273"/>
    </row>
    <row r="733" ht="15.75" customHeight="1">
      <c r="A733" s="273"/>
      <c r="B733" s="273"/>
      <c r="C733" s="273"/>
      <c r="D733" s="274"/>
      <c r="E733" s="275"/>
      <c r="F733" s="276"/>
      <c r="G733" s="273"/>
    </row>
    <row r="734" ht="15.75" customHeight="1">
      <c r="A734" s="273"/>
      <c r="B734" s="273"/>
      <c r="C734" s="273"/>
      <c r="D734" s="274"/>
      <c r="E734" s="275"/>
      <c r="F734" s="276"/>
      <c r="G734" s="273"/>
    </row>
    <row r="735" ht="15.75" customHeight="1">
      <c r="A735" s="273"/>
      <c r="B735" s="273"/>
      <c r="C735" s="273"/>
      <c r="D735" s="274"/>
      <c r="E735" s="275"/>
      <c r="F735" s="276"/>
      <c r="G735" s="273"/>
    </row>
    <row r="736" ht="15.75" customHeight="1">
      <c r="A736" s="273"/>
      <c r="B736" s="273"/>
      <c r="C736" s="273"/>
      <c r="D736" s="274"/>
      <c r="E736" s="275"/>
      <c r="F736" s="276"/>
      <c r="G736" s="273"/>
    </row>
    <row r="737" ht="15.75" customHeight="1">
      <c r="A737" s="273"/>
      <c r="B737" s="273"/>
      <c r="C737" s="273"/>
      <c r="D737" s="274"/>
      <c r="E737" s="275"/>
      <c r="F737" s="276"/>
      <c r="G737" s="273"/>
    </row>
    <row r="738" ht="15.75" customHeight="1">
      <c r="A738" s="273"/>
      <c r="B738" s="273"/>
      <c r="C738" s="273"/>
      <c r="D738" s="274"/>
      <c r="E738" s="275"/>
      <c r="F738" s="276"/>
      <c r="G738" s="273"/>
    </row>
    <row r="739" ht="15.75" customHeight="1">
      <c r="A739" s="273"/>
      <c r="B739" s="273"/>
      <c r="C739" s="273"/>
      <c r="D739" s="274"/>
      <c r="E739" s="275"/>
      <c r="F739" s="276"/>
      <c r="G739" s="273"/>
    </row>
    <row r="740" ht="15.75" customHeight="1">
      <c r="A740" s="273"/>
      <c r="B740" s="273"/>
      <c r="C740" s="273"/>
      <c r="D740" s="274"/>
      <c r="E740" s="275"/>
      <c r="F740" s="276"/>
      <c r="G740" s="273"/>
    </row>
    <row r="741" ht="15.75" customHeight="1">
      <c r="A741" s="273"/>
      <c r="B741" s="273"/>
      <c r="C741" s="273"/>
      <c r="D741" s="274"/>
      <c r="E741" s="275"/>
      <c r="F741" s="276"/>
      <c r="G741" s="273"/>
    </row>
    <row r="742" ht="15.75" customHeight="1">
      <c r="A742" s="273"/>
      <c r="B742" s="273"/>
      <c r="C742" s="273"/>
      <c r="D742" s="274"/>
      <c r="E742" s="275"/>
      <c r="F742" s="276"/>
      <c r="G742" s="273"/>
    </row>
    <row r="743" ht="15.75" customHeight="1">
      <c r="A743" s="273"/>
      <c r="B743" s="273"/>
      <c r="C743" s="273"/>
      <c r="D743" s="274"/>
      <c r="E743" s="275"/>
      <c r="F743" s="276"/>
      <c r="G743" s="273"/>
    </row>
    <row r="744" ht="15.75" customHeight="1">
      <c r="A744" s="273"/>
      <c r="B744" s="273"/>
      <c r="C744" s="273"/>
      <c r="D744" s="274"/>
      <c r="E744" s="275"/>
      <c r="F744" s="276"/>
      <c r="G744" s="273"/>
    </row>
    <row r="745" ht="15.75" customHeight="1">
      <c r="A745" s="273"/>
      <c r="B745" s="273"/>
      <c r="C745" s="273"/>
      <c r="D745" s="274"/>
      <c r="E745" s="275"/>
      <c r="F745" s="276"/>
      <c r="G745" s="273"/>
    </row>
    <row r="746" ht="15.75" customHeight="1">
      <c r="A746" s="273"/>
      <c r="B746" s="273"/>
      <c r="C746" s="273"/>
      <c r="D746" s="274"/>
      <c r="E746" s="275"/>
      <c r="F746" s="276"/>
      <c r="G746" s="273"/>
    </row>
    <row r="747" ht="15.75" customHeight="1">
      <c r="A747" s="273"/>
      <c r="B747" s="273"/>
      <c r="C747" s="273"/>
      <c r="D747" s="274"/>
      <c r="E747" s="275"/>
      <c r="F747" s="276"/>
      <c r="G747" s="273"/>
    </row>
    <row r="748" ht="15.75" customHeight="1">
      <c r="A748" s="273"/>
      <c r="B748" s="273"/>
      <c r="C748" s="273"/>
      <c r="D748" s="274"/>
      <c r="E748" s="275"/>
      <c r="F748" s="276"/>
      <c r="G748" s="273"/>
    </row>
    <row r="749" ht="15.75" customHeight="1">
      <c r="A749" s="273"/>
      <c r="B749" s="273"/>
      <c r="C749" s="273"/>
      <c r="D749" s="274"/>
      <c r="E749" s="275"/>
      <c r="F749" s="276"/>
      <c r="G749" s="273"/>
    </row>
    <row r="750" ht="15.75" customHeight="1">
      <c r="A750" s="273"/>
      <c r="B750" s="273"/>
      <c r="C750" s="273"/>
      <c r="D750" s="274"/>
      <c r="E750" s="275"/>
      <c r="F750" s="276"/>
      <c r="G750" s="273"/>
    </row>
    <row r="751" ht="15.75" customHeight="1">
      <c r="A751" s="273"/>
      <c r="B751" s="273"/>
      <c r="C751" s="273"/>
      <c r="D751" s="274"/>
      <c r="E751" s="275"/>
      <c r="F751" s="276"/>
      <c r="G751" s="273"/>
    </row>
    <row r="752" ht="15.75" customHeight="1">
      <c r="A752" s="273"/>
      <c r="B752" s="273"/>
      <c r="C752" s="273"/>
      <c r="D752" s="274"/>
      <c r="E752" s="275"/>
      <c r="F752" s="276"/>
      <c r="G752" s="273"/>
    </row>
    <row r="753" ht="15.75" customHeight="1">
      <c r="A753" s="273"/>
      <c r="B753" s="273"/>
      <c r="C753" s="273"/>
      <c r="D753" s="274"/>
      <c r="E753" s="275"/>
      <c r="F753" s="276"/>
      <c r="G753" s="273"/>
    </row>
    <row r="754" ht="15.75" customHeight="1">
      <c r="A754" s="273"/>
      <c r="B754" s="273"/>
      <c r="C754" s="273"/>
      <c r="D754" s="274"/>
      <c r="E754" s="275"/>
      <c r="F754" s="276"/>
      <c r="G754" s="273"/>
    </row>
    <row r="755" ht="15.75" customHeight="1">
      <c r="A755" s="273"/>
      <c r="B755" s="273"/>
      <c r="C755" s="273"/>
      <c r="D755" s="274"/>
      <c r="E755" s="275"/>
      <c r="F755" s="276"/>
      <c r="G755" s="273"/>
    </row>
    <row r="756" ht="15.75" customHeight="1">
      <c r="A756" s="273"/>
      <c r="B756" s="273"/>
      <c r="C756" s="273"/>
      <c r="D756" s="274"/>
      <c r="E756" s="275"/>
      <c r="F756" s="276"/>
      <c r="G756" s="273"/>
    </row>
    <row r="757" ht="15.75" customHeight="1">
      <c r="A757" s="273"/>
      <c r="B757" s="273"/>
      <c r="C757" s="273"/>
      <c r="D757" s="274"/>
      <c r="E757" s="275"/>
      <c r="F757" s="276"/>
      <c r="G757" s="273"/>
    </row>
    <row r="758" ht="15.75" customHeight="1">
      <c r="A758" s="273"/>
      <c r="B758" s="273"/>
      <c r="C758" s="273"/>
      <c r="D758" s="274"/>
      <c r="E758" s="275"/>
      <c r="F758" s="276"/>
      <c r="G758" s="273"/>
    </row>
    <row r="759" ht="15.75" customHeight="1">
      <c r="A759" s="273"/>
      <c r="B759" s="273"/>
      <c r="C759" s="273"/>
      <c r="D759" s="274"/>
      <c r="E759" s="275"/>
      <c r="F759" s="276"/>
      <c r="G759" s="273"/>
    </row>
    <row r="760" ht="15.75" customHeight="1">
      <c r="A760" s="273"/>
      <c r="B760" s="273"/>
      <c r="C760" s="273"/>
      <c r="D760" s="274"/>
      <c r="E760" s="275"/>
      <c r="F760" s="276"/>
      <c r="G760" s="273"/>
    </row>
    <row r="761" ht="15.75" customHeight="1">
      <c r="A761" s="273"/>
      <c r="B761" s="273"/>
      <c r="C761" s="273"/>
      <c r="D761" s="274"/>
      <c r="E761" s="275"/>
      <c r="F761" s="276"/>
      <c r="G761" s="273"/>
    </row>
    <row r="762" ht="15.75" customHeight="1">
      <c r="A762" s="273"/>
      <c r="B762" s="273"/>
      <c r="C762" s="273"/>
      <c r="D762" s="274"/>
      <c r="E762" s="275"/>
      <c r="F762" s="276"/>
      <c r="G762" s="273"/>
    </row>
    <row r="763" ht="15.75" customHeight="1">
      <c r="A763" s="273"/>
      <c r="B763" s="273"/>
      <c r="C763" s="273"/>
      <c r="D763" s="274"/>
      <c r="E763" s="275"/>
      <c r="F763" s="276"/>
      <c r="G763" s="273"/>
    </row>
    <row r="764" ht="15.75" customHeight="1">
      <c r="A764" s="273"/>
      <c r="B764" s="273"/>
      <c r="C764" s="273"/>
      <c r="D764" s="274"/>
      <c r="E764" s="275"/>
      <c r="F764" s="276"/>
      <c r="G764" s="273"/>
    </row>
    <row r="765" ht="15.75" customHeight="1">
      <c r="A765" s="273"/>
      <c r="B765" s="273"/>
      <c r="C765" s="273"/>
      <c r="D765" s="274"/>
      <c r="E765" s="275"/>
      <c r="F765" s="276"/>
      <c r="G765" s="273"/>
    </row>
    <row r="766" ht="15.75" customHeight="1">
      <c r="A766" s="273"/>
      <c r="B766" s="273"/>
      <c r="C766" s="273"/>
      <c r="D766" s="274"/>
      <c r="E766" s="275"/>
      <c r="F766" s="276"/>
      <c r="G766" s="273"/>
    </row>
    <row r="767" ht="15.75" customHeight="1">
      <c r="A767" s="273"/>
      <c r="B767" s="273"/>
      <c r="C767" s="273"/>
      <c r="D767" s="274"/>
      <c r="E767" s="275"/>
      <c r="F767" s="276"/>
      <c r="G767" s="273"/>
    </row>
    <row r="768" ht="15.75" customHeight="1">
      <c r="A768" s="273"/>
      <c r="B768" s="273"/>
      <c r="C768" s="273"/>
      <c r="D768" s="274"/>
      <c r="E768" s="275"/>
      <c r="F768" s="276"/>
      <c r="G768" s="273"/>
    </row>
    <row r="769" ht="15.75" customHeight="1">
      <c r="A769" s="273"/>
      <c r="B769" s="273"/>
      <c r="C769" s="273"/>
      <c r="D769" s="274"/>
      <c r="E769" s="275"/>
      <c r="F769" s="276"/>
      <c r="G769" s="273"/>
    </row>
    <row r="770" ht="15.75" customHeight="1">
      <c r="A770" s="273"/>
      <c r="B770" s="273"/>
      <c r="C770" s="273"/>
      <c r="D770" s="274"/>
      <c r="E770" s="275"/>
      <c r="F770" s="276"/>
      <c r="G770" s="273"/>
    </row>
    <row r="771" ht="15.75" customHeight="1">
      <c r="A771" s="273"/>
      <c r="B771" s="273"/>
      <c r="C771" s="273"/>
      <c r="D771" s="274"/>
      <c r="E771" s="275"/>
      <c r="F771" s="276"/>
      <c r="G771" s="273"/>
    </row>
    <row r="772" ht="15.75" customHeight="1">
      <c r="A772" s="273"/>
      <c r="B772" s="273"/>
      <c r="C772" s="273"/>
      <c r="D772" s="274"/>
      <c r="E772" s="275"/>
      <c r="F772" s="276"/>
      <c r="G772" s="273"/>
    </row>
    <row r="773" ht="15.75" customHeight="1">
      <c r="A773" s="273"/>
      <c r="B773" s="273"/>
      <c r="C773" s="273"/>
      <c r="D773" s="274"/>
      <c r="E773" s="275"/>
      <c r="F773" s="276"/>
      <c r="G773" s="273"/>
    </row>
    <row r="774" ht="15.75" customHeight="1">
      <c r="A774" s="273"/>
      <c r="B774" s="273"/>
      <c r="C774" s="273"/>
      <c r="D774" s="274"/>
      <c r="E774" s="275"/>
      <c r="F774" s="276"/>
      <c r="G774" s="273"/>
    </row>
    <row r="775" ht="15.75" customHeight="1">
      <c r="A775" s="273"/>
      <c r="B775" s="273"/>
      <c r="C775" s="273"/>
      <c r="D775" s="274"/>
      <c r="E775" s="275"/>
      <c r="F775" s="276"/>
      <c r="G775" s="273"/>
    </row>
    <row r="776" ht="15.75" customHeight="1">
      <c r="A776" s="273"/>
      <c r="B776" s="273"/>
      <c r="C776" s="273"/>
      <c r="D776" s="274"/>
      <c r="E776" s="275"/>
      <c r="F776" s="276"/>
      <c r="G776" s="273"/>
    </row>
    <row r="777" ht="15.75" customHeight="1">
      <c r="A777" s="273"/>
      <c r="B777" s="273"/>
      <c r="C777" s="273"/>
      <c r="D777" s="274"/>
      <c r="E777" s="275"/>
      <c r="F777" s="276"/>
      <c r="G777" s="273"/>
    </row>
    <row r="778" ht="15.75" customHeight="1">
      <c r="A778" s="273"/>
      <c r="B778" s="273"/>
      <c r="C778" s="273"/>
      <c r="D778" s="274"/>
      <c r="E778" s="275"/>
      <c r="F778" s="276"/>
      <c r="G778" s="273"/>
    </row>
    <row r="779" ht="15.75" customHeight="1">
      <c r="A779" s="273"/>
      <c r="B779" s="273"/>
      <c r="C779" s="273"/>
      <c r="D779" s="274"/>
      <c r="E779" s="275"/>
      <c r="F779" s="276"/>
      <c r="G779" s="273"/>
    </row>
    <row r="780" ht="15.75" customHeight="1">
      <c r="A780" s="273"/>
      <c r="B780" s="273"/>
      <c r="C780" s="273"/>
      <c r="D780" s="274"/>
      <c r="E780" s="275"/>
      <c r="F780" s="276"/>
      <c r="G780" s="273"/>
    </row>
    <row r="781" ht="15.75" customHeight="1">
      <c r="A781" s="273"/>
      <c r="B781" s="273"/>
      <c r="C781" s="273"/>
      <c r="D781" s="274"/>
      <c r="E781" s="275"/>
      <c r="F781" s="276"/>
      <c r="G781" s="273"/>
    </row>
    <row r="782" ht="15.75" customHeight="1">
      <c r="A782" s="273"/>
      <c r="B782" s="273"/>
      <c r="C782" s="273"/>
      <c r="D782" s="274"/>
      <c r="E782" s="275"/>
      <c r="F782" s="276"/>
      <c r="G782" s="273"/>
    </row>
    <row r="783" ht="15.75" customHeight="1">
      <c r="A783" s="273"/>
      <c r="B783" s="273"/>
      <c r="C783" s="273"/>
      <c r="D783" s="274"/>
      <c r="E783" s="275"/>
      <c r="F783" s="276"/>
      <c r="G783" s="273"/>
    </row>
    <row r="784" ht="15.75" customHeight="1">
      <c r="A784" s="273"/>
      <c r="B784" s="273"/>
      <c r="C784" s="273"/>
      <c r="D784" s="274"/>
      <c r="E784" s="275"/>
      <c r="F784" s="276"/>
      <c r="G784" s="273"/>
    </row>
    <row r="785" ht="15.75" customHeight="1">
      <c r="A785" s="273"/>
      <c r="B785" s="273"/>
      <c r="C785" s="273"/>
      <c r="D785" s="274"/>
      <c r="E785" s="275"/>
      <c r="F785" s="276"/>
      <c r="G785" s="273"/>
    </row>
    <row r="786" ht="15.75" customHeight="1">
      <c r="A786" s="273"/>
      <c r="B786" s="273"/>
      <c r="C786" s="273"/>
      <c r="D786" s="274"/>
      <c r="E786" s="275"/>
      <c r="F786" s="276"/>
      <c r="G786" s="273"/>
    </row>
    <row r="787" ht="15.75" customHeight="1">
      <c r="A787" s="273"/>
      <c r="B787" s="273"/>
      <c r="C787" s="273"/>
      <c r="D787" s="274"/>
      <c r="E787" s="275"/>
      <c r="F787" s="276"/>
      <c r="G787" s="273"/>
    </row>
    <row r="788" ht="15.75" customHeight="1">
      <c r="A788" s="273"/>
      <c r="B788" s="273"/>
      <c r="C788" s="273"/>
      <c r="D788" s="274"/>
      <c r="E788" s="275"/>
      <c r="F788" s="276"/>
      <c r="G788" s="273"/>
    </row>
    <row r="789" ht="15.75" customHeight="1">
      <c r="A789" s="273"/>
      <c r="B789" s="273"/>
      <c r="C789" s="273"/>
      <c r="D789" s="274"/>
      <c r="E789" s="275"/>
      <c r="F789" s="276"/>
      <c r="G789" s="273"/>
    </row>
    <row r="790" ht="15.75" customHeight="1">
      <c r="A790" s="273"/>
      <c r="B790" s="273"/>
      <c r="C790" s="273"/>
      <c r="D790" s="274"/>
      <c r="E790" s="275"/>
      <c r="F790" s="276"/>
      <c r="G790" s="273"/>
    </row>
    <row r="791" ht="15.75" customHeight="1">
      <c r="A791" s="273"/>
      <c r="B791" s="273"/>
      <c r="C791" s="273"/>
      <c r="D791" s="274"/>
      <c r="E791" s="275"/>
      <c r="F791" s="276"/>
      <c r="G791" s="273"/>
    </row>
    <row r="792" ht="15.75" customHeight="1">
      <c r="A792" s="273"/>
      <c r="B792" s="273"/>
      <c r="C792" s="273"/>
      <c r="D792" s="274"/>
      <c r="E792" s="275"/>
      <c r="F792" s="276"/>
      <c r="G792" s="273"/>
    </row>
    <row r="793" ht="15.75" customHeight="1">
      <c r="A793" s="273"/>
      <c r="B793" s="273"/>
      <c r="C793" s="273"/>
      <c r="D793" s="274"/>
      <c r="E793" s="275"/>
      <c r="F793" s="276"/>
      <c r="G793" s="273"/>
    </row>
    <row r="794" ht="15.75" customHeight="1">
      <c r="A794" s="273"/>
      <c r="B794" s="273"/>
      <c r="C794" s="273"/>
      <c r="D794" s="274"/>
      <c r="E794" s="275"/>
      <c r="F794" s="276"/>
      <c r="G794" s="273"/>
    </row>
    <row r="795" ht="15.75" customHeight="1">
      <c r="A795" s="273"/>
      <c r="B795" s="273"/>
      <c r="C795" s="273"/>
      <c r="D795" s="274"/>
      <c r="E795" s="275"/>
      <c r="F795" s="276"/>
      <c r="G795" s="273"/>
    </row>
    <row r="796" ht="15.75" customHeight="1">
      <c r="A796" s="273"/>
      <c r="B796" s="273"/>
      <c r="C796" s="273"/>
      <c r="D796" s="274"/>
      <c r="E796" s="275"/>
      <c r="F796" s="276"/>
      <c r="G796" s="273"/>
    </row>
    <row r="797" ht="15.75" customHeight="1">
      <c r="A797" s="273"/>
      <c r="B797" s="273"/>
      <c r="C797" s="273"/>
      <c r="D797" s="274"/>
      <c r="E797" s="275"/>
      <c r="F797" s="276"/>
      <c r="G797" s="273"/>
    </row>
    <row r="798" ht="15.75" customHeight="1">
      <c r="A798" s="273"/>
      <c r="B798" s="273"/>
      <c r="C798" s="273"/>
      <c r="D798" s="274"/>
      <c r="E798" s="275"/>
      <c r="F798" s="276"/>
      <c r="G798" s="273"/>
    </row>
    <row r="799" ht="15.75" customHeight="1">
      <c r="A799" s="273"/>
      <c r="B799" s="273"/>
      <c r="C799" s="273"/>
      <c r="D799" s="274"/>
      <c r="E799" s="275"/>
      <c r="F799" s="276"/>
      <c r="G799" s="273"/>
    </row>
    <row r="800" ht="15.75" customHeight="1">
      <c r="A800" s="273"/>
      <c r="B800" s="273"/>
      <c r="C800" s="273"/>
      <c r="D800" s="274"/>
      <c r="E800" s="275"/>
      <c r="F800" s="276"/>
      <c r="G800" s="273"/>
    </row>
    <row r="801" ht="15.75" customHeight="1">
      <c r="A801" s="273"/>
      <c r="B801" s="273"/>
      <c r="C801" s="273"/>
      <c r="D801" s="274"/>
      <c r="E801" s="275"/>
      <c r="F801" s="276"/>
      <c r="G801" s="273"/>
    </row>
    <row r="802" ht="15.75" customHeight="1">
      <c r="A802" s="273"/>
      <c r="B802" s="273"/>
      <c r="C802" s="273"/>
      <c r="D802" s="274"/>
      <c r="E802" s="275"/>
      <c r="F802" s="276"/>
      <c r="G802" s="273"/>
    </row>
    <row r="803" ht="15.75" customHeight="1">
      <c r="A803" s="273"/>
      <c r="B803" s="273"/>
      <c r="C803" s="273"/>
      <c r="D803" s="274"/>
      <c r="E803" s="275"/>
      <c r="F803" s="276"/>
      <c r="G803" s="273"/>
    </row>
    <row r="804" ht="15.75" customHeight="1">
      <c r="A804" s="273"/>
      <c r="B804" s="273"/>
      <c r="C804" s="273"/>
      <c r="D804" s="274"/>
      <c r="E804" s="275"/>
      <c r="F804" s="276"/>
      <c r="G804" s="273"/>
    </row>
    <row r="805" ht="15.75" customHeight="1">
      <c r="A805" s="273"/>
      <c r="B805" s="273"/>
      <c r="C805" s="273"/>
      <c r="D805" s="274"/>
      <c r="E805" s="275"/>
      <c r="F805" s="276"/>
      <c r="G805" s="273"/>
    </row>
    <row r="806" ht="15.75" customHeight="1">
      <c r="A806" s="273"/>
      <c r="B806" s="273"/>
      <c r="C806" s="273"/>
      <c r="D806" s="274"/>
      <c r="E806" s="275"/>
      <c r="F806" s="276"/>
      <c r="G806" s="273"/>
    </row>
    <row r="807" ht="15.75" customHeight="1">
      <c r="A807" s="273"/>
      <c r="B807" s="273"/>
      <c r="C807" s="273"/>
      <c r="D807" s="274"/>
      <c r="E807" s="275"/>
      <c r="F807" s="276"/>
      <c r="G807" s="273"/>
    </row>
    <row r="808" ht="15.75" customHeight="1">
      <c r="A808" s="273"/>
      <c r="B808" s="273"/>
      <c r="C808" s="273"/>
      <c r="D808" s="274"/>
      <c r="E808" s="275"/>
      <c r="F808" s="276"/>
      <c r="G808" s="273"/>
    </row>
    <row r="809" ht="15.75" customHeight="1">
      <c r="A809" s="273"/>
      <c r="B809" s="273"/>
      <c r="C809" s="273"/>
      <c r="D809" s="274"/>
      <c r="E809" s="275"/>
      <c r="F809" s="276"/>
      <c r="G809" s="273"/>
    </row>
    <row r="810" ht="15.75" customHeight="1">
      <c r="A810" s="273"/>
      <c r="B810" s="273"/>
      <c r="C810" s="273"/>
      <c r="D810" s="274"/>
      <c r="E810" s="275"/>
      <c r="F810" s="276"/>
      <c r="G810" s="273"/>
    </row>
    <row r="811" ht="15.75" customHeight="1">
      <c r="A811" s="273"/>
      <c r="B811" s="273"/>
      <c r="C811" s="273"/>
      <c r="D811" s="274"/>
      <c r="E811" s="275"/>
      <c r="F811" s="276"/>
      <c r="G811" s="273"/>
    </row>
    <row r="812" ht="15.75" customHeight="1">
      <c r="A812" s="273"/>
      <c r="B812" s="273"/>
      <c r="C812" s="273"/>
      <c r="D812" s="274"/>
      <c r="E812" s="275"/>
      <c r="F812" s="276"/>
      <c r="G812" s="273"/>
    </row>
    <row r="813" ht="15.75" customHeight="1">
      <c r="A813" s="273"/>
      <c r="B813" s="273"/>
      <c r="C813" s="273"/>
      <c r="D813" s="274"/>
      <c r="E813" s="275"/>
      <c r="F813" s="276"/>
      <c r="G813" s="273"/>
    </row>
    <row r="814" ht="15.75" customHeight="1">
      <c r="A814" s="273"/>
      <c r="B814" s="273"/>
      <c r="C814" s="273"/>
      <c r="D814" s="274"/>
      <c r="E814" s="275"/>
      <c r="F814" s="276"/>
      <c r="G814" s="273"/>
    </row>
    <row r="815" ht="15.75" customHeight="1">
      <c r="A815" s="273"/>
      <c r="B815" s="273"/>
      <c r="C815" s="273"/>
      <c r="D815" s="274"/>
      <c r="E815" s="275"/>
      <c r="F815" s="276"/>
      <c r="G815" s="273"/>
    </row>
    <row r="816" ht="15.75" customHeight="1">
      <c r="A816" s="273"/>
      <c r="B816" s="273"/>
      <c r="C816" s="273"/>
      <c r="D816" s="274"/>
      <c r="E816" s="275"/>
      <c r="F816" s="276"/>
      <c r="G816" s="273"/>
    </row>
    <row r="817" ht="15.75" customHeight="1">
      <c r="A817" s="273"/>
      <c r="B817" s="273"/>
      <c r="C817" s="273"/>
      <c r="D817" s="274"/>
      <c r="E817" s="275"/>
      <c r="F817" s="276"/>
      <c r="G817" s="273"/>
    </row>
    <row r="818" ht="15.75" customHeight="1">
      <c r="A818" s="273"/>
      <c r="B818" s="273"/>
      <c r="C818" s="273"/>
      <c r="D818" s="274"/>
      <c r="E818" s="275"/>
      <c r="F818" s="276"/>
      <c r="G818" s="273"/>
    </row>
    <row r="819" ht="15.75" customHeight="1">
      <c r="A819" s="273"/>
      <c r="B819" s="273"/>
      <c r="C819" s="273"/>
      <c r="D819" s="274"/>
      <c r="E819" s="275"/>
      <c r="F819" s="276"/>
      <c r="G819" s="273"/>
    </row>
    <row r="820" ht="15.75" customHeight="1">
      <c r="A820" s="273"/>
      <c r="B820" s="273"/>
      <c r="C820" s="273"/>
      <c r="D820" s="274"/>
      <c r="E820" s="275"/>
      <c r="F820" s="276"/>
      <c r="G820" s="273"/>
    </row>
    <row r="821" ht="15.75" customHeight="1">
      <c r="A821" s="273"/>
      <c r="B821" s="273"/>
      <c r="C821" s="273"/>
      <c r="D821" s="274"/>
      <c r="E821" s="275"/>
      <c r="F821" s="276"/>
      <c r="G821" s="273"/>
    </row>
    <row r="822" ht="15.75" customHeight="1">
      <c r="A822" s="273"/>
      <c r="B822" s="273"/>
      <c r="C822" s="273"/>
      <c r="D822" s="274"/>
      <c r="E822" s="275"/>
      <c r="F822" s="276"/>
      <c r="G822" s="273"/>
    </row>
    <row r="823" ht="15.75" customHeight="1">
      <c r="A823" s="273"/>
      <c r="B823" s="273"/>
      <c r="C823" s="273"/>
      <c r="D823" s="274"/>
      <c r="E823" s="275"/>
      <c r="F823" s="276"/>
      <c r="G823" s="273"/>
    </row>
    <row r="824" ht="15.75" customHeight="1">
      <c r="A824" s="273"/>
      <c r="B824" s="273"/>
      <c r="C824" s="273"/>
      <c r="D824" s="274"/>
      <c r="E824" s="275"/>
      <c r="F824" s="276"/>
      <c r="G824" s="273"/>
    </row>
    <row r="825" ht="15.75" customHeight="1">
      <c r="A825" s="273"/>
      <c r="B825" s="273"/>
      <c r="C825" s="273"/>
      <c r="D825" s="274"/>
      <c r="E825" s="275"/>
      <c r="F825" s="276"/>
      <c r="G825" s="273"/>
    </row>
    <row r="826" ht="15.75" customHeight="1">
      <c r="A826" s="273"/>
      <c r="B826" s="273"/>
      <c r="C826" s="273"/>
      <c r="D826" s="274"/>
      <c r="E826" s="275"/>
      <c r="F826" s="276"/>
      <c r="G826" s="273"/>
    </row>
    <row r="827" ht="15.75" customHeight="1">
      <c r="A827" s="273"/>
      <c r="B827" s="273"/>
      <c r="C827" s="273"/>
      <c r="D827" s="274"/>
      <c r="E827" s="275"/>
      <c r="F827" s="276"/>
      <c r="G827" s="273"/>
    </row>
    <row r="828" ht="15.75" customHeight="1">
      <c r="A828" s="273"/>
      <c r="B828" s="273"/>
      <c r="C828" s="273"/>
      <c r="D828" s="274"/>
      <c r="E828" s="275"/>
      <c r="F828" s="276"/>
      <c r="G828" s="273"/>
    </row>
    <row r="829" ht="15.75" customHeight="1">
      <c r="A829" s="273"/>
      <c r="B829" s="273"/>
      <c r="C829" s="273"/>
      <c r="D829" s="274"/>
      <c r="E829" s="275"/>
      <c r="F829" s="276"/>
      <c r="G829" s="273"/>
    </row>
    <row r="830" ht="15.75" customHeight="1">
      <c r="A830" s="273"/>
      <c r="B830" s="273"/>
      <c r="C830" s="273"/>
      <c r="D830" s="274"/>
      <c r="E830" s="275"/>
      <c r="F830" s="276"/>
      <c r="G830" s="273"/>
    </row>
    <row r="831" ht="15.75" customHeight="1">
      <c r="A831" s="273"/>
      <c r="B831" s="273"/>
      <c r="C831" s="273"/>
      <c r="D831" s="274"/>
      <c r="E831" s="275"/>
      <c r="F831" s="276"/>
      <c r="G831" s="273"/>
    </row>
    <row r="832" ht="15.75" customHeight="1">
      <c r="A832" s="273"/>
      <c r="B832" s="273"/>
      <c r="C832" s="273"/>
      <c r="D832" s="274"/>
      <c r="E832" s="275"/>
      <c r="F832" s="276"/>
      <c r="G832" s="273"/>
    </row>
    <row r="833" ht="15.75" customHeight="1">
      <c r="A833" s="273"/>
      <c r="B833" s="273"/>
      <c r="C833" s="273"/>
      <c r="D833" s="274"/>
      <c r="E833" s="275"/>
      <c r="F833" s="276"/>
      <c r="G833" s="273"/>
    </row>
    <row r="834" ht="15.75" customHeight="1">
      <c r="A834" s="273"/>
      <c r="B834" s="273"/>
      <c r="C834" s="273"/>
      <c r="D834" s="274"/>
      <c r="E834" s="275"/>
      <c r="F834" s="276"/>
      <c r="G834" s="273"/>
    </row>
    <row r="835" ht="15.75" customHeight="1">
      <c r="A835" s="273"/>
      <c r="B835" s="273"/>
      <c r="C835" s="273"/>
      <c r="D835" s="274"/>
      <c r="E835" s="275"/>
      <c r="F835" s="276"/>
      <c r="G835" s="273"/>
    </row>
    <row r="836" ht="15.75" customHeight="1">
      <c r="A836" s="273"/>
      <c r="B836" s="273"/>
      <c r="C836" s="273"/>
      <c r="D836" s="274"/>
      <c r="E836" s="275"/>
      <c r="F836" s="276"/>
      <c r="G836" s="273"/>
    </row>
    <row r="837" ht="15.75" customHeight="1">
      <c r="A837" s="273"/>
      <c r="B837" s="273"/>
      <c r="C837" s="273"/>
      <c r="D837" s="274"/>
      <c r="E837" s="275"/>
      <c r="F837" s="276"/>
      <c r="G837" s="273"/>
    </row>
    <row r="838" ht="15.75" customHeight="1">
      <c r="A838" s="273"/>
      <c r="B838" s="273"/>
      <c r="C838" s="273"/>
      <c r="D838" s="274"/>
      <c r="E838" s="275"/>
      <c r="F838" s="276"/>
      <c r="G838" s="273"/>
    </row>
    <row r="839" ht="15.75" customHeight="1">
      <c r="A839" s="273"/>
      <c r="B839" s="273"/>
      <c r="C839" s="273"/>
      <c r="D839" s="274"/>
      <c r="E839" s="275"/>
      <c r="F839" s="276"/>
      <c r="G839" s="273"/>
    </row>
    <row r="840" ht="15.75" customHeight="1">
      <c r="A840" s="273"/>
      <c r="B840" s="273"/>
      <c r="C840" s="273"/>
      <c r="D840" s="274"/>
      <c r="E840" s="275"/>
      <c r="F840" s="276"/>
      <c r="G840" s="273"/>
    </row>
    <row r="841" ht="15.75" customHeight="1">
      <c r="A841" s="273"/>
      <c r="B841" s="273"/>
      <c r="C841" s="273"/>
      <c r="D841" s="274"/>
      <c r="E841" s="275"/>
      <c r="F841" s="276"/>
      <c r="G841" s="273"/>
    </row>
    <row r="842" ht="15.75" customHeight="1">
      <c r="A842" s="273"/>
      <c r="B842" s="273"/>
      <c r="C842" s="273"/>
      <c r="D842" s="274"/>
      <c r="E842" s="275"/>
      <c r="F842" s="276"/>
      <c r="G842" s="273"/>
    </row>
    <row r="843" ht="15.75" customHeight="1">
      <c r="A843" s="273"/>
      <c r="B843" s="273"/>
      <c r="C843" s="273"/>
      <c r="D843" s="274"/>
      <c r="E843" s="275"/>
      <c r="F843" s="276"/>
      <c r="G843" s="273"/>
    </row>
    <row r="844" ht="15.75" customHeight="1">
      <c r="A844" s="273"/>
      <c r="B844" s="273"/>
      <c r="C844" s="273"/>
      <c r="D844" s="274"/>
      <c r="E844" s="275"/>
      <c r="F844" s="276"/>
      <c r="G844" s="273"/>
    </row>
    <row r="845" ht="15.75" customHeight="1">
      <c r="A845" s="273"/>
      <c r="B845" s="273"/>
      <c r="C845" s="273"/>
      <c r="D845" s="274"/>
      <c r="E845" s="275"/>
      <c r="F845" s="276"/>
      <c r="G845" s="273"/>
    </row>
    <row r="846" ht="15.75" customHeight="1">
      <c r="A846" s="273"/>
      <c r="B846" s="273"/>
      <c r="C846" s="273"/>
      <c r="D846" s="274"/>
      <c r="E846" s="275"/>
      <c r="F846" s="276"/>
      <c r="G846" s="273"/>
    </row>
    <row r="847" ht="15.75" customHeight="1">
      <c r="A847" s="273"/>
      <c r="B847" s="273"/>
      <c r="C847" s="273"/>
      <c r="D847" s="274"/>
      <c r="E847" s="275"/>
      <c r="F847" s="276"/>
      <c r="G847" s="273"/>
    </row>
    <row r="848" ht="15.75" customHeight="1">
      <c r="A848" s="273"/>
      <c r="B848" s="273"/>
      <c r="C848" s="273"/>
      <c r="D848" s="274"/>
      <c r="E848" s="275"/>
      <c r="F848" s="276"/>
      <c r="G848" s="273"/>
    </row>
    <row r="849" ht="15.75" customHeight="1">
      <c r="A849" s="273"/>
      <c r="B849" s="273"/>
      <c r="C849" s="273"/>
      <c r="D849" s="274"/>
      <c r="E849" s="275"/>
      <c r="F849" s="276"/>
      <c r="G849" s="273"/>
    </row>
    <row r="850" ht="15.75" customHeight="1">
      <c r="A850" s="273"/>
      <c r="B850" s="273"/>
      <c r="C850" s="273"/>
      <c r="D850" s="274"/>
      <c r="E850" s="275"/>
      <c r="F850" s="276"/>
      <c r="G850" s="273"/>
    </row>
    <row r="851" ht="15.75" customHeight="1">
      <c r="A851" s="273"/>
      <c r="B851" s="273"/>
      <c r="C851" s="273"/>
      <c r="D851" s="274"/>
      <c r="E851" s="275"/>
      <c r="F851" s="276"/>
      <c r="G851" s="273"/>
    </row>
    <row r="852" ht="15.75" customHeight="1">
      <c r="A852" s="273"/>
      <c r="B852" s="273"/>
      <c r="C852" s="273"/>
      <c r="D852" s="274"/>
      <c r="E852" s="275"/>
      <c r="F852" s="276"/>
      <c r="G852" s="273"/>
    </row>
    <row r="853" ht="15.75" customHeight="1">
      <c r="A853" s="273"/>
      <c r="B853" s="273"/>
      <c r="C853" s="273"/>
      <c r="D853" s="274"/>
      <c r="E853" s="275"/>
      <c r="F853" s="276"/>
      <c r="G853" s="273"/>
    </row>
    <row r="854" ht="15.75" customHeight="1">
      <c r="A854" s="273"/>
      <c r="B854" s="273"/>
      <c r="C854" s="273"/>
      <c r="D854" s="274"/>
      <c r="E854" s="275"/>
      <c r="F854" s="276"/>
      <c r="G854" s="273"/>
    </row>
    <row r="855" ht="15.75" customHeight="1">
      <c r="A855" s="273"/>
      <c r="B855" s="273"/>
      <c r="C855" s="273"/>
      <c r="D855" s="274"/>
      <c r="E855" s="275"/>
      <c r="F855" s="276"/>
      <c r="G855" s="273"/>
    </row>
    <row r="856" ht="15.75" customHeight="1">
      <c r="A856" s="273"/>
      <c r="B856" s="273"/>
      <c r="C856" s="273"/>
      <c r="D856" s="274"/>
      <c r="E856" s="275"/>
      <c r="F856" s="276"/>
      <c r="G856" s="273"/>
    </row>
    <row r="857" ht="15.75" customHeight="1">
      <c r="A857" s="273"/>
      <c r="B857" s="273"/>
      <c r="C857" s="273"/>
      <c r="D857" s="274"/>
      <c r="E857" s="275"/>
      <c r="F857" s="276"/>
      <c r="G857" s="273"/>
    </row>
    <row r="858" ht="15.75" customHeight="1">
      <c r="A858" s="273"/>
      <c r="B858" s="273"/>
      <c r="C858" s="273"/>
      <c r="D858" s="274"/>
      <c r="E858" s="275"/>
      <c r="F858" s="276"/>
      <c r="G858" s="273"/>
    </row>
    <row r="859" ht="15.75" customHeight="1">
      <c r="A859" s="273"/>
      <c r="B859" s="273"/>
      <c r="C859" s="273"/>
      <c r="D859" s="274"/>
      <c r="E859" s="275"/>
      <c r="F859" s="276"/>
      <c r="G859" s="273"/>
    </row>
    <row r="860" ht="15.75" customHeight="1">
      <c r="A860" s="273"/>
      <c r="B860" s="273"/>
      <c r="C860" s="273"/>
      <c r="D860" s="274"/>
      <c r="E860" s="275"/>
      <c r="F860" s="276"/>
      <c r="G860" s="273"/>
    </row>
    <row r="861" ht="15.75" customHeight="1">
      <c r="A861" s="273"/>
      <c r="B861" s="273"/>
      <c r="C861" s="273"/>
      <c r="D861" s="274"/>
      <c r="E861" s="275"/>
      <c r="F861" s="276"/>
      <c r="G861" s="273"/>
    </row>
    <row r="862" ht="15.75" customHeight="1">
      <c r="A862" s="273"/>
      <c r="B862" s="273"/>
      <c r="C862" s="273"/>
      <c r="D862" s="274"/>
      <c r="E862" s="275"/>
      <c r="F862" s="276"/>
      <c r="G862" s="273"/>
    </row>
    <row r="863" ht="15.75" customHeight="1">
      <c r="A863" s="273"/>
      <c r="B863" s="273"/>
      <c r="C863" s="273"/>
      <c r="D863" s="274"/>
      <c r="E863" s="275"/>
      <c r="F863" s="276"/>
      <c r="G863" s="273"/>
    </row>
    <row r="864" ht="15.75" customHeight="1">
      <c r="A864" s="273"/>
      <c r="B864" s="273"/>
      <c r="C864" s="273"/>
      <c r="D864" s="274"/>
      <c r="E864" s="275"/>
      <c r="F864" s="276"/>
      <c r="G864" s="273"/>
    </row>
    <row r="865" ht="15.75" customHeight="1">
      <c r="A865" s="273"/>
      <c r="B865" s="273"/>
      <c r="C865" s="273"/>
      <c r="D865" s="274"/>
      <c r="E865" s="275"/>
      <c r="F865" s="276"/>
      <c r="G865" s="273"/>
    </row>
    <row r="866" ht="15.75" customHeight="1">
      <c r="A866" s="273"/>
      <c r="B866" s="273"/>
      <c r="C866" s="273"/>
      <c r="D866" s="274"/>
      <c r="E866" s="275"/>
      <c r="F866" s="276"/>
      <c r="G866" s="273"/>
    </row>
    <row r="867" ht="15.75" customHeight="1">
      <c r="A867" s="273"/>
      <c r="B867" s="273"/>
      <c r="C867" s="273"/>
      <c r="D867" s="274"/>
      <c r="E867" s="275"/>
      <c r="F867" s="276"/>
      <c r="G867" s="273"/>
    </row>
    <row r="868" ht="15.75" customHeight="1">
      <c r="A868" s="273"/>
      <c r="B868" s="273"/>
      <c r="C868" s="273"/>
      <c r="D868" s="274"/>
      <c r="E868" s="275"/>
      <c r="F868" s="276"/>
      <c r="G868" s="273"/>
    </row>
    <row r="869" ht="15.75" customHeight="1">
      <c r="A869" s="273"/>
      <c r="B869" s="273"/>
      <c r="C869" s="273"/>
      <c r="D869" s="274"/>
      <c r="E869" s="275"/>
      <c r="F869" s="276"/>
      <c r="G869" s="273"/>
    </row>
    <row r="870" ht="15.75" customHeight="1">
      <c r="A870" s="273"/>
      <c r="B870" s="273"/>
      <c r="C870" s="273"/>
      <c r="D870" s="274"/>
      <c r="E870" s="275"/>
      <c r="F870" s="276"/>
      <c r="G870" s="273"/>
    </row>
    <row r="871" ht="15.75" customHeight="1">
      <c r="A871" s="273"/>
      <c r="B871" s="273"/>
      <c r="C871" s="273"/>
      <c r="D871" s="274"/>
      <c r="E871" s="275"/>
      <c r="F871" s="276"/>
      <c r="G871" s="273"/>
    </row>
    <row r="872" ht="15.75" customHeight="1">
      <c r="A872" s="273"/>
      <c r="B872" s="273"/>
      <c r="C872" s="273"/>
      <c r="D872" s="274"/>
      <c r="E872" s="275"/>
      <c r="F872" s="276"/>
      <c r="G872" s="273"/>
    </row>
    <row r="873" ht="15.75" customHeight="1">
      <c r="A873" s="273"/>
      <c r="B873" s="273"/>
      <c r="C873" s="273"/>
      <c r="D873" s="274"/>
      <c r="E873" s="275"/>
      <c r="F873" s="276"/>
      <c r="G873" s="273"/>
    </row>
    <row r="874" ht="15.75" customHeight="1">
      <c r="A874" s="273"/>
      <c r="B874" s="273"/>
      <c r="C874" s="273"/>
      <c r="D874" s="274"/>
      <c r="E874" s="275"/>
      <c r="F874" s="276"/>
      <c r="G874" s="273"/>
    </row>
    <row r="875" ht="15.75" customHeight="1">
      <c r="A875" s="273"/>
      <c r="B875" s="273"/>
      <c r="C875" s="273"/>
      <c r="D875" s="274"/>
      <c r="E875" s="275"/>
      <c r="F875" s="276"/>
      <c r="G875" s="273"/>
    </row>
    <row r="876" ht="15.75" customHeight="1">
      <c r="A876" s="273"/>
      <c r="B876" s="273"/>
      <c r="C876" s="273"/>
      <c r="D876" s="274"/>
      <c r="E876" s="275"/>
      <c r="F876" s="276"/>
      <c r="G876" s="273"/>
    </row>
    <row r="877" ht="15.75" customHeight="1">
      <c r="A877" s="273"/>
      <c r="B877" s="273"/>
      <c r="C877" s="273"/>
      <c r="D877" s="274"/>
      <c r="E877" s="275"/>
      <c r="F877" s="276"/>
      <c r="G877" s="273"/>
    </row>
    <row r="878" ht="15.75" customHeight="1">
      <c r="A878" s="273"/>
      <c r="B878" s="273"/>
      <c r="C878" s="273"/>
      <c r="D878" s="274"/>
      <c r="E878" s="275"/>
      <c r="F878" s="276"/>
      <c r="G878" s="273"/>
    </row>
    <row r="879" ht="15.75" customHeight="1">
      <c r="A879" s="273"/>
      <c r="B879" s="273"/>
      <c r="C879" s="273"/>
      <c r="D879" s="274"/>
      <c r="E879" s="275"/>
      <c r="F879" s="276"/>
      <c r="G879" s="273"/>
    </row>
    <row r="880" ht="15.75" customHeight="1">
      <c r="A880" s="273"/>
      <c r="B880" s="273"/>
      <c r="C880" s="273"/>
      <c r="D880" s="274"/>
      <c r="E880" s="275"/>
      <c r="F880" s="276"/>
      <c r="G880" s="273"/>
    </row>
    <row r="881" ht="15.75" customHeight="1">
      <c r="A881" s="273"/>
      <c r="B881" s="273"/>
      <c r="C881" s="273"/>
      <c r="D881" s="274"/>
      <c r="E881" s="275"/>
      <c r="F881" s="276"/>
      <c r="G881" s="273"/>
    </row>
    <row r="882" ht="15.75" customHeight="1">
      <c r="A882" s="273"/>
      <c r="B882" s="273"/>
      <c r="C882" s="273"/>
      <c r="D882" s="274"/>
      <c r="E882" s="275"/>
      <c r="F882" s="276"/>
      <c r="G882" s="273"/>
    </row>
    <row r="883" ht="15.75" customHeight="1">
      <c r="A883" s="273"/>
      <c r="B883" s="273"/>
      <c r="C883" s="273"/>
      <c r="D883" s="274"/>
      <c r="E883" s="275"/>
      <c r="F883" s="276"/>
      <c r="G883" s="273"/>
    </row>
    <row r="884" ht="15.75" customHeight="1">
      <c r="A884" s="273"/>
      <c r="B884" s="273"/>
      <c r="C884" s="273"/>
      <c r="D884" s="274"/>
      <c r="E884" s="275"/>
      <c r="F884" s="276"/>
      <c r="G884" s="273"/>
    </row>
    <row r="885" ht="15.75" customHeight="1">
      <c r="A885" s="273"/>
      <c r="B885" s="273"/>
      <c r="C885" s="273"/>
      <c r="D885" s="274"/>
      <c r="E885" s="275"/>
      <c r="F885" s="276"/>
      <c r="G885" s="273"/>
    </row>
    <row r="886" ht="15.75" customHeight="1">
      <c r="A886" s="273"/>
      <c r="B886" s="273"/>
      <c r="C886" s="273"/>
      <c r="D886" s="274"/>
      <c r="E886" s="275"/>
      <c r="F886" s="276"/>
      <c r="G886" s="273"/>
    </row>
    <row r="887" ht="15.75" customHeight="1">
      <c r="A887" s="273"/>
      <c r="B887" s="273"/>
      <c r="C887" s="273"/>
      <c r="D887" s="274"/>
      <c r="E887" s="275"/>
      <c r="F887" s="276"/>
      <c r="G887" s="273"/>
    </row>
    <row r="888" ht="15.75" customHeight="1">
      <c r="A888" s="273"/>
      <c r="B888" s="273"/>
      <c r="C888" s="273"/>
      <c r="D888" s="274"/>
      <c r="E888" s="275"/>
      <c r="F888" s="276"/>
      <c r="G888" s="273"/>
    </row>
    <row r="889" ht="15.75" customHeight="1">
      <c r="A889" s="273"/>
      <c r="B889" s="273"/>
      <c r="C889" s="273"/>
      <c r="D889" s="274"/>
      <c r="E889" s="275"/>
      <c r="F889" s="276"/>
      <c r="G889" s="273"/>
    </row>
    <row r="890" ht="15.75" customHeight="1">
      <c r="A890" s="273"/>
      <c r="B890" s="273"/>
      <c r="C890" s="273"/>
      <c r="D890" s="274"/>
      <c r="E890" s="275"/>
      <c r="F890" s="276"/>
      <c r="G890" s="273"/>
    </row>
    <row r="891" ht="15.75" customHeight="1">
      <c r="A891" s="273"/>
      <c r="B891" s="273"/>
      <c r="C891" s="273"/>
      <c r="D891" s="274"/>
      <c r="E891" s="275"/>
      <c r="F891" s="276"/>
      <c r="G891" s="273"/>
    </row>
    <row r="892" ht="15.75" customHeight="1">
      <c r="A892" s="273"/>
      <c r="B892" s="273"/>
      <c r="C892" s="273"/>
      <c r="D892" s="274"/>
      <c r="E892" s="275"/>
      <c r="F892" s="276"/>
      <c r="G892" s="273"/>
    </row>
    <row r="893" ht="15.75" customHeight="1">
      <c r="A893" s="273"/>
      <c r="B893" s="273"/>
      <c r="C893" s="273"/>
      <c r="D893" s="274"/>
      <c r="E893" s="275"/>
      <c r="F893" s="276"/>
      <c r="G893" s="273"/>
    </row>
    <row r="894" ht="15.75" customHeight="1">
      <c r="A894" s="273"/>
      <c r="B894" s="273"/>
      <c r="C894" s="273"/>
      <c r="D894" s="274"/>
      <c r="E894" s="275"/>
      <c r="F894" s="276"/>
      <c r="G894" s="273"/>
    </row>
    <row r="895" ht="15.75" customHeight="1">
      <c r="A895" s="273"/>
      <c r="B895" s="273"/>
      <c r="C895" s="273"/>
      <c r="D895" s="274"/>
      <c r="E895" s="275"/>
      <c r="F895" s="276"/>
      <c r="G895" s="273"/>
    </row>
    <row r="896" ht="15.75" customHeight="1">
      <c r="A896" s="273"/>
      <c r="B896" s="273"/>
      <c r="C896" s="273"/>
      <c r="D896" s="274"/>
      <c r="E896" s="275"/>
      <c r="F896" s="276"/>
      <c r="G896" s="273"/>
    </row>
    <row r="897" ht="15.75" customHeight="1">
      <c r="A897" s="273"/>
      <c r="B897" s="273"/>
      <c r="C897" s="273"/>
      <c r="D897" s="274"/>
      <c r="E897" s="275"/>
      <c r="F897" s="276"/>
      <c r="G897" s="273"/>
    </row>
    <row r="898" ht="15.75" customHeight="1">
      <c r="A898" s="273"/>
      <c r="B898" s="273"/>
      <c r="C898" s="273"/>
      <c r="D898" s="274"/>
      <c r="E898" s="275"/>
      <c r="F898" s="276"/>
      <c r="G898" s="273"/>
    </row>
    <row r="899" ht="15.75" customHeight="1">
      <c r="A899" s="273"/>
      <c r="B899" s="273"/>
      <c r="C899" s="273"/>
      <c r="D899" s="274"/>
      <c r="E899" s="275"/>
      <c r="F899" s="276"/>
      <c r="G899" s="273"/>
    </row>
    <row r="900" ht="15.75" customHeight="1">
      <c r="A900" s="273"/>
      <c r="B900" s="273"/>
      <c r="C900" s="273"/>
      <c r="D900" s="274"/>
      <c r="E900" s="275"/>
      <c r="F900" s="276"/>
      <c r="G900" s="273"/>
    </row>
    <row r="901" ht="15.75" customHeight="1">
      <c r="A901" s="273"/>
      <c r="B901" s="273"/>
      <c r="C901" s="273"/>
      <c r="D901" s="274"/>
      <c r="E901" s="275"/>
      <c r="F901" s="276"/>
      <c r="G901" s="273"/>
    </row>
    <row r="902" ht="15.75" customHeight="1">
      <c r="A902" s="273"/>
      <c r="B902" s="273"/>
      <c r="C902" s="273"/>
      <c r="D902" s="274"/>
      <c r="E902" s="275"/>
      <c r="F902" s="276"/>
      <c r="G902" s="273"/>
    </row>
    <row r="903" ht="15.75" customHeight="1">
      <c r="A903" s="273"/>
      <c r="B903" s="273"/>
      <c r="C903" s="273"/>
      <c r="D903" s="274"/>
      <c r="E903" s="275"/>
      <c r="F903" s="276"/>
      <c r="G903" s="273"/>
    </row>
    <row r="904" ht="15.75" customHeight="1">
      <c r="A904" s="273"/>
      <c r="B904" s="273"/>
      <c r="C904" s="273"/>
      <c r="D904" s="274"/>
      <c r="E904" s="275"/>
      <c r="F904" s="276"/>
      <c r="G904" s="273"/>
    </row>
    <row r="905" ht="15.75" customHeight="1">
      <c r="A905" s="273"/>
      <c r="B905" s="273"/>
      <c r="C905" s="273"/>
      <c r="D905" s="274"/>
      <c r="E905" s="275"/>
      <c r="F905" s="276"/>
      <c r="G905" s="273"/>
    </row>
    <row r="906" ht="15.75" customHeight="1">
      <c r="A906" s="273"/>
      <c r="B906" s="273"/>
      <c r="C906" s="273"/>
      <c r="D906" s="274"/>
      <c r="E906" s="275"/>
      <c r="F906" s="276"/>
      <c r="G906" s="273"/>
    </row>
    <row r="907" ht="15.75" customHeight="1">
      <c r="A907" s="273"/>
      <c r="B907" s="273"/>
      <c r="C907" s="273"/>
      <c r="D907" s="274"/>
      <c r="E907" s="275"/>
      <c r="F907" s="276"/>
      <c r="G907" s="273"/>
    </row>
    <row r="908" ht="15.75" customHeight="1">
      <c r="A908" s="273"/>
      <c r="B908" s="273"/>
      <c r="C908" s="273"/>
      <c r="D908" s="274"/>
      <c r="E908" s="275"/>
      <c r="F908" s="276"/>
      <c r="G908" s="273"/>
    </row>
    <row r="909" ht="15.75" customHeight="1">
      <c r="A909" s="273"/>
      <c r="B909" s="273"/>
      <c r="C909" s="273"/>
      <c r="D909" s="274"/>
      <c r="E909" s="275"/>
      <c r="F909" s="276"/>
      <c r="G909" s="273"/>
    </row>
    <row r="910" ht="15.75" customHeight="1">
      <c r="A910" s="273"/>
      <c r="B910" s="273"/>
      <c r="C910" s="273"/>
      <c r="D910" s="274"/>
      <c r="E910" s="275"/>
      <c r="F910" s="276"/>
      <c r="G910" s="273"/>
    </row>
    <row r="911" ht="15.75" customHeight="1">
      <c r="A911" s="273"/>
      <c r="B911" s="273"/>
      <c r="C911" s="273"/>
      <c r="D911" s="274"/>
      <c r="E911" s="275"/>
      <c r="F911" s="276"/>
      <c r="G911" s="273"/>
    </row>
    <row r="912" ht="15.75" customHeight="1">
      <c r="A912" s="273"/>
      <c r="B912" s="273"/>
      <c r="C912" s="273"/>
      <c r="D912" s="274"/>
      <c r="E912" s="275"/>
      <c r="F912" s="276"/>
      <c r="G912" s="273"/>
    </row>
    <row r="913" ht="15.75" customHeight="1">
      <c r="A913" s="273"/>
      <c r="B913" s="273"/>
      <c r="C913" s="273"/>
      <c r="D913" s="274"/>
      <c r="E913" s="275"/>
      <c r="F913" s="276"/>
      <c r="G913" s="273"/>
    </row>
    <row r="914" ht="15.75" customHeight="1">
      <c r="A914" s="273"/>
      <c r="B914" s="273"/>
      <c r="C914" s="273"/>
      <c r="D914" s="274"/>
      <c r="E914" s="275"/>
      <c r="F914" s="276"/>
      <c r="G914" s="273"/>
    </row>
    <row r="915" ht="15.75" customHeight="1">
      <c r="A915" s="273"/>
      <c r="B915" s="273"/>
      <c r="C915" s="273"/>
      <c r="D915" s="274"/>
      <c r="E915" s="275"/>
      <c r="F915" s="276"/>
      <c r="G915" s="273"/>
    </row>
    <row r="916" ht="15.75" customHeight="1">
      <c r="A916" s="273"/>
      <c r="B916" s="273"/>
      <c r="C916" s="273"/>
      <c r="D916" s="274"/>
      <c r="E916" s="275"/>
      <c r="F916" s="276"/>
      <c r="G916" s="273"/>
    </row>
    <row r="917" ht="15.75" customHeight="1">
      <c r="A917" s="273"/>
      <c r="B917" s="273"/>
      <c r="C917" s="273"/>
      <c r="D917" s="274"/>
      <c r="E917" s="275"/>
      <c r="F917" s="276"/>
      <c r="G917" s="273"/>
    </row>
    <row r="918" ht="15.75" customHeight="1">
      <c r="A918" s="273"/>
      <c r="B918" s="273"/>
      <c r="C918" s="273"/>
      <c r="D918" s="274"/>
      <c r="E918" s="275"/>
      <c r="F918" s="276"/>
      <c r="G918" s="273"/>
    </row>
    <row r="919" ht="15.75" customHeight="1">
      <c r="A919" s="273"/>
      <c r="B919" s="273"/>
      <c r="C919" s="273"/>
      <c r="D919" s="274"/>
      <c r="E919" s="275"/>
      <c r="F919" s="276"/>
      <c r="G919" s="273"/>
    </row>
    <row r="920" ht="15.75" customHeight="1">
      <c r="A920" s="273"/>
      <c r="B920" s="273"/>
      <c r="C920" s="273"/>
      <c r="D920" s="274"/>
      <c r="E920" s="275"/>
      <c r="F920" s="276"/>
      <c r="G920" s="273"/>
    </row>
    <row r="921" ht="15.75" customHeight="1">
      <c r="A921" s="273"/>
      <c r="B921" s="273"/>
      <c r="C921" s="273"/>
      <c r="D921" s="274"/>
      <c r="E921" s="275"/>
      <c r="F921" s="276"/>
      <c r="G921" s="273"/>
    </row>
    <row r="922" ht="15.75" customHeight="1">
      <c r="A922" s="273"/>
      <c r="B922" s="273"/>
      <c r="C922" s="273"/>
      <c r="D922" s="274"/>
      <c r="E922" s="275"/>
      <c r="F922" s="276"/>
      <c r="G922" s="273"/>
    </row>
    <row r="923" ht="15.75" customHeight="1">
      <c r="A923" s="273"/>
      <c r="B923" s="273"/>
      <c r="C923" s="273"/>
      <c r="D923" s="274"/>
      <c r="E923" s="275"/>
      <c r="F923" s="276"/>
      <c r="G923" s="273"/>
    </row>
    <row r="924" ht="15.75" customHeight="1">
      <c r="A924" s="273"/>
      <c r="B924" s="273"/>
      <c r="C924" s="273"/>
      <c r="D924" s="274"/>
      <c r="E924" s="275"/>
      <c r="F924" s="276"/>
      <c r="G924" s="273"/>
    </row>
    <row r="925" ht="15.75" customHeight="1">
      <c r="A925" s="273"/>
      <c r="B925" s="273"/>
      <c r="C925" s="273"/>
      <c r="D925" s="274"/>
      <c r="E925" s="275"/>
      <c r="F925" s="276"/>
      <c r="G925" s="273"/>
    </row>
    <row r="926" ht="15.75" customHeight="1">
      <c r="A926" s="273"/>
      <c r="B926" s="273"/>
      <c r="C926" s="273"/>
      <c r="D926" s="274"/>
      <c r="E926" s="275"/>
      <c r="F926" s="276"/>
      <c r="G926" s="273"/>
    </row>
    <row r="927" ht="15.75" customHeight="1">
      <c r="A927" s="273"/>
      <c r="B927" s="273"/>
      <c r="C927" s="273"/>
      <c r="D927" s="274"/>
      <c r="E927" s="275"/>
      <c r="F927" s="276"/>
      <c r="G927" s="273"/>
    </row>
    <row r="928" ht="15.75" customHeight="1">
      <c r="A928" s="273"/>
      <c r="B928" s="273"/>
      <c r="C928" s="273"/>
      <c r="D928" s="274"/>
      <c r="E928" s="275"/>
      <c r="F928" s="276"/>
      <c r="G928" s="273"/>
    </row>
    <row r="929" ht="15.75" customHeight="1">
      <c r="A929" s="273"/>
      <c r="B929" s="273"/>
      <c r="C929" s="273"/>
      <c r="D929" s="274"/>
      <c r="E929" s="275"/>
      <c r="F929" s="276"/>
      <c r="G929" s="273"/>
    </row>
    <row r="930" ht="15.75" customHeight="1">
      <c r="A930" s="273"/>
      <c r="B930" s="273"/>
      <c r="C930" s="273"/>
      <c r="D930" s="274"/>
      <c r="E930" s="275"/>
      <c r="F930" s="276"/>
      <c r="G930" s="273"/>
    </row>
    <row r="931" ht="15.75" customHeight="1">
      <c r="A931" s="273"/>
      <c r="B931" s="273"/>
      <c r="C931" s="273"/>
      <c r="D931" s="274"/>
      <c r="E931" s="275"/>
      <c r="F931" s="276"/>
      <c r="G931" s="273"/>
    </row>
    <row r="932" ht="15.75" customHeight="1">
      <c r="A932" s="273"/>
      <c r="B932" s="273"/>
      <c r="C932" s="273"/>
      <c r="D932" s="274"/>
      <c r="E932" s="275"/>
      <c r="F932" s="276"/>
      <c r="G932" s="273"/>
    </row>
    <row r="933" ht="15.75" customHeight="1">
      <c r="A933" s="273"/>
      <c r="B933" s="273"/>
      <c r="C933" s="273"/>
      <c r="D933" s="274"/>
      <c r="E933" s="275"/>
      <c r="F933" s="276"/>
      <c r="G933" s="273"/>
    </row>
    <row r="934" ht="15.75" customHeight="1">
      <c r="A934" s="273"/>
      <c r="B934" s="273"/>
      <c r="C934" s="273"/>
      <c r="D934" s="274"/>
      <c r="E934" s="275"/>
      <c r="F934" s="276"/>
      <c r="G934" s="273"/>
    </row>
    <row r="935" ht="15.75" customHeight="1">
      <c r="A935" s="273"/>
      <c r="B935" s="273"/>
      <c r="C935" s="273"/>
      <c r="D935" s="274"/>
      <c r="E935" s="275"/>
      <c r="F935" s="276"/>
      <c r="G935" s="273"/>
    </row>
    <row r="936" ht="15.75" customHeight="1">
      <c r="A936" s="273"/>
      <c r="B936" s="273"/>
      <c r="C936" s="273"/>
      <c r="D936" s="274"/>
      <c r="E936" s="275"/>
      <c r="F936" s="276"/>
      <c r="G936" s="273"/>
    </row>
    <row r="937" ht="15.75" customHeight="1">
      <c r="A937" s="273"/>
      <c r="B937" s="273"/>
      <c r="C937" s="273"/>
      <c r="D937" s="274"/>
      <c r="E937" s="275"/>
      <c r="F937" s="276"/>
      <c r="G937" s="273"/>
    </row>
    <row r="938" ht="15.75" customHeight="1">
      <c r="A938" s="273"/>
      <c r="B938" s="273"/>
      <c r="C938" s="273"/>
      <c r="D938" s="274"/>
      <c r="E938" s="275"/>
      <c r="F938" s="276"/>
      <c r="G938" s="273"/>
    </row>
    <row r="939" ht="15.75" customHeight="1">
      <c r="A939" s="273"/>
      <c r="B939" s="273"/>
      <c r="C939" s="273"/>
      <c r="D939" s="274"/>
      <c r="E939" s="275"/>
      <c r="F939" s="276"/>
      <c r="G939" s="273"/>
    </row>
    <row r="940" ht="15.75" customHeight="1">
      <c r="A940" s="273"/>
      <c r="B940" s="273"/>
      <c r="C940" s="273"/>
      <c r="D940" s="274"/>
      <c r="E940" s="275"/>
      <c r="F940" s="276"/>
      <c r="G940" s="273"/>
    </row>
    <row r="941" ht="15.75" customHeight="1">
      <c r="A941" s="273"/>
      <c r="B941" s="273"/>
      <c r="C941" s="273"/>
      <c r="D941" s="274"/>
      <c r="E941" s="275"/>
      <c r="F941" s="276"/>
      <c r="G941" s="273"/>
    </row>
    <row r="942" ht="15.75" customHeight="1">
      <c r="A942" s="273"/>
      <c r="B942" s="273"/>
      <c r="C942" s="273"/>
      <c r="D942" s="274"/>
      <c r="E942" s="275"/>
      <c r="F942" s="276"/>
      <c r="G942" s="273"/>
    </row>
    <row r="943" ht="15.75" customHeight="1">
      <c r="A943" s="273"/>
      <c r="B943" s="273"/>
      <c r="C943" s="273"/>
      <c r="D943" s="274"/>
      <c r="E943" s="275"/>
      <c r="F943" s="276"/>
      <c r="G943" s="273"/>
    </row>
    <row r="944" ht="15.75" customHeight="1">
      <c r="A944" s="273"/>
      <c r="B944" s="273"/>
      <c r="C944" s="273"/>
      <c r="D944" s="274"/>
      <c r="E944" s="275"/>
      <c r="F944" s="276"/>
      <c r="G944" s="273"/>
    </row>
    <row r="945" ht="15.75" customHeight="1">
      <c r="A945" s="273"/>
      <c r="B945" s="273"/>
      <c r="C945" s="273"/>
      <c r="D945" s="274"/>
      <c r="E945" s="275"/>
      <c r="F945" s="276"/>
      <c r="G945" s="273"/>
    </row>
    <row r="946" ht="15.75" customHeight="1">
      <c r="A946" s="273"/>
      <c r="B946" s="273"/>
      <c r="C946" s="273"/>
      <c r="D946" s="274"/>
      <c r="E946" s="275"/>
      <c r="F946" s="276"/>
      <c r="G946" s="273"/>
    </row>
    <row r="947" ht="15.75" customHeight="1">
      <c r="A947" s="273"/>
      <c r="B947" s="273"/>
      <c r="C947" s="273"/>
      <c r="D947" s="274"/>
      <c r="E947" s="275"/>
      <c r="F947" s="276"/>
      <c r="G947" s="273"/>
    </row>
    <row r="948" ht="15.75" customHeight="1">
      <c r="A948" s="273"/>
      <c r="B948" s="273"/>
      <c r="C948" s="273"/>
      <c r="D948" s="274"/>
      <c r="E948" s="275"/>
      <c r="F948" s="276"/>
      <c r="G948" s="273"/>
    </row>
    <row r="949" ht="15.75" customHeight="1">
      <c r="A949" s="273"/>
      <c r="B949" s="273"/>
      <c r="C949" s="273"/>
      <c r="D949" s="274"/>
      <c r="E949" s="275"/>
      <c r="F949" s="276"/>
      <c r="G949" s="273"/>
    </row>
    <row r="950" ht="15.75" customHeight="1">
      <c r="A950" s="273"/>
      <c r="B950" s="273"/>
      <c r="C950" s="273"/>
      <c r="D950" s="274"/>
      <c r="E950" s="275"/>
      <c r="F950" s="276"/>
      <c r="G950" s="273"/>
    </row>
    <row r="951" ht="15.75" customHeight="1">
      <c r="A951" s="273"/>
      <c r="B951" s="273"/>
      <c r="C951" s="273"/>
      <c r="D951" s="274"/>
      <c r="E951" s="275"/>
      <c r="F951" s="276"/>
      <c r="G951" s="273"/>
    </row>
    <row r="952" ht="15.75" customHeight="1">
      <c r="A952" s="273"/>
      <c r="B952" s="273"/>
      <c r="C952" s="273"/>
      <c r="D952" s="274"/>
      <c r="E952" s="275"/>
      <c r="F952" s="276"/>
      <c r="G952" s="273"/>
    </row>
    <row r="953" ht="15.75" customHeight="1">
      <c r="A953" s="273"/>
      <c r="B953" s="273"/>
      <c r="C953" s="273"/>
      <c r="D953" s="274"/>
      <c r="E953" s="275"/>
      <c r="F953" s="276"/>
      <c r="G953" s="273"/>
    </row>
    <row r="954" ht="15.75" customHeight="1">
      <c r="A954" s="273"/>
      <c r="B954" s="273"/>
      <c r="C954" s="273"/>
      <c r="D954" s="274"/>
      <c r="E954" s="275"/>
      <c r="F954" s="276"/>
      <c r="G954" s="273"/>
    </row>
    <row r="955" ht="15.75" customHeight="1">
      <c r="A955" s="273"/>
      <c r="B955" s="273"/>
      <c r="C955" s="273"/>
      <c r="D955" s="274"/>
      <c r="E955" s="275"/>
      <c r="F955" s="276"/>
      <c r="G955" s="273"/>
    </row>
    <row r="956" ht="15.75" customHeight="1">
      <c r="A956" s="273"/>
      <c r="B956" s="273"/>
      <c r="C956" s="273"/>
      <c r="D956" s="274"/>
      <c r="E956" s="275"/>
      <c r="F956" s="276"/>
      <c r="G956" s="273"/>
    </row>
    <row r="957" ht="15.75" customHeight="1">
      <c r="A957" s="273"/>
      <c r="B957" s="273"/>
      <c r="C957" s="273"/>
      <c r="D957" s="274"/>
      <c r="E957" s="275"/>
      <c r="F957" s="276"/>
      <c r="G957" s="273"/>
    </row>
    <row r="958" ht="15.75" customHeight="1">
      <c r="A958" s="273"/>
      <c r="B958" s="273"/>
      <c r="C958" s="273"/>
      <c r="D958" s="274"/>
      <c r="E958" s="275"/>
      <c r="F958" s="276"/>
      <c r="G958" s="273"/>
    </row>
    <row r="959" ht="15.75" customHeight="1">
      <c r="A959" s="273"/>
      <c r="B959" s="273"/>
      <c r="C959" s="273"/>
      <c r="D959" s="274"/>
      <c r="E959" s="275"/>
      <c r="F959" s="276"/>
      <c r="G959" s="273"/>
    </row>
    <row r="960" ht="15.75" customHeight="1">
      <c r="A960" s="273"/>
      <c r="B960" s="273"/>
      <c r="C960" s="273"/>
      <c r="D960" s="274"/>
      <c r="E960" s="275"/>
      <c r="F960" s="276"/>
      <c r="G960" s="273"/>
    </row>
    <row r="961" ht="15.75" customHeight="1">
      <c r="A961" s="273"/>
      <c r="B961" s="273"/>
      <c r="C961" s="273"/>
      <c r="D961" s="274"/>
      <c r="E961" s="275"/>
      <c r="F961" s="276"/>
      <c r="G961" s="273"/>
    </row>
    <row r="962" ht="15.75" customHeight="1">
      <c r="A962" s="273"/>
      <c r="B962" s="273"/>
      <c r="C962" s="273"/>
      <c r="D962" s="274"/>
      <c r="E962" s="275"/>
      <c r="F962" s="276"/>
      <c r="G962" s="273"/>
    </row>
    <row r="963" ht="15.75" customHeight="1">
      <c r="A963" s="273"/>
      <c r="B963" s="273"/>
      <c r="C963" s="273"/>
      <c r="D963" s="274"/>
      <c r="E963" s="275"/>
      <c r="F963" s="276"/>
      <c r="G963" s="273"/>
    </row>
    <row r="964" ht="15.75" customHeight="1">
      <c r="A964" s="273"/>
      <c r="B964" s="273"/>
      <c r="C964" s="273"/>
      <c r="D964" s="274"/>
      <c r="E964" s="275"/>
      <c r="F964" s="276"/>
      <c r="G964" s="273"/>
    </row>
    <row r="965" ht="15.75" customHeight="1">
      <c r="A965" s="273"/>
      <c r="B965" s="273"/>
      <c r="C965" s="273"/>
      <c r="D965" s="274"/>
      <c r="E965" s="275"/>
      <c r="F965" s="276"/>
      <c r="G965" s="273"/>
    </row>
    <row r="966" ht="15.75" customHeight="1">
      <c r="A966" s="273"/>
      <c r="B966" s="273"/>
      <c r="C966" s="273"/>
      <c r="D966" s="274"/>
      <c r="E966" s="275"/>
      <c r="F966" s="276"/>
      <c r="G966" s="273"/>
    </row>
    <row r="967" ht="15.75" customHeight="1">
      <c r="A967" s="273"/>
      <c r="B967" s="273"/>
      <c r="C967" s="273"/>
      <c r="D967" s="274"/>
      <c r="E967" s="275"/>
      <c r="F967" s="276"/>
      <c r="G967" s="273"/>
    </row>
    <row r="968" ht="15.75" customHeight="1">
      <c r="A968" s="273"/>
      <c r="B968" s="273"/>
      <c r="C968" s="273"/>
      <c r="D968" s="274"/>
      <c r="E968" s="275"/>
      <c r="F968" s="276"/>
      <c r="G968" s="273"/>
    </row>
    <row r="969" ht="15.75" customHeight="1">
      <c r="A969" s="273"/>
      <c r="B969" s="273"/>
      <c r="C969" s="273"/>
      <c r="D969" s="274"/>
      <c r="E969" s="275"/>
      <c r="F969" s="276"/>
      <c r="G969" s="273"/>
    </row>
    <row r="970" ht="15.75" customHeight="1">
      <c r="A970" s="273"/>
      <c r="B970" s="273"/>
      <c r="C970" s="273"/>
      <c r="D970" s="274"/>
      <c r="E970" s="275"/>
      <c r="F970" s="276"/>
      <c r="G970" s="273"/>
    </row>
    <row r="971" ht="15.75" customHeight="1">
      <c r="A971" s="273"/>
      <c r="B971" s="273"/>
      <c r="C971" s="273"/>
      <c r="D971" s="274"/>
      <c r="E971" s="275"/>
      <c r="F971" s="276"/>
      <c r="G971" s="273"/>
    </row>
    <row r="972" ht="15.75" customHeight="1">
      <c r="A972" s="273"/>
      <c r="B972" s="273"/>
      <c r="C972" s="273"/>
      <c r="D972" s="274"/>
      <c r="E972" s="275"/>
      <c r="F972" s="276"/>
      <c r="G972" s="273"/>
    </row>
    <row r="973" ht="15.75" customHeight="1">
      <c r="A973" s="273"/>
      <c r="B973" s="273"/>
      <c r="C973" s="273"/>
      <c r="D973" s="274"/>
      <c r="E973" s="275"/>
      <c r="F973" s="276"/>
      <c r="G973" s="273"/>
    </row>
    <row r="974" ht="15.75" customHeight="1">
      <c r="A974" s="273"/>
      <c r="B974" s="273"/>
      <c r="C974" s="273"/>
      <c r="D974" s="274"/>
      <c r="E974" s="275"/>
      <c r="F974" s="276"/>
      <c r="G974" s="273"/>
    </row>
    <row r="975" ht="15.75" customHeight="1">
      <c r="A975" s="273"/>
      <c r="B975" s="273"/>
      <c r="C975" s="273"/>
      <c r="D975" s="274"/>
      <c r="E975" s="275"/>
      <c r="F975" s="276"/>
      <c r="G975" s="273"/>
    </row>
    <row r="976" ht="15.75" customHeight="1">
      <c r="A976" s="273"/>
      <c r="B976" s="273"/>
      <c r="C976" s="273"/>
      <c r="D976" s="274"/>
      <c r="E976" s="275"/>
      <c r="F976" s="276"/>
      <c r="G976" s="273"/>
    </row>
    <row r="977" ht="15.75" customHeight="1">
      <c r="A977" s="273"/>
      <c r="B977" s="273"/>
      <c r="C977" s="273"/>
      <c r="D977" s="274"/>
      <c r="E977" s="275"/>
      <c r="F977" s="276"/>
      <c r="G977" s="273"/>
    </row>
    <row r="978" ht="15.75" customHeight="1">
      <c r="A978" s="273"/>
      <c r="B978" s="273"/>
      <c r="C978" s="273"/>
      <c r="D978" s="274"/>
      <c r="E978" s="275"/>
      <c r="F978" s="276"/>
      <c r="G978" s="273"/>
    </row>
    <row r="979" ht="15.75" customHeight="1">
      <c r="A979" s="273"/>
      <c r="B979" s="273"/>
      <c r="C979" s="273"/>
      <c r="D979" s="274"/>
      <c r="E979" s="275"/>
      <c r="F979" s="276"/>
      <c r="G979" s="273"/>
    </row>
    <row r="980" ht="15.75" customHeight="1">
      <c r="A980" s="273"/>
      <c r="B980" s="273"/>
      <c r="C980" s="273"/>
      <c r="D980" s="274"/>
      <c r="E980" s="275"/>
      <c r="F980" s="276"/>
      <c r="G980" s="273"/>
    </row>
    <row r="981" ht="15.75" customHeight="1">
      <c r="A981" s="273"/>
      <c r="B981" s="273"/>
      <c r="C981" s="273"/>
      <c r="D981" s="274"/>
      <c r="E981" s="275"/>
      <c r="F981" s="276"/>
      <c r="G981" s="273"/>
    </row>
    <row r="982" ht="15.75" customHeight="1">
      <c r="A982" s="273"/>
      <c r="B982" s="273"/>
      <c r="C982" s="273"/>
      <c r="D982" s="274"/>
      <c r="E982" s="275"/>
      <c r="F982" s="276"/>
      <c r="G982" s="273"/>
    </row>
    <row r="983" ht="15.75" customHeight="1">
      <c r="A983" s="273"/>
      <c r="B983" s="273"/>
      <c r="C983" s="273"/>
      <c r="D983" s="274"/>
      <c r="E983" s="275"/>
      <c r="F983" s="276"/>
      <c r="G983" s="273"/>
    </row>
    <row r="984" ht="15.75" customHeight="1">
      <c r="A984" s="273"/>
      <c r="B984" s="273"/>
      <c r="C984" s="273"/>
      <c r="D984" s="274"/>
      <c r="E984" s="275"/>
      <c r="F984" s="276"/>
      <c r="G984" s="273"/>
    </row>
    <row r="985" ht="15.75" customHeight="1">
      <c r="A985" s="273"/>
      <c r="B985" s="273"/>
      <c r="C985" s="273"/>
      <c r="D985" s="274"/>
      <c r="E985" s="275"/>
      <c r="F985" s="276"/>
      <c r="G985" s="273"/>
    </row>
    <row r="986" ht="15.75" customHeight="1">
      <c r="A986" s="273"/>
      <c r="B986" s="273"/>
      <c r="C986" s="273"/>
      <c r="D986" s="274"/>
      <c r="E986" s="275"/>
      <c r="F986" s="276"/>
      <c r="G986" s="273"/>
    </row>
    <row r="987" ht="15.75" customHeight="1">
      <c r="A987" s="273"/>
      <c r="B987" s="273"/>
      <c r="C987" s="273"/>
      <c r="D987" s="274"/>
      <c r="E987" s="275"/>
      <c r="F987" s="276"/>
      <c r="G987" s="273"/>
    </row>
    <row r="988" ht="15.75" customHeight="1">
      <c r="A988" s="273"/>
      <c r="B988" s="273"/>
      <c r="C988" s="273"/>
      <c r="D988" s="274"/>
      <c r="E988" s="275"/>
      <c r="F988" s="276"/>
      <c r="G988" s="273"/>
    </row>
    <row r="989" ht="15.75" customHeight="1">
      <c r="A989" s="273"/>
      <c r="B989" s="273"/>
      <c r="C989" s="273"/>
      <c r="D989" s="274"/>
      <c r="E989" s="275"/>
      <c r="F989" s="276"/>
      <c r="G989" s="273"/>
    </row>
    <row r="990" ht="15.75" customHeight="1">
      <c r="A990" s="273"/>
      <c r="B990" s="273"/>
      <c r="C990" s="273"/>
      <c r="D990" s="274"/>
      <c r="E990" s="275"/>
      <c r="F990" s="276"/>
      <c r="G990" s="273"/>
    </row>
    <row r="991" ht="15.75" customHeight="1">
      <c r="A991" s="273"/>
      <c r="B991" s="273"/>
      <c r="C991" s="273"/>
      <c r="D991" s="274"/>
      <c r="E991" s="275"/>
      <c r="F991" s="276"/>
      <c r="G991" s="273"/>
    </row>
    <row r="992" ht="15.75" customHeight="1">
      <c r="A992" s="273"/>
      <c r="B992" s="273"/>
      <c r="C992" s="273"/>
      <c r="D992" s="274"/>
      <c r="E992" s="275"/>
      <c r="F992" s="276"/>
      <c r="G992" s="273"/>
    </row>
    <row r="993" ht="15.75" customHeight="1">
      <c r="A993" s="273"/>
      <c r="B993" s="273"/>
      <c r="C993" s="273"/>
      <c r="D993" s="274"/>
      <c r="E993" s="275"/>
      <c r="F993" s="276"/>
      <c r="G993" s="273"/>
    </row>
    <row r="994" ht="15.75" customHeight="1">
      <c r="A994" s="273"/>
      <c r="B994" s="273"/>
      <c r="C994" s="273"/>
      <c r="D994" s="274"/>
      <c r="E994" s="275"/>
      <c r="F994" s="276"/>
      <c r="G994" s="273"/>
    </row>
    <row r="995" ht="15.75" customHeight="1">
      <c r="A995" s="273"/>
      <c r="B995" s="273"/>
      <c r="C995" s="273"/>
      <c r="D995" s="274"/>
      <c r="E995" s="275"/>
      <c r="F995" s="276"/>
      <c r="G995" s="273"/>
    </row>
    <row r="996" ht="15.75" customHeight="1">
      <c r="A996" s="273"/>
      <c r="B996" s="273"/>
      <c r="C996" s="273"/>
      <c r="D996" s="274"/>
      <c r="E996" s="275"/>
      <c r="F996" s="276"/>
      <c r="G996" s="273"/>
    </row>
    <row r="997" ht="15.75" customHeight="1">
      <c r="A997" s="273"/>
      <c r="B997" s="273"/>
      <c r="C997" s="273"/>
      <c r="D997" s="274"/>
      <c r="E997" s="275"/>
      <c r="F997" s="276"/>
      <c r="G997" s="273"/>
    </row>
    <row r="998" ht="15.75" customHeight="1">
      <c r="A998" s="273"/>
      <c r="B998" s="273"/>
      <c r="C998" s="273"/>
      <c r="D998" s="274"/>
      <c r="E998" s="275"/>
      <c r="F998" s="276"/>
      <c r="G998" s="273"/>
    </row>
    <row r="999" ht="15.75" customHeight="1">
      <c r="A999" s="273"/>
      <c r="B999" s="273"/>
      <c r="C999" s="273"/>
      <c r="D999" s="274"/>
      <c r="E999" s="275"/>
      <c r="F999" s="276"/>
      <c r="G999" s="273"/>
    </row>
    <row r="1000" ht="15.75" customHeight="1">
      <c r="A1000" s="273"/>
      <c r="B1000" s="273"/>
      <c r="C1000" s="273"/>
      <c r="D1000" s="274"/>
      <c r="E1000" s="275"/>
      <c r="F1000" s="276"/>
      <c r="G1000" s="273"/>
    </row>
    <row r="1001" ht="15.75" customHeight="1">
      <c r="A1001" s="273"/>
      <c r="B1001" s="273"/>
      <c r="C1001" s="273"/>
      <c r="D1001" s="274"/>
      <c r="E1001" s="275"/>
      <c r="F1001" s="276"/>
      <c r="G1001" s="273"/>
    </row>
    <row r="1002" ht="15.75" customHeight="1">
      <c r="A1002" s="273"/>
      <c r="B1002" s="273"/>
      <c r="C1002" s="273"/>
      <c r="D1002" s="274"/>
      <c r="E1002" s="275"/>
      <c r="F1002" s="276"/>
      <c r="G1002" s="273"/>
    </row>
    <row r="1003" ht="15.75" customHeight="1">
      <c r="A1003" s="273"/>
      <c r="B1003" s="273"/>
      <c r="C1003" s="273"/>
      <c r="D1003" s="274"/>
      <c r="E1003" s="275"/>
      <c r="F1003" s="276"/>
      <c r="G1003" s="273"/>
    </row>
    <row r="1004" ht="15.75" customHeight="1">
      <c r="A1004" s="273"/>
      <c r="B1004" s="273"/>
      <c r="C1004" s="273"/>
      <c r="D1004" s="274"/>
      <c r="E1004" s="275"/>
      <c r="F1004" s="276"/>
      <c r="G1004" s="273"/>
    </row>
    <row r="1005" ht="15.75" customHeight="1">
      <c r="A1005" s="273"/>
      <c r="B1005" s="273"/>
      <c r="C1005" s="273"/>
      <c r="D1005" s="274"/>
      <c r="E1005" s="275"/>
      <c r="F1005" s="276"/>
      <c r="G1005" s="273"/>
    </row>
    <row r="1006" ht="15.75" customHeight="1">
      <c r="A1006" s="273"/>
      <c r="B1006" s="273"/>
      <c r="C1006" s="273"/>
      <c r="D1006" s="274"/>
      <c r="E1006" s="275"/>
      <c r="F1006" s="276"/>
      <c r="G1006" s="273"/>
    </row>
    <row r="1007" ht="15.75" customHeight="1">
      <c r="A1007" s="273"/>
      <c r="B1007" s="273"/>
      <c r="C1007" s="273"/>
      <c r="D1007" s="274"/>
      <c r="E1007" s="275"/>
      <c r="F1007" s="276"/>
      <c r="G1007" s="273"/>
    </row>
    <row r="1008" ht="15.75" customHeight="1">
      <c r="A1008" s="273"/>
      <c r="B1008" s="273"/>
      <c r="C1008" s="273"/>
      <c r="D1008" s="274"/>
      <c r="E1008" s="275"/>
      <c r="F1008" s="276"/>
      <c r="G1008" s="273"/>
    </row>
    <row r="1009" ht="15.75" customHeight="1">
      <c r="A1009" s="273"/>
      <c r="B1009" s="273"/>
      <c r="C1009" s="273"/>
      <c r="D1009" s="274"/>
      <c r="E1009" s="275"/>
      <c r="F1009" s="276"/>
      <c r="G1009" s="273"/>
    </row>
    <row r="1010" ht="15.75" customHeight="1">
      <c r="A1010" s="273"/>
      <c r="B1010" s="273"/>
      <c r="C1010" s="273"/>
      <c r="D1010" s="274"/>
      <c r="E1010" s="275"/>
      <c r="F1010" s="276"/>
      <c r="G1010" s="273"/>
    </row>
    <row r="1011" ht="15.75" customHeight="1">
      <c r="A1011" s="273"/>
      <c r="B1011" s="273"/>
      <c r="C1011" s="273"/>
      <c r="D1011" s="274"/>
      <c r="E1011" s="275"/>
      <c r="F1011" s="276"/>
      <c r="G1011" s="273"/>
    </row>
    <row r="1012" ht="15.75" customHeight="1">
      <c r="A1012" s="273"/>
      <c r="B1012" s="273"/>
      <c r="C1012" s="273"/>
      <c r="D1012" s="274"/>
      <c r="E1012" s="275"/>
      <c r="F1012" s="276"/>
      <c r="G1012" s="273"/>
    </row>
    <row r="1013" ht="15.75" customHeight="1">
      <c r="A1013" s="273"/>
      <c r="B1013" s="273"/>
      <c r="C1013" s="273"/>
      <c r="D1013" s="274"/>
      <c r="E1013" s="275"/>
      <c r="F1013" s="276"/>
      <c r="G1013" s="273"/>
    </row>
    <row r="1014" ht="15.75" customHeight="1">
      <c r="A1014" s="273"/>
      <c r="B1014" s="273"/>
      <c r="C1014" s="273"/>
      <c r="D1014" s="274"/>
      <c r="E1014" s="275"/>
      <c r="F1014" s="276"/>
      <c r="G1014" s="273"/>
    </row>
    <row r="1015" ht="15.75" customHeight="1">
      <c r="A1015" s="273"/>
      <c r="B1015" s="273"/>
      <c r="C1015" s="273"/>
      <c r="D1015" s="274"/>
      <c r="E1015" s="275"/>
      <c r="F1015" s="276"/>
      <c r="G1015" s="273"/>
    </row>
    <row r="1016" ht="15.75" customHeight="1">
      <c r="A1016" s="273"/>
      <c r="B1016" s="273"/>
      <c r="C1016" s="273"/>
      <c r="D1016" s="274"/>
      <c r="E1016" s="275"/>
      <c r="F1016" s="276"/>
      <c r="G1016" s="273"/>
    </row>
    <row r="1017" ht="15.75" customHeight="1">
      <c r="A1017" s="273"/>
      <c r="B1017" s="273"/>
      <c r="C1017" s="273"/>
      <c r="D1017" s="274"/>
      <c r="E1017" s="275"/>
      <c r="F1017" s="276"/>
      <c r="G1017" s="273"/>
    </row>
    <row r="1018" ht="15.75" customHeight="1">
      <c r="A1018" s="273"/>
      <c r="B1018" s="273"/>
      <c r="C1018" s="273"/>
      <c r="D1018" s="274"/>
      <c r="E1018" s="275"/>
      <c r="F1018" s="276"/>
      <c r="G1018" s="273"/>
    </row>
    <row r="1019" ht="15.75" customHeight="1">
      <c r="A1019" s="273"/>
      <c r="B1019" s="273"/>
      <c r="C1019" s="273"/>
      <c r="D1019" s="274"/>
      <c r="E1019" s="275"/>
      <c r="F1019" s="276"/>
      <c r="G1019" s="273"/>
    </row>
    <row r="1020" ht="15.75" customHeight="1">
      <c r="A1020" s="273"/>
      <c r="B1020" s="273"/>
      <c r="C1020" s="273"/>
      <c r="D1020" s="274"/>
      <c r="E1020" s="275"/>
      <c r="F1020" s="276"/>
      <c r="G1020" s="273"/>
    </row>
    <row r="1021" ht="15.75" customHeight="1">
      <c r="A1021" s="273"/>
      <c r="B1021" s="273"/>
      <c r="C1021" s="273"/>
      <c r="D1021" s="274"/>
      <c r="E1021" s="275"/>
      <c r="F1021" s="276"/>
      <c r="G1021" s="273"/>
    </row>
    <row r="1022" ht="15.75" customHeight="1">
      <c r="A1022" s="273"/>
      <c r="B1022" s="273"/>
      <c r="C1022" s="273"/>
      <c r="D1022" s="274"/>
      <c r="E1022" s="275"/>
      <c r="F1022" s="276"/>
      <c r="G1022" s="273"/>
    </row>
    <row r="1023" ht="15.75" customHeight="1">
      <c r="A1023" s="273"/>
      <c r="B1023" s="273"/>
      <c r="C1023" s="273"/>
      <c r="D1023" s="274"/>
      <c r="E1023" s="275"/>
      <c r="F1023" s="276"/>
      <c r="G1023" s="273"/>
    </row>
    <row r="1024" ht="15.75" customHeight="1">
      <c r="A1024" s="273"/>
      <c r="B1024" s="273"/>
      <c r="C1024" s="273"/>
      <c r="D1024" s="274"/>
      <c r="E1024" s="275"/>
      <c r="F1024" s="276"/>
      <c r="G1024" s="273"/>
    </row>
    <row r="1025" ht="15.75" customHeight="1">
      <c r="A1025" s="273"/>
      <c r="B1025" s="273"/>
      <c r="C1025" s="273"/>
      <c r="D1025" s="274"/>
      <c r="E1025" s="275"/>
      <c r="F1025" s="276"/>
      <c r="G1025" s="273"/>
    </row>
    <row r="1026" ht="15.75" customHeight="1">
      <c r="A1026" s="273"/>
      <c r="B1026" s="273"/>
      <c r="C1026" s="273"/>
      <c r="D1026" s="274"/>
      <c r="E1026" s="275"/>
      <c r="F1026" s="276"/>
      <c r="G1026" s="273"/>
    </row>
    <row r="1027" ht="15.75" customHeight="1">
      <c r="A1027" s="273"/>
      <c r="B1027" s="273"/>
      <c r="C1027" s="273"/>
      <c r="D1027" s="274"/>
      <c r="E1027" s="275"/>
      <c r="F1027" s="276"/>
      <c r="G1027" s="273"/>
    </row>
    <row r="1028" ht="15.75" customHeight="1">
      <c r="A1028" s="273"/>
      <c r="B1028" s="273"/>
      <c r="C1028" s="273"/>
      <c r="D1028" s="274"/>
      <c r="E1028" s="275"/>
      <c r="F1028" s="276"/>
      <c r="G1028" s="273"/>
    </row>
    <row r="1029" ht="15.75" customHeight="1">
      <c r="A1029" s="273"/>
      <c r="B1029" s="273"/>
      <c r="C1029" s="273"/>
      <c r="D1029" s="274"/>
      <c r="E1029" s="275"/>
      <c r="F1029" s="276"/>
      <c r="G1029" s="273"/>
    </row>
    <row r="1030" ht="15.75" customHeight="1">
      <c r="A1030" s="273"/>
      <c r="B1030" s="273"/>
      <c r="C1030" s="273"/>
      <c r="D1030" s="274"/>
      <c r="E1030" s="275"/>
      <c r="F1030" s="276"/>
      <c r="G1030" s="273"/>
    </row>
    <row r="1031" ht="15.75" customHeight="1">
      <c r="A1031" s="273"/>
      <c r="B1031" s="273"/>
      <c r="C1031" s="273"/>
      <c r="D1031" s="274"/>
      <c r="E1031" s="275"/>
      <c r="F1031" s="276"/>
      <c r="G1031" s="273"/>
    </row>
    <row r="1032" ht="15.75" customHeight="1">
      <c r="A1032" s="273"/>
      <c r="B1032" s="273"/>
      <c r="C1032" s="273"/>
      <c r="D1032" s="274"/>
      <c r="E1032" s="275"/>
      <c r="F1032" s="276"/>
      <c r="G1032" s="273"/>
    </row>
    <row r="1033" ht="15.75" customHeight="1">
      <c r="A1033" s="273"/>
      <c r="B1033" s="273"/>
      <c r="C1033" s="273"/>
      <c r="D1033" s="274"/>
      <c r="E1033" s="275"/>
      <c r="F1033" s="276"/>
      <c r="G1033" s="273"/>
    </row>
    <row r="1034" ht="15.75" customHeight="1">
      <c r="A1034" s="273"/>
      <c r="B1034" s="273"/>
      <c r="C1034" s="273"/>
      <c r="D1034" s="274"/>
      <c r="E1034" s="275"/>
      <c r="F1034" s="276"/>
      <c r="G1034" s="273"/>
    </row>
    <row r="1035" ht="15.75" customHeight="1">
      <c r="A1035" s="273"/>
      <c r="B1035" s="273"/>
      <c r="C1035" s="273"/>
      <c r="D1035" s="274"/>
      <c r="E1035" s="275"/>
      <c r="F1035" s="276"/>
      <c r="G1035" s="273"/>
    </row>
    <row r="1036" ht="15.75" customHeight="1">
      <c r="A1036" s="273"/>
      <c r="B1036" s="273"/>
      <c r="C1036" s="273"/>
      <c r="D1036" s="274"/>
      <c r="E1036" s="275"/>
      <c r="F1036" s="276"/>
      <c r="G1036" s="273"/>
    </row>
    <row r="1037" ht="15.75" customHeight="1">
      <c r="A1037" s="273"/>
      <c r="B1037" s="273"/>
      <c r="C1037" s="273"/>
      <c r="D1037" s="274"/>
      <c r="E1037" s="275"/>
      <c r="F1037" s="276"/>
      <c r="G1037" s="273"/>
    </row>
    <row r="1038" ht="15.75" customHeight="1">
      <c r="A1038" s="273"/>
      <c r="B1038" s="273"/>
      <c r="C1038" s="273"/>
      <c r="D1038" s="274"/>
      <c r="E1038" s="275"/>
      <c r="F1038" s="276"/>
      <c r="G1038" s="273"/>
    </row>
    <row r="1039" ht="15.75" customHeight="1">
      <c r="A1039" s="273"/>
      <c r="B1039" s="273"/>
      <c r="C1039" s="273"/>
      <c r="D1039" s="274"/>
      <c r="E1039" s="275"/>
      <c r="F1039" s="276"/>
      <c r="G1039" s="273"/>
    </row>
    <row r="1040" ht="15.75" customHeight="1">
      <c r="A1040" s="273"/>
      <c r="B1040" s="273"/>
      <c r="C1040" s="273"/>
      <c r="D1040" s="274"/>
      <c r="E1040" s="275"/>
      <c r="F1040" s="276"/>
      <c r="G1040" s="273"/>
    </row>
    <row r="1041" ht="15.75" customHeight="1">
      <c r="A1041" s="273"/>
      <c r="B1041" s="273"/>
      <c r="C1041" s="273"/>
      <c r="D1041" s="274"/>
      <c r="E1041" s="275"/>
      <c r="F1041" s="276"/>
      <c r="G1041" s="273"/>
    </row>
    <row r="1042" ht="15.75" customHeight="1">
      <c r="A1042" s="273"/>
      <c r="B1042" s="273"/>
      <c r="C1042" s="273"/>
      <c r="D1042" s="274"/>
      <c r="E1042" s="275"/>
      <c r="F1042" s="276"/>
      <c r="G1042" s="273"/>
    </row>
    <row r="1043" ht="15.75" customHeight="1">
      <c r="A1043" s="273"/>
      <c r="B1043" s="273"/>
      <c r="C1043" s="273"/>
      <c r="D1043" s="274"/>
      <c r="E1043" s="275"/>
      <c r="F1043" s="276"/>
      <c r="G1043" s="273"/>
    </row>
    <row r="1044" ht="15.75" customHeight="1">
      <c r="A1044" s="273"/>
      <c r="B1044" s="273"/>
      <c r="C1044" s="273"/>
      <c r="D1044" s="274"/>
      <c r="E1044" s="275"/>
      <c r="F1044" s="276"/>
      <c r="G1044" s="273"/>
    </row>
    <row r="1045" ht="15.75" customHeight="1">
      <c r="A1045" s="273"/>
      <c r="B1045" s="273"/>
      <c r="C1045" s="273"/>
      <c r="D1045" s="274"/>
      <c r="E1045" s="275"/>
      <c r="F1045" s="276"/>
      <c r="G1045" s="273"/>
    </row>
    <row r="1046" ht="15.75" customHeight="1">
      <c r="A1046" s="273"/>
      <c r="B1046" s="273"/>
      <c r="C1046" s="273"/>
      <c r="D1046" s="274"/>
      <c r="E1046" s="275"/>
      <c r="F1046" s="276"/>
      <c r="G1046" s="273"/>
    </row>
    <row r="1047" ht="15.75" customHeight="1">
      <c r="A1047" s="273"/>
      <c r="B1047" s="273"/>
      <c r="C1047" s="273"/>
      <c r="D1047" s="274"/>
      <c r="E1047" s="275"/>
      <c r="F1047" s="276"/>
      <c r="G1047" s="273"/>
    </row>
    <row r="1048" ht="15.75" customHeight="1">
      <c r="A1048" s="273"/>
      <c r="B1048" s="273"/>
      <c r="C1048" s="273"/>
      <c r="D1048" s="274"/>
      <c r="E1048" s="275"/>
      <c r="F1048" s="276"/>
      <c r="G1048" s="273"/>
    </row>
    <row r="1049" ht="15.75" customHeight="1">
      <c r="A1049" s="28"/>
      <c r="B1049" s="28"/>
      <c r="C1049" s="28"/>
      <c r="D1049" s="277"/>
      <c r="E1049" s="277"/>
      <c r="F1049" s="277"/>
      <c r="G1049" s="277"/>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7" t="s">
        <v>26</v>
      </c>
      <c r="E1" s="27" t="s">
        <v>27</v>
      </c>
      <c r="F1" s="8" t="s">
        <v>28</v>
      </c>
      <c r="G1" s="224" t="s">
        <v>29</v>
      </c>
    </row>
    <row r="2" ht="15.75" customHeight="1">
      <c r="A2" s="278" t="s">
        <v>4619</v>
      </c>
      <c r="B2" s="279"/>
      <c r="C2" s="279"/>
      <c r="D2" s="32"/>
      <c r="E2" s="32"/>
      <c r="F2" s="279"/>
      <c r="G2" s="108"/>
    </row>
    <row r="3" ht="15.75" customHeight="1">
      <c r="A3" s="280" t="s">
        <v>4620</v>
      </c>
      <c r="B3" s="281" t="s">
        <v>4621</v>
      </c>
      <c r="C3" s="280" t="s">
        <v>4622</v>
      </c>
      <c r="D3" s="102" t="s">
        <v>4623</v>
      </c>
      <c r="E3" s="102" t="s">
        <v>4624</v>
      </c>
      <c r="F3" s="282">
        <v>0.105</v>
      </c>
      <c r="G3" s="176" t="str">
        <f>IFERROR(VLOOKUP("SP-20ML",#REF!,3,FALSE),"SIN STOCK")</f>
        <v>SIN STOCK</v>
      </c>
    </row>
    <row r="4" ht="15.75" customHeight="1">
      <c r="A4" s="283" t="s">
        <v>4620</v>
      </c>
      <c r="B4" s="284" t="s">
        <v>4625</v>
      </c>
      <c r="C4" s="283" t="s">
        <v>4626</v>
      </c>
      <c r="D4" s="105" t="s">
        <v>4627</v>
      </c>
      <c r="E4" s="105" t="s">
        <v>4628</v>
      </c>
      <c r="F4" s="285">
        <v>0.21</v>
      </c>
      <c r="G4" s="50" t="str">
        <f>IFERROR(VLOOKUP("sp-30",#REF!,3,FALSE),"SIN STOCK")</f>
        <v>SIN STOCK</v>
      </c>
    </row>
    <row r="5" ht="15.75" customHeight="1">
      <c r="A5" s="280" t="s">
        <v>4620</v>
      </c>
      <c r="B5" s="281" t="s">
        <v>4629</v>
      </c>
      <c r="C5" s="286"/>
      <c r="D5" s="102" t="s">
        <v>4630</v>
      </c>
      <c r="E5" s="102" t="s">
        <v>4631</v>
      </c>
      <c r="F5" s="282">
        <v>0.21</v>
      </c>
      <c r="G5" s="50" t="str">
        <f>IFERROR(VLOOKUP("SP-30+",#REF!,3,FALSE),"SIN STOCK")</f>
        <v>SIN STOCK</v>
      </c>
    </row>
    <row r="6" ht="15.75" customHeight="1">
      <c r="A6" s="283" t="s">
        <v>4620</v>
      </c>
      <c r="B6" s="284" t="s">
        <v>4632</v>
      </c>
      <c r="C6" s="283" t="s">
        <v>4633</v>
      </c>
      <c r="D6" s="105" t="s">
        <v>4630</v>
      </c>
      <c r="E6" s="105" t="s">
        <v>4631</v>
      </c>
      <c r="F6" s="285">
        <v>0.21</v>
      </c>
      <c r="G6" s="50" t="str">
        <f>IFERROR(VLOOKUP("SP-30t",#REF!,3,FALSE),"SIN STOCK")</f>
        <v>SIN STOCK</v>
      </c>
    </row>
    <row r="7" ht="15.75" customHeight="1">
      <c r="A7" s="280" t="s">
        <v>4620</v>
      </c>
      <c r="B7" s="281" t="s">
        <v>4634</v>
      </c>
      <c r="C7" s="280" t="s">
        <v>4635</v>
      </c>
      <c r="D7" s="102" t="s">
        <v>4636</v>
      </c>
      <c r="E7" s="102" t="s">
        <v>4637</v>
      </c>
      <c r="F7" s="282">
        <v>0.21</v>
      </c>
      <c r="G7" s="50" t="str">
        <f>IFERROR(VLOOKUP("EXPAND-80T",#REF!,3,FALSE),"SIN STOCK")</f>
        <v>SIN STOCK</v>
      </c>
    </row>
    <row r="8" ht="15.75" customHeight="1">
      <c r="A8" s="283" t="s">
        <v>4620</v>
      </c>
      <c r="B8" s="284" t="s">
        <v>4638</v>
      </c>
      <c r="C8" s="283" t="s">
        <v>4639</v>
      </c>
      <c r="D8" s="105" t="s">
        <v>4640</v>
      </c>
      <c r="E8" s="105" t="s">
        <v>4641</v>
      </c>
      <c r="F8" s="285">
        <v>0.21</v>
      </c>
      <c r="G8" s="50" t="str">
        <f>IFERROR(VLOOKUP("EXPAND-80Mic",#REF!,3,FALSE),"SIN STOCK")</f>
        <v>SIN STOCK</v>
      </c>
    </row>
    <row r="9" ht="15.75" customHeight="1">
      <c r="A9" s="280" t="s">
        <v>4620</v>
      </c>
      <c r="B9" s="281" t="s">
        <v>4642</v>
      </c>
      <c r="C9" s="280" t="s">
        <v>4643</v>
      </c>
      <c r="D9" s="102" t="s">
        <v>4644</v>
      </c>
      <c r="E9" s="102" t="s">
        <v>4645</v>
      </c>
      <c r="F9" s="282">
        <v>0.21</v>
      </c>
      <c r="G9" s="50" t="str">
        <f>IFERROR(VLOOKUP("EXPAND VISION 3T",#REF!,3,FALSE),"SIN STOCK")</f>
        <v>SIN STOCK</v>
      </c>
    </row>
    <row r="10" ht="15.75" customHeight="1">
      <c r="A10" s="278" t="s">
        <v>4646</v>
      </c>
      <c r="B10" s="279"/>
      <c r="C10" s="279"/>
      <c r="D10" s="32"/>
      <c r="E10" s="32"/>
      <c r="F10" s="279"/>
      <c r="G10" s="108"/>
    </row>
    <row r="11" ht="15.75" customHeight="1">
      <c r="A11" s="280" t="s">
        <v>4620</v>
      </c>
      <c r="B11" s="280" t="s">
        <v>4647</v>
      </c>
      <c r="C11" s="280" t="s">
        <v>4648</v>
      </c>
      <c r="D11" s="102" t="s">
        <v>4649</v>
      </c>
      <c r="E11" s="102" t="s">
        <v>4650</v>
      </c>
      <c r="F11" s="282">
        <v>0.21</v>
      </c>
      <c r="G11" s="50" t="str">
        <f>IFERROR(VLOOKUP("PC-2-CHAT",#REF!,3,FALSE),"SIN STOCK")</f>
        <v>SIN STOCK</v>
      </c>
    </row>
    <row r="12" ht="15.75" customHeight="1">
      <c r="A12" s="283" t="s">
        <v>4620</v>
      </c>
      <c r="B12" s="284" t="s">
        <v>4651</v>
      </c>
      <c r="C12" s="283" t="s">
        <v>4652</v>
      </c>
      <c r="D12" s="105" t="s">
        <v>4653</v>
      </c>
      <c r="E12" s="105" t="s">
        <v>4654</v>
      </c>
      <c r="F12" s="285">
        <v>0.21</v>
      </c>
      <c r="G12" s="50" t="str">
        <f>IFERROR(VLOOKUP("PC-3-CHAT",#REF!,3,FALSE),"SIN STOCK")</f>
        <v>SIN STOCK</v>
      </c>
    </row>
    <row r="13" ht="15.75" customHeight="1">
      <c r="A13" s="280" t="s">
        <v>4620</v>
      </c>
      <c r="B13" s="281" t="s">
        <v>4655</v>
      </c>
      <c r="C13" s="280" t="s">
        <v>4656</v>
      </c>
      <c r="D13" s="102" t="s">
        <v>4657</v>
      </c>
      <c r="E13" s="102" t="s">
        <v>4658</v>
      </c>
      <c r="F13" s="282">
        <v>0.21</v>
      </c>
      <c r="G13" s="50" t="str">
        <f>IFERROR(VLOOKUP("PC-5-CHAT",#REF!,3,FALSE),"SIN STOCK")</f>
        <v>SIN STOCK</v>
      </c>
    </row>
    <row r="14" ht="15.75" customHeight="1">
      <c r="A14" s="283" t="s">
        <v>4620</v>
      </c>
      <c r="B14" s="284" t="s">
        <v>4659</v>
      </c>
      <c r="C14" s="283" t="s">
        <v>4660</v>
      </c>
      <c r="D14" s="105" t="s">
        <v>4661</v>
      </c>
      <c r="E14" s="105" t="s">
        <v>4662</v>
      </c>
      <c r="F14" s="285">
        <v>0.21</v>
      </c>
      <c r="G14" s="50" t="str">
        <f>IFERROR(VLOOKUP("PC-8-CHAT",#REF!,3,FALSE),"SIN STOCK")</f>
        <v>SIN STOCK</v>
      </c>
    </row>
    <row r="15" ht="15.75" customHeight="1">
      <c r="A15" s="280" t="s">
        <v>4620</v>
      </c>
      <c r="B15" s="281" t="s">
        <v>4663</v>
      </c>
      <c r="C15" s="280" t="s">
        <v>4664</v>
      </c>
      <c r="D15" s="102" t="s">
        <v>4665</v>
      </c>
      <c r="E15" s="102" t="s">
        <v>4666</v>
      </c>
      <c r="F15" s="282">
        <v>0.21</v>
      </c>
      <c r="G15" s="50" t="str">
        <f>IFERROR(VLOOKUP("ADAPT-160 USB",#REF!,3,FALSE),"SIN STOCK")</f>
        <v>SIN STOCK</v>
      </c>
    </row>
    <row r="16" ht="15.75" customHeight="1">
      <c r="A16" s="283" t="s">
        <v>4620</v>
      </c>
      <c r="B16" s="284" t="s">
        <v>4667</v>
      </c>
      <c r="C16" s="283" t="s">
        <v>4668</v>
      </c>
      <c r="D16" s="105" t="s">
        <v>4665</v>
      </c>
      <c r="E16" s="105" t="s">
        <v>4666</v>
      </c>
      <c r="F16" s="285">
        <v>0.21</v>
      </c>
      <c r="G16" s="50" t="str">
        <f>IFERROR(VLOOKUP("ADAPT-160 USB-C",#REF!,3,FALSE),"SIN STOCK")</f>
        <v>SIN STOCK</v>
      </c>
    </row>
    <row r="17" ht="15.75" customHeight="1">
      <c r="A17" s="280" t="s">
        <v>4620</v>
      </c>
      <c r="B17" s="281" t="s">
        <v>4669</v>
      </c>
      <c r="C17" s="280" t="s">
        <v>4670</v>
      </c>
      <c r="D17" s="102" t="s">
        <v>4671</v>
      </c>
      <c r="E17" s="102" t="s">
        <v>4672</v>
      </c>
      <c r="F17" s="282">
        <v>0.21</v>
      </c>
      <c r="G17" s="175" t="str">
        <f>IFERROR(VLOOKUP("ADAPT-165 USB",#REF!,3,FALSE),"SIN STOCK")</f>
        <v>SIN STOCK</v>
      </c>
    </row>
    <row r="18" ht="15.75" customHeight="1">
      <c r="A18" s="283" t="s">
        <v>4620</v>
      </c>
      <c r="B18" s="284" t="s">
        <v>4673</v>
      </c>
      <c r="C18" s="283" t="s">
        <v>4674</v>
      </c>
      <c r="D18" s="105" t="s">
        <v>4671</v>
      </c>
      <c r="E18" s="105" t="s">
        <v>4672</v>
      </c>
      <c r="F18" s="285">
        <v>0.21</v>
      </c>
      <c r="G18" s="50" t="str">
        <f>IFERROR(VLOOKUP("ADAPT-165 USB-C",#REF!,3,FALSE),"SIN STOCK")</f>
        <v>SIN STOCK</v>
      </c>
    </row>
    <row r="19" ht="15.75" customHeight="1">
      <c r="A19" s="280" t="s">
        <v>4620</v>
      </c>
      <c r="B19" s="281" t="s">
        <v>4675</v>
      </c>
      <c r="C19" s="280" t="s">
        <v>4676</v>
      </c>
      <c r="D19" s="102" t="s">
        <v>4677</v>
      </c>
      <c r="E19" s="102" t="s">
        <v>4678</v>
      </c>
      <c r="F19" s="282">
        <v>0.21</v>
      </c>
      <c r="G19" s="50" t="str">
        <f>IFERROR(VLOOKUP("ADAPT 260",#REF!,3,FALSE),"SIN STOCK")</f>
        <v>SIN STOCK</v>
      </c>
    </row>
    <row r="20" ht="15.75" customHeight="1">
      <c r="A20" s="283" t="s">
        <v>4620</v>
      </c>
      <c r="B20" s="284" t="s">
        <v>4679</v>
      </c>
      <c r="C20" s="283" t="s">
        <v>4680</v>
      </c>
      <c r="D20" s="128"/>
      <c r="E20" s="105" t="s">
        <v>2095</v>
      </c>
      <c r="F20" s="287"/>
      <c r="G20" s="288"/>
    </row>
    <row r="21" ht="15.75" customHeight="1">
      <c r="A21" s="283" t="s">
        <v>4620</v>
      </c>
      <c r="B21" s="284" t="s">
        <v>4681</v>
      </c>
      <c r="C21" s="283" t="s">
        <v>4680</v>
      </c>
      <c r="D21" s="105" t="s">
        <v>4682</v>
      </c>
      <c r="E21" s="105" t="s">
        <v>4683</v>
      </c>
      <c r="F21" s="285">
        <v>0.21</v>
      </c>
      <c r="G21" s="175" t="str">
        <f>IFERROR(VLOOKUP("SC60-USB",#REF!,3,FALSE),"SIN STOCK")</f>
        <v>SIN STOCK</v>
      </c>
    </row>
    <row r="22" ht="15.75" customHeight="1">
      <c r="A22" s="280" t="s">
        <v>4620</v>
      </c>
      <c r="B22" s="280" t="s">
        <v>4684</v>
      </c>
      <c r="C22" s="280" t="s">
        <v>4685</v>
      </c>
      <c r="D22" s="102" t="s">
        <v>4686</v>
      </c>
      <c r="E22" s="102" t="s">
        <v>4687</v>
      </c>
      <c r="F22" s="282">
        <v>0.21</v>
      </c>
      <c r="G22" s="50" t="str">
        <f>IFERROR(VLOOKUP("SC-75-USB",#REF!,3,FALSE),"SIN STOCK")</f>
        <v>SIN STOCK</v>
      </c>
    </row>
    <row r="23" ht="15.75" customHeight="1">
      <c r="A23" s="283" t="s">
        <v>4620</v>
      </c>
      <c r="B23" s="283" t="s">
        <v>4688</v>
      </c>
      <c r="C23" s="283" t="s">
        <v>4676</v>
      </c>
      <c r="D23" s="105" t="s">
        <v>4689</v>
      </c>
      <c r="E23" s="105" t="s">
        <v>4690</v>
      </c>
      <c r="F23" s="285">
        <v>0.21</v>
      </c>
      <c r="G23" s="53" t="str">
        <f>IFERROR(VLOOKUP("SC260-ED",#REF!,3,FALSE),"SIN STOCK")</f>
        <v>SIN STOCK</v>
      </c>
    </row>
    <row r="24" ht="18.0" customHeight="1">
      <c r="A24" s="280" t="s">
        <v>4620</v>
      </c>
      <c r="B24" s="280" t="s">
        <v>4691</v>
      </c>
      <c r="C24" s="280" t="s">
        <v>4692</v>
      </c>
      <c r="D24" s="102" t="s">
        <v>4693</v>
      </c>
      <c r="E24" s="102" t="s">
        <v>4694</v>
      </c>
      <c r="F24" s="282">
        <v>0.21</v>
      </c>
      <c r="G24" s="50" t="str">
        <f>IFERROR(VLOOKUP("SC-660-USB",#REF!,3,FALSE),"SIN STOCK")</f>
        <v>SIN STOCK</v>
      </c>
    </row>
    <row r="25" ht="15.75" customHeight="1">
      <c r="A25" s="283" t="s">
        <v>4620</v>
      </c>
      <c r="B25" s="284" t="s">
        <v>4695</v>
      </c>
      <c r="C25" s="283" t="s">
        <v>4696</v>
      </c>
      <c r="D25" s="105" t="s">
        <v>4697</v>
      </c>
      <c r="E25" s="105" t="s">
        <v>4698</v>
      </c>
      <c r="F25" s="285">
        <v>0.21</v>
      </c>
      <c r="G25" s="53" t="str">
        <f>IFERROR(VLOOKUP("MB Pro 1 UC ML",#REF!,3,FALSE),"SIN STOCK")</f>
        <v>SIN STOCK</v>
      </c>
    </row>
    <row r="26" ht="15.75" customHeight="1">
      <c r="A26" s="280" t="s">
        <v>4620</v>
      </c>
      <c r="B26" s="281" t="s">
        <v>4699</v>
      </c>
      <c r="C26" s="280" t="s">
        <v>4700</v>
      </c>
      <c r="D26" s="102" t="s">
        <v>4701</v>
      </c>
      <c r="E26" s="102" t="s">
        <v>4702</v>
      </c>
      <c r="F26" s="282">
        <v>0.21</v>
      </c>
      <c r="G26" s="50" t="str">
        <f>IFERROR(VLOOKUP("MB Pro 2 UC ML",#REF!,3,FALSE),"SIN STOCK")</f>
        <v>SIN STOCK</v>
      </c>
    </row>
    <row r="27" ht="15.75" customHeight="1">
      <c r="A27" s="278" t="s">
        <v>4703</v>
      </c>
      <c r="B27" s="279"/>
      <c r="C27" s="279"/>
      <c r="D27" s="32"/>
      <c r="E27" s="32"/>
      <c r="F27" s="279"/>
      <c r="G27" s="108"/>
    </row>
    <row r="28" ht="15.75" customHeight="1">
      <c r="A28" s="280" t="s">
        <v>4620</v>
      </c>
      <c r="B28" s="281" t="s">
        <v>4704</v>
      </c>
      <c r="C28" s="280" t="s">
        <v>4705</v>
      </c>
      <c r="D28" s="102" t="s">
        <v>4706</v>
      </c>
      <c r="E28" s="102" t="s">
        <v>4707</v>
      </c>
      <c r="F28" s="282">
        <v>0.21</v>
      </c>
      <c r="G28" s="50" t="str">
        <f>IFERROR(VLOOKUP("edu-10",#REF!,3,FALSE),"SIN STOCK")</f>
        <v>SIN STOCK</v>
      </c>
    </row>
    <row r="29" ht="15.75" customHeight="1">
      <c r="A29" s="283" t="s">
        <v>4620</v>
      </c>
      <c r="B29" s="284" t="s">
        <v>4708</v>
      </c>
      <c r="C29" s="283" t="s">
        <v>4709</v>
      </c>
      <c r="D29" s="105" t="s">
        <v>4710</v>
      </c>
      <c r="E29" s="105" t="s">
        <v>4711</v>
      </c>
      <c r="F29" s="285">
        <v>0.21</v>
      </c>
      <c r="G29" s="50" t="str">
        <f t="shared" ref="G29:G30" si="1">IFERROR(VLOOKUP("edu-11 USB",#REF!,3,FALSE),"SIN STOCK")</f>
        <v>SIN STOCK</v>
      </c>
    </row>
    <row r="30" ht="15.75" customHeight="1">
      <c r="A30" s="280" t="s">
        <v>4620</v>
      </c>
      <c r="B30" s="289" t="s">
        <v>4712</v>
      </c>
      <c r="C30" s="280" t="s">
        <v>4713</v>
      </c>
      <c r="D30" s="102" t="s">
        <v>4714</v>
      </c>
      <c r="E30" s="102" t="s">
        <v>4715</v>
      </c>
      <c r="F30" s="282">
        <v>0.21</v>
      </c>
      <c r="G30" s="50" t="str">
        <f t="shared" si="1"/>
        <v>SIN STOCK</v>
      </c>
    </row>
    <row r="31" ht="15.75" customHeight="1">
      <c r="A31" s="278" t="s">
        <v>4716</v>
      </c>
      <c r="B31" s="279"/>
      <c r="C31" s="279"/>
      <c r="D31" s="32"/>
      <c r="E31" s="32"/>
      <c r="F31" s="279"/>
      <c r="G31" s="108"/>
    </row>
    <row r="32" ht="15.75" customHeight="1">
      <c r="A32" s="280" t="s">
        <v>4620</v>
      </c>
      <c r="B32" s="281" t="s">
        <v>4717</v>
      </c>
      <c r="C32" s="280" t="s">
        <v>4718</v>
      </c>
      <c r="D32" s="102" t="s">
        <v>4719</v>
      </c>
      <c r="E32" s="102" t="s">
        <v>4720</v>
      </c>
      <c r="F32" s="282">
        <v>0.21</v>
      </c>
      <c r="G32" s="50" t="str">
        <f>IFERROR(VLOOKUP("HD25",#REF!,3,FALSE),"SIN STOCK")</f>
        <v>SIN STOCK</v>
      </c>
    </row>
    <row r="33" ht="15.75" customHeight="1">
      <c r="A33" s="278" t="s">
        <v>4721</v>
      </c>
      <c r="B33" s="279"/>
      <c r="C33" s="279"/>
      <c r="D33" s="55"/>
      <c r="E33" s="55"/>
      <c r="F33" s="290"/>
      <c r="G33" s="139"/>
    </row>
    <row r="34" ht="20.25" customHeight="1">
      <c r="A34" s="280" t="s">
        <v>4620</v>
      </c>
      <c r="B34" s="281" t="s">
        <v>4722</v>
      </c>
      <c r="C34" s="280" t="s">
        <v>4723</v>
      </c>
      <c r="D34" s="102" t="s">
        <v>4724</v>
      </c>
      <c r="E34" s="102" t="s">
        <v>4725</v>
      </c>
      <c r="F34" s="282">
        <v>0.21</v>
      </c>
      <c r="G34" s="175" t="str">
        <f t="shared" ref="G34:G35" si="2">IFERROR(VLOOKUP("HD25",#REF!,3,FALSE),"SIN STOCK")</f>
        <v>SIN STOCK</v>
      </c>
    </row>
    <row r="35" ht="19.5" customHeight="1">
      <c r="A35" s="283" t="s">
        <v>4620</v>
      </c>
      <c r="B35" s="284" t="s">
        <v>4726</v>
      </c>
      <c r="C35" s="283" t="s">
        <v>4727</v>
      </c>
      <c r="D35" s="105" t="s">
        <v>4728</v>
      </c>
      <c r="E35" s="105" t="s">
        <v>4729</v>
      </c>
      <c r="F35" s="285">
        <v>0.21</v>
      </c>
      <c r="G35" s="50" t="str">
        <f t="shared" si="2"/>
        <v>SIN STOCK</v>
      </c>
    </row>
    <row r="36" ht="15.75" customHeight="1">
      <c r="A36" s="280" t="s">
        <v>4620</v>
      </c>
      <c r="B36" s="281" t="s">
        <v>4730</v>
      </c>
      <c r="C36" s="280" t="s">
        <v>4731</v>
      </c>
      <c r="D36" s="102" t="s">
        <v>4732</v>
      </c>
      <c r="E36" s="102" t="s">
        <v>4733</v>
      </c>
      <c r="F36" s="282">
        <v>0.21</v>
      </c>
      <c r="G36" s="53" t="str">
        <f>IFERROR(VLOOKUP("GSP300",#REF!,3,FALSE),"SIN STOCK")</f>
        <v>SIN STOCK</v>
      </c>
    </row>
    <row r="37" ht="15.75" customHeight="1">
      <c r="A37" s="283" t="s">
        <v>4620</v>
      </c>
      <c r="B37" s="284" t="s">
        <v>4734</v>
      </c>
      <c r="C37" s="283" t="s">
        <v>4731</v>
      </c>
      <c r="D37" s="105" t="s">
        <v>4732</v>
      </c>
      <c r="E37" s="105" t="s">
        <v>4733</v>
      </c>
      <c r="F37" s="285">
        <v>0.21</v>
      </c>
      <c r="G37" s="50" t="str">
        <f>IFERROR(VLOOKUP("GSP301",#REF!,3,FALSE),"SIN STOCK")</f>
        <v>SIN STOCK</v>
      </c>
    </row>
    <row r="38" ht="15.75" customHeight="1">
      <c r="A38" s="280" t="s">
        <v>4620</v>
      </c>
      <c r="B38" s="281" t="s">
        <v>4735</v>
      </c>
      <c r="C38" s="280" t="s">
        <v>4731</v>
      </c>
      <c r="D38" s="102" t="s">
        <v>4732</v>
      </c>
      <c r="E38" s="102" t="s">
        <v>4733</v>
      </c>
      <c r="F38" s="282">
        <v>0.21</v>
      </c>
      <c r="G38" s="176" t="str">
        <f>IFERROR(VLOOKUP("GSP302",#REF!,3,FALSE),"SIN STOCK")</f>
        <v>SIN STOCK</v>
      </c>
    </row>
    <row r="39" ht="15.75" customHeight="1">
      <c r="A39" s="283" t="s">
        <v>4620</v>
      </c>
      <c r="B39" s="284" t="s">
        <v>4736</v>
      </c>
      <c r="C39" s="283" t="s">
        <v>4737</v>
      </c>
      <c r="D39" s="105" t="s">
        <v>4738</v>
      </c>
      <c r="E39" s="105" t="s">
        <v>4739</v>
      </c>
      <c r="F39" s="285">
        <v>0.21</v>
      </c>
      <c r="G39" s="50" t="str">
        <f>IFERROR(VLOOKUP("GSP350",#REF!,3,FALSE),"SIN STOCK")</f>
        <v>SIN STOCK</v>
      </c>
    </row>
    <row r="40" ht="15.75" customHeight="1">
      <c r="A40" s="280" t="s">
        <v>4620</v>
      </c>
      <c r="B40" s="281" t="s">
        <v>4740</v>
      </c>
      <c r="C40" s="280" t="s">
        <v>4737</v>
      </c>
      <c r="D40" s="102" t="s">
        <v>4741</v>
      </c>
      <c r="E40" s="102" t="s">
        <v>4742</v>
      </c>
      <c r="F40" s="282">
        <v>0.21</v>
      </c>
      <c r="G40" s="50" t="str">
        <f>IFERROR(VLOOKUP("GSP500",#REF!,3,FALSE),"SIN STOCK")</f>
        <v>SIN STOCK</v>
      </c>
    </row>
    <row r="41" ht="15.75" customHeight="1">
      <c r="A41" s="283" t="s">
        <v>4620</v>
      </c>
      <c r="B41" s="284" t="s">
        <v>4743</v>
      </c>
      <c r="C41" s="283" t="s">
        <v>4737</v>
      </c>
      <c r="D41" s="105" t="s">
        <v>4744</v>
      </c>
      <c r="E41" s="105" t="s">
        <v>4745</v>
      </c>
      <c r="F41" s="285">
        <v>0.21</v>
      </c>
      <c r="G41" s="50" t="str">
        <f>IFERROR(VLOOKUP("GSP550",#REF!,3,FALSE),"SIN STOCK")</f>
        <v>SIN STOCK</v>
      </c>
    </row>
    <row r="42" ht="15.75" customHeight="1">
      <c r="A42" s="280" t="s">
        <v>4620</v>
      </c>
      <c r="B42" s="281" t="s">
        <v>4746</v>
      </c>
      <c r="C42" s="280" t="s">
        <v>4737</v>
      </c>
      <c r="D42" s="102" t="s">
        <v>4747</v>
      </c>
      <c r="E42" s="102" t="s">
        <v>4748</v>
      </c>
      <c r="F42" s="282">
        <v>0.21</v>
      </c>
      <c r="G42" s="50" t="str">
        <f>IFERROR(VLOOKUP("GSP600",#REF!,3,FALSE),"SIN STOCK")</f>
        <v>SIN STOCK</v>
      </c>
    </row>
    <row r="43" ht="15.75" customHeight="1">
      <c r="A43" s="283" t="s">
        <v>4620</v>
      </c>
      <c r="B43" s="284" t="s">
        <v>4749</v>
      </c>
      <c r="C43" s="283" t="s">
        <v>4737</v>
      </c>
      <c r="D43" s="105" t="s">
        <v>4750</v>
      </c>
      <c r="E43" s="105" t="s">
        <v>4751</v>
      </c>
      <c r="F43" s="285">
        <v>0.21</v>
      </c>
      <c r="G43" s="50" t="str">
        <f>IFERROR(VLOOKUP("GSP670",#REF!,3,FALSE),"SIN STOCK")</f>
        <v>SIN STOCK</v>
      </c>
    </row>
    <row r="44" ht="15.75" customHeight="1">
      <c r="A44" s="291"/>
      <c r="B44" s="291"/>
      <c r="C44" s="291"/>
      <c r="D44" s="292"/>
      <c r="E44" s="292"/>
      <c r="F44" s="293"/>
      <c r="G44" s="185"/>
    </row>
    <row r="45" ht="15.75" customHeight="1">
      <c r="A45" s="291"/>
      <c r="B45" s="291"/>
      <c r="C45" s="291"/>
      <c r="D45" s="292"/>
      <c r="E45" s="292"/>
      <c r="F45" s="293"/>
      <c r="G45" s="185"/>
    </row>
    <row r="46" ht="15.75" customHeight="1">
      <c r="A46" s="291"/>
      <c r="B46" s="291"/>
      <c r="C46" s="291"/>
      <c r="D46" s="292"/>
      <c r="E46" s="292"/>
      <c r="F46" s="293"/>
      <c r="G46" s="185"/>
    </row>
    <row r="47" ht="15.75" customHeight="1">
      <c r="A47" s="291"/>
      <c r="B47" s="291"/>
      <c r="C47" s="294"/>
      <c r="D47" s="127"/>
      <c r="E47" s="127"/>
      <c r="F47" s="291"/>
      <c r="G47" s="130"/>
    </row>
    <row r="48" ht="15.75" customHeight="1">
      <c r="A48" s="291"/>
      <c r="B48" s="291"/>
      <c r="C48" s="291"/>
      <c r="D48" s="127"/>
      <c r="E48" s="127"/>
      <c r="F48" s="291"/>
      <c r="G48" s="130"/>
    </row>
    <row r="49" ht="15.75" customHeight="1">
      <c r="A49" s="291"/>
      <c r="B49" s="291"/>
      <c r="C49" s="291"/>
      <c r="D49" s="127"/>
      <c r="E49" s="127"/>
      <c r="F49" s="291"/>
      <c r="G49" s="130"/>
    </row>
    <row r="50" ht="15.75" customHeight="1">
      <c r="A50" s="291"/>
      <c r="B50" s="291"/>
      <c r="C50" s="291"/>
      <c r="D50" s="127"/>
      <c r="E50" s="127"/>
      <c r="F50" s="291"/>
      <c r="G50" s="130"/>
    </row>
    <row r="51" ht="15.75" customHeight="1">
      <c r="A51" s="291"/>
      <c r="B51" s="291"/>
      <c r="C51" s="291"/>
      <c r="D51" s="292"/>
      <c r="E51" s="292"/>
      <c r="F51" s="293"/>
      <c r="G51" s="185"/>
    </row>
    <row r="52" ht="15.75" customHeight="1">
      <c r="A52" s="291"/>
      <c r="B52" s="291"/>
      <c r="C52" s="291"/>
      <c r="D52" s="127"/>
      <c r="E52" s="127"/>
      <c r="F52" s="291"/>
      <c r="G52" s="130"/>
    </row>
    <row r="53" ht="15.75" customHeight="1">
      <c r="A53" s="291"/>
      <c r="B53" s="291"/>
      <c r="C53" s="291"/>
      <c r="D53" s="127"/>
      <c r="E53" s="127"/>
      <c r="F53" s="291"/>
      <c r="G53" s="130"/>
    </row>
    <row r="54" ht="15.75" customHeight="1">
      <c r="A54" s="291"/>
      <c r="B54" s="291"/>
      <c r="C54" s="291"/>
      <c r="D54" s="127"/>
      <c r="E54" s="127"/>
      <c r="F54" s="291"/>
      <c r="G54" s="130"/>
    </row>
    <row r="55" ht="15.75" customHeight="1">
      <c r="A55" s="291"/>
      <c r="B55" s="291"/>
      <c r="C55" s="291"/>
      <c r="D55" s="292"/>
      <c r="E55" s="292"/>
      <c r="F55" s="293"/>
      <c r="G55" s="185"/>
    </row>
    <row r="56" ht="15.75" customHeight="1">
      <c r="A56" s="291"/>
      <c r="B56" s="291"/>
      <c r="C56" s="291"/>
      <c r="D56" s="127"/>
      <c r="E56" s="127"/>
      <c r="F56" s="291"/>
      <c r="G56" s="130"/>
    </row>
    <row r="57" ht="15.75" customHeight="1">
      <c r="A57" s="291"/>
      <c r="B57" s="291"/>
      <c r="C57" s="291"/>
      <c r="D57" s="127"/>
      <c r="E57" s="127"/>
      <c r="F57" s="291"/>
      <c r="G57" s="130"/>
    </row>
    <row r="58" ht="15.75" customHeight="1">
      <c r="A58" s="291"/>
      <c r="B58" s="291"/>
      <c r="C58" s="291"/>
      <c r="D58" s="127"/>
      <c r="E58" s="127"/>
      <c r="F58" s="291"/>
      <c r="G58" s="130"/>
    </row>
    <row r="59" ht="15.75" customHeight="1">
      <c r="A59" s="291"/>
      <c r="B59" s="291"/>
      <c r="C59" s="291"/>
      <c r="D59" s="127"/>
      <c r="E59" s="127"/>
      <c r="F59" s="291"/>
      <c r="G59" s="130"/>
    </row>
    <row r="60" ht="15.75" customHeight="1">
      <c r="A60" s="291"/>
      <c r="B60" s="291"/>
      <c r="C60" s="291"/>
      <c r="D60" s="127"/>
      <c r="E60" s="127"/>
      <c r="F60" s="291"/>
      <c r="G60" s="130"/>
    </row>
    <row r="61" ht="15.75" customHeight="1">
      <c r="A61" s="291"/>
      <c r="B61" s="291"/>
      <c r="C61" s="291"/>
      <c r="D61" s="292"/>
      <c r="E61" s="292"/>
      <c r="F61" s="293"/>
      <c r="G61" s="185"/>
    </row>
    <row r="62" ht="15.75" customHeight="1">
      <c r="A62" s="291"/>
      <c r="B62" s="291"/>
      <c r="C62" s="291"/>
      <c r="D62" s="127"/>
      <c r="E62" s="127"/>
      <c r="F62" s="291"/>
      <c r="G62" s="130"/>
    </row>
    <row r="63" ht="15.75" customHeight="1">
      <c r="A63" s="291"/>
      <c r="B63" s="291"/>
      <c r="C63" s="291"/>
      <c r="D63" s="127"/>
      <c r="E63" s="127"/>
      <c r="F63" s="291"/>
      <c r="G63" s="130"/>
    </row>
    <row r="64" ht="15.75" customHeight="1">
      <c r="A64" s="291"/>
      <c r="B64" s="291"/>
      <c r="C64" s="291"/>
      <c r="D64" s="292"/>
      <c r="E64" s="292"/>
      <c r="F64" s="293"/>
      <c r="G64" s="185"/>
    </row>
    <row r="65" ht="15.75" customHeight="1">
      <c r="A65" s="291"/>
      <c r="B65" s="291"/>
      <c r="C65" s="291"/>
      <c r="D65" s="292"/>
      <c r="E65" s="292"/>
      <c r="F65" s="293"/>
      <c r="G65" s="185"/>
    </row>
    <row r="66" ht="15.75" customHeight="1">
      <c r="A66" s="291"/>
      <c r="B66" s="291"/>
      <c r="C66" s="291"/>
      <c r="D66" s="127"/>
      <c r="E66" s="127"/>
      <c r="F66" s="291"/>
      <c r="G66" s="130"/>
    </row>
    <row r="67" ht="15.75" customHeight="1">
      <c r="A67" s="291"/>
      <c r="B67" s="291"/>
      <c r="C67" s="291"/>
      <c r="D67" s="127"/>
      <c r="E67" s="127"/>
      <c r="F67" s="291"/>
      <c r="G67" s="130"/>
    </row>
    <row r="68" ht="15.75" customHeight="1">
      <c r="A68" s="291"/>
      <c r="B68" s="291"/>
      <c r="C68" s="291"/>
      <c r="D68" s="292"/>
      <c r="E68" s="292"/>
      <c r="F68" s="293"/>
      <c r="G68" s="185"/>
    </row>
    <row r="69" ht="15.75" customHeight="1">
      <c r="A69" s="291"/>
      <c r="B69" s="291"/>
      <c r="C69" s="291"/>
      <c r="D69" s="292"/>
      <c r="E69" s="292"/>
      <c r="F69" s="293"/>
      <c r="G69" s="185"/>
    </row>
    <row r="70" ht="15.75" customHeight="1">
      <c r="A70" s="291"/>
      <c r="B70" s="291"/>
      <c r="C70" s="291"/>
      <c r="D70" s="127"/>
      <c r="E70" s="127"/>
      <c r="F70" s="291"/>
      <c r="G70" s="130"/>
    </row>
    <row r="71" ht="15.75" customHeight="1">
      <c r="A71" s="291"/>
      <c r="B71" s="291"/>
      <c r="C71" s="291"/>
      <c r="D71" s="127"/>
      <c r="E71" s="127"/>
      <c r="F71" s="291"/>
      <c r="G71" s="130"/>
    </row>
    <row r="72" ht="15.75" customHeight="1">
      <c r="A72" s="291"/>
      <c r="B72" s="291"/>
      <c r="C72" s="291"/>
      <c r="D72" s="292"/>
      <c r="E72" s="292"/>
      <c r="F72" s="293"/>
      <c r="G72" s="185"/>
    </row>
    <row r="73" ht="15.75" customHeight="1">
      <c r="A73" s="291"/>
      <c r="B73" s="291"/>
      <c r="C73" s="291"/>
      <c r="D73" s="127"/>
      <c r="E73" s="127"/>
      <c r="F73" s="291"/>
      <c r="G73" s="130"/>
    </row>
    <row r="74" ht="15.75" customHeight="1">
      <c r="A74" s="291"/>
      <c r="B74" s="291"/>
      <c r="C74" s="291"/>
      <c r="D74" s="127"/>
      <c r="E74" s="127"/>
      <c r="F74" s="291"/>
      <c r="G74" s="130"/>
    </row>
    <row r="75" ht="15.75" customHeight="1">
      <c r="A75" s="291"/>
      <c r="B75" s="291"/>
      <c r="C75" s="291"/>
      <c r="D75" s="127"/>
      <c r="E75" s="127"/>
      <c r="F75" s="291"/>
      <c r="G75" s="130"/>
    </row>
    <row r="76" ht="15.75" customHeight="1">
      <c r="A76" s="291"/>
      <c r="B76" s="291"/>
      <c r="C76" s="291"/>
      <c r="D76" s="292"/>
      <c r="E76" s="292"/>
      <c r="F76" s="293"/>
      <c r="G76" s="185"/>
    </row>
    <row r="77" ht="15.75" customHeight="1">
      <c r="A77" s="291"/>
      <c r="B77" s="291"/>
      <c r="C77" s="291"/>
      <c r="D77" s="127"/>
      <c r="E77" s="127"/>
      <c r="F77" s="291"/>
      <c r="G77" s="130"/>
    </row>
    <row r="78" ht="15.75" customHeight="1">
      <c r="A78" s="291"/>
      <c r="B78" s="291"/>
      <c r="C78" s="291"/>
      <c r="D78" s="292"/>
      <c r="E78" s="292"/>
      <c r="F78" s="293"/>
      <c r="G78" s="185"/>
    </row>
    <row r="79" ht="15.75" customHeight="1">
      <c r="A79" s="291"/>
      <c r="B79" s="291"/>
      <c r="C79" s="291"/>
      <c r="D79" s="127"/>
      <c r="E79" s="127"/>
      <c r="F79" s="291"/>
      <c r="G79" s="130"/>
    </row>
    <row r="80" ht="15.75" customHeight="1">
      <c r="A80" s="291"/>
      <c r="B80" s="291"/>
      <c r="C80" s="291"/>
      <c r="D80" s="292"/>
      <c r="E80" s="292"/>
      <c r="F80" s="293"/>
      <c r="G80" s="185"/>
    </row>
    <row r="81" ht="15.75" customHeight="1">
      <c r="A81" s="291"/>
      <c r="B81" s="291"/>
      <c r="C81" s="291"/>
      <c r="D81" s="127"/>
      <c r="E81" s="127"/>
      <c r="F81" s="291"/>
      <c r="G81" s="130"/>
    </row>
    <row r="82" ht="15.75" customHeight="1">
      <c r="A82" s="291"/>
      <c r="B82" s="291"/>
      <c r="C82" s="291"/>
      <c r="D82" s="127"/>
      <c r="E82" s="127"/>
      <c r="F82" s="291"/>
      <c r="G82" s="130"/>
    </row>
    <row r="83" ht="15.75" customHeight="1">
      <c r="A83" s="291"/>
      <c r="B83" s="291"/>
      <c r="C83" s="291"/>
      <c r="D83" s="127"/>
      <c r="E83" s="127"/>
      <c r="F83" s="291"/>
      <c r="G83" s="130"/>
    </row>
    <row r="84" ht="15.75" customHeight="1">
      <c r="A84" s="291"/>
      <c r="B84" s="291"/>
      <c r="C84" s="291"/>
      <c r="D84" s="127"/>
      <c r="E84" s="127"/>
      <c r="F84" s="291"/>
      <c r="G84" s="130"/>
    </row>
    <row r="85" ht="15.75" customHeight="1">
      <c r="A85" s="291"/>
      <c r="B85" s="291"/>
      <c r="C85" s="291"/>
      <c r="D85" s="292"/>
      <c r="E85" s="292"/>
      <c r="F85" s="293"/>
      <c r="G85" s="185"/>
    </row>
    <row r="86" ht="15.75" customHeight="1">
      <c r="A86" s="291"/>
      <c r="B86" s="291"/>
      <c r="C86" s="291"/>
      <c r="D86" s="127"/>
      <c r="E86" s="127"/>
      <c r="F86" s="291"/>
      <c r="G86" s="130"/>
    </row>
    <row r="87" ht="15.75" customHeight="1">
      <c r="A87" s="291"/>
      <c r="B87" s="291"/>
      <c r="C87" s="291"/>
      <c r="D87" s="127"/>
      <c r="E87" s="127"/>
      <c r="F87" s="291"/>
      <c r="G87" s="130"/>
    </row>
    <row r="88" ht="15.75" customHeight="1">
      <c r="A88" s="291"/>
      <c r="B88" s="291"/>
      <c r="C88" s="291"/>
      <c r="D88" s="127"/>
      <c r="E88" s="127"/>
      <c r="F88" s="291"/>
      <c r="G88" s="130"/>
    </row>
    <row r="89" ht="15.75" customHeight="1">
      <c r="A89" s="291"/>
      <c r="B89" s="291"/>
      <c r="C89" s="291"/>
      <c r="D89" s="127"/>
      <c r="E89" s="127"/>
      <c r="F89" s="291"/>
      <c r="G89" s="130"/>
    </row>
    <row r="90" ht="15.75" customHeight="1">
      <c r="A90" s="291"/>
      <c r="B90" s="291"/>
      <c r="C90" s="291"/>
      <c r="D90" s="127"/>
      <c r="E90" s="127"/>
      <c r="F90" s="291"/>
      <c r="G90" s="130"/>
    </row>
    <row r="91" ht="15.75" customHeight="1">
      <c r="A91" s="291"/>
      <c r="B91" s="291"/>
      <c r="C91" s="291"/>
      <c r="D91" s="127"/>
      <c r="E91" s="127"/>
      <c r="F91" s="291"/>
      <c r="G91" s="130"/>
    </row>
    <row r="92" ht="15.75" customHeight="1">
      <c r="A92" s="291"/>
      <c r="B92" s="291"/>
      <c r="C92" s="291"/>
      <c r="D92" s="127"/>
      <c r="E92" s="127"/>
      <c r="F92" s="291"/>
      <c r="G92" s="130"/>
    </row>
    <row r="93" ht="15.75" customHeight="1">
      <c r="A93" s="291"/>
      <c r="B93" s="291"/>
      <c r="C93" s="291"/>
      <c r="D93" s="127"/>
      <c r="E93" s="127"/>
      <c r="F93" s="291"/>
      <c r="G93" s="130"/>
    </row>
    <row r="94" ht="15.75" customHeight="1">
      <c r="A94" s="291"/>
      <c r="B94" s="291"/>
      <c r="C94" s="291"/>
      <c r="D94" s="127"/>
      <c r="E94" s="127"/>
      <c r="F94" s="291"/>
      <c r="G94" s="130"/>
    </row>
    <row r="95" ht="15.75" customHeight="1">
      <c r="A95" s="291"/>
      <c r="B95" s="291"/>
      <c r="C95" s="291"/>
      <c r="D95" s="127"/>
      <c r="E95" s="127"/>
      <c r="F95" s="291"/>
      <c r="G95" s="130"/>
    </row>
    <row r="96" ht="15.75" customHeight="1">
      <c r="A96" s="291"/>
      <c r="B96" s="291"/>
      <c r="C96" s="291"/>
      <c r="D96" s="127"/>
      <c r="E96" s="127"/>
      <c r="F96" s="291"/>
      <c r="G96" s="130"/>
    </row>
    <row r="97" ht="15.75" customHeight="1">
      <c r="A97" s="291"/>
      <c r="B97" s="291"/>
      <c r="C97" s="291"/>
      <c r="D97" s="127"/>
      <c r="E97" s="127"/>
      <c r="F97" s="291"/>
      <c r="G97" s="130"/>
    </row>
    <row r="98" ht="15.75" customHeight="1">
      <c r="A98" s="291"/>
      <c r="B98" s="291"/>
      <c r="C98" s="291"/>
      <c r="D98" s="127"/>
      <c r="E98" s="127"/>
      <c r="F98" s="291"/>
      <c r="G98" s="130"/>
    </row>
    <row r="99" ht="15.75" customHeight="1">
      <c r="A99" s="291"/>
      <c r="B99" s="291"/>
      <c r="C99" s="291"/>
      <c r="D99" s="127"/>
      <c r="E99" s="127"/>
      <c r="F99" s="291"/>
      <c r="G99" s="130"/>
    </row>
    <row r="100" ht="15.75" customHeight="1">
      <c r="A100" s="291"/>
      <c r="B100" s="291"/>
      <c r="C100" s="291"/>
      <c r="D100" s="127"/>
      <c r="E100" s="127"/>
      <c r="F100" s="291"/>
      <c r="G100" s="130"/>
    </row>
    <row r="101" ht="15.75" customHeight="1">
      <c r="A101" s="291"/>
      <c r="B101" s="291"/>
      <c r="C101" s="291"/>
      <c r="D101" s="127"/>
      <c r="E101" s="127"/>
      <c r="F101" s="291"/>
      <c r="G101" s="130"/>
    </row>
    <row r="102" ht="15.75" customHeight="1">
      <c r="A102" s="291"/>
      <c r="B102" s="291"/>
      <c r="C102" s="291"/>
      <c r="D102" s="127"/>
      <c r="E102" s="127"/>
      <c r="F102" s="291"/>
      <c r="G102" s="130"/>
    </row>
    <row r="103" ht="15.75" customHeight="1">
      <c r="A103" s="291"/>
      <c r="B103" s="291"/>
      <c r="C103" s="291"/>
      <c r="D103" s="127"/>
      <c r="E103" s="127"/>
      <c r="F103" s="291"/>
      <c r="G103" s="130"/>
    </row>
    <row r="104" ht="15.75" customHeight="1">
      <c r="A104" s="291"/>
      <c r="B104" s="291"/>
      <c r="C104" s="291"/>
      <c r="D104" s="127"/>
      <c r="E104" s="127"/>
      <c r="F104" s="291"/>
      <c r="G104" s="130"/>
    </row>
    <row r="105" ht="15.75" customHeight="1">
      <c r="A105" s="291"/>
      <c r="B105" s="291"/>
      <c r="C105" s="291"/>
      <c r="D105" s="127"/>
      <c r="E105" s="127"/>
      <c r="F105" s="291"/>
      <c r="G105" s="130"/>
    </row>
    <row r="106" ht="15.75" customHeight="1">
      <c r="A106" s="291"/>
      <c r="B106" s="291"/>
      <c r="C106" s="291"/>
      <c r="D106" s="127"/>
      <c r="E106" s="127"/>
      <c r="F106" s="291"/>
      <c r="G106" s="130"/>
    </row>
    <row r="107" ht="15.75" customHeight="1">
      <c r="A107" s="291"/>
      <c r="B107" s="291"/>
      <c r="C107" s="291"/>
      <c r="D107" s="127"/>
      <c r="E107" s="127"/>
      <c r="F107" s="291"/>
      <c r="G107" s="130"/>
    </row>
    <row r="108" ht="15.75" customHeight="1">
      <c r="A108" s="291"/>
      <c r="B108" s="291"/>
      <c r="C108" s="291"/>
      <c r="D108" s="127"/>
      <c r="E108" s="127"/>
      <c r="F108" s="291"/>
      <c r="G108" s="130"/>
    </row>
    <row r="109" ht="15.75" customHeight="1">
      <c r="A109" s="291"/>
      <c r="B109" s="291"/>
      <c r="C109" s="291"/>
      <c r="D109" s="127"/>
      <c r="E109" s="127"/>
      <c r="F109" s="291"/>
      <c r="G109" s="130"/>
    </row>
    <row r="110" ht="15.75" customHeight="1">
      <c r="A110" s="291"/>
      <c r="B110" s="291"/>
      <c r="C110" s="291"/>
      <c r="D110" s="127"/>
      <c r="E110" s="127"/>
      <c r="F110" s="291"/>
      <c r="G110" s="130"/>
    </row>
    <row r="111" ht="15.75" customHeight="1">
      <c r="A111" s="291"/>
      <c r="B111" s="291"/>
      <c r="C111" s="291"/>
      <c r="D111" s="127"/>
      <c r="E111" s="127"/>
      <c r="F111" s="291"/>
      <c r="G111" s="130"/>
    </row>
    <row r="112" ht="15.75" customHeight="1">
      <c r="A112" s="291"/>
      <c r="B112" s="291"/>
      <c r="C112" s="291"/>
      <c r="D112" s="127"/>
      <c r="E112" s="127"/>
      <c r="F112" s="291"/>
      <c r="G112" s="130"/>
    </row>
    <row r="113" ht="15.75" customHeight="1">
      <c r="A113" s="291"/>
      <c r="B113" s="291"/>
      <c r="C113" s="291"/>
      <c r="D113" s="127"/>
      <c r="E113" s="127"/>
      <c r="F113" s="291"/>
      <c r="G113" s="130"/>
    </row>
    <row r="114" ht="15.75" customHeight="1">
      <c r="A114" s="291"/>
      <c r="B114" s="291"/>
      <c r="C114" s="291"/>
      <c r="D114" s="127"/>
      <c r="E114" s="127"/>
      <c r="F114" s="291"/>
      <c r="G114" s="130"/>
    </row>
    <row r="115" ht="15.75" customHeight="1">
      <c r="A115" s="291"/>
      <c r="B115" s="291"/>
      <c r="C115" s="291"/>
      <c r="D115" s="127"/>
      <c r="E115" s="127"/>
      <c r="F115" s="291"/>
      <c r="G115" s="130"/>
    </row>
    <row r="116" ht="15.75" customHeight="1">
      <c r="A116" s="291"/>
      <c r="B116" s="291"/>
      <c r="C116" s="291"/>
      <c r="D116" s="127"/>
      <c r="E116" s="127"/>
      <c r="F116" s="291"/>
      <c r="G116" s="130"/>
    </row>
    <row r="117" ht="15.75" customHeight="1">
      <c r="A117" s="291"/>
      <c r="B117" s="291"/>
      <c r="C117" s="291"/>
      <c r="D117" s="127"/>
      <c r="E117" s="127"/>
      <c r="F117" s="291"/>
      <c r="G117" s="130"/>
    </row>
    <row r="118" ht="15.75" customHeight="1">
      <c r="A118" s="291"/>
      <c r="B118" s="291"/>
      <c r="C118" s="291"/>
      <c r="D118" s="127"/>
      <c r="E118" s="127"/>
      <c r="F118" s="291"/>
      <c r="G118" s="130"/>
    </row>
    <row r="119" ht="15.75" customHeight="1">
      <c r="A119" s="291"/>
      <c r="B119" s="291"/>
      <c r="C119" s="291"/>
      <c r="D119" s="127"/>
      <c r="E119" s="127"/>
      <c r="F119" s="291"/>
      <c r="G119" s="130"/>
    </row>
    <row r="120" ht="15.75" customHeight="1">
      <c r="A120" s="291"/>
      <c r="B120" s="291"/>
      <c r="C120" s="291"/>
      <c r="D120" s="127"/>
      <c r="E120" s="127"/>
      <c r="F120" s="291"/>
      <c r="G120" s="130"/>
    </row>
    <row r="121" ht="15.75" customHeight="1">
      <c r="A121" s="291"/>
      <c r="B121" s="291"/>
      <c r="C121" s="291"/>
      <c r="D121" s="127"/>
      <c r="E121" s="127"/>
      <c r="F121" s="291"/>
      <c r="G121" s="130"/>
    </row>
    <row r="122" ht="15.75" customHeight="1">
      <c r="A122" s="291"/>
      <c r="B122" s="291"/>
      <c r="C122" s="291"/>
      <c r="D122" s="127"/>
      <c r="E122" s="127"/>
      <c r="F122" s="291"/>
      <c r="G122" s="130"/>
    </row>
    <row r="123" ht="15.75" customHeight="1">
      <c r="A123" s="291"/>
      <c r="B123" s="291"/>
      <c r="C123" s="291"/>
      <c r="D123" s="127"/>
      <c r="E123" s="127"/>
      <c r="F123" s="291"/>
      <c r="G123" s="130"/>
    </row>
    <row r="124" ht="15.75" customHeight="1">
      <c r="A124" s="291"/>
      <c r="B124" s="291"/>
      <c r="C124" s="291"/>
      <c r="D124" s="127"/>
      <c r="E124" s="127"/>
      <c r="F124" s="291"/>
      <c r="G124" s="130"/>
    </row>
    <row r="125" ht="15.75" customHeight="1">
      <c r="A125" s="291"/>
      <c r="B125" s="291"/>
      <c r="C125" s="291"/>
      <c r="D125" s="127"/>
      <c r="E125" s="127"/>
      <c r="F125" s="291"/>
      <c r="G125" s="130"/>
    </row>
    <row r="126" ht="15.75" customHeight="1">
      <c r="A126" s="291"/>
      <c r="B126" s="291"/>
      <c r="C126" s="291"/>
      <c r="D126" s="127"/>
      <c r="E126" s="127"/>
      <c r="F126" s="291"/>
      <c r="G126" s="130"/>
    </row>
    <row r="127" ht="15.75" customHeight="1">
      <c r="A127" s="291"/>
      <c r="B127" s="291"/>
      <c r="C127" s="291"/>
      <c r="D127" s="127"/>
      <c r="E127" s="127"/>
      <c r="F127" s="291"/>
      <c r="G127" s="130"/>
    </row>
    <row r="128" ht="15.75" customHeight="1">
      <c r="A128" s="291"/>
      <c r="B128" s="291"/>
      <c r="C128" s="291"/>
      <c r="D128" s="127"/>
      <c r="E128" s="127"/>
      <c r="F128" s="291"/>
      <c r="G128" s="130"/>
    </row>
    <row r="129" ht="15.75" customHeight="1">
      <c r="A129" s="291"/>
      <c r="B129" s="291"/>
      <c r="C129" s="291"/>
      <c r="D129" s="127"/>
      <c r="E129" s="127"/>
      <c r="F129" s="291"/>
      <c r="G129" s="130"/>
    </row>
    <row r="130" ht="15.75" customHeight="1">
      <c r="A130" s="291"/>
      <c r="B130" s="291"/>
      <c r="C130" s="291"/>
      <c r="D130" s="127"/>
      <c r="E130" s="127"/>
      <c r="F130" s="291"/>
      <c r="G130" s="130"/>
    </row>
    <row r="131" ht="15.75" customHeight="1">
      <c r="A131" s="291"/>
      <c r="B131" s="291"/>
      <c r="C131" s="291"/>
      <c r="D131" s="127"/>
      <c r="E131" s="127"/>
      <c r="F131" s="291"/>
      <c r="G131" s="130"/>
    </row>
    <row r="132" ht="15.75" customHeight="1">
      <c r="A132" s="291"/>
      <c r="B132" s="291"/>
      <c r="C132" s="291"/>
      <c r="D132" s="127"/>
      <c r="E132" s="127"/>
      <c r="F132" s="291"/>
      <c r="G132" s="130"/>
    </row>
    <row r="133" ht="15.75" customHeight="1">
      <c r="A133" s="291"/>
      <c r="B133" s="291"/>
      <c r="C133" s="291"/>
      <c r="D133" s="127"/>
      <c r="E133" s="127"/>
      <c r="F133" s="291"/>
      <c r="G133" s="130"/>
    </row>
    <row r="134" ht="15.75" customHeight="1">
      <c r="A134" s="291"/>
      <c r="B134" s="291"/>
      <c r="C134" s="291"/>
      <c r="D134" s="127"/>
      <c r="E134" s="127"/>
      <c r="F134" s="291"/>
      <c r="G134" s="130"/>
    </row>
    <row r="135" ht="15.75" customHeight="1">
      <c r="A135" s="291"/>
      <c r="B135" s="291"/>
      <c r="C135" s="291"/>
      <c r="D135" s="127"/>
      <c r="E135" s="127"/>
      <c r="F135" s="291"/>
      <c r="G135" s="130"/>
    </row>
    <row r="136" ht="15.75" customHeight="1">
      <c r="A136" s="291"/>
      <c r="B136" s="291"/>
      <c r="C136" s="291"/>
      <c r="D136" s="127"/>
      <c r="E136" s="127"/>
      <c r="F136" s="291"/>
      <c r="G136" s="130"/>
    </row>
    <row r="137" ht="15.75" customHeight="1">
      <c r="A137" s="291"/>
      <c r="B137" s="291"/>
      <c r="C137" s="291"/>
      <c r="D137" s="127"/>
      <c r="E137" s="127"/>
      <c r="F137" s="291"/>
      <c r="G137" s="130"/>
    </row>
    <row r="138" ht="15.75" customHeight="1">
      <c r="A138" s="291"/>
      <c r="B138" s="291"/>
      <c r="C138" s="291"/>
      <c r="D138" s="127"/>
      <c r="E138" s="127"/>
      <c r="F138" s="291"/>
      <c r="G138" s="130"/>
    </row>
    <row r="139" ht="15.75" customHeight="1">
      <c r="A139" s="291"/>
      <c r="B139" s="291"/>
      <c r="C139" s="291"/>
      <c r="D139" s="127"/>
      <c r="E139" s="127"/>
      <c r="F139" s="291"/>
      <c r="G139" s="130"/>
    </row>
    <row r="140" ht="15.75" customHeight="1">
      <c r="A140" s="291"/>
      <c r="B140" s="291"/>
      <c r="C140" s="291"/>
      <c r="D140" s="127"/>
      <c r="E140" s="127"/>
      <c r="F140" s="291"/>
      <c r="G140" s="130"/>
    </row>
    <row r="141" ht="15.75" customHeight="1">
      <c r="A141" s="291"/>
      <c r="B141" s="291"/>
      <c r="C141" s="291"/>
      <c r="D141" s="127"/>
      <c r="E141" s="127"/>
      <c r="F141" s="291"/>
      <c r="G141" s="130"/>
    </row>
    <row r="142" ht="15.75" customHeight="1">
      <c r="A142" s="291"/>
      <c r="B142" s="291"/>
      <c r="C142" s="291"/>
      <c r="D142" s="127"/>
      <c r="E142" s="127"/>
      <c r="F142" s="291"/>
      <c r="G142" s="130"/>
    </row>
    <row r="143" ht="15.75" customHeight="1">
      <c r="A143" s="291"/>
      <c r="B143" s="291"/>
      <c r="C143" s="291"/>
      <c r="D143" s="127"/>
      <c r="E143" s="127"/>
      <c r="F143" s="291"/>
      <c r="G143" s="130"/>
    </row>
    <row r="144" ht="15.75" customHeight="1">
      <c r="A144" s="291"/>
      <c r="B144" s="291"/>
      <c r="C144" s="291"/>
      <c r="D144" s="127"/>
      <c r="E144" s="127"/>
      <c r="F144" s="291"/>
      <c r="G144" s="130"/>
    </row>
    <row r="145" ht="15.75" customHeight="1">
      <c r="A145" s="291"/>
      <c r="B145" s="291"/>
      <c r="C145" s="291"/>
      <c r="D145" s="127"/>
      <c r="E145" s="127"/>
      <c r="F145" s="291"/>
      <c r="G145" s="130"/>
    </row>
    <row r="146" ht="15.75" customHeight="1">
      <c r="A146" s="291"/>
      <c r="B146" s="291"/>
      <c r="C146" s="291"/>
      <c r="D146" s="127"/>
      <c r="E146" s="127"/>
      <c r="F146" s="291"/>
      <c r="G146" s="130"/>
    </row>
    <row r="147" ht="15.75" customHeight="1">
      <c r="A147" s="291"/>
      <c r="B147" s="291"/>
      <c r="C147" s="291"/>
      <c r="D147" s="127"/>
      <c r="E147" s="127"/>
      <c r="F147" s="291"/>
      <c r="G147" s="130"/>
    </row>
    <row r="148" ht="15.75" customHeight="1">
      <c r="A148" s="291"/>
      <c r="B148" s="291"/>
      <c r="C148" s="291"/>
      <c r="D148" s="127"/>
      <c r="E148" s="127"/>
      <c r="F148" s="291"/>
      <c r="G148" s="130"/>
    </row>
    <row r="149" ht="15.75" customHeight="1">
      <c r="A149" s="291"/>
      <c r="B149" s="291"/>
      <c r="C149" s="291"/>
      <c r="D149" s="127"/>
      <c r="E149" s="127"/>
      <c r="F149" s="291"/>
      <c r="G149" s="130"/>
    </row>
    <row r="150" ht="15.75" customHeight="1">
      <c r="A150" s="291"/>
      <c r="B150" s="291"/>
      <c r="C150" s="291"/>
      <c r="D150" s="127"/>
      <c r="E150" s="127"/>
      <c r="F150" s="291"/>
      <c r="G150" s="130"/>
    </row>
    <row r="151" ht="15.75" customHeight="1">
      <c r="A151" s="291"/>
      <c r="B151" s="291"/>
      <c r="C151" s="291"/>
      <c r="D151" s="127"/>
      <c r="E151" s="127"/>
      <c r="F151" s="291"/>
      <c r="G151" s="130"/>
    </row>
    <row r="152" ht="15.75" customHeight="1">
      <c r="A152" s="291"/>
      <c r="B152" s="291"/>
      <c r="C152" s="291"/>
      <c r="D152" s="127"/>
      <c r="E152" s="127"/>
      <c r="F152" s="291"/>
      <c r="G152" s="130"/>
    </row>
    <row r="153" ht="15.75" customHeight="1">
      <c r="A153" s="291"/>
      <c r="B153" s="291"/>
      <c r="C153" s="291"/>
      <c r="D153" s="127"/>
      <c r="E153" s="127"/>
      <c r="F153" s="291"/>
      <c r="G153" s="130"/>
    </row>
    <row r="154" ht="15.75" customHeight="1">
      <c r="A154" s="291"/>
      <c r="B154" s="291"/>
      <c r="C154" s="291"/>
      <c r="D154" s="127"/>
      <c r="E154" s="127"/>
      <c r="F154" s="291"/>
      <c r="G154" s="130"/>
    </row>
    <row r="155" ht="15.75" customHeight="1">
      <c r="A155" s="291"/>
      <c r="B155" s="291"/>
      <c r="C155" s="291"/>
      <c r="D155" s="127"/>
      <c r="E155" s="127"/>
      <c r="F155" s="291"/>
      <c r="G155" s="130"/>
    </row>
    <row r="156" ht="15.75" customHeight="1">
      <c r="A156" s="291"/>
      <c r="B156" s="291"/>
      <c r="C156" s="291"/>
      <c r="D156" s="127"/>
      <c r="E156" s="127"/>
      <c r="F156" s="291"/>
      <c r="G156" s="130"/>
    </row>
    <row r="157" ht="15.75" customHeight="1">
      <c r="A157" s="291"/>
      <c r="B157" s="291"/>
      <c r="C157" s="291"/>
      <c r="D157" s="127"/>
      <c r="E157" s="127"/>
      <c r="F157" s="291"/>
      <c r="G157" s="130"/>
    </row>
    <row r="158" ht="15.75" customHeight="1">
      <c r="A158" s="291"/>
      <c r="B158" s="291"/>
      <c r="C158" s="291"/>
      <c r="D158" s="127"/>
      <c r="E158" s="127"/>
      <c r="F158" s="291"/>
      <c r="G158" s="130"/>
    </row>
    <row r="159" ht="15.75" customHeight="1">
      <c r="A159" s="291"/>
      <c r="B159" s="291"/>
      <c r="C159" s="291"/>
      <c r="D159" s="127"/>
      <c r="E159" s="127"/>
      <c r="F159" s="291"/>
      <c r="G159" s="130"/>
    </row>
    <row r="160" ht="15.75" customHeight="1">
      <c r="A160" s="291"/>
      <c r="B160" s="291"/>
      <c r="C160" s="291"/>
      <c r="D160" s="127"/>
      <c r="E160" s="127"/>
      <c r="F160" s="291"/>
      <c r="G160" s="130"/>
    </row>
    <row r="161" ht="15.75" customHeight="1">
      <c r="A161" s="291"/>
      <c r="B161" s="291"/>
      <c r="C161" s="291"/>
      <c r="D161" s="127"/>
      <c r="E161" s="127"/>
      <c r="F161" s="291"/>
      <c r="G161" s="130"/>
    </row>
    <row r="162" ht="15.75" customHeight="1">
      <c r="A162" s="291"/>
      <c r="B162" s="291"/>
      <c r="C162" s="291"/>
      <c r="D162" s="127"/>
      <c r="E162" s="127"/>
      <c r="F162" s="291"/>
      <c r="G162" s="130"/>
    </row>
    <row r="163" ht="15.75" customHeight="1">
      <c r="A163" s="291"/>
      <c r="B163" s="291"/>
      <c r="C163" s="291"/>
      <c r="D163" s="127"/>
      <c r="E163" s="127"/>
      <c r="F163" s="291"/>
      <c r="G163" s="130"/>
    </row>
    <row r="164" ht="15.75" customHeight="1">
      <c r="A164" s="291"/>
      <c r="B164" s="291"/>
      <c r="C164" s="291"/>
      <c r="D164" s="127"/>
      <c r="E164" s="127"/>
      <c r="F164" s="291"/>
      <c r="G164" s="130"/>
    </row>
    <row r="165" ht="15.75" customHeight="1">
      <c r="A165" s="291"/>
      <c r="B165" s="291"/>
      <c r="C165" s="291"/>
      <c r="D165" s="127"/>
      <c r="E165" s="127"/>
      <c r="F165" s="291"/>
      <c r="G165" s="130"/>
    </row>
    <row r="166" ht="15.75" customHeight="1">
      <c r="A166" s="291"/>
      <c r="B166" s="291"/>
      <c r="C166" s="291"/>
      <c r="D166" s="127"/>
      <c r="E166" s="127"/>
      <c r="F166" s="291"/>
      <c r="G166" s="130"/>
    </row>
    <row r="167" ht="15.75" customHeight="1">
      <c r="A167" s="291"/>
      <c r="B167" s="291"/>
      <c r="C167" s="291"/>
      <c r="D167" s="127"/>
      <c r="E167" s="127"/>
      <c r="F167" s="291"/>
      <c r="G167" s="130"/>
    </row>
    <row r="168" ht="15.75" customHeight="1">
      <c r="A168" s="291"/>
      <c r="B168" s="291"/>
      <c r="C168" s="291"/>
      <c r="D168" s="127"/>
      <c r="E168" s="127"/>
      <c r="F168" s="291"/>
      <c r="G168" s="130"/>
    </row>
    <row r="169" ht="15.75" customHeight="1">
      <c r="A169" s="291"/>
      <c r="B169" s="291"/>
      <c r="C169" s="291"/>
      <c r="D169" s="127"/>
      <c r="E169" s="127"/>
      <c r="F169" s="291"/>
      <c r="G169" s="130"/>
    </row>
    <row r="170" ht="15.75" customHeight="1">
      <c r="A170" s="291"/>
      <c r="B170" s="291"/>
      <c r="C170" s="291"/>
      <c r="D170" s="127"/>
      <c r="E170" s="127"/>
      <c r="F170" s="291"/>
      <c r="G170" s="130"/>
    </row>
    <row r="171" ht="15.75" customHeight="1">
      <c r="A171" s="291"/>
      <c r="B171" s="291"/>
      <c r="C171" s="291"/>
      <c r="D171" s="127"/>
      <c r="E171" s="127"/>
      <c r="F171" s="291"/>
      <c r="G171" s="130"/>
    </row>
    <row r="172" ht="15.75" customHeight="1">
      <c r="A172" s="291"/>
      <c r="B172" s="291"/>
      <c r="C172" s="291"/>
      <c r="D172" s="127"/>
      <c r="E172" s="127"/>
      <c r="F172" s="291"/>
      <c r="G172" s="130"/>
    </row>
    <row r="173" ht="15.75" customHeight="1">
      <c r="A173" s="291"/>
      <c r="B173" s="291"/>
      <c r="C173" s="291"/>
      <c r="D173" s="127"/>
      <c r="E173" s="127"/>
      <c r="F173" s="291"/>
      <c r="G173" s="130"/>
    </row>
    <row r="174" ht="15.75" customHeight="1">
      <c r="A174" s="291"/>
      <c r="B174" s="291"/>
      <c r="C174" s="291"/>
      <c r="D174" s="127"/>
      <c r="E174" s="127"/>
      <c r="F174" s="291"/>
      <c r="G174" s="130"/>
    </row>
    <row r="175" ht="15.75" customHeight="1">
      <c r="A175" s="291"/>
      <c r="B175" s="291"/>
      <c r="C175" s="291"/>
      <c r="D175" s="127"/>
      <c r="E175" s="127"/>
      <c r="F175" s="291"/>
      <c r="G175" s="130"/>
    </row>
    <row r="176" ht="15.75" customHeight="1">
      <c r="A176" s="291"/>
      <c r="B176" s="291"/>
      <c r="C176" s="291"/>
      <c r="D176" s="127"/>
      <c r="E176" s="127"/>
      <c r="F176" s="291"/>
      <c r="G176" s="130"/>
    </row>
    <row r="177" ht="15.75" customHeight="1">
      <c r="A177" s="291"/>
      <c r="B177" s="291"/>
      <c r="C177" s="291"/>
      <c r="D177" s="127"/>
      <c r="E177" s="127"/>
      <c r="F177" s="291"/>
      <c r="G177" s="130"/>
    </row>
    <row r="178" ht="15.75" customHeight="1">
      <c r="A178" s="291"/>
      <c r="B178" s="291"/>
      <c r="C178" s="291"/>
      <c r="D178" s="127"/>
      <c r="E178" s="127"/>
      <c r="F178" s="291"/>
      <c r="G178" s="130"/>
    </row>
    <row r="179" ht="15.75" customHeight="1">
      <c r="A179" s="291"/>
      <c r="B179" s="291"/>
      <c r="C179" s="291"/>
      <c r="D179" s="127"/>
      <c r="E179" s="127"/>
      <c r="F179" s="291"/>
      <c r="G179" s="130"/>
    </row>
    <row r="180" ht="15.75" customHeight="1">
      <c r="A180" s="291"/>
      <c r="B180" s="291"/>
      <c r="C180" s="291"/>
      <c r="D180" s="127"/>
      <c r="E180" s="127"/>
      <c r="F180" s="291"/>
      <c r="G180" s="130"/>
    </row>
    <row r="181" ht="15.75" customHeight="1">
      <c r="A181" s="291"/>
      <c r="B181" s="291"/>
      <c r="C181" s="291"/>
      <c r="D181" s="127"/>
      <c r="E181" s="127"/>
      <c r="F181" s="291"/>
      <c r="G181" s="130"/>
    </row>
    <row r="182" ht="15.75" customHeight="1">
      <c r="A182" s="291"/>
      <c r="B182" s="291"/>
      <c r="C182" s="291"/>
      <c r="D182" s="127"/>
      <c r="E182" s="127"/>
      <c r="F182" s="291"/>
      <c r="G182" s="130"/>
    </row>
    <row r="183" ht="15.75" customHeight="1">
      <c r="A183" s="291"/>
      <c r="B183" s="291"/>
      <c r="C183" s="291"/>
      <c r="D183" s="127"/>
      <c r="E183" s="127"/>
      <c r="F183" s="291"/>
      <c r="G183" s="130"/>
    </row>
    <row r="184" ht="15.75" customHeight="1">
      <c r="A184" s="291"/>
      <c r="B184" s="291"/>
      <c r="C184" s="291"/>
      <c r="D184" s="127"/>
      <c r="E184" s="127"/>
      <c r="F184" s="291"/>
      <c r="G184" s="130"/>
    </row>
    <row r="185" ht="15.75" customHeight="1">
      <c r="A185" s="291"/>
      <c r="B185" s="291"/>
      <c r="C185" s="291"/>
      <c r="D185" s="127"/>
      <c r="E185" s="127"/>
      <c r="F185" s="291"/>
      <c r="G185" s="130"/>
    </row>
    <row r="186" ht="15.75" customHeight="1">
      <c r="A186" s="291"/>
      <c r="B186" s="291"/>
      <c r="C186" s="291"/>
      <c r="D186" s="127"/>
      <c r="E186" s="127"/>
      <c r="F186" s="291"/>
      <c r="G186" s="130"/>
    </row>
    <row r="187" ht="15.75" customHeight="1">
      <c r="A187" s="291"/>
      <c r="B187" s="291"/>
      <c r="C187" s="291"/>
      <c r="D187" s="127"/>
      <c r="E187" s="127"/>
      <c r="F187" s="291"/>
      <c r="G187" s="130"/>
    </row>
    <row r="188" ht="15.75" customHeight="1">
      <c r="A188" s="291"/>
      <c r="B188" s="291"/>
      <c r="C188" s="291"/>
      <c r="D188" s="127"/>
      <c r="E188" s="127"/>
      <c r="F188" s="291"/>
      <c r="G188" s="130"/>
    </row>
    <row r="189" ht="15.75" customHeight="1">
      <c r="A189" s="291"/>
      <c r="B189" s="291"/>
      <c r="C189" s="291"/>
      <c r="D189" s="127"/>
      <c r="E189" s="127"/>
      <c r="F189" s="291"/>
      <c r="G189" s="130"/>
    </row>
    <row r="190" ht="15.75" customHeight="1">
      <c r="A190" s="291"/>
      <c r="B190" s="291"/>
      <c r="C190" s="291"/>
      <c r="D190" s="127"/>
      <c r="E190" s="127"/>
      <c r="F190" s="291"/>
      <c r="G190" s="130"/>
    </row>
    <row r="191" ht="15.75" customHeight="1">
      <c r="A191" s="291"/>
      <c r="B191" s="291"/>
      <c r="C191" s="291"/>
      <c r="D191" s="127"/>
      <c r="E191" s="127"/>
      <c r="F191" s="291"/>
      <c r="G191" s="130"/>
    </row>
    <row r="192" ht="15.75" customHeight="1">
      <c r="A192" s="291"/>
      <c r="B192" s="291"/>
      <c r="C192" s="291"/>
      <c r="D192" s="127"/>
      <c r="E192" s="127"/>
      <c r="F192" s="291"/>
      <c r="G192" s="130"/>
    </row>
    <row r="193" ht="15.75" customHeight="1">
      <c r="A193" s="291"/>
      <c r="B193" s="291"/>
      <c r="C193" s="291"/>
      <c r="D193" s="127"/>
      <c r="E193" s="127"/>
      <c r="F193" s="291"/>
      <c r="G193" s="130"/>
    </row>
    <row r="194" ht="15.75" customHeight="1">
      <c r="A194" s="291"/>
      <c r="B194" s="291"/>
      <c r="C194" s="291"/>
      <c r="D194" s="127"/>
      <c r="E194" s="127"/>
      <c r="F194" s="291"/>
      <c r="G194" s="130"/>
    </row>
    <row r="195" ht="15.75" customHeight="1">
      <c r="A195" s="291"/>
      <c r="B195" s="291"/>
      <c r="C195" s="291"/>
      <c r="D195" s="127"/>
      <c r="E195" s="127"/>
      <c r="F195" s="291"/>
      <c r="G195" s="130"/>
    </row>
    <row r="196" ht="15.75" customHeight="1">
      <c r="A196" s="291"/>
      <c r="B196" s="291"/>
      <c r="C196" s="291"/>
      <c r="D196" s="127"/>
      <c r="E196" s="127"/>
      <c r="F196" s="291"/>
      <c r="G196" s="130"/>
    </row>
    <row r="197" ht="15.75" customHeight="1">
      <c r="A197" s="291"/>
      <c r="B197" s="291"/>
      <c r="C197" s="291"/>
      <c r="D197" s="127"/>
      <c r="E197" s="127"/>
      <c r="F197" s="291"/>
      <c r="G197" s="130"/>
    </row>
    <row r="198" ht="15.75" customHeight="1">
      <c r="A198" s="291"/>
      <c r="B198" s="291"/>
      <c r="C198" s="291"/>
      <c r="D198" s="127"/>
      <c r="E198" s="127"/>
      <c r="F198" s="291"/>
      <c r="G198" s="130"/>
    </row>
    <row r="199" ht="15.75" customHeight="1">
      <c r="A199" s="291"/>
      <c r="B199" s="291"/>
      <c r="C199" s="291"/>
      <c r="D199" s="127"/>
      <c r="E199" s="127"/>
      <c r="F199" s="291"/>
      <c r="G199" s="130"/>
    </row>
    <row r="200" ht="15.75" customHeight="1">
      <c r="A200" s="291"/>
      <c r="B200" s="291"/>
      <c r="C200" s="291"/>
      <c r="D200" s="127"/>
      <c r="E200" s="127"/>
      <c r="F200" s="291"/>
      <c r="G200" s="130"/>
    </row>
    <row r="201" ht="15.75" customHeight="1">
      <c r="A201" s="291"/>
      <c r="B201" s="291"/>
      <c r="C201" s="291"/>
      <c r="D201" s="127"/>
      <c r="E201" s="127"/>
      <c r="F201" s="291"/>
      <c r="G201" s="130"/>
    </row>
    <row r="202" ht="15.75" customHeight="1">
      <c r="A202" s="291"/>
      <c r="B202" s="291"/>
      <c r="C202" s="291"/>
      <c r="D202" s="127"/>
      <c r="E202" s="127"/>
      <c r="F202" s="291"/>
      <c r="G202" s="130"/>
    </row>
    <row r="203" ht="15.75" customHeight="1">
      <c r="A203" s="291"/>
      <c r="B203" s="291"/>
      <c r="C203" s="291"/>
      <c r="D203" s="127"/>
      <c r="E203" s="127"/>
      <c r="F203" s="291"/>
      <c r="G203" s="130"/>
    </row>
    <row r="204" ht="15.75" customHeight="1">
      <c r="A204" s="291"/>
      <c r="B204" s="291"/>
      <c r="C204" s="291"/>
      <c r="D204" s="127"/>
      <c r="E204" s="127"/>
      <c r="F204" s="291"/>
      <c r="G204" s="130"/>
    </row>
    <row r="205" ht="15.75" customHeight="1">
      <c r="A205" s="291"/>
      <c r="B205" s="291"/>
      <c r="C205" s="291"/>
      <c r="D205" s="127"/>
      <c r="E205" s="127"/>
      <c r="F205" s="291"/>
      <c r="G205" s="130"/>
    </row>
    <row r="206" ht="15.75" customHeight="1">
      <c r="A206" s="291"/>
      <c r="B206" s="291"/>
      <c r="C206" s="291"/>
      <c r="D206" s="127"/>
      <c r="E206" s="127"/>
      <c r="F206" s="291"/>
      <c r="G206" s="130"/>
    </row>
    <row r="207" ht="15.75" customHeight="1">
      <c r="A207" s="291"/>
      <c r="B207" s="291"/>
      <c r="C207" s="291"/>
      <c r="D207" s="127"/>
      <c r="E207" s="127"/>
      <c r="F207" s="291"/>
      <c r="G207" s="130"/>
    </row>
    <row r="208" ht="15.75" customHeight="1">
      <c r="A208" s="291"/>
      <c r="B208" s="291"/>
      <c r="C208" s="291"/>
      <c r="D208" s="127"/>
      <c r="E208" s="127"/>
      <c r="F208" s="291"/>
      <c r="G208" s="130"/>
    </row>
    <row r="209" ht="15.75" customHeight="1">
      <c r="A209" s="291"/>
      <c r="B209" s="291"/>
      <c r="C209" s="291"/>
      <c r="D209" s="127"/>
      <c r="E209" s="127"/>
      <c r="F209" s="291"/>
      <c r="G209" s="130"/>
    </row>
    <row r="210" ht="15.75" customHeight="1">
      <c r="A210" s="291"/>
      <c r="B210" s="291"/>
      <c r="C210" s="291"/>
      <c r="D210" s="127"/>
      <c r="E210" s="127"/>
      <c r="F210" s="291"/>
      <c r="G210" s="130"/>
    </row>
    <row r="211" ht="15.75" customHeight="1">
      <c r="A211" s="291"/>
      <c r="B211" s="291"/>
      <c r="C211" s="291"/>
      <c r="D211" s="127"/>
      <c r="E211" s="127"/>
      <c r="F211" s="291"/>
      <c r="G211" s="130"/>
    </row>
    <row r="212" ht="15.75" customHeight="1">
      <c r="A212" s="291"/>
      <c r="B212" s="291"/>
      <c r="C212" s="291"/>
      <c r="D212" s="127"/>
      <c r="E212" s="127"/>
      <c r="F212" s="291"/>
      <c r="G212" s="130"/>
    </row>
    <row r="213" ht="15.75" customHeight="1">
      <c r="A213" s="291"/>
      <c r="B213" s="291"/>
      <c r="C213" s="291"/>
      <c r="D213" s="127"/>
      <c r="E213" s="127"/>
      <c r="F213" s="291"/>
      <c r="G213" s="130"/>
    </row>
    <row r="214" ht="15.75" customHeight="1">
      <c r="A214" s="291"/>
      <c r="B214" s="291"/>
      <c r="C214" s="291"/>
      <c r="D214" s="127"/>
      <c r="E214" s="127"/>
      <c r="F214" s="291"/>
      <c r="G214" s="130"/>
    </row>
    <row r="215" ht="15.75" customHeight="1">
      <c r="A215" s="291"/>
      <c r="B215" s="291"/>
      <c r="C215" s="291"/>
      <c r="D215" s="127"/>
      <c r="E215" s="127"/>
      <c r="F215" s="291"/>
      <c r="G215" s="130"/>
    </row>
    <row r="216" ht="15.75" customHeight="1">
      <c r="A216" s="291"/>
      <c r="B216" s="291"/>
      <c r="C216" s="291"/>
      <c r="D216" s="127"/>
      <c r="E216" s="127"/>
      <c r="F216" s="291"/>
      <c r="G216" s="130"/>
    </row>
    <row r="217" ht="15.75" customHeight="1">
      <c r="A217" s="291"/>
      <c r="B217" s="291"/>
      <c r="C217" s="291"/>
      <c r="D217" s="127"/>
      <c r="E217" s="127"/>
      <c r="F217" s="291"/>
      <c r="G217" s="130"/>
    </row>
    <row r="218" ht="15.75" customHeight="1">
      <c r="A218" s="291"/>
      <c r="B218" s="291"/>
      <c r="C218" s="291"/>
      <c r="D218" s="127"/>
      <c r="E218" s="127"/>
      <c r="F218" s="291"/>
      <c r="G218" s="130"/>
    </row>
    <row r="219" ht="15.75" customHeight="1">
      <c r="A219" s="291"/>
      <c r="B219" s="291"/>
      <c r="C219" s="291"/>
      <c r="D219" s="127"/>
      <c r="E219" s="127"/>
      <c r="F219" s="291"/>
      <c r="G219" s="130"/>
    </row>
    <row r="220" ht="15.75" customHeight="1">
      <c r="A220" s="291"/>
      <c r="B220" s="291"/>
      <c r="C220" s="291"/>
      <c r="D220" s="127"/>
      <c r="E220" s="127"/>
      <c r="F220" s="291"/>
      <c r="G220" s="130"/>
    </row>
    <row r="221" ht="15.75" customHeight="1">
      <c r="A221" s="291"/>
      <c r="B221" s="291"/>
      <c r="C221" s="291"/>
      <c r="D221" s="127"/>
      <c r="E221" s="127"/>
      <c r="F221" s="291"/>
      <c r="G221" s="130"/>
    </row>
    <row r="222" ht="15.75" customHeight="1">
      <c r="A222" s="291"/>
      <c r="B222" s="291"/>
      <c r="C222" s="291"/>
      <c r="D222" s="127"/>
      <c r="E222" s="127"/>
      <c r="F222" s="291"/>
      <c r="G222" s="130"/>
    </row>
    <row r="223" ht="15.75" customHeight="1">
      <c r="A223" s="291"/>
      <c r="B223" s="291"/>
      <c r="C223" s="291"/>
      <c r="D223" s="127"/>
      <c r="E223" s="127"/>
      <c r="F223" s="291"/>
      <c r="G223" s="130"/>
    </row>
    <row r="224" ht="15.75" customHeight="1">
      <c r="A224" s="291"/>
      <c r="B224" s="291"/>
      <c r="C224" s="291"/>
      <c r="D224" s="127"/>
      <c r="E224" s="127"/>
      <c r="F224" s="291"/>
      <c r="G224" s="130"/>
    </row>
    <row r="225" ht="15.75" customHeight="1">
      <c r="A225" s="291"/>
      <c r="B225" s="291"/>
      <c r="C225" s="291"/>
      <c r="D225" s="127"/>
      <c r="E225" s="127"/>
      <c r="F225" s="291"/>
      <c r="G225" s="130"/>
    </row>
    <row r="226" ht="15.75" customHeight="1">
      <c r="A226" s="291"/>
      <c r="B226" s="291"/>
      <c r="C226" s="291"/>
      <c r="D226" s="127"/>
      <c r="E226" s="127"/>
      <c r="F226" s="291"/>
      <c r="G226" s="130"/>
    </row>
    <row r="227" ht="15.75" customHeight="1">
      <c r="A227" s="291"/>
      <c r="B227" s="291"/>
      <c r="C227" s="291"/>
      <c r="D227" s="127"/>
      <c r="E227" s="127"/>
      <c r="F227" s="291"/>
      <c r="G227" s="130"/>
    </row>
    <row r="228" ht="15.75" customHeight="1">
      <c r="A228" s="291"/>
      <c r="B228" s="291"/>
      <c r="C228" s="291"/>
      <c r="D228" s="127"/>
      <c r="E228" s="127"/>
      <c r="F228" s="291"/>
      <c r="G228" s="130"/>
    </row>
    <row r="229" ht="15.75" customHeight="1">
      <c r="A229" s="291"/>
      <c r="B229" s="291"/>
      <c r="C229" s="291"/>
      <c r="D229" s="127"/>
      <c r="E229" s="127"/>
      <c r="F229" s="291"/>
      <c r="G229" s="130"/>
    </row>
    <row r="230" ht="15.75" customHeight="1">
      <c r="A230" s="291"/>
      <c r="B230" s="291"/>
      <c r="C230" s="291"/>
      <c r="D230" s="127"/>
      <c r="E230" s="127"/>
      <c r="F230" s="291"/>
      <c r="G230" s="130"/>
    </row>
    <row r="231" ht="15.75" customHeight="1">
      <c r="A231" s="291"/>
      <c r="B231" s="291"/>
      <c r="C231" s="291"/>
      <c r="D231" s="127"/>
      <c r="E231" s="127"/>
      <c r="F231" s="291"/>
      <c r="G231" s="130"/>
    </row>
    <row r="232" ht="15.75" customHeight="1">
      <c r="A232" s="291"/>
      <c r="B232" s="291"/>
      <c r="C232" s="291"/>
      <c r="D232" s="127"/>
      <c r="E232" s="127"/>
      <c r="F232" s="291"/>
      <c r="G232" s="130"/>
    </row>
    <row r="233" ht="15.75" customHeight="1">
      <c r="A233" s="291"/>
      <c r="B233" s="291"/>
      <c r="C233" s="291"/>
      <c r="D233" s="127"/>
      <c r="E233" s="127"/>
      <c r="F233" s="291"/>
      <c r="G233" s="130"/>
    </row>
    <row r="234" ht="15.75" customHeight="1">
      <c r="A234" s="291"/>
      <c r="B234" s="291"/>
      <c r="C234" s="291"/>
      <c r="D234" s="127"/>
      <c r="E234" s="127"/>
      <c r="F234" s="291"/>
      <c r="G234" s="130"/>
    </row>
    <row r="235" ht="15.75" customHeight="1">
      <c r="A235" s="291"/>
      <c r="B235" s="291"/>
      <c r="C235" s="291"/>
      <c r="D235" s="127"/>
      <c r="E235" s="127"/>
      <c r="F235" s="291"/>
      <c r="G235" s="130"/>
    </row>
    <row r="236" ht="15.75" customHeight="1">
      <c r="A236" s="291"/>
      <c r="B236" s="291"/>
      <c r="C236" s="291"/>
      <c r="D236" s="127"/>
      <c r="E236" s="127"/>
      <c r="F236" s="291"/>
      <c r="G236" s="130"/>
    </row>
    <row r="237" ht="15.75" customHeight="1">
      <c r="A237" s="291"/>
      <c r="B237" s="291"/>
      <c r="C237" s="291"/>
      <c r="D237" s="127"/>
      <c r="E237" s="127"/>
      <c r="F237" s="291"/>
      <c r="G237" s="130"/>
    </row>
    <row r="238" ht="15.75" customHeight="1">
      <c r="A238" s="291"/>
      <c r="B238" s="291"/>
      <c r="C238" s="291"/>
      <c r="D238" s="127"/>
      <c r="E238" s="127"/>
      <c r="F238" s="291"/>
      <c r="G238" s="130"/>
    </row>
    <row r="239" ht="15.75" customHeight="1">
      <c r="A239" s="291"/>
      <c r="B239" s="291"/>
      <c r="C239" s="291"/>
      <c r="D239" s="127"/>
      <c r="E239" s="127"/>
      <c r="F239" s="291"/>
      <c r="G239" s="130"/>
    </row>
    <row r="240" ht="15.75" customHeight="1">
      <c r="A240" s="291"/>
      <c r="B240" s="291"/>
      <c r="C240" s="291"/>
      <c r="D240" s="127"/>
      <c r="E240" s="127"/>
      <c r="F240" s="291"/>
      <c r="G240" s="130"/>
    </row>
    <row r="241" ht="15.75" customHeight="1">
      <c r="A241" s="291"/>
      <c r="B241" s="291"/>
      <c r="C241" s="291"/>
      <c r="D241" s="127"/>
      <c r="E241" s="127"/>
      <c r="F241" s="291"/>
      <c r="G241" s="130"/>
    </row>
    <row r="242" ht="15.75" customHeight="1">
      <c r="A242" s="291"/>
      <c r="B242" s="291"/>
      <c r="C242" s="291"/>
      <c r="D242" s="127"/>
      <c r="E242" s="127"/>
      <c r="F242" s="291"/>
      <c r="G242" s="130"/>
    </row>
    <row r="243" ht="15.75" customHeight="1">
      <c r="A243" s="291"/>
      <c r="B243" s="291"/>
      <c r="C243" s="291"/>
      <c r="D243" s="127"/>
      <c r="E243" s="127"/>
      <c r="F243" s="291"/>
      <c r="G243" s="130"/>
    </row>
    <row r="244" ht="15.75" customHeight="1">
      <c r="A244" s="291"/>
      <c r="B244" s="291"/>
      <c r="C244" s="291"/>
      <c r="D244" s="127"/>
      <c r="E244" s="127"/>
      <c r="F244" s="291"/>
      <c r="G244" s="130"/>
    </row>
    <row r="245" ht="15.75" customHeight="1">
      <c r="A245" s="291"/>
      <c r="B245" s="291"/>
      <c r="C245" s="291"/>
      <c r="D245" s="127"/>
      <c r="E245" s="127"/>
      <c r="F245" s="291"/>
      <c r="G245" s="130"/>
    </row>
    <row r="246" ht="15.75" customHeight="1">
      <c r="A246" s="291"/>
      <c r="B246" s="291"/>
      <c r="C246" s="291"/>
      <c r="D246" s="127"/>
      <c r="E246" s="127"/>
      <c r="F246" s="291"/>
      <c r="G246" s="130"/>
    </row>
    <row r="247" ht="15.75" customHeight="1">
      <c r="A247" s="291"/>
      <c r="B247" s="291"/>
      <c r="C247" s="291"/>
      <c r="D247" s="127"/>
      <c r="E247" s="127"/>
      <c r="F247" s="291"/>
      <c r="G247" s="130"/>
    </row>
    <row r="248" ht="15.75" customHeight="1">
      <c r="A248" s="291"/>
      <c r="B248" s="291"/>
      <c r="C248" s="291"/>
      <c r="D248" s="127"/>
      <c r="E248" s="127"/>
      <c r="F248" s="291"/>
      <c r="G248" s="130"/>
    </row>
    <row r="249" ht="15.75" customHeight="1">
      <c r="A249" s="291"/>
      <c r="B249" s="291"/>
      <c r="C249" s="291"/>
      <c r="D249" s="127"/>
      <c r="E249" s="127"/>
      <c r="F249" s="291"/>
      <c r="G249" s="130"/>
    </row>
    <row r="250" ht="15.75" customHeight="1">
      <c r="A250" s="291"/>
      <c r="B250" s="291"/>
      <c r="C250" s="291"/>
      <c r="D250" s="127"/>
      <c r="E250" s="127"/>
      <c r="F250" s="291"/>
      <c r="G250" s="130"/>
    </row>
    <row r="251" ht="15.75" customHeight="1">
      <c r="A251" s="291"/>
      <c r="B251" s="291"/>
      <c r="C251" s="291"/>
      <c r="D251" s="127"/>
      <c r="E251" s="127"/>
      <c r="F251" s="291"/>
      <c r="G251" s="130"/>
    </row>
    <row r="252" ht="15.75" customHeight="1">
      <c r="A252" s="291"/>
      <c r="B252" s="291"/>
      <c r="C252" s="291"/>
      <c r="D252" s="127"/>
      <c r="E252" s="127"/>
      <c r="F252" s="291"/>
      <c r="G252" s="130"/>
    </row>
    <row r="253" ht="15.75" customHeight="1">
      <c r="A253" s="291"/>
      <c r="B253" s="291"/>
      <c r="C253" s="291"/>
      <c r="D253" s="127"/>
      <c r="E253" s="127"/>
      <c r="F253" s="291"/>
      <c r="G253" s="130"/>
    </row>
    <row r="254" ht="15.75" customHeight="1">
      <c r="A254" s="291"/>
      <c r="B254" s="291"/>
      <c r="C254" s="291"/>
      <c r="D254" s="127"/>
      <c r="E254" s="127"/>
      <c r="F254" s="291"/>
      <c r="G254" s="130"/>
    </row>
    <row r="255" ht="15.75" customHeight="1">
      <c r="A255" s="291"/>
      <c r="B255" s="291"/>
      <c r="C255" s="291"/>
      <c r="D255" s="127"/>
      <c r="E255" s="127"/>
      <c r="F255" s="291"/>
      <c r="G255" s="130"/>
    </row>
    <row r="256" ht="15.75" customHeight="1">
      <c r="A256" s="291"/>
      <c r="B256" s="291"/>
      <c r="C256" s="291"/>
      <c r="D256" s="127"/>
      <c r="E256" s="127"/>
      <c r="F256" s="291"/>
      <c r="G256" s="130"/>
    </row>
    <row r="257" ht="15.75" customHeight="1">
      <c r="A257" s="291"/>
      <c r="B257" s="291"/>
      <c r="C257" s="291"/>
      <c r="D257" s="127"/>
      <c r="E257" s="127"/>
      <c r="F257" s="291"/>
      <c r="G257" s="130"/>
    </row>
    <row r="258" ht="15.75" customHeight="1">
      <c r="A258" s="291"/>
      <c r="B258" s="291"/>
      <c r="C258" s="291"/>
      <c r="D258" s="127"/>
      <c r="E258" s="127"/>
      <c r="F258" s="291"/>
      <c r="G258" s="130"/>
    </row>
    <row r="259" ht="15.75" customHeight="1">
      <c r="A259" s="291"/>
      <c r="B259" s="291"/>
      <c r="C259" s="291"/>
      <c r="D259" s="127"/>
      <c r="E259" s="127"/>
      <c r="F259" s="291"/>
      <c r="G259" s="130"/>
    </row>
    <row r="260" ht="15.75" customHeight="1">
      <c r="A260" s="291"/>
      <c r="B260" s="291"/>
      <c r="C260" s="291"/>
      <c r="D260" s="127"/>
      <c r="E260" s="127"/>
      <c r="F260" s="291"/>
      <c r="G260" s="130"/>
    </row>
    <row r="261" ht="15.75" customHeight="1">
      <c r="A261" s="291"/>
      <c r="B261" s="291"/>
      <c r="C261" s="291"/>
      <c r="D261" s="127"/>
      <c r="E261" s="127"/>
      <c r="F261" s="291"/>
      <c r="G261" s="130"/>
    </row>
    <row r="262" ht="15.75" customHeight="1">
      <c r="A262" s="291"/>
      <c r="B262" s="291"/>
      <c r="C262" s="291"/>
      <c r="D262" s="127"/>
      <c r="E262" s="127"/>
      <c r="F262" s="291"/>
      <c r="G262" s="130"/>
    </row>
    <row r="263" ht="15.75" customHeight="1">
      <c r="A263" s="291"/>
      <c r="B263" s="291"/>
      <c r="C263" s="291"/>
      <c r="D263" s="127"/>
      <c r="E263" s="127"/>
      <c r="F263" s="291"/>
      <c r="G263" s="130"/>
    </row>
    <row r="264" ht="15.75" customHeight="1">
      <c r="A264" s="291"/>
      <c r="B264" s="291"/>
      <c r="C264" s="291"/>
      <c r="D264" s="127"/>
      <c r="E264" s="127"/>
      <c r="F264" s="291"/>
      <c r="G264" s="130"/>
    </row>
    <row r="265" ht="15.75" customHeight="1">
      <c r="A265" s="291"/>
      <c r="B265" s="291"/>
      <c r="C265" s="291"/>
      <c r="D265" s="127"/>
      <c r="E265" s="127"/>
      <c r="F265" s="291"/>
      <c r="G265" s="130"/>
    </row>
    <row r="266" ht="15.75" customHeight="1">
      <c r="A266" s="291"/>
      <c r="B266" s="291"/>
      <c r="C266" s="291"/>
      <c r="D266" s="127"/>
      <c r="E266" s="127"/>
      <c r="F266" s="291"/>
      <c r="G266" s="130"/>
    </row>
    <row r="267" ht="15.75" customHeight="1">
      <c r="A267" s="291"/>
      <c r="B267" s="291"/>
      <c r="C267" s="291"/>
      <c r="D267" s="127"/>
      <c r="E267" s="127"/>
      <c r="F267" s="291"/>
      <c r="G267" s="130"/>
    </row>
    <row r="268" ht="15.75" customHeight="1">
      <c r="A268" s="291"/>
      <c r="B268" s="291"/>
      <c r="C268" s="291"/>
      <c r="D268" s="127"/>
      <c r="E268" s="127"/>
      <c r="F268" s="291"/>
      <c r="G268" s="130"/>
    </row>
    <row r="269" ht="15.75" customHeight="1">
      <c r="A269" s="291"/>
      <c r="B269" s="291"/>
      <c r="C269" s="291"/>
      <c r="D269" s="127"/>
      <c r="E269" s="127"/>
      <c r="F269" s="291"/>
      <c r="G269" s="130"/>
    </row>
    <row r="270" ht="15.75" customHeight="1">
      <c r="A270" s="291"/>
      <c r="B270" s="291"/>
      <c r="C270" s="291"/>
      <c r="D270" s="127"/>
      <c r="E270" s="127"/>
      <c r="F270" s="291"/>
      <c r="G270" s="130"/>
    </row>
    <row r="271" ht="15.75" customHeight="1">
      <c r="A271" s="291"/>
      <c r="B271" s="291"/>
      <c r="C271" s="291"/>
      <c r="D271" s="127"/>
      <c r="E271" s="127"/>
      <c r="F271" s="291"/>
      <c r="G271" s="130"/>
    </row>
    <row r="272" ht="15.75" customHeight="1">
      <c r="A272" s="291"/>
      <c r="B272" s="291"/>
      <c r="C272" s="291"/>
      <c r="D272" s="127"/>
      <c r="E272" s="127"/>
      <c r="F272" s="291"/>
      <c r="G272" s="130"/>
    </row>
    <row r="273" ht="15.75" customHeight="1">
      <c r="A273" s="291"/>
      <c r="B273" s="291"/>
      <c r="C273" s="291"/>
      <c r="D273" s="127"/>
      <c r="E273" s="127"/>
      <c r="F273" s="291"/>
      <c r="G273" s="130"/>
    </row>
    <row r="274" ht="15.75" customHeight="1">
      <c r="A274" s="291"/>
      <c r="B274" s="291"/>
      <c r="C274" s="291"/>
      <c r="D274" s="127"/>
      <c r="E274" s="127"/>
      <c r="F274" s="291"/>
      <c r="G274" s="130"/>
    </row>
    <row r="275" ht="15.75" customHeight="1">
      <c r="A275" s="291"/>
      <c r="B275" s="291"/>
      <c r="C275" s="291"/>
      <c r="D275" s="127"/>
      <c r="E275" s="127"/>
      <c r="F275" s="291"/>
      <c r="G275" s="130"/>
    </row>
    <row r="276" ht="15.75" customHeight="1">
      <c r="A276" s="291"/>
      <c r="B276" s="291"/>
      <c r="C276" s="291"/>
      <c r="D276" s="127"/>
      <c r="E276" s="127"/>
      <c r="F276" s="291"/>
      <c r="G276" s="130"/>
    </row>
    <row r="277" ht="15.75" customHeight="1">
      <c r="A277" s="291"/>
      <c r="B277" s="291"/>
      <c r="C277" s="291"/>
      <c r="D277" s="127"/>
      <c r="E277" s="127"/>
      <c r="F277" s="291"/>
      <c r="G277" s="130"/>
    </row>
    <row r="278" ht="15.75" customHeight="1">
      <c r="A278" s="291"/>
      <c r="B278" s="291"/>
      <c r="C278" s="291"/>
      <c r="D278" s="127"/>
      <c r="E278" s="127"/>
      <c r="F278" s="291"/>
      <c r="G278" s="130"/>
    </row>
    <row r="279" ht="15.75" customHeight="1">
      <c r="A279" s="291"/>
      <c r="B279" s="291"/>
      <c r="C279" s="291"/>
      <c r="D279" s="127"/>
      <c r="E279" s="127"/>
      <c r="F279" s="291"/>
      <c r="G279" s="130"/>
    </row>
    <row r="280" ht="15.75" customHeight="1">
      <c r="A280" s="291"/>
      <c r="B280" s="291"/>
      <c r="C280" s="291"/>
      <c r="D280" s="127"/>
      <c r="E280" s="127"/>
      <c r="F280" s="291"/>
      <c r="G280" s="130"/>
    </row>
    <row r="281" ht="15.75" customHeight="1">
      <c r="A281" s="291"/>
      <c r="B281" s="291"/>
      <c r="C281" s="291"/>
      <c r="D281" s="127"/>
      <c r="E281" s="127"/>
      <c r="F281" s="291"/>
      <c r="G281" s="130"/>
    </row>
    <row r="282" ht="15.75" customHeight="1">
      <c r="A282" s="291"/>
      <c r="B282" s="291"/>
      <c r="C282" s="291"/>
      <c r="D282" s="127"/>
      <c r="E282" s="127"/>
      <c r="F282" s="291"/>
      <c r="G282" s="130"/>
    </row>
    <row r="283" ht="15.75" customHeight="1">
      <c r="A283" s="291"/>
      <c r="B283" s="291"/>
      <c r="C283" s="291"/>
      <c r="D283" s="127"/>
      <c r="E283" s="127"/>
      <c r="F283" s="291"/>
      <c r="G283" s="130"/>
    </row>
    <row r="284" ht="15.75" customHeight="1">
      <c r="A284" s="291"/>
      <c r="B284" s="291"/>
      <c r="C284" s="291"/>
      <c r="D284" s="127"/>
      <c r="E284" s="127"/>
      <c r="F284" s="291"/>
      <c r="G284" s="130"/>
    </row>
    <row r="285" ht="15.75" customHeight="1">
      <c r="A285" s="291"/>
      <c r="B285" s="291"/>
      <c r="C285" s="291"/>
      <c r="D285" s="127"/>
      <c r="E285" s="127"/>
      <c r="F285" s="291"/>
      <c r="G285" s="130"/>
    </row>
    <row r="286" ht="15.75" customHeight="1">
      <c r="A286" s="291"/>
      <c r="B286" s="291"/>
      <c r="C286" s="291"/>
      <c r="D286" s="127"/>
      <c r="E286" s="127"/>
      <c r="F286" s="291"/>
      <c r="G286" s="130"/>
    </row>
    <row r="287" ht="15.75" customHeight="1">
      <c r="A287" s="291"/>
      <c r="B287" s="291"/>
      <c r="C287" s="291"/>
      <c r="D287" s="127"/>
      <c r="E287" s="127"/>
      <c r="F287" s="291"/>
      <c r="G287" s="130"/>
    </row>
    <row r="288" ht="15.75" customHeight="1">
      <c r="A288" s="291"/>
      <c r="B288" s="291"/>
      <c r="C288" s="291"/>
      <c r="D288" s="127"/>
      <c r="E288" s="127"/>
      <c r="F288" s="291"/>
      <c r="G288" s="130"/>
    </row>
    <row r="289" ht="15.75" customHeight="1">
      <c r="A289" s="291"/>
      <c r="B289" s="291"/>
      <c r="C289" s="291"/>
      <c r="D289" s="127"/>
      <c r="E289" s="127"/>
      <c r="F289" s="291"/>
      <c r="G289" s="130"/>
    </row>
    <row r="290" ht="15.75" customHeight="1">
      <c r="A290" s="291"/>
      <c r="B290" s="291"/>
      <c r="C290" s="291"/>
      <c r="D290" s="127"/>
      <c r="E290" s="127"/>
      <c r="F290" s="291"/>
      <c r="G290" s="130"/>
    </row>
    <row r="291" ht="15.75" customHeight="1">
      <c r="A291" s="291"/>
      <c r="B291" s="291"/>
      <c r="C291" s="291"/>
      <c r="D291" s="127"/>
      <c r="E291" s="127"/>
      <c r="F291" s="291"/>
      <c r="G291" s="130"/>
    </row>
    <row r="292" ht="15.75" customHeight="1">
      <c r="A292" s="291"/>
      <c r="B292" s="291"/>
      <c r="C292" s="291"/>
      <c r="D292" s="127"/>
      <c r="E292" s="127"/>
      <c r="F292" s="291"/>
      <c r="G292" s="130"/>
    </row>
    <row r="293" ht="15.75" customHeight="1">
      <c r="A293" s="291"/>
      <c r="B293" s="291"/>
      <c r="C293" s="291"/>
      <c r="D293" s="127"/>
      <c r="E293" s="127"/>
      <c r="F293" s="291"/>
      <c r="G293" s="130"/>
    </row>
    <row r="294" ht="15.75" customHeight="1">
      <c r="A294" s="291"/>
      <c r="B294" s="291"/>
      <c r="C294" s="291"/>
      <c r="D294" s="127"/>
      <c r="E294" s="127"/>
      <c r="F294" s="291"/>
      <c r="G294" s="130"/>
    </row>
    <row r="295" ht="15.75" customHeight="1">
      <c r="A295" s="291"/>
      <c r="B295" s="291"/>
      <c r="C295" s="291"/>
      <c r="D295" s="127"/>
      <c r="E295" s="127"/>
      <c r="F295" s="291"/>
      <c r="G295" s="130"/>
    </row>
    <row r="296" ht="15.75" customHeight="1">
      <c r="A296" s="291"/>
      <c r="B296" s="291"/>
      <c r="C296" s="291"/>
      <c r="D296" s="127"/>
      <c r="E296" s="127"/>
      <c r="F296" s="291"/>
      <c r="G296" s="130"/>
    </row>
    <row r="297" ht="15.75" customHeight="1">
      <c r="A297" s="291"/>
      <c r="B297" s="291"/>
      <c r="C297" s="291"/>
      <c r="D297" s="127"/>
      <c r="E297" s="127"/>
      <c r="F297" s="291"/>
      <c r="G297" s="130"/>
    </row>
    <row r="298" ht="15.75" customHeight="1">
      <c r="A298" s="291"/>
      <c r="B298" s="291"/>
      <c r="C298" s="291"/>
      <c r="D298" s="127"/>
      <c r="E298" s="127"/>
      <c r="F298" s="291"/>
      <c r="G298" s="130"/>
    </row>
    <row r="299" ht="15.75" customHeight="1">
      <c r="A299" s="291"/>
      <c r="B299" s="291"/>
      <c r="C299" s="291"/>
      <c r="D299" s="127"/>
      <c r="E299" s="127"/>
      <c r="F299" s="291"/>
      <c r="G299" s="130"/>
    </row>
    <row r="300" ht="15.75" customHeight="1">
      <c r="A300" s="291"/>
      <c r="B300" s="291"/>
      <c r="C300" s="291"/>
      <c r="D300" s="127"/>
      <c r="E300" s="127"/>
      <c r="F300" s="291"/>
      <c r="G300" s="130"/>
    </row>
    <row r="301" ht="15.75" customHeight="1">
      <c r="A301" s="291"/>
      <c r="B301" s="291"/>
      <c r="C301" s="291"/>
      <c r="D301" s="127"/>
      <c r="E301" s="127"/>
      <c r="F301" s="291"/>
      <c r="G301" s="130"/>
    </row>
    <row r="302" ht="15.75" customHeight="1">
      <c r="A302" s="291"/>
      <c r="B302" s="291"/>
      <c r="C302" s="291"/>
      <c r="D302" s="127"/>
      <c r="E302" s="127"/>
      <c r="F302" s="291"/>
      <c r="G302" s="130"/>
    </row>
    <row r="303" ht="15.75" customHeight="1">
      <c r="A303" s="291"/>
      <c r="B303" s="291"/>
      <c r="C303" s="291"/>
      <c r="D303" s="127"/>
      <c r="E303" s="127"/>
      <c r="F303" s="291"/>
      <c r="G303" s="130"/>
    </row>
    <row r="304" ht="15.75" customHeight="1">
      <c r="A304" s="291"/>
      <c r="B304" s="291"/>
      <c r="C304" s="291"/>
      <c r="D304" s="127"/>
      <c r="E304" s="127"/>
      <c r="F304" s="291"/>
      <c r="G304" s="130"/>
    </row>
    <row r="305" ht="15.75" customHeight="1">
      <c r="A305" s="291"/>
      <c r="B305" s="291"/>
      <c r="C305" s="291"/>
      <c r="D305" s="127"/>
      <c r="E305" s="127"/>
      <c r="F305" s="291"/>
      <c r="G305" s="130"/>
    </row>
    <row r="306" ht="15.75" customHeight="1">
      <c r="A306" s="291"/>
      <c r="B306" s="291"/>
      <c r="C306" s="291"/>
      <c r="D306" s="127"/>
      <c r="E306" s="127"/>
      <c r="F306" s="291"/>
      <c r="G306" s="130"/>
    </row>
    <row r="307" ht="15.75" customHeight="1">
      <c r="A307" s="291"/>
      <c r="B307" s="291"/>
      <c r="C307" s="291"/>
      <c r="D307" s="127"/>
      <c r="E307" s="127"/>
      <c r="F307" s="291"/>
      <c r="G307" s="130"/>
    </row>
    <row r="308" ht="15.75" customHeight="1">
      <c r="A308" s="291"/>
      <c r="B308" s="291"/>
      <c r="C308" s="291"/>
      <c r="D308" s="127"/>
      <c r="E308" s="127"/>
      <c r="F308" s="291"/>
      <c r="G308" s="130"/>
    </row>
    <row r="309" ht="15.75" customHeight="1">
      <c r="A309" s="291"/>
      <c r="B309" s="291"/>
      <c r="C309" s="291"/>
      <c r="D309" s="127"/>
      <c r="E309" s="127"/>
      <c r="F309" s="291"/>
      <c r="G309" s="130"/>
    </row>
    <row r="310" ht="15.75" customHeight="1">
      <c r="A310" s="291"/>
      <c r="B310" s="291"/>
      <c r="C310" s="291"/>
      <c r="D310" s="127"/>
      <c r="E310" s="127"/>
      <c r="F310" s="291"/>
      <c r="G310" s="130"/>
    </row>
    <row r="311" ht="15.75" customHeight="1">
      <c r="A311" s="291"/>
      <c r="B311" s="291"/>
      <c r="C311" s="291"/>
      <c r="D311" s="127"/>
      <c r="E311" s="127"/>
      <c r="F311" s="291"/>
      <c r="G311" s="130"/>
    </row>
    <row r="312" ht="15.75" customHeight="1">
      <c r="A312" s="291"/>
      <c r="B312" s="291"/>
      <c r="C312" s="291"/>
      <c r="D312" s="127"/>
      <c r="E312" s="127"/>
      <c r="F312" s="291"/>
      <c r="G312" s="130"/>
    </row>
    <row r="313" ht="15.75" customHeight="1">
      <c r="A313" s="291"/>
      <c r="B313" s="291"/>
      <c r="C313" s="291"/>
      <c r="D313" s="127"/>
      <c r="E313" s="127"/>
      <c r="F313" s="291"/>
      <c r="G313" s="130"/>
    </row>
    <row r="314" ht="15.75" customHeight="1">
      <c r="A314" s="291"/>
      <c r="B314" s="291"/>
      <c r="C314" s="291"/>
      <c r="D314" s="127"/>
      <c r="E314" s="127"/>
      <c r="F314" s="291"/>
      <c r="G314" s="130"/>
    </row>
    <row r="315" ht="15.75" customHeight="1">
      <c r="A315" s="291"/>
      <c r="B315" s="291"/>
      <c r="C315" s="291"/>
      <c r="D315" s="127"/>
      <c r="E315" s="127"/>
      <c r="F315" s="291"/>
      <c r="G315" s="130"/>
    </row>
    <row r="316" ht="15.75" customHeight="1">
      <c r="A316" s="291"/>
      <c r="B316" s="291"/>
      <c r="C316" s="291"/>
      <c r="D316" s="127"/>
      <c r="E316" s="127"/>
      <c r="F316" s="291"/>
      <c r="G316" s="130"/>
    </row>
    <row r="317" ht="15.75" customHeight="1">
      <c r="A317" s="291"/>
      <c r="B317" s="291"/>
      <c r="C317" s="291"/>
      <c r="D317" s="127"/>
      <c r="E317" s="127"/>
      <c r="F317" s="291"/>
      <c r="G317" s="130"/>
    </row>
    <row r="318" ht="15.75" customHeight="1">
      <c r="A318" s="291"/>
      <c r="B318" s="291"/>
      <c r="C318" s="291"/>
      <c r="D318" s="127"/>
      <c r="E318" s="127"/>
      <c r="F318" s="291"/>
      <c r="G318" s="130"/>
    </row>
    <row r="319" ht="15.75" customHeight="1">
      <c r="A319" s="291"/>
      <c r="B319" s="291"/>
      <c r="C319" s="291"/>
      <c r="D319" s="127"/>
      <c r="E319" s="127"/>
      <c r="F319" s="291"/>
      <c r="G319" s="130"/>
    </row>
    <row r="320" ht="15.75" customHeight="1">
      <c r="A320" s="291"/>
      <c r="B320" s="291"/>
      <c r="C320" s="291"/>
      <c r="D320" s="127"/>
      <c r="E320" s="127"/>
      <c r="F320" s="291"/>
      <c r="G320" s="130"/>
    </row>
    <row r="321" ht="15.75" customHeight="1">
      <c r="A321" s="291"/>
      <c r="B321" s="291"/>
      <c r="C321" s="291"/>
      <c r="D321" s="127"/>
      <c r="E321" s="127"/>
      <c r="F321" s="291"/>
      <c r="G321" s="130"/>
    </row>
    <row r="322" ht="15.75" customHeight="1">
      <c r="A322" s="291"/>
      <c r="B322" s="291"/>
      <c r="C322" s="291"/>
      <c r="D322" s="127"/>
      <c r="E322" s="127"/>
      <c r="F322" s="291"/>
      <c r="G322" s="130"/>
    </row>
    <row r="323" ht="15.75" customHeight="1">
      <c r="A323" s="291"/>
      <c r="B323" s="291"/>
      <c r="C323" s="291"/>
      <c r="D323" s="127"/>
      <c r="E323" s="127"/>
      <c r="F323" s="291"/>
      <c r="G323" s="130"/>
    </row>
    <row r="324" ht="15.75" customHeight="1">
      <c r="A324" s="291"/>
      <c r="B324" s="291"/>
      <c r="C324" s="291"/>
      <c r="D324" s="127"/>
      <c r="E324" s="127"/>
      <c r="F324" s="291"/>
      <c r="G324" s="130"/>
    </row>
    <row r="325" ht="15.75" customHeight="1">
      <c r="A325" s="291"/>
      <c r="B325" s="291"/>
      <c r="C325" s="291"/>
      <c r="D325" s="127"/>
      <c r="E325" s="127"/>
      <c r="F325" s="291"/>
      <c r="G325" s="130"/>
    </row>
    <row r="326" ht="15.75" customHeight="1">
      <c r="A326" s="291"/>
      <c r="B326" s="291"/>
      <c r="C326" s="291"/>
      <c r="D326" s="127"/>
      <c r="E326" s="127"/>
      <c r="F326" s="291"/>
      <c r="G326" s="130"/>
    </row>
    <row r="327" ht="15.75" customHeight="1">
      <c r="A327" s="291"/>
      <c r="B327" s="291"/>
      <c r="C327" s="291"/>
      <c r="D327" s="127"/>
      <c r="E327" s="127"/>
      <c r="F327" s="291"/>
      <c r="G327" s="130"/>
    </row>
    <row r="328" ht="15.75" customHeight="1">
      <c r="A328" s="291"/>
      <c r="B328" s="291"/>
      <c r="C328" s="291"/>
      <c r="D328" s="127"/>
      <c r="E328" s="127"/>
      <c r="F328" s="291"/>
      <c r="G328" s="130"/>
    </row>
    <row r="329" ht="15.75" customHeight="1">
      <c r="A329" s="291"/>
      <c r="B329" s="291"/>
      <c r="C329" s="291"/>
      <c r="D329" s="127"/>
      <c r="E329" s="127"/>
      <c r="F329" s="291"/>
      <c r="G329" s="130"/>
    </row>
    <row r="330" ht="15.75" customHeight="1">
      <c r="A330" s="291"/>
      <c r="B330" s="291"/>
      <c r="C330" s="291"/>
      <c r="D330" s="127"/>
      <c r="E330" s="127"/>
      <c r="F330" s="291"/>
      <c r="G330" s="130"/>
    </row>
    <row r="331" ht="15.75" customHeight="1">
      <c r="A331" s="291"/>
      <c r="B331" s="291"/>
      <c r="C331" s="291"/>
      <c r="D331" s="127"/>
      <c r="E331" s="127"/>
      <c r="F331" s="291"/>
      <c r="G331" s="130"/>
    </row>
    <row r="332" ht="15.75" customHeight="1">
      <c r="A332" s="291"/>
      <c r="B332" s="291"/>
      <c r="C332" s="291"/>
      <c r="D332" s="127"/>
      <c r="E332" s="127"/>
      <c r="F332" s="291"/>
      <c r="G332" s="130"/>
    </row>
    <row r="333" ht="15.75" customHeight="1">
      <c r="A333" s="291"/>
      <c r="B333" s="291"/>
      <c r="C333" s="291"/>
      <c r="D333" s="127"/>
      <c r="E333" s="127"/>
      <c r="F333" s="291"/>
      <c r="G333" s="130"/>
    </row>
    <row r="334" ht="15.75" customHeight="1">
      <c r="A334" s="291"/>
      <c r="B334" s="291"/>
      <c r="C334" s="291"/>
      <c r="D334" s="127"/>
      <c r="E334" s="127"/>
      <c r="F334" s="291"/>
      <c r="G334" s="130"/>
    </row>
    <row r="335" ht="15.75" customHeight="1">
      <c r="A335" s="291"/>
      <c r="B335" s="291"/>
      <c r="C335" s="291"/>
      <c r="D335" s="127"/>
      <c r="E335" s="127"/>
      <c r="F335" s="291"/>
      <c r="G335" s="130"/>
    </row>
    <row r="336" ht="15.75" customHeight="1">
      <c r="A336" s="291"/>
      <c r="B336" s="291"/>
      <c r="C336" s="291"/>
      <c r="D336" s="127"/>
      <c r="E336" s="127"/>
      <c r="F336" s="291"/>
      <c r="G336" s="130"/>
    </row>
    <row r="337" ht="15.75" customHeight="1">
      <c r="A337" s="291"/>
      <c r="B337" s="291"/>
      <c r="C337" s="291"/>
      <c r="D337" s="127"/>
      <c r="E337" s="127"/>
      <c r="F337" s="291"/>
      <c r="G337" s="130"/>
    </row>
    <row r="338" ht="15.75" customHeight="1">
      <c r="A338" s="291"/>
      <c r="B338" s="291"/>
      <c r="C338" s="291"/>
      <c r="D338" s="127"/>
      <c r="E338" s="127"/>
      <c r="F338" s="291"/>
      <c r="G338" s="130"/>
    </row>
    <row r="339" ht="15.75" customHeight="1">
      <c r="A339" s="291"/>
      <c r="B339" s="291"/>
      <c r="C339" s="291"/>
      <c r="D339" s="127"/>
      <c r="E339" s="127"/>
      <c r="F339" s="291"/>
      <c r="G339" s="130"/>
    </row>
    <row r="340" ht="15.75" customHeight="1">
      <c r="A340" s="291"/>
      <c r="B340" s="291"/>
      <c r="C340" s="291"/>
      <c r="D340" s="127"/>
      <c r="E340" s="127"/>
      <c r="F340" s="291"/>
      <c r="G340" s="130"/>
    </row>
    <row r="341" ht="15.75" customHeight="1">
      <c r="A341" s="291"/>
      <c r="B341" s="291"/>
      <c r="C341" s="291"/>
      <c r="D341" s="127"/>
      <c r="E341" s="127"/>
      <c r="F341" s="291"/>
      <c r="G341" s="130"/>
    </row>
    <row r="342" ht="15.75" customHeight="1">
      <c r="A342" s="291"/>
      <c r="B342" s="291"/>
      <c r="C342" s="291"/>
      <c r="D342" s="127"/>
      <c r="E342" s="127"/>
      <c r="F342" s="291"/>
      <c r="G342" s="130"/>
    </row>
    <row r="343" ht="15.75" customHeight="1">
      <c r="A343" s="291"/>
      <c r="B343" s="291"/>
      <c r="C343" s="291"/>
      <c r="D343" s="127"/>
      <c r="E343" s="127"/>
      <c r="F343" s="291"/>
      <c r="G343" s="130"/>
    </row>
    <row r="344" ht="15.75" customHeight="1">
      <c r="A344" s="291"/>
      <c r="B344" s="291"/>
      <c r="C344" s="291"/>
      <c r="D344" s="127"/>
      <c r="E344" s="127"/>
      <c r="F344" s="291"/>
      <c r="G344" s="130"/>
    </row>
    <row r="345" ht="15.75" customHeight="1">
      <c r="A345" s="291"/>
      <c r="B345" s="291"/>
      <c r="C345" s="291"/>
      <c r="D345" s="127"/>
      <c r="E345" s="127"/>
      <c r="F345" s="291"/>
      <c r="G345" s="130"/>
    </row>
    <row r="346" ht="15.75" customHeight="1">
      <c r="A346" s="291"/>
      <c r="B346" s="291"/>
      <c r="C346" s="291"/>
      <c r="D346" s="127"/>
      <c r="E346" s="127"/>
      <c r="F346" s="291"/>
      <c r="G346" s="130"/>
    </row>
    <row r="347" ht="15.75" customHeight="1">
      <c r="A347" s="291"/>
      <c r="B347" s="291"/>
      <c r="C347" s="291"/>
      <c r="D347" s="127"/>
      <c r="E347" s="127"/>
      <c r="F347" s="291"/>
      <c r="G347" s="130"/>
    </row>
    <row r="348" ht="15.75" customHeight="1">
      <c r="A348" s="291"/>
      <c r="B348" s="291"/>
      <c r="C348" s="291"/>
      <c r="D348" s="127"/>
      <c r="E348" s="127"/>
      <c r="F348" s="291"/>
      <c r="G348" s="130"/>
    </row>
    <row r="349" ht="15.75" customHeight="1">
      <c r="A349" s="291"/>
      <c r="B349" s="291"/>
      <c r="C349" s="291"/>
      <c r="D349" s="127"/>
      <c r="E349" s="127"/>
      <c r="F349" s="291"/>
      <c r="G349" s="130"/>
    </row>
    <row r="350" ht="15.75" customHeight="1">
      <c r="A350" s="291"/>
      <c r="B350" s="291"/>
      <c r="C350" s="291"/>
      <c r="D350" s="127"/>
      <c r="E350" s="127"/>
      <c r="F350" s="291"/>
      <c r="G350" s="130"/>
    </row>
    <row r="351" ht="15.75" customHeight="1">
      <c r="A351" s="291"/>
      <c r="B351" s="291"/>
      <c r="C351" s="291"/>
      <c r="D351" s="127"/>
      <c r="E351" s="127"/>
      <c r="F351" s="291"/>
      <c r="G351" s="130"/>
    </row>
    <row r="352" ht="15.75" customHeight="1">
      <c r="A352" s="291"/>
      <c r="B352" s="291"/>
      <c r="C352" s="291"/>
      <c r="D352" s="127"/>
      <c r="E352" s="127"/>
      <c r="F352" s="291"/>
      <c r="G352" s="130"/>
    </row>
    <row r="353" ht="15.75" customHeight="1">
      <c r="A353" s="291"/>
      <c r="B353" s="291"/>
      <c r="C353" s="291"/>
      <c r="D353" s="127"/>
      <c r="E353" s="127"/>
      <c r="F353" s="291"/>
      <c r="G353" s="130"/>
    </row>
    <row r="354" ht="15.75" customHeight="1">
      <c r="A354" s="291"/>
      <c r="B354" s="291"/>
      <c r="C354" s="291"/>
      <c r="D354" s="127"/>
      <c r="E354" s="127"/>
      <c r="F354" s="291"/>
      <c r="G354" s="130"/>
    </row>
    <row r="355" ht="15.75" customHeight="1">
      <c r="A355" s="291"/>
      <c r="B355" s="291"/>
      <c r="C355" s="291"/>
      <c r="D355" s="127"/>
      <c r="E355" s="127"/>
      <c r="F355" s="291"/>
      <c r="G355" s="130"/>
    </row>
    <row r="356" ht="15.75" customHeight="1">
      <c r="A356" s="291"/>
      <c r="B356" s="291"/>
      <c r="C356" s="291"/>
      <c r="D356" s="127"/>
      <c r="E356" s="127"/>
      <c r="F356" s="291"/>
      <c r="G356" s="130"/>
    </row>
    <row r="357" ht="15.75" customHeight="1">
      <c r="A357" s="291"/>
      <c r="B357" s="291"/>
      <c r="C357" s="291"/>
      <c r="D357" s="127"/>
      <c r="E357" s="127"/>
      <c r="F357" s="291"/>
      <c r="G357" s="130"/>
    </row>
    <row r="358" ht="15.75" customHeight="1">
      <c r="A358" s="291"/>
      <c r="B358" s="291"/>
      <c r="C358" s="291"/>
      <c r="D358" s="127"/>
      <c r="E358" s="127"/>
      <c r="F358" s="291"/>
      <c r="G358" s="130"/>
    </row>
    <row r="359" ht="15.75" customHeight="1">
      <c r="A359" s="291"/>
      <c r="B359" s="291"/>
      <c r="C359" s="291"/>
      <c r="D359" s="127"/>
      <c r="E359" s="127"/>
      <c r="F359" s="291"/>
      <c r="G359" s="130"/>
    </row>
    <row r="360" ht="15.75" customHeight="1">
      <c r="A360" s="291"/>
      <c r="B360" s="291"/>
      <c r="C360" s="291"/>
      <c r="D360" s="127"/>
      <c r="E360" s="127"/>
      <c r="F360" s="291"/>
      <c r="G360" s="130"/>
    </row>
    <row r="361" ht="15.75" customHeight="1">
      <c r="A361" s="291"/>
      <c r="B361" s="291"/>
      <c r="C361" s="291"/>
      <c r="D361" s="127"/>
      <c r="E361" s="127"/>
      <c r="F361" s="291"/>
      <c r="G361" s="130"/>
    </row>
    <row r="362" ht="15.75" customHeight="1">
      <c r="A362" s="291"/>
      <c r="B362" s="291"/>
      <c r="C362" s="291"/>
      <c r="D362" s="127"/>
      <c r="E362" s="127"/>
      <c r="F362" s="291"/>
      <c r="G362" s="130"/>
    </row>
    <row r="363" ht="15.75" customHeight="1">
      <c r="A363" s="291"/>
      <c r="B363" s="291"/>
      <c r="C363" s="291"/>
      <c r="D363" s="127"/>
      <c r="E363" s="127"/>
      <c r="F363" s="291"/>
      <c r="G363" s="130"/>
    </row>
    <row r="364" ht="15.75" customHeight="1">
      <c r="A364" s="291"/>
      <c r="B364" s="291"/>
      <c r="C364" s="291"/>
      <c r="D364" s="127"/>
      <c r="E364" s="127"/>
      <c r="F364" s="291"/>
      <c r="G364" s="130"/>
    </row>
    <row r="365" ht="15.75" customHeight="1">
      <c r="A365" s="291"/>
      <c r="B365" s="291"/>
      <c r="C365" s="291"/>
      <c r="D365" s="127"/>
      <c r="E365" s="127"/>
      <c r="F365" s="291"/>
      <c r="G365" s="130"/>
    </row>
    <row r="366" ht="15.75" customHeight="1">
      <c r="A366" s="291"/>
      <c r="B366" s="291"/>
      <c r="C366" s="291"/>
      <c r="D366" s="127"/>
      <c r="E366" s="127"/>
      <c r="F366" s="291"/>
      <c r="G366" s="130"/>
    </row>
    <row r="367" ht="15.75" customHeight="1">
      <c r="A367" s="291"/>
      <c r="B367" s="291"/>
      <c r="C367" s="291"/>
      <c r="D367" s="127"/>
      <c r="E367" s="127"/>
      <c r="F367" s="291"/>
      <c r="G367" s="130"/>
    </row>
    <row r="368" ht="15.75" customHeight="1">
      <c r="A368" s="291"/>
      <c r="B368" s="291"/>
      <c r="C368" s="291"/>
      <c r="D368" s="127"/>
      <c r="E368" s="127"/>
      <c r="F368" s="291"/>
      <c r="G368" s="130"/>
    </row>
    <row r="369" ht="15.75" customHeight="1">
      <c r="A369" s="291"/>
      <c r="B369" s="291"/>
      <c r="C369" s="291"/>
      <c r="D369" s="127"/>
      <c r="E369" s="127"/>
      <c r="F369" s="291"/>
      <c r="G369" s="130"/>
    </row>
    <row r="370" ht="15.75" customHeight="1">
      <c r="A370" s="291"/>
      <c r="B370" s="291"/>
      <c r="C370" s="291"/>
      <c r="D370" s="127"/>
      <c r="E370" s="127"/>
      <c r="F370" s="291"/>
      <c r="G370" s="130"/>
    </row>
    <row r="371" ht="15.75" customHeight="1">
      <c r="A371" s="291"/>
      <c r="B371" s="291"/>
      <c r="C371" s="291"/>
      <c r="D371" s="127"/>
      <c r="E371" s="127"/>
      <c r="F371" s="291"/>
      <c r="G371" s="130"/>
    </row>
    <row r="372" ht="15.75" customHeight="1">
      <c r="A372" s="291"/>
      <c r="B372" s="291"/>
      <c r="C372" s="291"/>
      <c r="D372" s="127"/>
      <c r="E372" s="127"/>
      <c r="F372" s="291"/>
      <c r="G372" s="130"/>
    </row>
    <row r="373" ht="15.75" customHeight="1">
      <c r="A373" s="291"/>
      <c r="B373" s="291"/>
      <c r="C373" s="291"/>
      <c r="D373" s="127"/>
      <c r="E373" s="127"/>
      <c r="F373" s="291"/>
      <c r="G373" s="130"/>
    </row>
    <row r="374" ht="15.75" customHeight="1">
      <c r="A374" s="291"/>
      <c r="B374" s="291"/>
      <c r="C374" s="291"/>
      <c r="D374" s="127"/>
      <c r="E374" s="127"/>
      <c r="F374" s="291"/>
      <c r="G374" s="130"/>
    </row>
    <row r="375" ht="15.75" customHeight="1">
      <c r="A375" s="291"/>
      <c r="B375" s="291"/>
      <c r="C375" s="291"/>
      <c r="D375" s="127"/>
      <c r="E375" s="127"/>
      <c r="F375" s="291"/>
      <c r="G375" s="130"/>
    </row>
    <row r="376" ht="15.75" customHeight="1">
      <c r="A376" s="291"/>
      <c r="B376" s="291"/>
      <c r="C376" s="291"/>
      <c r="D376" s="127"/>
      <c r="E376" s="127"/>
      <c r="F376" s="291"/>
      <c r="G376" s="130"/>
    </row>
    <row r="377" ht="15.75" customHeight="1">
      <c r="A377" s="291"/>
      <c r="B377" s="291"/>
      <c r="C377" s="291"/>
      <c r="D377" s="127"/>
      <c r="E377" s="127"/>
      <c r="F377" s="291"/>
      <c r="G377" s="130"/>
    </row>
    <row r="378" ht="15.75" customHeight="1">
      <c r="A378" s="291"/>
      <c r="B378" s="291"/>
      <c r="C378" s="291"/>
      <c r="D378" s="127"/>
      <c r="E378" s="127"/>
      <c r="F378" s="291"/>
      <c r="G378" s="130"/>
    </row>
    <row r="379" ht="15.75" customHeight="1">
      <c r="A379" s="291"/>
      <c r="B379" s="291"/>
      <c r="C379" s="291"/>
      <c r="D379" s="127"/>
      <c r="E379" s="127"/>
      <c r="F379" s="291"/>
      <c r="G379" s="130"/>
    </row>
    <row r="380" ht="15.75" customHeight="1">
      <c r="A380" s="291"/>
      <c r="B380" s="291"/>
      <c r="C380" s="291"/>
      <c r="D380" s="127"/>
      <c r="E380" s="127"/>
      <c r="F380" s="291"/>
      <c r="G380" s="130"/>
    </row>
    <row r="381" ht="15.75" customHeight="1">
      <c r="A381" s="291"/>
      <c r="B381" s="291"/>
      <c r="C381" s="291"/>
      <c r="D381" s="127"/>
      <c r="E381" s="127"/>
      <c r="F381" s="291"/>
      <c r="G381" s="130"/>
    </row>
    <row r="382" ht="15.75" customHeight="1">
      <c r="A382" s="291"/>
      <c r="B382" s="291"/>
      <c r="C382" s="291"/>
      <c r="D382" s="127"/>
      <c r="E382" s="127"/>
      <c r="F382" s="291"/>
      <c r="G382" s="130"/>
    </row>
    <row r="383" ht="15.75" customHeight="1">
      <c r="A383" s="291"/>
      <c r="B383" s="291"/>
      <c r="C383" s="291"/>
      <c r="D383" s="127"/>
      <c r="E383" s="127"/>
      <c r="F383" s="291"/>
      <c r="G383" s="130"/>
    </row>
    <row r="384" ht="15.75" customHeight="1">
      <c r="A384" s="291"/>
      <c r="B384" s="291"/>
      <c r="C384" s="291"/>
      <c r="D384" s="127"/>
      <c r="E384" s="127"/>
      <c r="F384" s="291"/>
      <c r="G384" s="130"/>
    </row>
    <row r="385" ht="15.75" customHeight="1">
      <c r="A385" s="291"/>
      <c r="B385" s="291"/>
      <c r="C385" s="291"/>
      <c r="D385" s="127"/>
      <c r="E385" s="127"/>
      <c r="F385" s="291"/>
      <c r="G385" s="130"/>
    </row>
    <row r="386" ht="15.75" customHeight="1">
      <c r="A386" s="291"/>
      <c r="B386" s="291"/>
      <c r="C386" s="291"/>
      <c r="D386" s="127"/>
      <c r="E386" s="127"/>
      <c r="F386" s="291"/>
      <c r="G386" s="130"/>
    </row>
    <row r="387" ht="15.75" customHeight="1">
      <c r="A387" s="291"/>
      <c r="B387" s="291"/>
      <c r="C387" s="291"/>
      <c r="D387" s="127"/>
      <c r="E387" s="127"/>
      <c r="F387" s="291"/>
      <c r="G387" s="130"/>
    </row>
    <row r="388" ht="15.75" customHeight="1">
      <c r="A388" s="291"/>
      <c r="B388" s="291"/>
      <c r="C388" s="291"/>
      <c r="D388" s="127"/>
      <c r="E388" s="127"/>
      <c r="F388" s="291"/>
      <c r="G388" s="130"/>
    </row>
    <row r="389" ht="15.75" customHeight="1">
      <c r="A389" s="291"/>
      <c r="B389" s="291"/>
      <c r="C389" s="291"/>
      <c r="D389" s="127"/>
      <c r="E389" s="127"/>
      <c r="F389" s="291"/>
      <c r="G389" s="130"/>
    </row>
    <row r="390" ht="15.75" customHeight="1">
      <c r="A390" s="291"/>
      <c r="B390" s="291"/>
      <c r="C390" s="291"/>
      <c r="D390" s="127"/>
      <c r="E390" s="127"/>
      <c r="F390" s="291"/>
      <c r="G390" s="130"/>
    </row>
    <row r="391" ht="15.75" customHeight="1">
      <c r="A391" s="291"/>
      <c r="B391" s="291"/>
      <c r="C391" s="291"/>
      <c r="D391" s="127"/>
      <c r="E391" s="127"/>
      <c r="F391" s="291"/>
      <c r="G391" s="130"/>
    </row>
    <row r="392" ht="15.75" customHeight="1">
      <c r="A392" s="291"/>
      <c r="B392" s="291"/>
      <c r="C392" s="291"/>
      <c r="D392" s="127"/>
      <c r="E392" s="127"/>
      <c r="F392" s="291"/>
      <c r="G392" s="130"/>
    </row>
    <row r="393" ht="15.75" customHeight="1">
      <c r="A393" s="291"/>
      <c r="B393" s="291"/>
      <c r="C393" s="291"/>
      <c r="D393" s="127"/>
      <c r="E393" s="127"/>
      <c r="F393" s="291"/>
      <c r="G393" s="130"/>
    </row>
    <row r="394" ht="15.75" customHeight="1">
      <c r="A394" s="291"/>
      <c r="B394" s="291"/>
      <c r="C394" s="291"/>
      <c r="D394" s="127"/>
      <c r="E394" s="127"/>
      <c r="F394" s="291"/>
      <c r="G394" s="130"/>
    </row>
    <row r="395" ht="15.75" customHeight="1">
      <c r="A395" s="291"/>
      <c r="B395" s="291"/>
      <c r="C395" s="291"/>
      <c r="D395" s="127"/>
      <c r="E395" s="127"/>
      <c r="F395" s="291"/>
      <c r="G395" s="130"/>
    </row>
    <row r="396" ht="15.75" customHeight="1">
      <c r="A396" s="291"/>
      <c r="B396" s="291"/>
      <c r="C396" s="291"/>
      <c r="D396" s="127"/>
      <c r="E396" s="127"/>
      <c r="F396" s="291"/>
      <c r="G396" s="130"/>
    </row>
    <row r="397" ht="15.75" customHeight="1">
      <c r="A397" s="291"/>
      <c r="B397" s="291"/>
      <c r="C397" s="291"/>
      <c r="D397" s="127"/>
      <c r="E397" s="127"/>
      <c r="F397" s="291"/>
      <c r="G397" s="130"/>
    </row>
    <row r="398" ht="15.75" customHeight="1">
      <c r="A398" s="291"/>
      <c r="B398" s="291"/>
      <c r="C398" s="291"/>
      <c r="D398" s="127"/>
      <c r="E398" s="127"/>
      <c r="F398" s="291"/>
      <c r="G398" s="130"/>
    </row>
    <row r="399" ht="15.75" customHeight="1">
      <c r="A399" s="291"/>
      <c r="B399" s="291"/>
      <c r="C399" s="291"/>
      <c r="D399" s="127"/>
      <c r="E399" s="127"/>
      <c r="F399" s="291"/>
      <c r="G399" s="130"/>
    </row>
    <row r="400" ht="15.75" customHeight="1">
      <c r="A400" s="291"/>
      <c r="B400" s="291"/>
      <c r="C400" s="291"/>
      <c r="D400" s="127"/>
      <c r="E400" s="127"/>
      <c r="F400" s="291"/>
      <c r="G400" s="130"/>
    </row>
    <row r="401" ht="15.75" customHeight="1">
      <c r="A401" s="291"/>
      <c r="B401" s="291"/>
      <c r="C401" s="291"/>
      <c r="D401" s="127"/>
      <c r="E401" s="127"/>
      <c r="F401" s="291"/>
      <c r="G401" s="130"/>
    </row>
    <row r="402" ht="15.75" customHeight="1">
      <c r="A402" s="291"/>
      <c r="B402" s="291"/>
      <c r="C402" s="291"/>
      <c r="D402" s="127"/>
      <c r="E402" s="127"/>
      <c r="F402" s="291"/>
      <c r="G402" s="130"/>
    </row>
    <row r="403" ht="15.75" customHeight="1">
      <c r="A403" s="291"/>
      <c r="B403" s="291"/>
      <c r="C403" s="291"/>
      <c r="D403" s="127"/>
      <c r="E403" s="127"/>
      <c r="F403" s="291"/>
      <c r="G403" s="130"/>
    </row>
    <row r="404" ht="15.75" customHeight="1">
      <c r="A404" s="291"/>
      <c r="B404" s="291"/>
      <c r="C404" s="291"/>
      <c r="D404" s="127"/>
      <c r="E404" s="127"/>
      <c r="F404" s="291"/>
      <c r="G404" s="130"/>
    </row>
    <row r="405" ht="15.75" customHeight="1">
      <c r="A405" s="291"/>
      <c r="B405" s="291"/>
      <c r="C405" s="291"/>
      <c r="D405" s="127"/>
      <c r="E405" s="127"/>
      <c r="F405" s="291"/>
      <c r="G405" s="130"/>
    </row>
    <row r="406" ht="15.75" customHeight="1">
      <c r="A406" s="291"/>
      <c r="B406" s="291"/>
      <c r="C406" s="291"/>
      <c r="D406" s="127"/>
      <c r="E406" s="127"/>
      <c r="F406" s="291"/>
      <c r="G406" s="130"/>
    </row>
    <row r="407" ht="15.75" customHeight="1">
      <c r="A407" s="291"/>
      <c r="B407" s="291"/>
      <c r="C407" s="291"/>
      <c r="D407" s="127"/>
      <c r="E407" s="127"/>
      <c r="F407" s="291"/>
      <c r="G407" s="130"/>
    </row>
    <row r="408" ht="15.75" customHeight="1">
      <c r="A408" s="291"/>
      <c r="B408" s="291"/>
      <c r="C408" s="291"/>
      <c r="D408" s="127"/>
      <c r="E408" s="127"/>
      <c r="F408" s="291"/>
      <c r="G408" s="130"/>
    </row>
    <row r="409" ht="15.75" customHeight="1">
      <c r="A409" s="291"/>
      <c r="B409" s="291"/>
      <c r="C409" s="291"/>
      <c r="D409" s="127"/>
      <c r="E409" s="127"/>
      <c r="F409" s="291"/>
      <c r="G409" s="130"/>
    </row>
    <row r="410" ht="15.75" customHeight="1">
      <c r="A410" s="291"/>
      <c r="B410" s="291"/>
      <c r="C410" s="291"/>
      <c r="D410" s="127"/>
      <c r="E410" s="127"/>
      <c r="F410" s="291"/>
      <c r="G410" s="130"/>
    </row>
    <row r="411" ht="15.75" customHeight="1">
      <c r="A411" s="291"/>
      <c r="B411" s="291"/>
      <c r="C411" s="291"/>
      <c r="D411" s="127"/>
      <c r="E411" s="127"/>
      <c r="F411" s="291"/>
      <c r="G411" s="130"/>
    </row>
    <row r="412" ht="15.75" customHeight="1">
      <c r="A412" s="291"/>
      <c r="B412" s="291"/>
      <c r="C412" s="291"/>
      <c r="D412" s="127"/>
      <c r="E412" s="127"/>
      <c r="F412" s="291"/>
      <c r="G412" s="130"/>
    </row>
    <row r="413" ht="15.75" customHeight="1">
      <c r="A413" s="291"/>
      <c r="B413" s="291"/>
      <c r="C413" s="291"/>
      <c r="D413" s="127"/>
      <c r="E413" s="127"/>
      <c r="F413" s="291"/>
      <c r="G413" s="130"/>
    </row>
    <row r="414" ht="15.75" customHeight="1">
      <c r="A414" s="291"/>
      <c r="B414" s="291"/>
      <c r="C414" s="291"/>
      <c r="D414" s="127"/>
      <c r="E414" s="127"/>
      <c r="F414" s="291"/>
      <c r="G414" s="130"/>
    </row>
    <row r="415" ht="15.75" customHeight="1">
      <c r="A415" s="291"/>
      <c r="B415" s="291"/>
      <c r="C415" s="291"/>
      <c r="D415" s="127"/>
      <c r="E415" s="127"/>
      <c r="F415" s="291"/>
      <c r="G415" s="130"/>
    </row>
    <row r="416" ht="15.75" customHeight="1">
      <c r="A416" s="291"/>
      <c r="B416" s="291"/>
      <c r="C416" s="291"/>
      <c r="D416" s="127"/>
      <c r="E416" s="127"/>
      <c r="F416" s="291"/>
      <c r="G416" s="130"/>
    </row>
    <row r="417" ht="15.75" customHeight="1">
      <c r="A417" s="291"/>
      <c r="B417" s="291"/>
      <c r="C417" s="291"/>
      <c r="D417" s="127"/>
      <c r="E417" s="127"/>
      <c r="F417" s="291"/>
      <c r="G417" s="130"/>
    </row>
    <row r="418" ht="15.75" customHeight="1">
      <c r="A418" s="291"/>
      <c r="B418" s="291"/>
      <c r="C418" s="291"/>
      <c r="D418" s="127"/>
      <c r="E418" s="127"/>
      <c r="F418" s="291"/>
      <c r="G418" s="130"/>
    </row>
    <row r="419" ht="15.75" customHeight="1">
      <c r="A419" s="291"/>
      <c r="B419" s="291"/>
      <c r="C419" s="291"/>
      <c r="D419" s="127"/>
      <c r="E419" s="127"/>
      <c r="F419" s="291"/>
      <c r="G419" s="130"/>
    </row>
    <row r="420" ht="15.75" customHeight="1">
      <c r="A420" s="291"/>
      <c r="B420" s="291"/>
      <c r="C420" s="291"/>
      <c r="D420" s="127"/>
      <c r="E420" s="127"/>
      <c r="F420" s="291"/>
      <c r="G420" s="130"/>
    </row>
    <row r="421" ht="15.75" customHeight="1">
      <c r="A421" s="291"/>
      <c r="B421" s="291"/>
      <c r="C421" s="291"/>
      <c r="D421" s="127"/>
      <c r="E421" s="127"/>
      <c r="F421" s="291"/>
      <c r="G421" s="130"/>
    </row>
    <row r="422" ht="15.75" customHeight="1">
      <c r="A422" s="291"/>
      <c r="B422" s="291"/>
      <c r="C422" s="291"/>
      <c r="D422" s="127"/>
      <c r="E422" s="127"/>
      <c r="F422" s="291"/>
      <c r="G422" s="130"/>
    </row>
    <row r="423" ht="15.75" customHeight="1">
      <c r="A423" s="291"/>
      <c r="B423" s="291"/>
      <c r="C423" s="291"/>
      <c r="D423" s="127"/>
      <c r="E423" s="127"/>
      <c r="F423" s="291"/>
      <c r="G423" s="130"/>
    </row>
    <row r="424" ht="15.75" customHeight="1">
      <c r="A424" s="291"/>
      <c r="B424" s="291"/>
      <c r="C424" s="291"/>
      <c r="D424" s="127"/>
      <c r="E424" s="127"/>
      <c r="F424" s="291"/>
      <c r="G424" s="130"/>
    </row>
    <row r="425" ht="15.75" customHeight="1">
      <c r="A425" s="291"/>
      <c r="B425" s="291"/>
      <c r="C425" s="291"/>
      <c r="D425" s="127"/>
      <c r="E425" s="127"/>
      <c r="F425" s="291"/>
      <c r="G425" s="130"/>
    </row>
    <row r="426" ht="15.75" customHeight="1">
      <c r="A426" s="291"/>
      <c r="B426" s="291"/>
      <c r="C426" s="291"/>
      <c r="D426" s="127"/>
      <c r="E426" s="127"/>
      <c r="F426" s="291"/>
      <c r="G426" s="130"/>
    </row>
    <row r="427" ht="15.75" customHeight="1">
      <c r="A427" s="291"/>
      <c r="B427" s="291"/>
      <c r="C427" s="291"/>
      <c r="D427" s="127"/>
      <c r="E427" s="127"/>
      <c r="F427" s="291"/>
      <c r="G427" s="130"/>
    </row>
    <row r="428" ht="15.75" customHeight="1">
      <c r="A428" s="291"/>
      <c r="B428" s="291"/>
      <c r="C428" s="291"/>
      <c r="D428" s="127"/>
      <c r="E428" s="127"/>
      <c r="F428" s="291"/>
      <c r="G428" s="130"/>
    </row>
    <row r="429" ht="15.75" customHeight="1">
      <c r="A429" s="291"/>
      <c r="B429" s="291"/>
      <c r="C429" s="291"/>
      <c r="D429" s="127"/>
      <c r="E429" s="127"/>
      <c r="F429" s="291"/>
      <c r="G429" s="130"/>
    </row>
    <row r="430" ht="15.75" customHeight="1">
      <c r="A430" s="291"/>
      <c r="B430" s="291"/>
      <c r="C430" s="291"/>
      <c r="D430" s="127"/>
      <c r="E430" s="127"/>
      <c r="F430" s="291"/>
      <c r="G430" s="130"/>
    </row>
    <row r="431" ht="15.75" customHeight="1">
      <c r="A431" s="291"/>
      <c r="B431" s="291"/>
      <c r="C431" s="291"/>
      <c r="D431" s="127"/>
      <c r="E431" s="127"/>
      <c r="F431" s="291"/>
      <c r="G431" s="130"/>
    </row>
    <row r="432" ht="15.75" customHeight="1">
      <c r="A432" s="291"/>
      <c r="B432" s="291"/>
      <c r="C432" s="291"/>
      <c r="D432" s="127"/>
      <c r="E432" s="127"/>
      <c r="F432" s="291"/>
      <c r="G432" s="130"/>
    </row>
    <row r="433" ht="15.75" customHeight="1">
      <c r="A433" s="291"/>
      <c r="B433" s="291"/>
      <c r="C433" s="291"/>
      <c r="D433" s="127"/>
      <c r="E433" s="127"/>
      <c r="F433" s="291"/>
      <c r="G433" s="130"/>
    </row>
    <row r="434" ht="15.75" customHeight="1">
      <c r="A434" s="291"/>
      <c r="B434" s="291"/>
      <c r="C434" s="291"/>
      <c r="D434" s="127"/>
      <c r="E434" s="127"/>
      <c r="F434" s="291"/>
      <c r="G434" s="130"/>
    </row>
    <row r="435" ht="15.75" customHeight="1">
      <c r="A435" s="291"/>
      <c r="B435" s="291"/>
      <c r="C435" s="291"/>
      <c r="D435" s="127"/>
      <c r="E435" s="127"/>
      <c r="F435" s="291"/>
      <c r="G435" s="130"/>
    </row>
    <row r="436" ht="15.75" customHeight="1">
      <c r="A436" s="291"/>
      <c r="B436" s="291"/>
      <c r="C436" s="291"/>
      <c r="D436" s="127"/>
      <c r="E436" s="127"/>
      <c r="F436" s="291"/>
      <c r="G436" s="130"/>
    </row>
    <row r="437" ht="15.75" customHeight="1">
      <c r="A437" s="291"/>
      <c r="B437" s="291"/>
      <c r="C437" s="291"/>
      <c r="D437" s="127"/>
      <c r="E437" s="127"/>
      <c r="F437" s="291"/>
      <c r="G437" s="130"/>
    </row>
    <row r="438" ht="15.75" customHeight="1">
      <c r="A438" s="291"/>
      <c r="B438" s="291"/>
      <c r="C438" s="291"/>
      <c r="D438" s="127"/>
      <c r="E438" s="127"/>
      <c r="F438" s="291"/>
      <c r="G438" s="130"/>
    </row>
    <row r="439" ht="15.75" customHeight="1">
      <c r="A439" s="291"/>
      <c r="B439" s="291"/>
      <c r="C439" s="291"/>
      <c r="D439" s="127"/>
      <c r="E439" s="127"/>
      <c r="F439" s="291"/>
      <c r="G439" s="130"/>
    </row>
    <row r="440" ht="15.75" customHeight="1">
      <c r="A440" s="291"/>
      <c r="B440" s="291"/>
      <c r="C440" s="291"/>
      <c r="D440" s="127"/>
      <c r="E440" s="127"/>
      <c r="F440" s="291"/>
      <c r="G440" s="130"/>
    </row>
    <row r="441" ht="15.75" customHeight="1">
      <c r="A441" s="291"/>
      <c r="B441" s="291"/>
      <c r="C441" s="291"/>
      <c r="D441" s="127"/>
      <c r="E441" s="127"/>
      <c r="F441" s="291"/>
      <c r="G441" s="130"/>
    </row>
    <row r="442" ht="15.75" customHeight="1">
      <c r="A442" s="291"/>
      <c r="B442" s="291"/>
      <c r="C442" s="291"/>
      <c r="D442" s="127"/>
      <c r="E442" s="127"/>
      <c r="F442" s="291"/>
      <c r="G442" s="130"/>
    </row>
    <row r="443" ht="15.75" customHeight="1">
      <c r="A443" s="291"/>
      <c r="B443" s="291"/>
      <c r="C443" s="291"/>
      <c r="D443" s="127"/>
      <c r="E443" s="127"/>
      <c r="F443" s="291"/>
      <c r="G443" s="130"/>
    </row>
    <row r="444" ht="15.75" customHeight="1">
      <c r="A444" s="291"/>
      <c r="B444" s="291"/>
      <c r="C444" s="291"/>
      <c r="D444" s="127"/>
      <c r="E444" s="127"/>
      <c r="F444" s="291"/>
      <c r="G444" s="130"/>
    </row>
    <row r="445" ht="15.75" customHeight="1">
      <c r="A445" s="291"/>
      <c r="B445" s="291"/>
      <c r="C445" s="291"/>
      <c r="D445" s="127"/>
      <c r="E445" s="127"/>
      <c r="F445" s="291"/>
      <c r="G445" s="130"/>
    </row>
    <row r="446" ht="15.75" customHeight="1">
      <c r="A446" s="291"/>
      <c r="B446" s="291"/>
      <c r="C446" s="291"/>
      <c r="D446" s="127"/>
      <c r="E446" s="127"/>
      <c r="F446" s="291"/>
      <c r="G446" s="130"/>
    </row>
    <row r="447" ht="15.75" customHeight="1">
      <c r="A447" s="291"/>
      <c r="B447" s="291"/>
      <c r="C447" s="291"/>
      <c r="D447" s="127"/>
      <c r="E447" s="127"/>
      <c r="F447" s="291"/>
      <c r="G447" s="130"/>
    </row>
    <row r="448" ht="15.75" customHeight="1">
      <c r="A448" s="291"/>
      <c r="B448" s="291"/>
      <c r="C448" s="291"/>
      <c r="D448" s="127"/>
      <c r="E448" s="127"/>
      <c r="F448" s="291"/>
      <c r="G448" s="130"/>
    </row>
    <row r="449" ht="15.75" customHeight="1">
      <c r="A449" s="291"/>
      <c r="B449" s="291"/>
      <c r="C449" s="291"/>
      <c r="D449" s="127"/>
      <c r="E449" s="127"/>
      <c r="F449" s="291"/>
      <c r="G449" s="130"/>
    </row>
    <row r="450" ht="15.75" customHeight="1">
      <c r="A450" s="291"/>
      <c r="B450" s="291"/>
      <c r="C450" s="291"/>
      <c r="D450" s="127"/>
      <c r="E450" s="127"/>
      <c r="F450" s="291"/>
      <c r="G450" s="130"/>
    </row>
    <row r="451" ht="15.75" customHeight="1">
      <c r="A451" s="291"/>
      <c r="B451" s="291"/>
      <c r="C451" s="291"/>
      <c r="D451" s="127"/>
      <c r="E451" s="127"/>
      <c r="F451" s="291"/>
      <c r="G451" s="130"/>
    </row>
    <row r="452" ht="15.75" customHeight="1">
      <c r="A452" s="291"/>
      <c r="B452" s="291"/>
      <c r="C452" s="291"/>
      <c r="D452" s="127"/>
      <c r="E452" s="127"/>
      <c r="F452" s="291"/>
      <c r="G452" s="130"/>
    </row>
    <row r="453" ht="15.75" customHeight="1">
      <c r="A453" s="291"/>
      <c r="B453" s="291"/>
      <c r="C453" s="291"/>
      <c r="D453" s="127"/>
      <c r="E453" s="127"/>
      <c r="F453" s="291"/>
      <c r="G453" s="130"/>
    </row>
    <row r="454" ht="15.75" customHeight="1">
      <c r="A454" s="291"/>
      <c r="B454" s="291"/>
      <c r="C454" s="291"/>
      <c r="D454" s="127"/>
      <c r="E454" s="127"/>
      <c r="F454" s="291"/>
      <c r="G454" s="130"/>
    </row>
    <row r="455" ht="15.75" customHeight="1">
      <c r="A455" s="291"/>
      <c r="B455" s="291"/>
      <c r="C455" s="291"/>
      <c r="D455" s="127"/>
      <c r="E455" s="127"/>
      <c r="F455" s="291"/>
      <c r="G455" s="130"/>
    </row>
    <row r="456" ht="15.75" customHeight="1">
      <c r="A456" s="291"/>
      <c r="B456" s="291"/>
      <c r="C456" s="291"/>
      <c r="D456" s="127"/>
      <c r="E456" s="127"/>
      <c r="F456" s="291"/>
      <c r="G456" s="130"/>
    </row>
    <row r="457" ht="15.75" customHeight="1">
      <c r="A457" s="291"/>
      <c r="B457" s="291"/>
      <c r="C457" s="291"/>
      <c r="D457" s="127"/>
      <c r="E457" s="127"/>
      <c r="F457" s="291"/>
      <c r="G457" s="130"/>
    </row>
    <row r="458" ht="15.75" customHeight="1">
      <c r="A458" s="291"/>
      <c r="B458" s="291"/>
      <c r="C458" s="291"/>
      <c r="D458" s="127"/>
      <c r="E458" s="127"/>
      <c r="F458" s="291"/>
      <c r="G458" s="130"/>
    </row>
    <row r="459" ht="15.75" customHeight="1">
      <c r="A459" s="291"/>
      <c r="B459" s="291"/>
      <c r="C459" s="291"/>
      <c r="D459" s="127"/>
      <c r="E459" s="127"/>
      <c r="F459" s="291"/>
      <c r="G459" s="130"/>
    </row>
    <row r="460" ht="15.75" customHeight="1">
      <c r="A460" s="291"/>
      <c r="B460" s="291"/>
      <c r="C460" s="291"/>
      <c r="D460" s="127"/>
      <c r="E460" s="127"/>
      <c r="F460" s="291"/>
      <c r="G460" s="130"/>
    </row>
    <row r="461" ht="15.75" customHeight="1">
      <c r="A461" s="291"/>
      <c r="B461" s="291"/>
      <c r="C461" s="291"/>
      <c r="D461" s="127"/>
      <c r="E461" s="127"/>
      <c r="F461" s="291"/>
      <c r="G461" s="130"/>
    </row>
    <row r="462" ht="15.75" customHeight="1">
      <c r="A462" s="291"/>
      <c r="B462" s="291"/>
      <c r="C462" s="291"/>
      <c r="D462" s="127"/>
      <c r="E462" s="127"/>
      <c r="F462" s="291"/>
      <c r="G462" s="130"/>
    </row>
    <row r="463" ht="15.75" customHeight="1">
      <c r="A463" s="291"/>
      <c r="B463" s="291"/>
      <c r="C463" s="291"/>
      <c r="D463" s="127"/>
      <c r="E463" s="127"/>
      <c r="F463" s="291"/>
      <c r="G463" s="130"/>
    </row>
    <row r="464" ht="15.75" customHeight="1">
      <c r="A464" s="291"/>
      <c r="B464" s="291"/>
      <c r="C464" s="291"/>
      <c r="D464" s="127"/>
      <c r="E464" s="127"/>
      <c r="F464" s="291"/>
      <c r="G464" s="130"/>
    </row>
    <row r="465" ht="15.75" customHeight="1">
      <c r="A465" s="291"/>
      <c r="B465" s="291"/>
      <c r="C465" s="291"/>
      <c r="D465" s="127"/>
      <c r="E465" s="127"/>
      <c r="F465" s="291"/>
      <c r="G465" s="130"/>
    </row>
    <row r="466" ht="15.75" customHeight="1">
      <c r="A466" s="291"/>
      <c r="B466" s="291"/>
      <c r="C466" s="291"/>
      <c r="D466" s="127"/>
      <c r="E466" s="127"/>
      <c r="F466" s="291"/>
      <c r="G466" s="130"/>
    </row>
    <row r="467" ht="15.75" customHeight="1">
      <c r="A467" s="291"/>
      <c r="B467" s="291"/>
      <c r="C467" s="291"/>
      <c r="D467" s="127"/>
      <c r="E467" s="127"/>
      <c r="F467" s="291"/>
      <c r="G467" s="130"/>
    </row>
    <row r="468" ht="15.75" customHeight="1">
      <c r="A468" s="291"/>
      <c r="B468" s="291"/>
      <c r="C468" s="291"/>
      <c r="D468" s="127"/>
      <c r="E468" s="127"/>
      <c r="F468" s="291"/>
      <c r="G468" s="130"/>
    </row>
    <row r="469" ht="15.75" customHeight="1">
      <c r="A469" s="291"/>
      <c r="B469" s="291"/>
      <c r="C469" s="291"/>
      <c r="D469" s="127"/>
      <c r="E469" s="127"/>
      <c r="F469" s="291"/>
      <c r="G469" s="130"/>
    </row>
    <row r="470" ht="15.75" customHeight="1">
      <c r="A470" s="291"/>
      <c r="B470" s="291"/>
      <c r="C470" s="291"/>
      <c r="D470" s="127"/>
      <c r="E470" s="127"/>
      <c r="F470" s="291"/>
      <c r="G470" s="130"/>
    </row>
    <row r="471" ht="15.75" customHeight="1">
      <c r="A471" s="291"/>
      <c r="B471" s="291"/>
      <c r="C471" s="291"/>
      <c r="D471" s="127"/>
      <c r="E471" s="127"/>
      <c r="F471" s="291"/>
      <c r="G471" s="130"/>
    </row>
    <row r="472" ht="15.75" customHeight="1">
      <c r="A472" s="291"/>
      <c r="B472" s="291"/>
      <c r="C472" s="291"/>
      <c r="D472" s="127"/>
      <c r="E472" s="127"/>
      <c r="F472" s="291"/>
      <c r="G472" s="130"/>
    </row>
    <row r="473" ht="15.75" customHeight="1">
      <c r="A473" s="291"/>
      <c r="B473" s="291"/>
      <c r="C473" s="291"/>
      <c r="D473" s="127"/>
      <c r="E473" s="127"/>
      <c r="F473" s="291"/>
      <c r="G473" s="130"/>
    </row>
    <row r="474" ht="15.75" customHeight="1">
      <c r="A474" s="291"/>
      <c r="B474" s="291"/>
      <c r="C474" s="291"/>
      <c r="D474" s="127"/>
      <c r="E474" s="127"/>
      <c r="F474" s="291"/>
      <c r="G474" s="130"/>
    </row>
    <row r="475" ht="15.75" customHeight="1">
      <c r="A475" s="291"/>
      <c r="B475" s="291"/>
      <c r="C475" s="291"/>
      <c r="D475" s="127"/>
      <c r="E475" s="127"/>
      <c r="F475" s="291"/>
      <c r="G475" s="130"/>
    </row>
    <row r="476" ht="15.75" customHeight="1">
      <c r="A476" s="291"/>
      <c r="B476" s="291"/>
      <c r="C476" s="291"/>
      <c r="D476" s="127"/>
      <c r="E476" s="127"/>
      <c r="F476" s="291"/>
      <c r="G476" s="130"/>
    </row>
    <row r="477" ht="15.75" customHeight="1">
      <c r="A477" s="291"/>
      <c r="B477" s="291"/>
      <c r="C477" s="291"/>
      <c r="D477" s="127"/>
      <c r="E477" s="127"/>
      <c r="F477" s="291"/>
      <c r="G477" s="130"/>
    </row>
    <row r="478" ht="15.75" customHeight="1">
      <c r="A478" s="291"/>
      <c r="B478" s="291"/>
      <c r="C478" s="291"/>
      <c r="D478" s="127"/>
      <c r="E478" s="127"/>
      <c r="F478" s="291"/>
      <c r="G478" s="130"/>
    </row>
    <row r="479" ht="15.75" customHeight="1">
      <c r="A479" s="291"/>
      <c r="B479" s="291"/>
      <c r="C479" s="291"/>
      <c r="D479" s="127"/>
      <c r="E479" s="127"/>
      <c r="F479" s="291"/>
      <c r="G479" s="130"/>
    </row>
    <row r="480" ht="15.75" customHeight="1">
      <c r="A480" s="291"/>
      <c r="B480" s="291"/>
      <c r="C480" s="291"/>
      <c r="D480" s="127"/>
      <c r="E480" s="127"/>
      <c r="F480" s="291"/>
      <c r="G480" s="130"/>
    </row>
    <row r="481" ht="15.75" customHeight="1">
      <c r="A481" s="291"/>
      <c r="B481" s="291"/>
      <c r="C481" s="291"/>
      <c r="D481" s="127"/>
      <c r="E481" s="127"/>
      <c r="F481" s="291"/>
      <c r="G481" s="130"/>
    </row>
    <row r="482" ht="15.75" customHeight="1">
      <c r="A482" s="291"/>
      <c r="B482" s="291"/>
      <c r="C482" s="291"/>
      <c r="D482" s="127"/>
      <c r="E482" s="127"/>
      <c r="F482" s="291"/>
      <c r="G482" s="130"/>
    </row>
    <row r="483" ht="15.75" customHeight="1">
      <c r="A483" s="291"/>
      <c r="B483" s="291"/>
      <c r="C483" s="291"/>
      <c r="D483" s="127"/>
      <c r="E483" s="127"/>
      <c r="F483" s="291"/>
      <c r="G483" s="130"/>
    </row>
    <row r="484" ht="15.75" customHeight="1">
      <c r="A484" s="291"/>
      <c r="B484" s="291"/>
      <c r="C484" s="291"/>
      <c r="D484" s="127"/>
      <c r="E484" s="127"/>
      <c r="F484" s="291"/>
      <c r="G484" s="130"/>
    </row>
    <row r="485" ht="15.75" customHeight="1">
      <c r="A485" s="291"/>
      <c r="B485" s="291"/>
      <c r="C485" s="291"/>
      <c r="D485" s="127"/>
      <c r="E485" s="127"/>
      <c r="F485" s="291"/>
      <c r="G485" s="130"/>
    </row>
    <row r="486" ht="15.75" customHeight="1">
      <c r="A486" s="291"/>
      <c r="B486" s="291"/>
      <c r="C486" s="291"/>
      <c r="D486" s="127"/>
      <c r="E486" s="127"/>
      <c r="F486" s="291"/>
      <c r="G486" s="130"/>
    </row>
    <row r="487" ht="15.75" customHeight="1">
      <c r="A487" s="291"/>
      <c r="B487" s="291"/>
      <c r="C487" s="291"/>
      <c r="D487" s="127"/>
      <c r="E487" s="127"/>
      <c r="F487" s="291"/>
      <c r="G487" s="130"/>
    </row>
    <row r="488" ht="15.75" customHeight="1">
      <c r="A488" s="291"/>
      <c r="B488" s="291"/>
      <c r="C488" s="291"/>
      <c r="D488" s="127"/>
      <c r="E488" s="127"/>
      <c r="F488" s="291"/>
      <c r="G488" s="130"/>
    </row>
    <row r="489" ht="15.75" customHeight="1">
      <c r="A489" s="291"/>
      <c r="B489" s="291"/>
      <c r="C489" s="291"/>
      <c r="D489" s="127"/>
      <c r="E489" s="127"/>
      <c r="F489" s="291"/>
      <c r="G489" s="130"/>
    </row>
    <row r="490" ht="15.75" customHeight="1">
      <c r="A490" s="291"/>
      <c r="B490" s="291"/>
      <c r="C490" s="291"/>
      <c r="D490" s="127"/>
      <c r="E490" s="127"/>
      <c r="F490" s="291"/>
      <c r="G490" s="130"/>
    </row>
    <row r="491" ht="15.75" customHeight="1">
      <c r="A491" s="291"/>
      <c r="B491" s="291"/>
      <c r="C491" s="291"/>
      <c r="D491" s="127"/>
      <c r="E491" s="127"/>
      <c r="F491" s="291"/>
      <c r="G491" s="130"/>
    </row>
    <row r="492" ht="15.75" customHeight="1">
      <c r="A492" s="291"/>
      <c r="B492" s="291"/>
      <c r="C492" s="291"/>
      <c r="D492" s="127"/>
      <c r="E492" s="127"/>
      <c r="F492" s="291"/>
      <c r="G492" s="130"/>
    </row>
    <row r="493" ht="15.75" customHeight="1">
      <c r="A493" s="291"/>
      <c r="B493" s="291"/>
      <c r="C493" s="291"/>
      <c r="D493" s="127"/>
      <c r="E493" s="127"/>
      <c r="F493" s="291"/>
      <c r="G493" s="130"/>
    </row>
    <row r="494" ht="15.75" customHeight="1">
      <c r="A494" s="291"/>
      <c r="B494" s="291"/>
      <c r="C494" s="291"/>
      <c r="D494" s="127"/>
      <c r="E494" s="127"/>
      <c r="F494" s="291"/>
      <c r="G494" s="130"/>
    </row>
    <row r="495" ht="15.75" customHeight="1">
      <c r="A495" s="291"/>
      <c r="B495" s="291"/>
      <c r="C495" s="291"/>
      <c r="D495" s="127"/>
      <c r="E495" s="127"/>
      <c r="F495" s="291"/>
      <c r="G495" s="130"/>
    </row>
    <row r="496" ht="15.75" customHeight="1">
      <c r="A496" s="291"/>
      <c r="B496" s="291"/>
      <c r="C496" s="291"/>
      <c r="D496" s="127"/>
      <c r="E496" s="127"/>
      <c r="F496" s="291"/>
      <c r="G496" s="130"/>
    </row>
    <row r="497" ht="15.75" customHeight="1">
      <c r="A497" s="291"/>
      <c r="B497" s="291"/>
      <c r="C497" s="291"/>
      <c r="D497" s="127"/>
      <c r="E497" s="127"/>
      <c r="F497" s="291"/>
      <c r="G497" s="130"/>
    </row>
    <row r="498" ht="15.75" customHeight="1">
      <c r="A498" s="291"/>
      <c r="B498" s="291"/>
      <c r="C498" s="291"/>
      <c r="D498" s="127"/>
      <c r="E498" s="127"/>
      <c r="F498" s="291"/>
      <c r="G498" s="130"/>
    </row>
    <row r="499" ht="15.75" customHeight="1">
      <c r="A499" s="291"/>
      <c r="B499" s="291"/>
      <c r="C499" s="291"/>
      <c r="D499" s="127"/>
      <c r="E499" s="127"/>
      <c r="F499" s="291"/>
      <c r="G499" s="130"/>
    </row>
    <row r="500" ht="15.75" customHeight="1">
      <c r="A500" s="291"/>
      <c r="B500" s="291"/>
      <c r="C500" s="291"/>
      <c r="D500" s="127"/>
      <c r="E500" s="127"/>
      <c r="F500" s="291"/>
      <c r="G500" s="130"/>
    </row>
    <row r="501" ht="15.75" customHeight="1">
      <c r="A501" s="291"/>
      <c r="B501" s="291"/>
      <c r="C501" s="291"/>
      <c r="D501" s="127"/>
      <c r="E501" s="127"/>
      <c r="F501" s="291"/>
      <c r="G501" s="130"/>
    </row>
    <row r="502" ht="15.75" customHeight="1">
      <c r="A502" s="291"/>
      <c r="B502" s="291"/>
      <c r="C502" s="291"/>
      <c r="D502" s="127"/>
      <c r="E502" s="127"/>
      <c r="F502" s="291"/>
      <c r="G502" s="130"/>
    </row>
    <row r="503" ht="15.75" customHeight="1">
      <c r="A503" s="291"/>
      <c r="B503" s="291"/>
      <c r="C503" s="291"/>
      <c r="D503" s="127"/>
      <c r="E503" s="127"/>
      <c r="F503" s="291"/>
      <c r="G503" s="130"/>
    </row>
    <row r="504" ht="15.75" customHeight="1">
      <c r="A504" s="291"/>
      <c r="B504" s="291"/>
      <c r="C504" s="291"/>
      <c r="D504" s="127"/>
      <c r="E504" s="127"/>
      <c r="F504" s="291"/>
      <c r="G504" s="130"/>
    </row>
    <row r="505" ht="15.75" customHeight="1">
      <c r="A505" s="291"/>
      <c r="B505" s="291"/>
      <c r="C505" s="291"/>
      <c r="D505" s="127"/>
      <c r="E505" s="127"/>
      <c r="F505" s="291"/>
      <c r="G505" s="130"/>
    </row>
    <row r="506" ht="15.75" customHeight="1">
      <c r="A506" s="291"/>
      <c r="B506" s="291"/>
      <c r="C506" s="291"/>
      <c r="D506" s="127"/>
      <c r="E506" s="127"/>
      <c r="F506" s="291"/>
      <c r="G506" s="130"/>
    </row>
    <row r="507" ht="15.75" customHeight="1">
      <c r="A507" s="291"/>
      <c r="B507" s="291"/>
      <c r="C507" s="291"/>
      <c r="D507" s="127"/>
      <c r="E507" s="127"/>
      <c r="F507" s="291"/>
      <c r="G507" s="130"/>
    </row>
    <row r="508" ht="15.75" customHeight="1">
      <c r="A508" s="291"/>
      <c r="B508" s="291"/>
      <c r="C508" s="291"/>
      <c r="D508" s="127"/>
      <c r="E508" s="127"/>
      <c r="F508" s="291"/>
      <c r="G508" s="130"/>
    </row>
    <row r="509" ht="15.75" customHeight="1">
      <c r="A509" s="291"/>
      <c r="B509" s="291"/>
      <c r="C509" s="291"/>
      <c r="D509" s="127"/>
      <c r="E509" s="127"/>
      <c r="F509" s="291"/>
      <c r="G509" s="130"/>
    </row>
    <row r="510" ht="15.75" customHeight="1">
      <c r="A510" s="291"/>
      <c r="B510" s="291"/>
      <c r="C510" s="291"/>
      <c r="D510" s="127"/>
      <c r="E510" s="127"/>
      <c r="F510" s="291"/>
      <c r="G510" s="130"/>
    </row>
    <row r="511" ht="15.75" customHeight="1">
      <c r="A511" s="291"/>
      <c r="B511" s="291"/>
      <c r="C511" s="291"/>
      <c r="D511" s="127"/>
      <c r="E511" s="127"/>
      <c r="F511" s="291"/>
      <c r="G511" s="130"/>
    </row>
    <row r="512" ht="15.75" customHeight="1">
      <c r="A512" s="291"/>
      <c r="B512" s="291"/>
      <c r="C512" s="291"/>
      <c r="D512" s="127"/>
      <c r="E512" s="127"/>
      <c r="F512" s="291"/>
      <c r="G512" s="130"/>
    </row>
    <row r="513" ht="15.75" customHeight="1">
      <c r="A513" s="291"/>
      <c r="B513" s="291"/>
      <c r="C513" s="291"/>
      <c r="D513" s="127"/>
      <c r="E513" s="127"/>
      <c r="F513" s="291"/>
      <c r="G513" s="130"/>
    </row>
    <row r="514" ht="15.75" customHeight="1">
      <c r="A514" s="291"/>
      <c r="B514" s="291"/>
      <c r="C514" s="291"/>
      <c r="D514" s="127"/>
      <c r="E514" s="127"/>
      <c r="F514" s="291"/>
      <c r="G514" s="130"/>
    </row>
    <row r="515" ht="15.75" customHeight="1">
      <c r="A515" s="291"/>
      <c r="B515" s="291"/>
      <c r="C515" s="291"/>
      <c r="D515" s="127"/>
      <c r="E515" s="127"/>
      <c r="F515" s="291"/>
      <c r="G515" s="130"/>
    </row>
    <row r="516" ht="15.75" customHeight="1">
      <c r="A516" s="291"/>
      <c r="B516" s="291"/>
      <c r="C516" s="291"/>
      <c r="D516" s="127"/>
      <c r="E516" s="127"/>
      <c r="F516" s="291"/>
      <c r="G516" s="130"/>
    </row>
    <row r="517" ht="15.75" customHeight="1">
      <c r="A517" s="291"/>
      <c r="B517" s="291"/>
      <c r="C517" s="291"/>
      <c r="D517" s="127"/>
      <c r="E517" s="127"/>
      <c r="F517" s="291"/>
      <c r="G517" s="130"/>
    </row>
    <row r="518" ht="15.75" customHeight="1">
      <c r="A518" s="291"/>
      <c r="B518" s="291"/>
      <c r="C518" s="291"/>
      <c r="D518" s="127"/>
      <c r="E518" s="127"/>
      <c r="F518" s="291"/>
      <c r="G518" s="130"/>
    </row>
    <row r="519" ht="15.75" customHeight="1">
      <c r="A519" s="291"/>
      <c r="B519" s="291"/>
      <c r="C519" s="291"/>
      <c r="D519" s="127"/>
      <c r="E519" s="127"/>
      <c r="F519" s="291"/>
      <c r="G519" s="130"/>
    </row>
    <row r="520" ht="15.75" customHeight="1">
      <c r="A520" s="291"/>
      <c r="B520" s="291"/>
      <c r="C520" s="291"/>
      <c r="D520" s="127"/>
      <c r="E520" s="127"/>
      <c r="F520" s="291"/>
      <c r="G520" s="130"/>
    </row>
    <row r="521" ht="15.75" customHeight="1">
      <c r="A521" s="291"/>
      <c r="B521" s="291"/>
      <c r="C521" s="291"/>
      <c r="D521" s="127"/>
      <c r="E521" s="127"/>
      <c r="F521" s="291"/>
      <c r="G521" s="130"/>
    </row>
    <row r="522" ht="15.75" customHeight="1">
      <c r="A522" s="291"/>
      <c r="B522" s="291"/>
      <c r="C522" s="291"/>
      <c r="D522" s="127"/>
      <c r="E522" s="127"/>
      <c r="F522" s="291"/>
      <c r="G522" s="130"/>
    </row>
    <row r="523" ht="15.75" customHeight="1">
      <c r="A523" s="291"/>
      <c r="B523" s="291"/>
      <c r="C523" s="291"/>
      <c r="D523" s="127"/>
      <c r="E523" s="127"/>
      <c r="F523" s="291"/>
      <c r="G523" s="130"/>
    </row>
    <row r="524" ht="15.75" customHeight="1">
      <c r="A524" s="291"/>
      <c r="B524" s="291"/>
      <c r="C524" s="291"/>
      <c r="D524" s="127"/>
      <c r="E524" s="127"/>
      <c r="F524" s="291"/>
      <c r="G524" s="130"/>
    </row>
    <row r="525" ht="15.75" customHeight="1">
      <c r="A525" s="291"/>
      <c r="B525" s="291"/>
      <c r="C525" s="291"/>
      <c r="D525" s="127"/>
      <c r="E525" s="127"/>
      <c r="F525" s="291"/>
      <c r="G525" s="130"/>
    </row>
    <row r="526" ht="15.75" customHeight="1">
      <c r="A526" s="291"/>
      <c r="B526" s="291"/>
      <c r="C526" s="291"/>
      <c r="D526" s="127"/>
      <c r="E526" s="127"/>
      <c r="F526" s="291"/>
      <c r="G526" s="130"/>
    </row>
    <row r="527" ht="15.75" customHeight="1">
      <c r="A527" s="291"/>
      <c r="B527" s="291"/>
      <c r="C527" s="291"/>
      <c r="D527" s="127"/>
      <c r="E527" s="127"/>
      <c r="F527" s="291"/>
      <c r="G527" s="130"/>
    </row>
    <row r="528" ht="15.75" customHeight="1">
      <c r="A528" s="291"/>
      <c r="B528" s="291"/>
      <c r="C528" s="291"/>
      <c r="D528" s="127"/>
      <c r="E528" s="127"/>
      <c r="F528" s="291"/>
      <c r="G528" s="130"/>
    </row>
    <row r="529" ht="15.75" customHeight="1">
      <c r="A529" s="291"/>
      <c r="B529" s="291"/>
      <c r="C529" s="291"/>
      <c r="D529" s="127"/>
      <c r="E529" s="127"/>
      <c r="F529" s="291"/>
      <c r="G529" s="130"/>
    </row>
    <row r="530" ht="15.75" customHeight="1">
      <c r="A530" s="291"/>
      <c r="B530" s="291"/>
      <c r="C530" s="291"/>
      <c r="D530" s="127"/>
      <c r="E530" s="127"/>
      <c r="F530" s="291"/>
      <c r="G530" s="130"/>
    </row>
    <row r="531" ht="15.75" customHeight="1">
      <c r="A531" s="291"/>
      <c r="B531" s="291"/>
      <c r="C531" s="291"/>
      <c r="D531" s="127"/>
      <c r="E531" s="127"/>
      <c r="F531" s="291"/>
      <c r="G531" s="130"/>
    </row>
    <row r="532" ht="15.75" customHeight="1">
      <c r="A532" s="291"/>
      <c r="B532" s="291"/>
      <c r="C532" s="291"/>
      <c r="D532" s="127"/>
      <c r="E532" s="127"/>
      <c r="F532" s="291"/>
      <c r="G532" s="130"/>
    </row>
    <row r="533" ht="15.75" customHeight="1">
      <c r="A533" s="291"/>
      <c r="B533" s="291"/>
      <c r="C533" s="291"/>
      <c r="D533" s="127"/>
      <c r="E533" s="127"/>
      <c r="F533" s="291"/>
      <c r="G533" s="130"/>
    </row>
    <row r="534" ht="15.75" customHeight="1">
      <c r="A534" s="291"/>
      <c r="B534" s="291"/>
      <c r="C534" s="291"/>
      <c r="D534" s="127"/>
      <c r="E534" s="127"/>
      <c r="F534" s="291"/>
      <c r="G534" s="130"/>
    </row>
    <row r="535" ht="15.75" customHeight="1">
      <c r="A535" s="291"/>
      <c r="B535" s="291"/>
      <c r="C535" s="291"/>
      <c r="D535" s="127"/>
      <c r="E535" s="127"/>
      <c r="F535" s="291"/>
      <c r="G535" s="130"/>
    </row>
    <row r="536" ht="15.75" customHeight="1">
      <c r="A536" s="291"/>
      <c r="B536" s="291"/>
      <c r="C536" s="291"/>
      <c r="D536" s="127"/>
      <c r="E536" s="127"/>
      <c r="F536" s="291"/>
      <c r="G536" s="130"/>
    </row>
    <row r="537" ht="15.75" customHeight="1">
      <c r="A537" s="291"/>
      <c r="B537" s="291"/>
      <c r="C537" s="291"/>
      <c r="D537" s="127"/>
      <c r="E537" s="127"/>
      <c r="F537" s="291"/>
      <c r="G537" s="130"/>
    </row>
    <row r="538" ht="15.75" customHeight="1">
      <c r="A538" s="291"/>
      <c r="B538" s="291"/>
      <c r="C538" s="291"/>
      <c r="D538" s="127"/>
      <c r="E538" s="127"/>
      <c r="F538" s="291"/>
      <c r="G538" s="130"/>
    </row>
    <row r="539" ht="15.75" customHeight="1">
      <c r="A539" s="291"/>
      <c r="B539" s="291"/>
      <c r="C539" s="291"/>
      <c r="D539" s="127"/>
      <c r="E539" s="127"/>
      <c r="F539" s="291"/>
      <c r="G539" s="130"/>
    </row>
    <row r="540" ht="15.75" customHeight="1">
      <c r="A540" s="291"/>
      <c r="B540" s="291"/>
      <c r="C540" s="291"/>
      <c r="D540" s="127"/>
      <c r="E540" s="127"/>
      <c r="F540" s="291"/>
      <c r="G540" s="130"/>
    </row>
    <row r="541" ht="15.75" customHeight="1">
      <c r="A541" s="291"/>
      <c r="B541" s="291"/>
      <c r="C541" s="291"/>
      <c r="D541" s="127"/>
      <c r="E541" s="127"/>
      <c r="F541" s="291"/>
      <c r="G541" s="130"/>
    </row>
    <row r="542" ht="15.75" customHeight="1">
      <c r="A542" s="291"/>
      <c r="B542" s="291"/>
      <c r="C542" s="291"/>
      <c r="D542" s="127"/>
      <c r="E542" s="127"/>
      <c r="F542" s="291"/>
      <c r="G542" s="130"/>
    </row>
    <row r="543" ht="15.75" customHeight="1">
      <c r="A543" s="291"/>
      <c r="B543" s="291"/>
      <c r="C543" s="291"/>
      <c r="D543" s="127"/>
      <c r="E543" s="127"/>
      <c r="F543" s="291"/>
      <c r="G543" s="130"/>
    </row>
    <row r="544" ht="15.75" customHeight="1">
      <c r="A544" s="291"/>
      <c r="B544" s="291"/>
      <c r="C544" s="291"/>
      <c r="D544" s="127"/>
      <c r="E544" s="127"/>
      <c r="F544" s="291"/>
      <c r="G544" s="130"/>
    </row>
    <row r="545" ht="15.75" customHeight="1">
      <c r="A545" s="291"/>
      <c r="B545" s="291"/>
      <c r="C545" s="291"/>
      <c r="D545" s="127"/>
      <c r="E545" s="127"/>
      <c r="F545" s="291"/>
      <c r="G545" s="130"/>
    </row>
    <row r="546" ht="15.75" customHeight="1">
      <c r="A546" s="291"/>
      <c r="B546" s="291"/>
      <c r="C546" s="291"/>
      <c r="D546" s="127"/>
      <c r="E546" s="127"/>
      <c r="F546" s="291"/>
      <c r="G546" s="130"/>
    </row>
    <row r="547" ht="15.75" customHeight="1">
      <c r="A547" s="291"/>
      <c r="B547" s="291"/>
      <c r="C547" s="291"/>
      <c r="D547" s="127"/>
      <c r="E547" s="127"/>
      <c r="F547" s="291"/>
      <c r="G547" s="130"/>
    </row>
    <row r="548" ht="15.75" customHeight="1">
      <c r="A548" s="291"/>
      <c r="B548" s="291"/>
      <c r="C548" s="291"/>
      <c r="D548" s="127"/>
      <c r="E548" s="127"/>
      <c r="F548" s="291"/>
      <c r="G548" s="130"/>
    </row>
    <row r="549" ht="15.75" customHeight="1">
      <c r="A549" s="291"/>
      <c r="B549" s="291"/>
      <c r="C549" s="291"/>
      <c r="D549" s="127"/>
      <c r="E549" s="127"/>
      <c r="F549" s="291"/>
      <c r="G549" s="130"/>
    </row>
    <row r="550" ht="15.75" customHeight="1">
      <c r="A550" s="291"/>
      <c r="B550" s="291"/>
      <c r="C550" s="291"/>
      <c r="D550" s="127"/>
      <c r="E550" s="127"/>
      <c r="F550" s="291"/>
      <c r="G550" s="130"/>
    </row>
    <row r="551" ht="15.75" customHeight="1">
      <c r="A551" s="291"/>
      <c r="B551" s="291"/>
      <c r="C551" s="291"/>
      <c r="D551" s="127"/>
      <c r="E551" s="127"/>
      <c r="F551" s="291"/>
      <c r="G551" s="130"/>
    </row>
    <row r="552" ht="15.75" customHeight="1">
      <c r="A552" s="291"/>
      <c r="B552" s="291"/>
      <c r="C552" s="291"/>
      <c r="D552" s="127"/>
      <c r="E552" s="127"/>
      <c r="F552" s="291"/>
      <c r="G552" s="130"/>
    </row>
    <row r="553" ht="15.75" customHeight="1">
      <c r="A553" s="291"/>
      <c r="B553" s="291"/>
      <c r="C553" s="291"/>
      <c r="D553" s="127"/>
      <c r="E553" s="127"/>
      <c r="F553" s="291"/>
      <c r="G553" s="130"/>
    </row>
    <row r="554" ht="15.75" customHeight="1">
      <c r="A554" s="291"/>
      <c r="B554" s="291"/>
      <c r="C554" s="291"/>
      <c r="D554" s="127"/>
      <c r="E554" s="127"/>
      <c r="F554" s="291"/>
      <c r="G554" s="130"/>
    </row>
    <row r="555" ht="15.75" customHeight="1">
      <c r="A555" s="291"/>
      <c r="B555" s="291"/>
      <c r="C555" s="291"/>
      <c r="D555" s="127"/>
      <c r="E555" s="127"/>
      <c r="F555" s="291"/>
      <c r="G555" s="130"/>
    </row>
    <row r="556" ht="15.75" customHeight="1">
      <c r="A556" s="291"/>
      <c r="B556" s="291"/>
      <c r="C556" s="291"/>
      <c r="D556" s="127"/>
      <c r="E556" s="127"/>
      <c r="F556" s="291"/>
      <c r="G556" s="130"/>
    </row>
    <row r="557" ht="15.75" customHeight="1">
      <c r="A557" s="291"/>
      <c r="B557" s="291"/>
      <c r="C557" s="291"/>
      <c r="D557" s="127"/>
      <c r="E557" s="127"/>
      <c r="F557" s="291"/>
      <c r="G557" s="130"/>
    </row>
    <row r="558" ht="15.75" customHeight="1">
      <c r="A558" s="291"/>
      <c r="B558" s="291"/>
      <c r="C558" s="291"/>
      <c r="D558" s="127"/>
      <c r="E558" s="127"/>
      <c r="F558" s="291"/>
      <c r="G558" s="130"/>
    </row>
    <row r="559" ht="15.75" customHeight="1">
      <c r="A559" s="291"/>
      <c r="B559" s="291"/>
      <c r="C559" s="291"/>
      <c r="D559" s="127"/>
      <c r="E559" s="127"/>
      <c r="F559" s="291"/>
      <c r="G559" s="130"/>
    </row>
    <row r="560" ht="15.75" customHeight="1">
      <c r="A560" s="291"/>
      <c r="B560" s="291"/>
      <c r="C560" s="291"/>
      <c r="D560" s="127"/>
      <c r="E560" s="127"/>
      <c r="F560" s="291"/>
      <c r="G560" s="130"/>
    </row>
    <row r="561" ht="15.75" customHeight="1">
      <c r="A561" s="291"/>
      <c r="B561" s="291"/>
      <c r="C561" s="291"/>
      <c r="D561" s="127"/>
      <c r="E561" s="127"/>
      <c r="F561" s="291"/>
      <c r="G561" s="130"/>
    </row>
    <row r="562" ht="15.75" customHeight="1">
      <c r="A562" s="291"/>
      <c r="B562" s="291"/>
      <c r="C562" s="291"/>
      <c r="D562" s="127"/>
      <c r="E562" s="127"/>
      <c r="F562" s="291"/>
      <c r="G562" s="130"/>
    </row>
    <row r="563" ht="15.75" customHeight="1">
      <c r="A563" s="291"/>
      <c r="B563" s="291"/>
      <c r="C563" s="291"/>
      <c r="D563" s="127"/>
      <c r="E563" s="127"/>
      <c r="F563" s="291"/>
      <c r="G563" s="130"/>
    </row>
    <row r="564" ht="15.75" customHeight="1">
      <c r="A564" s="291"/>
      <c r="B564" s="291"/>
      <c r="C564" s="291"/>
      <c r="D564" s="127"/>
      <c r="E564" s="127"/>
      <c r="F564" s="291"/>
      <c r="G564" s="130"/>
    </row>
    <row r="565" ht="15.75" customHeight="1">
      <c r="A565" s="291"/>
      <c r="B565" s="291"/>
      <c r="C565" s="291"/>
      <c r="D565" s="127"/>
      <c r="E565" s="127"/>
      <c r="F565" s="291"/>
      <c r="G565" s="130"/>
    </row>
    <row r="566" ht="15.75" customHeight="1">
      <c r="A566" s="291"/>
      <c r="B566" s="291"/>
      <c r="C566" s="291"/>
      <c r="D566" s="127"/>
      <c r="E566" s="127"/>
      <c r="F566" s="291"/>
      <c r="G566" s="130"/>
    </row>
    <row r="567" ht="15.75" customHeight="1">
      <c r="A567" s="291"/>
      <c r="B567" s="291"/>
      <c r="C567" s="291"/>
      <c r="D567" s="127"/>
      <c r="E567" s="127"/>
      <c r="F567" s="291"/>
      <c r="G567" s="130"/>
    </row>
    <row r="568" ht="15.75" customHeight="1">
      <c r="A568" s="291"/>
      <c r="B568" s="291"/>
      <c r="C568" s="291"/>
      <c r="D568" s="127"/>
      <c r="E568" s="127"/>
      <c r="F568" s="291"/>
      <c r="G568" s="130"/>
    </row>
    <row r="569" ht="15.75" customHeight="1">
      <c r="A569" s="291"/>
      <c r="B569" s="291"/>
      <c r="C569" s="291"/>
      <c r="D569" s="127"/>
      <c r="E569" s="127"/>
      <c r="F569" s="291"/>
      <c r="G569" s="130"/>
    </row>
    <row r="570" ht="15.75" customHeight="1">
      <c r="A570" s="291"/>
      <c r="B570" s="291"/>
      <c r="C570" s="291"/>
      <c r="D570" s="127"/>
      <c r="E570" s="127"/>
      <c r="F570" s="291"/>
      <c r="G570" s="130"/>
    </row>
    <row r="571" ht="15.75" customHeight="1">
      <c r="A571" s="291"/>
      <c r="B571" s="291"/>
      <c r="C571" s="291"/>
      <c r="D571" s="127"/>
      <c r="E571" s="127"/>
      <c r="F571" s="291"/>
      <c r="G571" s="130"/>
    </row>
    <row r="572" ht="15.75" customHeight="1">
      <c r="A572" s="291"/>
      <c r="B572" s="291"/>
      <c r="C572" s="291"/>
      <c r="D572" s="127"/>
      <c r="E572" s="127"/>
      <c r="F572" s="291"/>
      <c r="G572" s="130"/>
    </row>
    <row r="573" ht="15.75" customHeight="1">
      <c r="A573" s="291"/>
      <c r="B573" s="291"/>
      <c r="C573" s="291"/>
      <c r="D573" s="127"/>
      <c r="E573" s="127"/>
      <c r="F573" s="291"/>
      <c r="G573" s="130"/>
    </row>
    <row r="574" ht="15.75" customHeight="1">
      <c r="A574" s="291"/>
      <c r="B574" s="291"/>
      <c r="C574" s="291"/>
      <c r="D574" s="127"/>
      <c r="E574" s="127"/>
      <c r="F574" s="291"/>
      <c r="G574" s="130"/>
    </row>
    <row r="575" ht="15.75" customHeight="1">
      <c r="A575" s="291"/>
      <c r="B575" s="291"/>
      <c r="C575" s="291"/>
      <c r="D575" s="127"/>
      <c r="E575" s="127"/>
      <c r="F575" s="291"/>
      <c r="G575" s="130"/>
    </row>
    <row r="576" ht="15.75" customHeight="1">
      <c r="A576" s="291"/>
      <c r="B576" s="291"/>
      <c r="C576" s="291"/>
      <c r="D576" s="127"/>
      <c r="E576" s="127"/>
      <c r="F576" s="291"/>
      <c r="G576" s="130"/>
    </row>
    <row r="577" ht="15.75" customHeight="1">
      <c r="A577" s="291"/>
      <c r="B577" s="291"/>
      <c r="C577" s="291"/>
      <c r="D577" s="127"/>
      <c r="E577" s="127"/>
      <c r="F577" s="291"/>
      <c r="G577" s="130"/>
    </row>
    <row r="578" ht="15.75" customHeight="1">
      <c r="A578" s="291"/>
      <c r="B578" s="291"/>
      <c r="C578" s="291"/>
      <c r="D578" s="127"/>
      <c r="E578" s="127"/>
      <c r="F578" s="291"/>
      <c r="G578" s="130"/>
    </row>
    <row r="579" ht="15.75" customHeight="1">
      <c r="A579" s="291"/>
      <c r="B579" s="291"/>
      <c r="C579" s="291"/>
      <c r="D579" s="127"/>
      <c r="E579" s="127"/>
      <c r="F579" s="291"/>
      <c r="G579" s="130"/>
    </row>
    <row r="580" ht="15.75" customHeight="1">
      <c r="A580" s="291"/>
      <c r="B580" s="291"/>
      <c r="C580" s="291"/>
      <c r="D580" s="127"/>
      <c r="E580" s="127"/>
      <c r="F580" s="291"/>
      <c r="G580" s="130"/>
    </row>
    <row r="581" ht="15.75" customHeight="1">
      <c r="A581" s="291"/>
      <c r="B581" s="291"/>
      <c r="C581" s="291"/>
      <c r="D581" s="127"/>
      <c r="E581" s="127"/>
      <c r="F581" s="291"/>
      <c r="G581" s="130"/>
    </row>
    <row r="582" ht="15.75" customHeight="1">
      <c r="A582" s="291"/>
      <c r="B582" s="291"/>
      <c r="C582" s="291"/>
      <c r="D582" s="127"/>
      <c r="E582" s="127"/>
      <c r="F582" s="291"/>
      <c r="G582" s="130"/>
    </row>
    <row r="583" ht="15.75" customHeight="1">
      <c r="A583" s="291"/>
      <c r="B583" s="291"/>
      <c r="C583" s="291"/>
      <c r="D583" s="127"/>
      <c r="E583" s="127"/>
      <c r="F583" s="291"/>
      <c r="G583" s="130"/>
    </row>
    <row r="584" ht="15.75" customHeight="1">
      <c r="A584" s="291"/>
      <c r="B584" s="291"/>
      <c r="C584" s="291"/>
      <c r="D584" s="127"/>
      <c r="E584" s="127"/>
      <c r="F584" s="291"/>
      <c r="G584" s="130"/>
    </row>
    <row r="585" ht="15.75" customHeight="1">
      <c r="A585" s="291"/>
      <c r="B585" s="291"/>
      <c r="C585" s="291"/>
      <c r="D585" s="127"/>
      <c r="E585" s="127"/>
      <c r="F585" s="291"/>
      <c r="G585" s="130"/>
    </row>
    <row r="586" ht="15.75" customHeight="1">
      <c r="A586" s="291"/>
      <c r="B586" s="291"/>
      <c r="C586" s="291"/>
      <c r="D586" s="127"/>
      <c r="E586" s="127"/>
      <c r="F586" s="291"/>
      <c r="G586" s="130"/>
    </row>
    <row r="587" ht="15.75" customHeight="1">
      <c r="A587" s="291"/>
      <c r="B587" s="291"/>
      <c r="C587" s="291"/>
      <c r="D587" s="127"/>
      <c r="E587" s="127"/>
      <c r="F587" s="291"/>
      <c r="G587" s="130"/>
    </row>
    <row r="588" ht="15.75" customHeight="1">
      <c r="A588" s="291"/>
      <c r="B588" s="291"/>
      <c r="C588" s="291"/>
      <c r="D588" s="127"/>
      <c r="E588" s="127"/>
      <c r="F588" s="291"/>
      <c r="G588" s="130"/>
    </row>
    <row r="589" ht="15.75" customHeight="1">
      <c r="A589" s="291"/>
      <c r="B589" s="291"/>
      <c r="C589" s="291"/>
      <c r="D589" s="127"/>
      <c r="E589" s="127"/>
      <c r="F589" s="291"/>
      <c r="G589" s="130"/>
    </row>
    <row r="590" ht="15.75" customHeight="1">
      <c r="A590" s="291"/>
      <c r="B590" s="291"/>
      <c r="C590" s="291"/>
      <c r="D590" s="127"/>
      <c r="E590" s="127"/>
      <c r="F590" s="291"/>
      <c r="G590" s="130"/>
    </row>
    <row r="591" ht="15.75" customHeight="1">
      <c r="A591" s="291"/>
      <c r="B591" s="291"/>
      <c r="C591" s="291"/>
      <c r="D591" s="127"/>
      <c r="E591" s="127"/>
      <c r="F591" s="291"/>
      <c r="G591" s="130"/>
    </row>
    <row r="592" ht="15.75" customHeight="1">
      <c r="A592" s="291"/>
      <c r="B592" s="291"/>
      <c r="C592" s="295"/>
      <c r="D592" s="127"/>
      <c r="E592" s="127"/>
      <c r="F592" s="291"/>
      <c r="G592" s="130"/>
    </row>
    <row r="593" ht="15.75" customHeight="1">
      <c r="A593" s="291"/>
      <c r="B593" s="291"/>
      <c r="C593" s="295"/>
      <c r="D593" s="127"/>
      <c r="E593" s="127"/>
      <c r="F593" s="291"/>
      <c r="G593" s="130"/>
    </row>
    <row r="594" ht="15.75" customHeight="1">
      <c r="A594" s="291"/>
      <c r="B594" s="291"/>
      <c r="C594" s="295"/>
      <c r="D594" s="127"/>
      <c r="E594" s="127"/>
      <c r="F594" s="291"/>
      <c r="G594" s="130"/>
    </row>
    <row r="595" ht="15.75" customHeight="1">
      <c r="A595" s="291"/>
      <c r="B595" s="291"/>
      <c r="C595" s="295"/>
      <c r="D595" s="127"/>
      <c r="E595" s="127"/>
      <c r="F595" s="291"/>
      <c r="G595" s="130"/>
    </row>
    <row r="596" ht="15.75" customHeight="1">
      <c r="A596" s="291"/>
      <c r="B596" s="291"/>
      <c r="C596" s="295"/>
      <c r="D596" s="127"/>
      <c r="E596" s="127"/>
      <c r="F596" s="291"/>
      <c r="G596" s="130"/>
    </row>
    <row r="597" ht="15.75" customHeight="1">
      <c r="A597" s="291"/>
      <c r="B597" s="291"/>
      <c r="C597" s="295"/>
      <c r="D597" s="127"/>
      <c r="E597" s="127"/>
      <c r="F597" s="291"/>
      <c r="G597" s="130"/>
    </row>
    <row r="598" ht="15.75" customHeight="1">
      <c r="A598" s="291"/>
      <c r="B598" s="291"/>
      <c r="C598" s="295"/>
      <c r="D598" s="127"/>
      <c r="E598" s="127"/>
      <c r="F598" s="291"/>
      <c r="G598" s="130"/>
    </row>
    <row r="599" ht="15.75" customHeight="1">
      <c r="A599" s="291"/>
      <c r="B599" s="291"/>
      <c r="C599" s="295"/>
      <c r="D599" s="127"/>
      <c r="E599" s="127"/>
      <c r="F599" s="291"/>
      <c r="G599" s="130"/>
    </row>
    <row r="600" ht="15.75" customHeight="1">
      <c r="A600" s="291"/>
      <c r="B600" s="291"/>
      <c r="C600" s="295"/>
      <c r="D600" s="127"/>
      <c r="E600" s="127"/>
      <c r="F600" s="291"/>
      <c r="G600" s="130"/>
    </row>
    <row r="601" ht="15.75" customHeight="1">
      <c r="A601" s="291"/>
      <c r="B601" s="291"/>
      <c r="C601" s="295"/>
      <c r="D601" s="127"/>
      <c r="E601" s="127"/>
      <c r="F601" s="291"/>
      <c r="G601" s="130"/>
    </row>
    <row r="602" ht="15.75" customHeight="1">
      <c r="A602" s="291"/>
      <c r="B602" s="291"/>
      <c r="C602" s="295"/>
      <c r="D602" s="127"/>
      <c r="E602" s="127"/>
      <c r="F602" s="291"/>
      <c r="G602" s="130"/>
    </row>
    <row r="603" ht="15.75" customHeight="1">
      <c r="A603" s="291"/>
      <c r="B603" s="291"/>
      <c r="C603" s="295"/>
      <c r="D603" s="127"/>
      <c r="E603" s="127"/>
      <c r="F603" s="291"/>
      <c r="G603" s="130"/>
    </row>
    <row r="604" ht="15.75" customHeight="1">
      <c r="A604" s="291"/>
      <c r="B604" s="291"/>
      <c r="C604" s="295"/>
      <c r="D604" s="127"/>
      <c r="E604" s="127"/>
      <c r="F604" s="291"/>
      <c r="G604" s="130"/>
    </row>
    <row r="605" ht="15.75" customHeight="1">
      <c r="A605" s="291"/>
      <c r="B605" s="291"/>
      <c r="C605" s="295"/>
      <c r="D605" s="127"/>
      <c r="E605" s="127"/>
      <c r="F605" s="291"/>
      <c r="G605" s="130"/>
    </row>
    <row r="606" ht="15.75" customHeight="1">
      <c r="A606" s="291"/>
      <c r="B606" s="291"/>
      <c r="C606" s="295"/>
      <c r="D606" s="127"/>
      <c r="E606" s="127"/>
      <c r="F606" s="291"/>
      <c r="G606" s="130"/>
    </row>
    <row r="607" ht="15.75" customHeight="1">
      <c r="A607" s="291"/>
      <c r="B607" s="291"/>
      <c r="C607" s="295"/>
      <c r="D607" s="127"/>
      <c r="E607" s="127"/>
      <c r="F607" s="291"/>
      <c r="G607" s="130"/>
    </row>
    <row r="608" ht="15.75" customHeight="1">
      <c r="A608" s="291"/>
      <c r="B608" s="291"/>
      <c r="C608" s="295"/>
      <c r="D608" s="127"/>
      <c r="E608" s="127"/>
      <c r="F608" s="291"/>
      <c r="G608" s="130"/>
    </row>
    <row r="609" ht="15.75" customHeight="1">
      <c r="A609" s="291"/>
      <c r="B609" s="291"/>
      <c r="C609" s="295"/>
      <c r="D609" s="127"/>
      <c r="E609" s="127"/>
      <c r="F609" s="291"/>
      <c r="G609" s="130"/>
    </row>
    <row r="610" ht="15.75" customHeight="1">
      <c r="A610" s="291"/>
      <c r="B610" s="291"/>
      <c r="C610" s="295"/>
      <c r="D610" s="127"/>
      <c r="E610" s="127"/>
      <c r="F610" s="291"/>
      <c r="G610" s="130"/>
    </row>
    <row r="611" ht="15.75" customHeight="1">
      <c r="A611" s="291"/>
      <c r="B611" s="291"/>
      <c r="C611" s="295"/>
      <c r="D611" s="127"/>
      <c r="E611" s="127"/>
      <c r="F611" s="291"/>
      <c r="G611" s="130"/>
    </row>
    <row r="612" ht="15.75" customHeight="1">
      <c r="A612" s="291"/>
      <c r="B612" s="291"/>
      <c r="C612" s="295"/>
      <c r="D612" s="127"/>
      <c r="E612" s="127"/>
      <c r="F612" s="291"/>
      <c r="G612" s="130"/>
    </row>
    <row r="613" ht="15.75" customHeight="1">
      <c r="A613" s="291"/>
      <c r="B613" s="291"/>
      <c r="C613" s="295"/>
      <c r="D613" s="127"/>
      <c r="E613" s="127"/>
      <c r="F613" s="291"/>
      <c r="G613" s="130"/>
    </row>
    <row r="614" ht="15.75" customHeight="1">
      <c r="A614" s="291"/>
      <c r="B614" s="291"/>
      <c r="C614" s="295"/>
      <c r="D614" s="127"/>
      <c r="E614" s="127"/>
      <c r="F614" s="291"/>
      <c r="G614" s="130"/>
    </row>
    <row r="615" ht="15.75" customHeight="1">
      <c r="A615" s="291"/>
      <c r="B615" s="291"/>
      <c r="C615" s="291"/>
      <c r="D615" s="127"/>
      <c r="E615" s="127"/>
      <c r="F615" s="291"/>
      <c r="G615" s="130"/>
    </row>
    <row r="616" ht="15.75" customHeight="1">
      <c r="A616" s="291"/>
      <c r="B616" s="291"/>
      <c r="C616" s="295"/>
      <c r="D616" s="127"/>
      <c r="E616" s="127"/>
      <c r="F616" s="291"/>
      <c r="G616" s="130"/>
    </row>
    <row r="617" ht="15.75" customHeight="1">
      <c r="A617" s="291"/>
      <c r="B617" s="291"/>
      <c r="C617" s="295"/>
      <c r="D617" s="127"/>
      <c r="E617" s="127"/>
      <c r="F617" s="291"/>
      <c r="G617" s="130"/>
    </row>
    <row r="618" ht="15.75" customHeight="1">
      <c r="A618" s="291"/>
      <c r="B618" s="291"/>
      <c r="C618" s="295"/>
      <c r="D618" s="127"/>
      <c r="E618" s="127"/>
      <c r="F618" s="291"/>
      <c r="G618" s="130"/>
    </row>
    <row r="619" ht="15.75" customHeight="1">
      <c r="A619" s="291"/>
      <c r="B619" s="291"/>
      <c r="C619" s="295"/>
      <c r="D619" s="127"/>
      <c r="E619" s="127"/>
      <c r="F619" s="291"/>
      <c r="G619" s="130"/>
    </row>
    <row r="620" ht="15.75" customHeight="1">
      <c r="A620" s="291"/>
      <c r="B620" s="291"/>
      <c r="C620" s="291"/>
      <c r="D620" s="127"/>
      <c r="E620" s="127"/>
      <c r="F620" s="291"/>
      <c r="G620" s="130"/>
    </row>
    <row r="621" ht="15.75" customHeight="1">
      <c r="A621" s="291"/>
      <c r="B621" s="291"/>
      <c r="C621" s="295"/>
      <c r="D621" s="127"/>
      <c r="E621" s="127"/>
      <c r="F621" s="291"/>
      <c r="G621" s="130"/>
    </row>
    <row r="622" ht="15.75" customHeight="1">
      <c r="A622" s="291"/>
      <c r="B622" s="291"/>
      <c r="C622" s="295"/>
      <c r="D622" s="127"/>
      <c r="E622" s="127"/>
      <c r="F622" s="291"/>
      <c r="G622" s="130"/>
    </row>
    <row r="623" ht="15.75" customHeight="1">
      <c r="A623" s="291"/>
      <c r="B623" s="291"/>
      <c r="C623" s="295"/>
      <c r="D623" s="127"/>
      <c r="E623" s="127"/>
      <c r="F623" s="291"/>
      <c r="G623" s="130"/>
    </row>
    <row r="624" ht="15.75" customHeight="1">
      <c r="A624" s="291"/>
      <c r="B624" s="291"/>
      <c r="C624" s="295"/>
      <c r="D624" s="127"/>
      <c r="E624" s="127"/>
      <c r="F624" s="291"/>
      <c r="G624" s="130"/>
    </row>
    <row r="625" ht="15.75" customHeight="1">
      <c r="A625" s="291"/>
      <c r="B625" s="291"/>
      <c r="C625" s="295"/>
      <c r="D625" s="127"/>
      <c r="E625" s="127"/>
      <c r="F625" s="291"/>
      <c r="G625" s="130"/>
    </row>
    <row r="626" ht="15.75" customHeight="1">
      <c r="A626" s="291"/>
      <c r="B626" s="291"/>
      <c r="C626" s="295"/>
      <c r="D626" s="127"/>
      <c r="E626" s="127"/>
      <c r="F626" s="291"/>
      <c r="G626" s="130"/>
    </row>
    <row r="627" ht="15.75" customHeight="1">
      <c r="A627" s="291"/>
      <c r="B627" s="291"/>
      <c r="C627" s="295"/>
      <c r="D627" s="127"/>
      <c r="E627" s="127"/>
      <c r="F627" s="291"/>
      <c r="G627" s="130"/>
    </row>
    <row r="628" ht="15.75" customHeight="1">
      <c r="A628" s="291"/>
      <c r="B628" s="291"/>
      <c r="C628" s="295"/>
      <c r="D628" s="127"/>
      <c r="E628" s="127"/>
      <c r="F628" s="291"/>
      <c r="G628" s="130"/>
    </row>
    <row r="629" ht="15.75" customHeight="1">
      <c r="A629" s="291"/>
      <c r="B629" s="291"/>
      <c r="C629" s="295"/>
      <c r="D629" s="127"/>
      <c r="E629" s="127"/>
      <c r="F629" s="291"/>
      <c r="G629" s="130"/>
    </row>
    <row r="630" ht="15.75" customHeight="1">
      <c r="A630" s="291"/>
      <c r="B630" s="291"/>
      <c r="C630" s="295"/>
      <c r="D630" s="127"/>
      <c r="E630" s="127"/>
      <c r="F630" s="291"/>
      <c r="G630" s="130"/>
    </row>
    <row r="631" ht="15.75" customHeight="1">
      <c r="A631" s="291"/>
      <c r="B631" s="291"/>
      <c r="C631" s="295"/>
      <c r="D631" s="127"/>
      <c r="E631" s="127"/>
      <c r="F631" s="291"/>
      <c r="G631" s="130"/>
    </row>
    <row r="632" ht="15.75" customHeight="1">
      <c r="A632" s="291"/>
      <c r="B632" s="291"/>
      <c r="C632" s="295"/>
      <c r="D632" s="127"/>
      <c r="E632" s="127"/>
      <c r="F632" s="291"/>
      <c r="G632" s="130"/>
    </row>
    <row r="633" ht="15.75" customHeight="1">
      <c r="A633" s="291"/>
      <c r="B633" s="291"/>
      <c r="C633" s="291"/>
      <c r="D633" s="127"/>
      <c r="E633" s="127"/>
      <c r="F633" s="291"/>
      <c r="G633" s="130"/>
    </row>
    <row r="634" ht="15.75" customHeight="1">
      <c r="A634" s="291"/>
      <c r="B634" s="291"/>
      <c r="C634" s="295"/>
      <c r="D634" s="127"/>
      <c r="E634" s="127"/>
      <c r="F634" s="291"/>
      <c r="G634" s="130"/>
    </row>
    <row r="635" ht="15.75" customHeight="1">
      <c r="A635" s="291"/>
      <c r="B635" s="291"/>
      <c r="C635" s="295"/>
      <c r="D635" s="127"/>
      <c r="E635" s="127"/>
      <c r="F635" s="291"/>
      <c r="G635" s="130"/>
    </row>
    <row r="636" ht="15.75" customHeight="1">
      <c r="A636" s="291"/>
      <c r="B636" s="291"/>
      <c r="C636" s="295"/>
      <c r="D636" s="127"/>
      <c r="E636" s="127"/>
      <c r="F636" s="291"/>
      <c r="G636" s="130"/>
    </row>
    <row r="637" ht="15.75" customHeight="1">
      <c r="A637" s="291"/>
      <c r="B637" s="291"/>
      <c r="C637" s="295"/>
      <c r="D637" s="127"/>
      <c r="E637" s="127"/>
      <c r="F637" s="291"/>
      <c r="G637" s="130"/>
    </row>
    <row r="638" ht="15.75" customHeight="1">
      <c r="A638" s="291"/>
      <c r="B638" s="291"/>
      <c r="C638" s="295"/>
      <c r="D638" s="127"/>
      <c r="E638" s="127"/>
      <c r="F638" s="291"/>
      <c r="G638" s="130"/>
    </row>
    <row r="639" ht="15.75" customHeight="1">
      <c r="A639" s="291"/>
      <c r="B639" s="291"/>
      <c r="C639" s="295"/>
      <c r="D639" s="127"/>
      <c r="E639" s="127"/>
      <c r="F639" s="291"/>
      <c r="G639" s="130"/>
    </row>
    <row r="640" ht="15.75" customHeight="1">
      <c r="A640" s="291"/>
      <c r="B640" s="291"/>
      <c r="C640" s="291"/>
      <c r="D640" s="127"/>
      <c r="E640" s="127"/>
      <c r="F640" s="291"/>
      <c r="G640" s="130"/>
    </row>
    <row r="641" ht="15.75" customHeight="1">
      <c r="A641" s="291"/>
      <c r="B641" s="291"/>
      <c r="C641" s="295"/>
      <c r="D641" s="127"/>
      <c r="E641" s="127"/>
      <c r="F641" s="291"/>
      <c r="G641" s="130"/>
    </row>
    <row r="642" ht="15.75" customHeight="1">
      <c r="A642" s="291"/>
      <c r="B642" s="291"/>
      <c r="C642" s="295"/>
      <c r="D642" s="127"/>
      <c r="E642" s="127"/>
      <c r="F642" s="291"/>
      <c r="G642" s="130"/>
    </row>
    <row r="643" ht="15.75" customHeight="1">
      <c r="A643" s="291"/>
      <c r="B643" s="291"/>
      <c r="C643" s="295"/>
      <c r="D643" s="127"/>
      <c r="E643" s="127"/>
      <c r="F643" s="291"/>
      <c r="G643" s="130"/>
    </row>
    <row r="644" ht="15.75" customHeight="1">
      <c r="A644" s="291"/>
      <c r="B644" s="291"/>
      <c r="C644" s="295"/>
      <c r="D644" s="127"/>
      <c r="E644" s="127"/>
      <c r="F644" s="291"/>
      <c r="G644" s="130"/>
    </row>
    <row r="645" ht="15.75" customHeight="1">
      <c r="A645" s="291"/>
      <c r="B645" s="291"/>
      <c r="C645" s="295"/>
      <c r="D645" s="127"/>
      <c r="E645" s="127"/>
      <c r="F645" s="291"/>
      <c r="G645" s="130"/>
    </row>
    <row r="646" ht="15.75" customHeight="1">
      <c r="A646" s="291"/>
      <c r="B646" s="291"/>
      <c r="C646" s="295"/>
      <c r="D646" s="127"/>
      <c r="E646" s="127"/>
      <c r="F646" s="291"/>
      <c r="G646" s="130"/>
    </row>
    <row r="647" ht="15.75" customHeight="1">
      <c r="A647" s="291"/>
      <c r="B647" s="291"/>
      <c r="C647" s="291"/>
      <c r="D647" s="127"/>
      <c r="E647" s="127"/>
      <c r="F647" s="291"/>
      <c r="G647" s="130"/>
    </row>
    <row r="648" ht="15.75" customHeight="1">
      <c r="A648" s="291"/>
      <c r="B648" s="291"/>
      <c r="C648" s="295"/>
      <c r="D648" s="127"/>
      <c r="E648" s="127"/>
      <c r="F648" s="291"/>
      <c r="G648" s="130"/>
    </row>
    <row r="649" ht="15.75" customHeight="1">
      <c r="A649" s="291"/>
      <c r="B649" s="291"/>
      <c r="C649" s="295"/>
      <c r="D649" s="127"/>
      <c r="E649" s="127"/>
      <c r="F649" s="291"/>
      <c r="G649" s="130"/>
    </row>
    <row r="650" ht="15.75" customHeight="1">
      <c r="A650" s="291"/>
      <c r="B650" s="291"/>
      <c r="C650" s="295"/>
      <c r="D650" s="127"/>
      <c r="E650" s="127"/>
      <c r="F650" s="291"/>
      <c r="G650" s="130"/>
    </row>
    <row r="651" ht="15.75" customHeight="1">
      <c r="A651" s="291"/>
      <c r="B651" s="291"/>
      <c r="C651" s="295"/>
      <c r="D651" s="127"/>
      <c r="E651" s="127"/>
      <c r="F651" s="291"/>
      <c r="G651" s="130"/>
    </row>
    <row r="652" ht="15.75" customHeight="1">
      <c r="A652" s="291"/>
      <c r="B652" s="291"/>
      <c r="C652" s="295"/>
      <c r="D652" s="127"/>
      <c r="E652" s="127"/>
      <c r="F652" s="291"/>
      <c r="G652" s="130"/>
    </row>
    <row r="653" ht="15.75" customHeight="1">
      <c r="A653" s="291"/>
      <c r="B653" s="291"/>
      <c r="C653" s="295"/>
      <c r="D653" s="127"/>
      <c r="E653" s="127"/>
      <c r="F653" s="291"/>
      <c r="G653" s="130"/>
    </row>
    <row r="654" ht="15.75" customHeight="1">
      <c r="A654" s="291"/>
      <c r="B654" s="291"/>
      <c r="C654" s="295"/>
      <c r="D654" s="127"/>
      <c r="E654" s="127"/>
      <c r="F654" s="291"/>
      <c r="G654" s="130"/>
    </row>
    <row r="655" ht="15.75" customHeight="1">
      <c r="A655" s="291"/>
      <c r="B655" s="291"/>
      <c r="C655" s="295"/>
      <c r="D655" s="127"/>
      <c r="E655" s="127"/>
      <c r="F655" s="291"/>
      <c r="G655" s="130"/>
    </row>
    <row r="656" ht="15.75" customHeight="1">
      <c r="A656" s="291"/>
      <c r="B656" s="291"/>
      <c r="C656" s="291"/>
      <c r="D656" s="127"/>
      <c r="E656" s="127"/>
      <c r="F656" s="291"/>
      <c r="G656" s="130"/>
    </row>
    <row r="657" ht="15.75" customHeight="1">
      <c r="A657" s="291"/>
      <c r="B657" s="291"/>
      <c r="C657" s="295"/>
      <c r="D657" s="127"/>
      <c r="E657" s="127"/>
      <c r="F657" s="291"/>
      <c r="G657" s="130"/>
    </row>
    <row r="658" ht="15.75" customHeight="1">
      <c r="A658" s="291"/>
      <c r="B658" s="291"/>
      <c r="C658" s="295"/>
      <c r="D658" s="127"/>
      <c r="E658" s="127"/>
      <c r="F658" s="291"/>
      <c r="G658" s="130"/>
    </row>
    <row r="659" ht="15.75" customHeight="1">
      <c r="A659" s="291"/>
      <c r="B659" s="291"/>
      <c r="C659" s="295"/>
      <c r="D659" s="127"/>
      <c r="E659" s="127"/>
      <c r="F659" s="291"/>
      <c r="G659" s="130"/>
    </row>
    <row r="660" ht="15.75" customHeight="1">
      <c r="A660" s="291"/>
      <c r="B660" s="291"/>
      <c r="C660" s="295"/>
      <c r="D660" s="127"/>
      <c r="E660" s="127"/>
      <c r="F660" s="291"/>
      <c r="G660" s="130"/>
    </row>
    <row r="661" ht="15.75" customHeight="1">
      <c r="A661" s="291"/>
      <c r="B661" s="291"/>
      <c r="C661" s="295"/>
      <c r="D661" s="127"/>
      <c r="E661" s="127"/>
      <c r="F661" s="291"/>
      <c r="G661" s="130"/>
    </row>
    <row r="662" ht="15.75" customHeight="1">
      <c r="A662" s="291"/>
      <c r="B662" s="291"/>
      <c r="C662" s="295"/>
      <c r="D662" s="127"/>
      <c r="E662" s="127"/>
      <c r="F662" s="291"/>
      <c r="G662" s="130"/>
    </row>
    <row r="663" ht="15.75" customHeight="1">
      <c r="A663" s="291"/>
      <c r="B663" s="291"/>
      <c r="C663" s="295"/>
      <c r="D663" s="127"/>
      <c r="E663" s="127"/>
      <c r="F663" s="291"/>
      <c r="G663" s="130"/>
    </row>
    <row r="664" ht="15.75" customHeight="1">
      <c r="A664" s="291"/>
      <c r="B664" s="291"/>
      <c r="C664" s="295"/>
      <c r="D664" s="127"/>
      <c r="E664" s="127"/>
      <c r="F664" s="291"/>
      <c r="G664" s="130"/>
    </row>
    <row r="665" ht="15.75" customHeight="1">
      <c r="A665" s="291"/>
      <c r="B665" s="291"/>
      <c r="C665" s="295"/>
      <c r="D665" s="127"/>
      <c r="E665" s="127"/>
      <c r="F665" s="291"/>
      <c r="G665" s="130"/>
    </row>
    <row r="666" ht="15.75" customHeight="1">
      <c r="A666" s="291"/>
      <c r="B666" s="291"/>
      <c r="C666" s="291"/>
      <c r="D666" s="127"/>
      <c r="E666" s="127"/>
      <c r="F666" s="291"/>
      <c r="G666" s="130"/>
    </row>
    <row r="667" ht="15.75" customHeight="1">
      <c r="A667" s="291"/>
      <c r="B667" s="291"/>
      <c r="C667" s="295"/>
      <c r="D667" s="127"/>
      <c r="E667" s="127"/>
      <c r="F667" s="291"/>
      <c r="G667" s="130"/>
    </row>
    <row r="668" ht="15.75" customHeight="1">
      <c r="A668" s="291"/>
      <c r="B668" s="291"/>
      <c r="C668" s="295"/>
      <c r="D668" s="127"/>
      <c r="E668" s="127"/>
      <c r="F668" s="291"/>
      <c r="G668" s="130"/>
    </row>
    <row r="669" ht="15.75" customHeight="1">
      <c r="A669" s="291"/>
      <c r="B669" s="291"/>
      <c r="C669" s="295"/>
      <c r="D669" s="127"/>
      <c r="E669" s="127"/>
      <c r="F669" s="291"/>
      <c r="G669" s="130"/>
    </row>
    <row r="670" ht="15.75" customHeight="1">
      <c r="A670" s="291"/>
      <c r="B670" s="291"/>
      <c r="C670" s="295"/>
      <c r="D670" s="127"/>
      <c r="E670" s="127"/>
      <c r="F670" s="291"/>
      <c r="G670" s="130"/>
    </row>
    <row r="671" ht="15.75" customHeight="1">
      <c r="A671" s="291"/>
      <c r="B671" s="291"/>
      <c r="C671" s="295"/>
      <c r="D671" s="127"/>
      <c r="E671" s="127"/>
      <c r="F671" s="291"/>
      <c r="G671" s="130"/>
    </row>
    <row r="672" ht="15.75" customHeight="1">
      <c r="A672" s="291"/>
      <c r="B672" s="291"/>
      <c r="C672" s="295"/>
      <c r="D672" s="127"/>
      <c r="E672" s="127"/>
      <c r="F672" s="291"/>
      <c r="G672" s="130"/>
    </row>
    <row r="673" ht="15.75" customHeight="1">
      <c r="A673" s="291"/>
      <c r="B673" s="291"/>
      <c r="C673" s="291"/>
      <c r="D673" s="127"/>
      <c r="E673" s="127"/>
      <c r="F673" s="291"/>
      <c r="G673" s="130"/>
    </row>
    <row r="674" ht="15.75" customHeight="1">
      <c r="A674" s="291"/>
      <c r="B674" s="291"/>
      <c r="C674" s="295"/>
      <c r="D674" s="127"/>
      <c r="E674" s="127"/>
      <c r="F674" s="291"/>
      <c r="G674" s="130"/>
    </row>
    <row r="675" ht="15.75" customHeight="1">
      <c r="A675" s="291"/>
      <c r="B675" s="291"/>
      <c r="C675" s="295"/>
      <c r="D675" s="127"/>
      <c r="E675" s="127"/>
      <c r="F675" s="291"/>
      <c r="G675" s="130"/>
    </row>
    <row r="676" ht="15.75" customHeight="1">
      <c r="A676" s="291"/>
      <c r="B676" s="291"/>
      <c r="C676" s="295"/>
      <c r="D676" s="127"/>
      <c r="E676" s="127"/>
      <c r="F676" s="291"/>
      <c r="G676" s="130"/>
    </row>
    <row r="677" ht="15.75" customHeight="1">
      <c r="A677" s="291"/>
      <c r="B677" s="291"/>
      <c r="C677" s="291"/>
      <c r="D677" s="127"/>
      <c r="E677" s="127"/>
      <c r="F677" s="291"/>
      <c r="G677" s="130"/>
    </row>
    <row r="678" ht="15.75" customHeight="1">
      <c r="A678" s="291"/>
      <c r="B678" s="291"/>
      <c r="C678" s="295"/>
      <c r="D678" s="127"/>
      <c r="E678" s="127"/>
      <c r="F678" s="291"/>
      <c r="G678" s="130"/>
    </row>
    <row r="679" ht="15.75" customHeight="1">
      <c r="A679" s="291"/>
      <c r="B679" s="291"/>
      <c r="C679" s="295"/>
      <c r="D679" s="127"/>
      <c r="E679" s="127"/>
      <c r="F679" s="291"/>
      <c r="G679" s="130"/>
    </row>
    <row r="680" ht="15.75" customHeight="1">
      <c r="A680" s="291"/>
      <c r="B680" s="291"/>
      <c r="C680" s="295"/>
      <c r="D680" s="127"/>
      <c r="E680" s="127"/>
      <c r="F680" s="291"/>
      <c r="G680" s="130"/>
    </row>
    <row r="681" ht="15.75" customHeight="1">
      <c r="A681" s="291"/>
      <c r="B681" s="291"/>
      <c r="C681" s="295"/>
      <c r="D681" s="127"/>
      <c r="E681" s="127"/>
      <c r="F681" s="291"/>
      <c r="G681" s="130"/>
    </row>
    <row r="682" ht="15.75" customHeight="1">
      <c r="A682" s="291"/>
      <c r="B682" s="291"/>
      <c r="C682" s="295"/>
      <c r="D682" s="127"/>
      <c r="E682" s="127"/>
      <c r="F682" s="291"/>
      <c r="G682" s="130"/>
    </row>
    <row r="683" ht="15.75" customHeight="1">
      <c r="A683" s="291"/>
      <c r="B683" s="291"/>
      <c r="C683" s="295"/>
      <c r="D683" s="127"/>
      <c r="E683" s="127"/>
      <c r="F683" s="291"/>
      <c r="G683" s="130"/>
    </row>
    <row r="684" ht="15.75" customHeight="1">
      <c r="A684" s="291"/>
      <c r="B684" s="291"/>
      <c r="C684" s="295"/>
      <c r="D684" s="127"/>
      <c r="E684" s="127"/>
      <c r="F684" s="291"/>
      <c r="G684" s="130"/>
    </row>
    <row r="685" ht="15.75" customHeight="1">
      <c r="A685" s="291"/>
      <c r="B685" s="291"/>
      <c r="C685" s="295"/>
      <c r="D685" s="127"/>
      <c r="E685" s="127"/>
      <c r="F685" s="291"/>
      <c r="G685" s="130"/>
    </row>
    <row r="686" ht="15.75" customHeight="1">
      <c r="A686" s="291"/>
      <c r="B686" s="291"/>
      <c r="C686" s="295"/>
      <c r="D686" s="127"/>
      <c r="E686" s="127"/>
      <c r="F686" s="291"/>
      <c r="G686" s="130"/>
    </row>
    <row r="687" ht="15.75" customHeight="1">
      <c r="A687" s="291"/>
      <c r="B687" s="291"/>
      <c r="C687" s="295"/>
      <c r="D687" s="127"/>
      <c r="E687" s="127"/>
      <c r="F687" s="291"/>
      <c r="G687" s="130"/>
    </row>
    <row r="688" ht="15.75" customHeight="1">
      <c r="A688" s="291"/>
      <c r="B688" s="291"/>
      <c r="C688" s="295"/>
      <c r="D688" s="127"/>
      <c r="E688" s="127"/>
      <c r="F688" s="291"/>
      <c r="G688" s="130"/>
    </row>
    <row r="689" ht="15.75" customHeight="1">
      <c r="A689" s="291"/>
      <c r="B689" s="291"/>
      <c r="C689" s="295"/>
      <c r="D689" s="127"/>
      <c r="E689" s="127"/>
      <c r="F689" s="291"/>
      <c r="G689" s="130"/>
    </row>
    <row r="690" ht="15.75" customHeight="1">
      <c r="A690" s="291"/>
      <c r="B690" s="291"/>
      <c r="C690" s="295"/>
      <c r="D690" s="127"/>
      <c r="E690" s="127"/>
      <c r="F690" s="291"/>
      <c r="G690" s="130"/>
    </row>
    <row r="691" ht="15.75" customHeight="1">
      <c r="A691" s="291"/>
      <c r="B691" s="291"/>
      <c r="C691" s="295"/>
      <c r="D691" s="127"/>
      <c r="E691" s="127"/>
      <c r="F691" s="291"/>
      <c r="G691" s="130"/>
    </row>
    <row r="692" ht="15.75" customHeight="1">
      <c r="A692" s="291"/>
      <c r="B692" s="291"/>
      <c r="C692" s="291"/>
      <c r="D692" s="127"/>
      <c r="E692" s="127"/>
      <c r="F692" s="291"/>
      <c r="G692" s="130"/>
    </row>
    <row r="693" ht="15.75" customHeight="1">
      <c r="A693" s="291"/>
      <c r="B693" s="291"/>
      <c r="C693" s="295"/>
      <c r="D693" s="127"/>
      <c r="E693" s="127"/>
      <c r="F693" s="291"/>
      <c r="G693" s="130"/>
    </row>
    <row r="694" ht="15.75" customHeight="1">
      <c r="A694" s="291"/>
      <c r="B694" s="291"/>
      <c r="C694" s="295"/>
      <c r="D694" s="127"/>
      <c r="E694" s="127"/>
      <c r="F694" s="291"/>
      <c r="G694" s="130"/>
    </row>
    <row r="695" ht="15.75" customHeight="1">
      <c r="A695" s="291"/>
      <c r="B695" s="291"/>
      <c r="C695" s="295"/>
      <c r="D695" s="127"/>
      <c r="E695" s="127"/>
      <c r="F695" s="291"/>
      <c r="G695" s="130"/>
    </row>
    <row r="696" ht="15.75" customHeight="1">
      <c r="A696" s="291"/>
      <c r="B696" s="291"/>
      <c r="C696" s="295"/>
      <c r="D696" s="127"/>
      <c r="E696" s="127"/>
      <c r="F696" s="291"/>
      <c r="G696" s="130"/>
    </row>
    <row r="697" ht="15.75" customHeight="1">
      <c r="A697" s="291"/>
      <c r="B697" s="291"/>
      <c r="C697" s="295"/>
      <c r="D697" s="127"/>
      <c r="E697" s="127"/>
      <c r="F697" s="291"/>
      <c r="G697" s="130"/>
    </row>
    <row r="698" ht="15.75" customHeight="1">
      <c r="A698" s="291"/>
      <c r="B698" s="291"/>
      <c r="C698" s="295"/>
      <c r="D698" s="127"/>
      <c r="E698" s="127"/>
      <c r="F698" s="291"/>
      <c r="G698" s="130"/>
    </row>
    <row r="699" ht="15.75" customHeight="1">
      <c r="A699" s="291"/>
      <c r="B699" s="291"/>
      <c r="C699" s="295"/>
      <c r="D699" s="127"/>
      <c r="E699" s="127"/>
      <c r="F699" s="291"/>
      <c r="G699" s="130"/>
    </row>
    <row r="700" ht="15.75" customHeight="1">
      <c r="A700" s="291"/>
      <c r="B700" s="291"/>
      <c r="C700" s="295"/>
      <c r="D700" s="127"/>
      <c r="E700" s="127"/>
      <c r="F700" s="291"/>
      <c r="G700" s="130"/>
    </row>
    <row r="701" ht="15.75" customHeight="1">
      <c r="A701" s="291"/>
      <c r="B701" s="291"/>
      <c r="C701" s="295"/>
      <c r="D701" s="127"/>
      <c r="E701" s="127"/>
      <c r="F701" s="291"/>
      <c r="G701" s="130"/>
    </row>
    <row r="702" ht="15.75" customHeight="1">
      <c r="A702" s="291"/>
      <c r="B702" s="291"/>
      <c r="C702" s="295"/>
      <c r="D702" s="127"/>
      <c r="E702" s="127"/>
      <c r="F702" s="291"/>
      <c r="G702" s="130"/>
    </row>
    <row r="703" ht="15.75" customHeight="1">
      <c r="A703" s="291"/>
      <c r="B703" s="291"/>
      <c r="C703" s="295"/>
      <c r="D703" s="127"/>
      <c r="E703" s="127"/>
      <c r="F703" s="291"/>
      <c r="G703" s="130"/>
    </row>
    <row r="704" ht="15.75" customHeight="1">
      <c r="A704" s="291"/>
      <c r="B704" s="291"/>
      <c r="C704" s="291"/>
      <c r="D704" s="127"/>
      <c r="E704" s="127"/>
      <c r="F704" s="291"/>
      <c r="G704" s="130"/>
    </row>
    <row r="705" ht="15.75" customHeight="1">
      <c r="A705" s="291"/>
      <c r="B705" s="291"/>
      <c r="C705" s="295"/>
      <c r="D705" s="127"/>
      <c r="E705" s="127"/>
      <c r="F705" s="291"/>
      <c r="G705" s="130"/>
    </row>
    <row r="706" ht="15.75" customHeight="1">
      <c r="A706" s="291"/>
      <c r="B706" s="291"/>
      <c r="C706" s="295"/>
      <c r="D706" s="127"/>
      <c r="E706" s="127"/>
      <c r="F706" s="291"/>
      <c r="G706" s="130"/>
    </row>
    <row r="707" ht="15.75" customHeight="1">
      <c r="A707" s="291"/>
      <c r="B707" s="291"/>
      <c r="C707" s="295"/>
      <c r="D707" s="127"/>
      <c r="E707" s="127"/>
      <c r="F707" s="291"/>
      <c r="G707" s="130"/>
    </row>
    <row r="708" ht="15.75" customHeight="1">
      <c r="A708" s="291"/>
      <c r="B708" s="291"/>
      <c r="C708" s="295"/>
      <c r="D708" s="127"/>
      <c r="E708" s="127"/>
      <c r="F708" s="291"/>
      <c r="G708" s="130"/>
    </row>
    <row r="709" ht="15.75" customHeight="1">
      <c r="A709" s="291"/>
      <c r="B709" s="291"/>
      <c r="C709" s="295"/>
      <c r="D709" s="127"/>
      <c r="E709" s="127"/>
      <c r="F709" s="291"/>
      <c r="G709" s="130"/>
    </row>
    <row r="710" ht="15.75" customHeight="1">
      <c r="A710" s="291"/>
      <c r="B710" s="291"/>
      <c r="C710" s="295"/>
      <c r="D710" s="127"/>
      <c r="E710" s="127"/>
      <c r="F710" s="291"/>
      <c r="G710" s="130"/>
    </row>
    <row r="711" ht="15.75" customHeight="1">
      <c r="A711" s="291"/>
      <c r="B711" s="291"/>
      <c r="C711" s="295"/>
      <c r="D711" s="127"/>
      <c r="E711" s="127"/>
      <c r="F711" s="291"/>
      <c r="G711" s="130"/>
    </row>
    <row r="712" ht="15.75" customHeight="1">
      <c r="A712" s="291"/>
      <c r="B712" s="291"/>
      <c r="C712" s="295"/>
      <c r="D712" s="127"/>
      <c r="E712" s="127"/>
      <c r="F712" s="291"/>
      <c r="G712" s="130"/>
    </row>
    <row r="713" ht="15.75" customHeight="1">
      <c r="A713" s="291"/>
      <c r="B713" s="291"/>
      <c r="C713" s="295"/>
      <c r="D713" s="127"/>
      <c r="E713" s="127"/>
      <c r="F713" s="291"/>
      <c r="G713" s="130"/>
    </row>
    <row r="714" ht="15.75" customHeight="1">
      <c r="A714" s="291"/>
      <c r="B714" s="291"/>
      <c r="C714" s="295"/>
      <c r="D714" s="127"/>
      <c r="E714" s="127"/>
      <c r="F714" s="291"/>
      <c r="G714" s="130"/>
    </row>
    <row r="715" ht="15.75" customHeight="1">
      <c r="A715" s="291"/>
      <c r="B715" s="291"/>
      <c r="C715" s="295"/>
      <c r="D715" s="127"/>
      <c r="E715" s="127"/>
      <c r="F715" s="291"/>
      <c r="G715" s="130"/>
    </row>
    <row r="716" ht="15.75" customHeight="1">
      <c r="A716" s="291"/>
      <c r="B716" s="291"/>
      <c r="C716" s="291"/>
      <c r="D716" s="127"/>
      <c r="E716" s="127"/>
      <c r="F716" s="291"/>
      <c r="G716" s="130"/>
    </row>
    <row r="717" ht="15.75" customHeight="1">
      <c r="A717" s="291"/>
      <c r="B717" s="291"/>
      <c r="C717" s="295"/>
      <c r="D717" s="127"/>
      <c r="E717" s="127"/>
      <c r="F717" s="291"/>
      <c r="G717" s="130"/>
    </row>
    <row r="718" ht="15.75" customHeight="1">
      <c r="A718" s="291"/>
      <c r="B718" s="291"/>
      <c r="C718" s="295"/>
      <c r="D718" s="127"/>
      <c r="E718" s="127"/>
      <c r="F718" s="291"/>
      <c r="G718" s="130"/>
    </row>
    <row r="719" ht="15.75" customHeight="1">
      <c r="A719" s="291"/>
      <c r="B719" s="291"/>
      <c r="C719" s="295"/>
      <c r="D719" s="127"/>
      <c r="E719" s="127"/>
      <c r="F719" s="291"/>
      <c r="G719" s="130"/>
    </row>
    <row r="720" ht="15.75" customHeight="1">
      <c r="A720" s="291"/>
      <c r="B720" s="291"/>
      <c r="C720" s="295"/>
      <c r="D720" s="127"/>
      <c r="E720" s="127"/>
      <c r="F720" s="291"/>
      <c r="G720" s="130"/>
    </row>
    <row r="721" ht="15.75" customHeight="1">
      <c r="A721" s="291"/>
      <c r="B721" s="291"/>
      <c r="C721" s="295"/>
      <c r="D721" s="127"/>
      <c r="E721" s="127"/>
      <c r="F721" s="291"/>
      <c r="G721" s="130"/>
    </row>
    <row r="722" ht="15.75" customHeight="1">
      <c r="A722" s="291"/>
      <c r="B722" s="291"/>
      <c r="C722" s="295"/>
      <c r="D722" s="127"/>
      <c r="E722" s="127"/>
      <c r="F722" s="291"/>
      <c r="G722" s="130"/>
    </row>
    <row r="723" ht="15.75" customHeight="1">
      <c r="A723" s="291"/>
      <c r="B723" s="291"/>
      <c r="C723" s="295"/>
      <c r="D723" s="127"/>
      <c r="E723" s="127"/>
      <c r="F723" s="291"/>
      <c r="G723" s="130"/>
    </row>
    <row r="724" ht="15.75" customHeight="1">
      <c r="A724" s="291"/>
      <c r="B724" s="291"/>
      <c r="C724" s="295"/>
      <c r="D724" s="127"/>
      <c r="E724" s="127"/>
      <c r="F724" s="291"/>
      <c r="G724" s="130"/>
    </row>
    <row r="725" ht="15.75" customHeight="1">
      <c r="A725" s="291"/>
      <c r="B725" s="291"/>
      <c r="C725" s="295"/>
      <c r="D725" s="127"/>
      <c r="E725" s="127"/>
      <c r="F725" s="291"/>
      <c r="G725" s="130"/>
    </row>
    <row r="726" ht="15.75" customHeight="1">
      <c r="A726" s="291"/>
      <c r="B726" s="291"/>
      <c r="C726" s="295"/>
      <c r="D726" s="127"/>
      <c r="E726" s="127"/>
      <c r="F726" s="291"/>
      <c r="G726" s="130"/>
    </row>
    <row r="727" ht="15.75" customHeight="1">
      <c r="A727" s="291"/>
      <c r="B727" s="291"/>
      <c r="C727" s="295"/>
      <c r="D727" s="127"/>
      <c r="E727" s="127"/>
      <c r="F727" s="291"/>
      <c r="G727" s="130"/>
    </row>
    <row r="728" ht="15.75" customHeight="1">
      <c r="A728" s="291"/>
      <c r="B728" s="291"/>
      <c r="C728" s="295"/>
      <c r="D728" s="127"/>
      <c r="E728" s="127"/>
      <c r="F728" s="291"/>
      <c r="G728" s="130"/>
    </row>
    <row r="729" ht="15.75" customHeight="1">
      <c r="A729" s="291"/>
      <c r="B729" s="291"/>
      <c r="C729" s="291"/>
      <c r="D729" s="127"/>
      <c r="E729" s="127"/>
      <c r="F729" s="291"/>
      <c r="G729" s="130"/>
    </row>
    <row r="730" ht="15.75" customHeight="1">
      <c r="A730" s="291"/>
      <c r="B730" s="291"/>
      <c r="C730" s="295"/>
      <c r="D730" s="127"/>
      <c r="E730" s="127"/>
      <c r="F730" s="291"/>
      <c r="G730" s="130"/>
    </row>
    <row r="731" ht="15.75" customHeight="1">
      <c r="A731" s="291"/>
      <c r="B731" s="291"/>
      <c r="C731" s="295"/>
      <c r="D731" s="127"/>
      <c r="E731" s="127"/>
      <c r="F731" s="291"/>
      <c r="G731" s="130"/>
    </row>
    <row r="732" ht="15.75" customHeight="1">
      <c r="A732" s="291"/>
      <c r="B732" s="291"/>
      <c r="C732" s="295"/>
      <c r="D732" s="127"/>
      <c r="E732" s="127"/>
      <c r="F732" s="291"/>
      <c r="G732" s="130"/>
    </row>
    <row r="733" ht="15.75" customHeight="1">
      <c r="A733" s="291"/>
      <c r="B733" s="291"/>
      <c r="C733" s="295"/>
      <c r="D733" s="127"/>
      <c r="E733" s="127"/>
      <c r="F733" s="291"/>
      <c r="G733" s="130"/>
    </row>
    <row r="734" ht="15.75" customHeight="1">
      <c r="A734" s="291"/>
      <c r="B734" s="291"/>
      <c r="C734" s="295"/>
      <c r="D734" s="127"/>
      <c r="E734" s="127"/>
      <c r="F734" s="291"/>
      <c r="G734" s="130"/>
    </row>
    <row r="735" ht="15.75" customHeight="1">
      <c r="A735" s="291"/>
      <c r="B735" s="291"/>
      <c r="C735" s="291"/>
      <c r="D735" s="127"/>
      <c r="E735" s="127"/>
      <c r="F735" s="291"/>
      <c r="G735" s="130"/>
    </row>
    <row r="736" ht="15.75" customHeight="1">
      <c r="A736" s="291"/>
      <c r="B736" s="291"/>
      <c r="C736" s="291"/>
      <c r="D736" s="127"/>
      <c r="E736" s="127"/>
      <c r="F736" s="291"/>
      <c r="G736" s="130"/>
    </row>
    <row r="737" ht="15.75" customHeight="1">
      <c r="A737" s="291"/>
      <c r="B737" s="291"/>
      <c r="C737" s="291"/>
      <c r="D737" s="127"/>
      <c r="E737" s="127"/>
      <c r="F737" s="291"/>
      <c r="G737" s="130"/>
    </row>
    <row r="738" ht="15.75" customHeight="1">
      <c r="A738" s="291"/>
      <c r="B738" s="291"/>
      <c r="C738" s="291"/>
      <c r="D738" s="127"/>
      <c r="E738" s="127"/>
      <c r="F738" s="291"/>
      <c r="G738" s="130"/>
    </row>
    <row r="739" ht="15.75" customHeight="1">
      <c r="A739" s="291"/>
      <c r="B739" s="291"/>
      <c r="C739" s="291"/>
      <c r="D739" s="127"/>
      <c r="E739" s="127"/>
      <c r="F739" s="291"/>
      <c r="G739" s="130"/>
    </row>
    <row r="740" ht="15.75" customHeight="1">
      <c r="A740" s="291"/>
      <c r="B740" s="291"/>
      <c r="C740" s="291"/>
      <c r="D740" s="127"/>
      <c r="E740" s="127"/>
      <c r="F740" s="291"/>
      <c r="G740" s="130"/>
    </row>
    <row r="741" ht="15.75" customHeight="1">
      <c r="A741" s="291"/>
      <c r="B741" s="291"/>
      <c r="C741" s="291"/>
      <c r="D741" s="127"/>
      <c r="E741" s="127"/>
      <c r="F741" s="291"/>
      <c r="G741" s="130"/>
    </row>
    <row r="742" ht="15.75" customHeight="1">
      <c r="A742" s="291"/>
      <c r="B742" s="291"/>
      <c r="C742" s="291"/>
      <c r="D742" s="127"/>
      <c r="E742" s="127"/>
      <c r="F742" s="291"/>
      <c r="G742" s="130"/>
    </row>
    <row r="743" ht="15.75" customHeight="1">
      <c r="A743" s="291"/>
      <c r="B743" s="291"/>
      <c r="C743" s="291"/>
      <c r="D743" s="127"/>
      <c r="E743" s="127"/>
      <c r="F743" s="291"/>
      <c r="G743" s="130"/>
    </row>
    <row r="744" ht="15.75" customHeight="1">
      <c r="A744" s="291"/>
      <c r="B744" s="291"/>
      <c r="C744" s="291"/>
      <c r="D744" s="127"/>
      <c r="E744" s="127"/>
      <c r="F744" s="291"/>
      <c r="G744" s="130"/>
    </row>
    <row r="745" ht="15.75" customHeight="1">
      <c r="A745" s="291"/>
      <c r="B745" s="291"/>
      <c r="C745" s="291"/>
      <c r="D745" s="127"/>
      <c r="E745" s="127"/>
      <c r="F745" s="291"/>
      <c r="G745" s="130"/>
    </row>
    <row r="746" ht="15.75" customHeight="1">
      <c r="A746" s="291"/>
      <c r="B746" s="291"/>
      <c r="C746" s="291"/>
      <c r="D746" s="127"/>
      <c r="E746" s="127"/>
      <c r="F746" s="291"/>
      <c r="G746" s="130"/>
    </row>
    <row r="747" ht="15.75" customHeight="1">
      <c r="A747" s="291"/>
      <c r="B747" s="291"/>
      <c r="C747" s="291"/>
      <c r="D747" s="127"/>
      <c r="E747" s="127"/>
      <c r="F747" s="291"/>
      <c r="G747" s="130"/>
    </row>
    <row r="748" ht="15.75" customHeight="1">
      <c r="A748" s="291"/>
      <c r="B748" s="291"/>
      <c r="C748" s="291"/>
      <c r="D748" s="127"/>
      <c r="E748" s="127"/>
      <c r="F748" s="291"/>
      <c r="G748" s="130"/>
    </row>
    <row r="749" ht="15.75" customHeight="1">
      <c r="A749" s="291"/>
      <c r="B749" s="291"/>
      <c r="C749" s="291"/>
      <c r="D749" s="127"/>
      <c r="E749" s="127"/>
      <c r="F749" s="291"/>
      <c r="G749" s="130"/>
    </row>
    <row r="750" ht="15.75" customHeight="1">
      <c r="A750" s="291"/>
      <c r="B750" s="291"/>
      <c r="C750" s="291"/>
      <c r="D750" s="127"/>
      <c r="E750" s="127"/>
      <c r="F750" s="291"/>
      <c r="G750" s="130"/>
    </row>
    <row r="751" ht="15.75" customHeight="1">
      <c r="A751" s="291"/>
      <c r="B751" s="291"/>
      <c r="C751" s="291"/>
      <c r="D751" s="127"/>
      <c r="E751" s="127"/>
      <c r="F751" s="291"/>
      <c r="G751" s="130"/>
    </row>
    <row r="752" ht="15.75" customHeight="1">
      <c r="A752" s="291"/>
      <c r="B752" s="291"/>
      <c r="C752" s="291"/>
      <c r="D752" s="127"/>
      <c r="E752" s="127"/>
      <c r="F752" s="291"/>
      <c r="G752" s="130"/>
    </row>
    <row r="753" ht="15.75" customHeight="1">
      <c r="A753" s="291"/>
      <c r="B753" s="291"/>
      <c r="C753" s="291"/>
      <c r="D753" s="127"/>
      <c r="E753" s="127"/>
      <c r="F753" s="291"/>
      <c r="G753" s="130"/>
    </row>
    <row r="754" ht="15.75" customHeight="1">
      <c r="A754" s="291"/>
      <c r="B754" s="291"/>
      <c r="C754" s="291"/>
      <c r="D754" s="127"/>
      <c r="E754" s="127"/>
      <c r="F754" s="291"/>
      <c r="G754" s="130"/>
    </row>
    <row r="755" ht="15.75" customHeight="1">
      <c r="A755" s="291"/>
      <c r="B755" s="291"/>
      <c r="C755" s="291"/>
      <c r="D755" s="127"/>
      <c r="E755" s="127"/>
      <c r="F755" s="291"/>
      <c r="G755" s="130"/>
    </row>
    <row r="756" ht="15.75" customHeight="1">
      <c r="A756" s="291"/>
      <c r="B756" s="291"/>
      <c r="C756" s="291"/>
      <c r="D756" s="127"/>
      <c r="E756" s="127"/>
      <c r="F756" s="291"/>
      <c r="G756" s="130"/>
    </row>
    <row r="757" ht="15.75" customHeight="1">
      <c r="A757" s="291"/>
      <c r="B757" s="291"/>
      <c r="C757" s="291"/>
      <c r="D757" s="127"/>
      <c r="E757" s="127"/>
      <c r="F757" s="291"/>
      <c r="G757" s="130"/>
    </row>
    <row r="758" ht="15.75" customHeight="1">
      <c r="A758" s="291"/>
      <c r="B758" s="291"/>
      <c r="C758" s="291"/>
      <c r="D758" s="127"/>
      <c r="E758" s="127"/>
      <c r="F758" s="291"/>
      <c r="G758" s="130"/>
    </row>
    <row r="759" ht="15.75" customHeight="1">
      <c r="A759" s="291"/>
      <c r="B759" s="291"/>
      <c r="C759" s="291"/>
      <c r="D759" s="127"/>
      <c r="E759" s="127"/>
      <c r="F759" s="291"/>
      <c r="G759" s="130"/>
    </row>
    <row r="760" ht="15.75" customHeight="1">
      <c r="A760" s="291"/>
      <c r="B760" s="291"/>
      <c r="C760" s="291"/>
      <c r="D760" s="127"/>
      <c r="E760" s="127"/>
      <c r="F760" s="291"/>
      <c r="G760" s="130"/>
    </row>
    <row r="761" ht="15.75" customHeight="1">
      <c r="A761" s="291"/>
      <c r="B761" s="291"/>
      <c r="C761" s="291"/>
      <c r="D761" s="127"/>
      <c r="E761" s="127"/>
      <c r="F761" s="291"/>
      <c r="G761" s="130"/>
    </row>
    <row r="762" ht="15.75" customHeight="1">
      <c r="A762" s="291"/>
      <c r="B762" s="291"/>
      <c r="C762" s="291"/>
      <c r="D762" s="127"/>
      <c r="E762" s="127"/>
      <c r="F762" s="291"/>
      <c r="G762" s="130"/>
    </row>
    <row r="763" ht="15.75" customHeight="1">
      <c r="A763" s="291"/>
      <c r="B763" s="291"/>
      <c r="C763" s="291"/>
      <c r="D763" s="127"/>
      <c r="E763" s="127"/>
      <c r="F763" s="291"/>
      <c r="G763" s="130"/>
    </row>
    <row r="764" ht="15.75" customHeight="1">
      <c r="A764" s="291"/>
      <c r="B764" s="291"/>
      <c r="C764" s="291"/>
      <c r="D764" s="127"/>
      <c r="E764" s="127"/>
      <c r="F764" s="291"/>
      <c r="G764" s="130"/>
    </row>
    <row r="765" ht="15.75" customHeight="1">
      <c r="A765" s="291"/>
      <c r="B765" s="291"/>
      <c r="C765" s="291"/>
      <c r="D765" s="127"/>
      <c r="E765" s="127"/>
      <c r="F765" s="291"/>
      <c r="G765" s="130"/>
    </row>
    <row r="766" ht="15.75" customHeight="1">
      <c r="A766" s="291"/>
      <c r="B766" s="291"/>
      <c r="C766" s="291"/>
      <c r="D766" s="127"/>
      <c r="E766" s="127"/>
      <c r="F766" s="291"/>
      <c r="G766" s="130"/>
    </row>
    <row r="767" ht="15.75" customHeight="1">
      <c r="A767" s="291"/>
      <c r="B767" s="291"/>
      <c r="C767" s="291"/>
      <c r="D767" s="127"/>
      <c r="E767" s="127"/>
      <c r="F767" s="291"/>
      <c r="G767" s="130"/>
    </row>
    <row r="768" ht="15.75" customHeight="1">
      <c r="A768" s="291"/>
      <c r="B768" s="291"/>
      <c r="C768" s="291"/>
      <c r="D768" s="127"/>
      <c r="E768" s="127"/>
      <c r="F768" s="291"/>
      <c r="G768" s="130"/>
    </row>
    <row r="769" ht="15.75" customHeight="1">
      <c r="A769" s="291"/>
      <c r="B769" s="291"/>
      <c r="C769" s="291"/>
      <c r="D769" s="127"/>
      <c r="E769" s="127"/>
      <c r="F769" s="291"/>
      <c r="G769" s="130"/>
    </row>
    <row r="770" ht="15.75" customHeight="1">
      <c r="A770" s="291"/>
      <c r="B770" s="291"/>
      <c r="C770" s="291"/>
      <c r="D770" s="127"/>
      <c r="E770" s="127"/>
      <c r="F770" s="291"/>
      <c r="G770" s="130"/>
    </row>
    <row r="771" ht="15.75" customHeight="1">
      <c r="A771" s="291"/>
      <c r="B771" s="291"/>
      <c r="C771" s="291"/>
      <c r="D771" s="127"/>
      <c r="E771" s="127"/>
      <c r="F771" s="291"/>
      <c r="G771" s="130"/>
    </row>
    <row r="772" ht="15.75" customHeight="1">
      <c r="A772" s="291"/>
      <c r="B772" s="291"/>
      <c r="C772" s="291"/>
      <c r="D772" s="127"/>
      <c r="E772" s="127"/>
      <c r="F772" s="291"/>
      <c r="G772" s="130"/>
    </row>
    <row r="773" ht="15.75" customHeight="1">
      <c r="A773" s="291"/>
      <c r="B773" s="291"/>
      <c r="C773" s="291"/>
      <c r="D773" s="127"/>
      <c r="E773" s="127"/>
      <c r="F773" s="291"/>
      <c r="G773" s="130"/>
    </row>
    <row r="774" ht="15.75" customHeight="1">
      <c r="A774" s="291"/>
      <c r="B774" s="291"/>
      <c r="C774" s="291"/>
      <c r="D774" s="127"/>
      <c r="E774" s="127"/>
      <c r="F774" s="291"/>
      <c r="G774" s="130"/>
    </row>
    <row r="775" ht="15.75" customHeight="1">
      <c r="A775" s="291"/>
      <c r="B775" s="291"/>
      <c r="C775" s="291"/>
      <c r="D775" s="127"/>
      <c r="E775" s="127"/>
      <c r="F775" s="291"/>
      <c r="G775" s="130"/>
    </row>
    <row r="776" ht="15.75" customHeight="1">
      <c r="A776" s="291"/>
      <c r="B776" s="291"/>
      <c r="C776" s="291"/>
      <c r="D776" s="127"/>
      <c r="E776" s="127"/>
      <c r="F776" s="291"/>
      <c r="G776" s="130"/>
    </row>
    <row r="777" ht="15.75" customHeight="1">
      <c r="A777" s="291"/>
      <c r="B777" s="291"/>
      <c r="C777" s="291"/>
      <c r="D777" s="127"/>
      <c r="E777" s="127"/>
      <c r="F777" s="291"/>
      <c r="G777" s="130"/>
    </row>
    <row r="778" ht="15.75" customHeight="1">
      <c r="A778" s="291"/>
      <c r="B778" s="291"/>
      <c r="C778" s="291"/>
      <c r="D778" s="127"/>
      <c r="E778" s="127"/>
      <c r="F778" s="291"/>
      <c r="G778" s="130"/>
    </row>
    <row r="779" ht="15.75" customHeight="1">
      <c r="A779" s="291"/>
      <c r="B779" s="291"/>
      <c r="C779" s="291"/>
      <c r="D779" s="127"/>
      <c r="E779" s="127"/>
      <c r="F779" s="291"/>
      <c r="G779" s="130"/>
    </row>
    <row r="780" ht="15.75" customHeight="1">
      <c r="A780" s="291"/>
      <c r="B780" s="291"/>
      <c r="C780" s="291"/>
      <c r="D780" s="127"/>
      <c r="E780" s="127"/>
      <c r="F780" s="291"/>
      <c r="G780" s="130"/>
    </row>
    <row r="781" ht="15.75" customHeight="1">
      <c r="A781" s="291"/>
      <c r="B781" s="291"/>
      <c r="C781" s="291"/>
      <c r="D781" s="127"/>
      <c r="E781" s="127"/>
      <c r="F781" s="291"/>
      <c r="G781" s="130"/>
    </row>
    <row r="782" ht="15.75" customHeight="1">
      <c r="A782" s="291"/>
      <c r="B782" s="291"/>
      <c r="C782" s="291"/>
      <c r="D782" s="127"/>
      <c r="E782" s="127"/>
      <c r="F782" s="291"/>
      <c r="G782" s="130"/>
    </row>
    <row r="783" ht="15.75" customHeight="1">
      <c r="A783" s="291"/>
      <c r="B783" s="291"/>
      <c r="C783" s="291"/>
      <c r="D783" s="127"/>
      <c r="E783" s="127"/>
      <c r="F783" s="291"/>
      <c r="G783" s="130"/>
    </row>
    <row r="784" ht="15.75" customHeight="1">
      <c r="A784" s="291"/>
      <c r="B784" s="291"/>
      <c r="C784" s="291"/>
      <c r="D784" s="127"/>
      <c r="E784" s="127"/>
      <c r="F784" s="291"/>
      <c r="G784" s="130"/>
    </row>
    <row r="785" ht="15.75" customHeight="1">
      <c r="A785" s="291"/>
      <c r="B785" s="291"/>
      <c r="C785" s="291"/>
      <c r="D785" s="127"/>
      <c r="E785" s="127"/>
      <c r="F785" s="291"/>
      <c r="G785" s="130"/>
    </row>
    <row r="786" ht="15.75" customHeight="1">
      <c r="A786" s="291"/>
      <c r="B786" s="291"/>
      <c r="C786" s="291"/>
      <c r="D786" s="127"/>
      <c r="E786" s="127"/>
      <c r="F786" s="291"/>
      <c r="G786" s="130"/>
    </row>
    <row r="787" ht="15.75" customHeight="1">
      <c r="A787" s="291"/>
      <c r="B787" s="291"/>
      <c r="C787" s="291"/>
      <c r="D787" s="127"/>
      <c r="E787" s="127"/>
      <c r="F787" s="291"/>
      <c r="G787" s="130"/>
    </row>
    <row r="788" ht="15.75" customHeight="1">
      <c r="A788" s="291"/>
      <c r="B788" s="291"/>
      <c r="C788" s="291"/>
      <c r="D788" s="127"/>
      <c r="E788" s="127"/>
      <c r="F788" s="291"/>
      <c r="G788" s="130"/>
    </row>
    <row r="789" ht="15.75" customHeight="1">
      <c r="A789" s="291"/>
      <c r="B789" s="291"/>
      <c r="C789" s="291"/>
      <c r="D789" s="127"/>
      <c r="E789" s="127"/>
      <c r="F789" s="291"/>
      <c r="G789" s="130"/>
    </row>
    <row r="790" ht="15.75" customHeight="1">
      <c r="A790" s="291"/>
      <c r="B790" s="291"/>
      <c r="C790" s="291"/>
      <c r="D790" s="127"/>
      <c r="E790" s="127"/>
      <c r="F790" s="291"/>
      <c r="G790" s="130"/>
    </row>
    <row r="791" ht="15.75" customHeight="1">
      <c r="A791" s="291"/>
      <c r="B791" s="291"/>
      <c r="C791" s="291"/>
      <c r="D791" s="127"/>
      <c r="E791" s="127"/>
      <c r="F791" s="291"/>
      <c r="G791" s="130"/>
    </row>
    <row r="792" ht="15.75" customHeight="1">
      <c r="A792" s="291"/>
      <c r="B792" s="291"/>
      <c r="C792" s="291"/>
      <c r="D792" s="127"/>
      <c r="E792" s="127"/>
      <c r="F792" s="291"/>
      <c r="G792" s="130"/>
    </row>
    <row r="793" ht="15.75" customHeight="1">
      <c r="A793" s="291"/>
      <c r="B793" s="291"/>
      <c r="C793" s="291"/>
      <c r="D793" s="127"/>
      <c r="E793" s="127"/>
      <c r="F793" s="291"/>
      <c r="G793" s="130"/>
    </row>
    <row r="794" ht="15.75" customHeight="1">
      <c r="A794" s="291"/>
      <c r="B794" s="291"/>
      <c r="C794" s="291"/>
      <c r="D794" s="127"/>
      <c r="E794" s="127"/>
      <c r="F794" s="291"/>
      <c r="G794" s="130"/>
    </row>
    <row r="795" ht="15.75" customHeight="1">
      <c r="A795" s="291"/>
      <c r="B795" s="291"/>
      <c r="C795" s="291"/>
      <c r="D795" s="127"/>
      <c r="E795" s="127"/>
      <c r="F795" s="291"/>
      <c r="G795" s="130"/>
    </row>
    <row r="796" ht="15.75" customHeight="1">
      <c r="A796" s="291"/>
      <c r="B796" s="291"/>
      <c r="C796" s="291"/>
      <c r="D796" s="127"/>
      <c r="E796" s="127"/>
      <c r="F796" s="291"/>
      <c r="G796" s="130"/>
    </row>
    <row r="797" ht="15.75" customHeight="1">
      <c r="A797" s="291"/>
      <c r="B797" s="291"/>
      <c r="C797" s="291"/>
      <c r="D797" s="127"/>
      <c r="E797" s="127"/>
      <c r="F797" s="291"/>
      <c r="G797" s="130"/>
    </row>
    <row r="798" ht="15.75" customHeight="1">
      <c r="A798" s="291"/>
      <c r="B798" s="291"/>
      <c r="C798" s="291"/>
      <c r="D798" s="127"/>
      <c r="E798" s="127"/>
      <c r="F798" s="291"/>
      <c r="G798" s="130"/>
    </row>
    <row r="799" ht="15.75" customHeight="1">
      <c r="A799" s="291"/>
      <c r="B799" s="291"/>
      <c r="C799" s="291"/>
      <c r="D799" s="127"/>
      <c r="E799" s="127"/>
      <c r="F799" s="291"/>
      <c r="G799" s="130"/>
    </row>
    <row r="800" ht="15.75" customHeight="1">
      <c r="A800" s="291"/>
      <c r="B800" s="291"/>
      <c r="C800" s="291"/>
      <c r="D800" s="127"/>
      <c r="E800" s="127"/>
      <c r="F800" s="291"/>
      <c r="G800" s="130"/>
    </row>
    <row r="801" ht="15.75" customHeight="1">
      <c r="A801" s="291"/>
      <c r="B801" s="291"/>
      <c r="C801" s="291"/>
      <c r="D801" s="127"/>
      <c r="E801" s="127"/>
      <c r="F801" s="291"/>
      <c r="G801" s="130"/>
    </row>
    <row r="802" ht="15.75" customHeight="1">
      <c r="A802" s="291"/>
      <c r="B802" s="291"/>
      <c r="C802" s="291"/>
      <c r="D802" s="127"/>
      <c r="E802" s="127"/>
      <c r="F802" s="291"/>
      <c r="G802" s="130"/>
    </row>
    <row r="803" ht="15.75" customHeight="1">
      <c r="A803" s="291"/>
      <c r="B803" s="291"/>
      <c r="C803" s="291"/>
      <c r="D803" s="127"/>
      <c r="E803" s="127"/>
      <c r="F803" s="291"/>
      <c r="G803" s="130"/>
    </row>
    <row r="804" ht="15.75" customHeight="1">
      <c r="A804" s="291"/>
      <c r="B804" s="291"/>
      <c r="C804" s="291"/>
      <c r="D804" s="127"/>
      <c r="E804" s="127"/>
      <c r="F804" s="291"/>
      <c r="G804" s="130"/>
    </row>
    <row r="805" ht="15.75" customHeight="1">
      <c r="A805" s="291"/>
      <c r="B805" s="291"/>
      <c r="C805" s="291"/>
      <c r="D805" s="127"/>
      <c r="E805" s="127"/>
      <c r="F805" s="291"/>
      <c r="G805" s="130"/>
    </row>
    <row r="806" ht="15.75" customHeight="1">
      <c r="A806" s="291"/>
      <c r="B806" s="291"/>
      <c r="C806" s="291"/>
      <c r="D806" s="127"/>
      <c r="E806" s="127"/>
      <c r="F806" s="291"/>
      <c r="G806" s="130"/>
    </row>
    <row r="807" ht="15.75" customHeight="1">
      <c r="A807" s="291"/>
      <c r="B807" s="291"/>
      <c r="C807" s="291"/>
      <c r="D807" s="127"/>
      <c r="E807" s="127"/>
      <c r="F807" s="291"/>
      <c r="G807" s="130"/>
    </row>
    <row r="808" ht="15.75" customHeight="1">
      <c r="A808" s="291"/>
      <c r="B808" s="291"/>
      <c r="C808" s="291"/>
      <c r="D808" s="127"/>
      <c r="E808" s="127"/>
      <c r="F808" s="291"/>
      <c r="G808" s="130"/>
    </row>
    <row r="809" ht="15.75" customHeight="1">
      <c r="A809" s="291"/>
      <c r="B809" s="291"/>
      <c r="C809" s="291"/>
      <c r="D809" s="127"/>
      <c r="E809" s="127"/>
      <c r="F809" s="291"/>
      <c r="G809" s="130"/>
    </row>
    <row r="810" ht="15.75" customHeight="1">
      <c r="A810" s="291"/>
      <c r="B810" s="291"/>
      <c r="C810" s="291"/>
      <c r="D810" s="127"/>
      <c r="E810" s="127"/>
      <c r="F810" s="291"/>
      <c r="G810" s="130"/>
    </row>
    <row r="811" ht="15.75" customHeight="1">
      <c r="A811" s="291"/>
      <c r="B811" s="291"/>
      <c r="C811" s="291"/>
      <c r="D811" s="127"/>
      <c r="E811" s="127"/>
      <c r="F811" s="291"/>
      <c r="G811" s="130"/>
    </row>
    <row r="812" ht="15.75" customHeight="1">
      <c r="A812" s="291"/>
      <c r="B812" s="291"/>
      <c r="C812" s="291"/>
      <c r="D812" s="127"/>
      <c r="E812" s="127"/>
      <c r="F812" s="291"/>
      <c r="G812" s="130"/>
    </row>
    <row r="813" ht="15.75" customHeight="1">
      <c r="A813" s="291"/>
      <c r="B813" s="291"/>
      <c r="C813" s="291"/>
      <c r="D813" s="127"/>
      <c r="E813" s="127"/>
      <c r="F813" s="291"/>
      <c r="G813" s="130"/>
    </row>
    <row r="814" ht="15.75" customHeight="1">
      <c r="A814" s="291"/>
      <c r="B814" s="291"/>
      <c r="C814" s="291"/>
      <c r="D814" s="127"/>
      <c r="E814" s="127"/>
      <c r="F814" s="291"/>
      <c r="G814" s="130"/>
    </row>
    <row r="815" ht="15.75" customHeight="1">
      <c r="A815" s="291"/>
      <c r="B815" s="291"/>
      <c r="C815" s="291"/>
      <c r="D815" s="127"/>
      <c r="E815" s="127"/>
      <c r="F815" s="291"/>
      <c r="G815" s="130"/>
    </row>
    <row r="816" ht="15.75" customHeight="1">
      <c r="A816" s="291"/>
      <c r="B816" s="291"/>
      <c r="C816" s="291"/>
      <c r="D816" s="127"/>
      <c r="E816" s="127"/>
      <c r="F816" s="291"/>
      <c r="G816" s="130"/>
    </row>
    <row r="817" ht="15.75" customHeight="1">
      <c r="A817" s="291"/>
      <c r="B817" s="291"/>
      <c r="C817" s="291"/>
      <c r="D817" s="127"/>
      <c r="E817" s="127"/>
      <c r="F817" s="291"/>
      <c r="G817" s="130"/>
    </row>
    <row r="818" ht="15.75" customHeight="1">
      <c r="A818" s="291"/>
      <c r="B818" s="291"/>
      <c r="C818" s="291"/>
      <c r="D818" s="127"/>
      <c r="E818" s="127"/>
      <c r="F818" s="291"/>
      <c r="G818" s="130"/>
    </row>
    <row r="819" ht="15.75" customHeight="1">
      <c r="A819" s="291"/>
      <c r="B819" s="291"/>
      <c r="C819" s="291"/>
      <c r="D819" s="127"/>
      <c r="E819" s="127"/>
      <c r="F819" s="291"/>
      <c r="G819" s="130"/>
    </row>
    <row r="820" ht="15.75" customHeight="1">
      <c r="A820" s="291"/>
      <c r="B820" s="291"/>
      <c r="C820" s="291"/>
      <c r="D820" s="127"/>
      <c r="E820" s="127"/>
      <c r="F820" s="291"/>
      <c r="G820" s="130"/>
    </row>
    <row r="821" ht="15.75" customHeight="1">
      <c r="A821" s="291"/>
      <c r="B821" s="291"/>
      <c r="C821" s="291"/>
      <c r="D821" s="127"/>
      <c r="E821" s="127"/>
      <c r="F821" s="291"/>
      <c r="G821" s="130"/>
    </row>
    <row r="822" ht="15.75" customHeight="1">
      <c r="A822" s="291"/>
      <c r="B822" s="291"/>
      <c r="C822" s="291"/>
      <c r="D822" s="127"/>
      <c r="E822" s="127"/>
      <c r="F822" s="291"/>
      <c r="G822" s="130"/>
    </row>
    <row r="823" ht="15.75" customHeight="1">
      <c r="A823" s="291"/>
      <c r="B823" s="291"/>
      <c r="C823" s="291"/>
      <c r="D823" s="127"/>
      <c r="E823" s="127"/>
      <c r="F823" s="291"/>
      <c r="G823" s="130"/>
    </row>
    <row r="824" ht="15.75" customHeight="1">
      <c r="A824" s="291"/>
      <c r="B824" s="291"/>
      <c r="C824" s="291"/>
      <c r="D824" s="127"/>
      <c r="E824" s="127"/>
      <c r="F824" s="291"/>
      <c r="G824" s="130"/>
    </row>
    <row r="825" ht="15.75" customHeight="1">
      <c r="A825" s="291"/>
      <c r="B825" s="291"/>
      <c r="C825" s="291"/>
      <c r="D825" s="127"/>
      <c r="E825" s="127"/>
      <c r="F825" s="291"/>
      <c r="G825" s="130"/>
    </row>
    <row r="826" ht="15.75" customHeight="1">
      <c r="A826" s="291"/>
      <c r="B826" s="291"/>
      <c r="C826" s="291"/>
      <c r="D826" s="127"/>
      <c r="E826" s="127"/>
      <c r="F826" s="291"/>
      <c r="G826" s="130"/>
    </row>
    <row r="827" ht="15.75" customHeight="1">
      <c r="A827" s="291"/>
      <c r="B827" s="291"/>
      <c r="C827" s="291"/>
      <c r="D827" s="127"/>
      <c r="E827" s="127"/>
      <c r="F827" s="291"/>
      <c r="G827" s="130"/>
    </row>
    <row r="828" ht="15.75" customHeight="1">
      <c r="A828" s="291"/>
      <c r="B828" s="291"/>
      <c r="C828" s="291"/>
      <c r="D828" s="127"/>
      <c r="E828" s="127"/>
      <c r="F828" s="291"/>
      <c r="G828" s="130"/>
    </row>
    <row r="829" ht="15.75" customHeight="1">
      <c r="A829" s="291"/>
      <c r="B829" s="291"/>
      <c r="C829" s="291"/>
      <c r="D829" s="127"/>
      <c r="E829" s="127"/>
      <c r="F829" s="291"/>
      <c r="G829" s="130"/>
    </row>
    <row r="830" ht="15.75" customHeight="1">
      <c r="A830" s="291"/>
      <c r="B830" s="291"/>
      <c r="C830" s="291"/>
      <c r="D830" s="127"/>
      <c r="E830" s="127"/>
      <c r="F830" s="291"/>
      <c r="G830" s="130"/>
    </row>
    <row r="831" ht="15.75" customHeight="1">
      <c r="A831" s="291"/>
      <c r="B831" s="291"/>
      <c r="C831" s="291"/>
      <c r="D831" s="127"/>
      <c r="E831" s="127"/>
      <c r="F831" s="291"/>
      <c r="G831" s="130"/>
    </row>
    <row r="832" ht="15.75" customHeight="1">
      <c r="A832" s="291"/>
      <c r="B832" s="291"/>
      <c r="C832" s="291"/>
      <c r="D832" s="127"/>
      <c r="E832" s="127"/>
      <c r="F832" s="291"/>
      <c r="G832" s="130"/>
    </row>
    <row r="833" ht="15.75" customHeight="1">
      <c r="A833" s="291"/>
      <c r="B833" s="291"/>
      <c r="C833" s="291"/>
      <c r="D833" s="127"/>
      <c r="E833" s="127"/>
      <c r="F833" s="291"/>
      <c r="G833" s="130"/>
    </row>
    <row r="834" ht="15.75" customHeight="1">
      <c r="A834" s="291"/>
      <c r="B834" s="291"/>
      <c r="C834" s="291"/>
      <c r="D834" s="127"/>
      <c r="E834" s="127"/>
      <c r="F834" s="291"/>
      <c r="G834" s="130"/>
    </row>
    <row r="835" ht="15.75" customHeight="1">
      <c r="A835" s="291"/>
      <c r="B835" s="291"/>
      <c r="C835" s="291"/>
      <c r="D835" s="127"/>
      <c r="E835" s="127"/>
      <c r="F835" s="291"/>
      <c r="G835" s="130"/>
    </row>
    <row r="836" ht="15.75" customHeight="1">
      <c r="A836" s="291"/>
      <c r="B836" s="291"/>
      <c r="C836" s="291"/>
      <c r="D836" s="127"/>
      <c r="E836" s="127"/>
      <c r="F836" s="291"/>
      <c r="G836" s="130"/>
    </row>
    <row r="837" ht="15.75" customHeight="1">
      <c r="A837" s="291"/>
      <c r="B837" s="291"/>
      <c r="C837" s="291"/>
      <c r="D837" s="127"/>
      <c r="E837" s="127"/>
      <c r="F837" s="291"/>
      <c r="G837" s="130"/>
    </row>
    <row r="838" ht="15.75" customHeight="1">
      <c r="A838" s="291"/>
      <c r="B838" s="291"/>
      <c r="C838" s="291"/>
      <c r="D838" s="127"/>
      <c r="E838" s="127"/>
      <c r="F838" s="291"/>
      <c r="G838" s="130"/>
    </row>
    <row r="839" ht="15.75" customHeight="1">
      <c r="A839" s="291"/>
      <c r="B839" s="291"/>
      <c r="C839" s="291"/>
      <c r="D839" s="127"/>
      <c r="E839" s="127"/>
      <c r="F839" s="291"/>
      <c r="G839" s="130"/>
    </row>
    <row r="840" ht="15.75" customHeight="1">
      <c r="A840" s="291"/>
      <c r="B840" s="291"/>
      <c r="C840" s="291"/>
      <c r="D840" s="127"/>
      <c r="E840" s="127"/>
      <c r="F840" s="291"/>
      <c r="G840" s="130"/>
    </row>
    <row r="841" ht="15.75" customHeight="1">
      <c r="A841" s="291"/>
      <c r="B841" s="291"/>
      <c r="C841" s="291"/>
      <c r="D841" s="127"/>
      <c r="E841" s="127"/>
      <c r="F841" s="291"/>
      <c r="G841" s="130"/>
    </row>
    <row r="842" ht="15.75" customHeight="1">
      <c r="A842" s="291"/>
      <c r="B842" s="291"/>
      <c r="C842" s="291"/>
      <c r="D842" s="127"/>
      <c r="E842" s="127"/>
      <c r="F842" s="291"/>
      <c r="G842" s="130"/>
    </row>
    <row r="843" ht="15.75" customHeight="1">
      <c r="A843" s="291"/>
      <c r="B843" s="291"/>
      <c r="C843" s="291"/>
      <c r="D843" s="127"/>
      <c r="E843" s="127"/>
      <c r="F843" s="291"/>
      <c r="G843" s="130"/>
    </row>
    <row r="844" ht="15.75" customHeight="1">
      <c r="A844" s="291"/>
      <c r="B844" s="291"/>
      <c r="C844" s="291"/>
      <c r="D844" s="127"/>
      <c r="E844" s="127"/>
      <c r="F844" s="291"/>
      <c r="G844" s="130"/>
    </row>
    <row r="845" ht="15.75" customHeight="1">
      <c r="A845" s="291"/>
      <c r="B845" s="291"/>
      <c r="C845" s="291"/>
      <c r="D845" s="127"/>
      <c r="E845" s="127"/>
      <c r="F845" s="291"/>
      <c r="G845" s="130"/>
    </row>
    <row r="846" ht="15.75" customHeight="1">
      <c r="A846" s="291"/>
      <c r="B846" s="291"/>
      <c r="C846" s="291"/>
      <c r="D846" s="127"/>
      <c r="E846" s="127"/>
      <c r="F846" s="291"/>
      <c r="G846" s="130"/>
    </row>
    <row r="847" ht="15.75" customHeight="1">
      <c r="A847" s="291"/>
      <c r="B847" s="291"/>
      <c r="C847" s="291"/>
      <c r="D847" s="127"/>
      <c r="E847" s="127"/>
      <c r="F847" s="291"/>
      <c r="G847" s="130"/>
    </row>
    <row r="848" ht="15.75" customHeight="1">
      <c r="A848" s="291"/>
      <c r="B848" s="291"/>
      <c r="C848" s="291"/>
      <c r="D848" s="127"/>
      <c r="E848" s="127"/>
      <c r="F848" s="291"/>
      <c r="G848" s="130"/>
    </row>
    <row r="849" ht="15.75" customHeight="1">
      <c r="A849" s="291"/>
      <c r="B849" s="291"/>
      <c r="C849" s="291"/>
      <c r="D849" s="127"/>
      <c r="E849" s="127"/>
      <c r="F849" s="291"/>
      <c r="G849" s="130"/>
    </row>
    <row r="850" ht="15.75" customHeight="1">
      <c r="A850" s="291"/>
      <c r="B850" s="291"/>
      <c r="C850" s="291"/>
      <c r="D850" s="127"/>
      <c r="E850" s="127"/>
      <c r="F850" s="291"/>
      <c r="G850" s="130"/>
    </row>
    <row r="851" ht="15.75" customHeight="1">
      <c r="A851" s="291"/>
      <c r="B851" s="291"/>
      <c r="C851" s="291"/>
      <c r="D851" s="127"/>
      <c r="E851" s="127"/>
      <c r="F851" s="291"/>
      <c r="G851" s="130"/>
    </row>
    <row r="852" ht="15.75" customHeight="1">
      <c r="A852" s="291"/>
      <c r="B852" s="291"/>
      <c r="C852" s="291"/>
      <c r="D852" s="127"/>
      <c r="E852" s="127"/>
      <c r="F852" s="291"/>
      <c r="G852" s="130"/>
    </row>
    <row r="853" ht="15.75" customHeight="1">
      <c r="A853" s="291"/>
      <c r="B853" s="291"/>
      <c r="C853" s="291"/>
      <c r="D853" s="127"/>
      <c r="E853" s="127"/>
      <c r="F853" s="291"/>
      <c r="G853" s="130"/>
    </row>
    <row r="854" ht="15.75" customHeight="1">
      <c r="A854" s="291"/>
      <c r="B854" s="291"/>
      <c r="C854" s="291"/>
      <c r="D854" s="127"/>
      <c r="E854" s="127"/>
      <c r="F854" s="291"/>
      <c r="G854" s="130"/>
    </row>
    <row r="855" ht="15.75" customHeight="1">
      <c r="A855" s="291"/>
      <c r="B855" s="291"/>
      <c r="C855" s="291"/>
      <c r="D855" s="127"/>
      <c r="E855" s="127"/>
      <c r="F855" s="291"/>
      <c r="G855" s="130"/>
    </row>
    <row r="856" ht="15.75" customHeight="1">
      <c r="A856" s="291"/>
      <c r="B856" s="291"/>
      <c r="C856" s="291"/>
      <c r="D856" s="127"/>
      <c r="E856" s="127"/>
      <c r="F856" s="291"/>
      <c r="G856" s="130"/>
    </row>
    <row r="857" ht="15.75" customHeight="1">
      <c r="A857" s="291"/>
      <c r="B857" s="291"/>
      <c r="C857" s="291"/>
      <c r="D857" s="127"/>
      <c r="E857" s="127"/>
      <c r="F857" s="291"/>
      <c r="G857" s="130"/>
    </row>
    <row r="858" ht="15.75" customHeight="1">
      <c r="A858" s="291"/>
      <c r="B858" s="291"/>
      <c r="C858" s="291"/>
      <c r="D858" s="127"/>
      <c r="E858" s="127"/>
      <c r="F858" s="291"/>
      <c r="G858" s="130"/>
    </row>
    <row r="859" ht="15.75" customHeight="1">
      <c r="A859" s="291"/>
      <c r="B859" s="291"/>
      <c r="C859" s="291"/>
      <c r="D859" s="127"/>
      <c r="E859" s="127"/>
      <c r="F859" s="291"/>
      <c r="G859" s="130"/>
    </row>
    <row r="860" ht="15.75" customHeight="1">
      <c r="A860" s="291"/>
      <c r="B860" s="291"/>
      <c r="C860" s="291"/>
      <c r="D860" s="127"/>
      <c r="E860" s="127"/>
      <c r="F860" s="291"/>
      <c r="G860" s="130"/>
    </row>
    <row r="861" ht="15.75" customHeight="1">
      <c r="A861" s="291"/>
      <c r="B861" s="291"/>
      <c r="C861" s="291"/>
      <c r="D861" s="127"/>
      <c r="E861" s="127"/>
      <c r="F861" s="291"/>
      <c r="G861" s="130"/>
    </row>
    <row r="862" ht="15.75" customHeight="1">
      <c r="A862" s="291"/>
      <c r="B862" s="291"/>
      <c r="C862" s="291"/>
      <c r="D862" s="127"/>
      <c r="E862" s="127"/>
      <c r="F862" s="291"/>
      <c r="G862" s="130"/>
    </row>
    <row r="863" ht="15.75" customHeight="1">
      <c r="A863" s="291"/>
      <c r="B863" s="291"/>
      <c r="C863" s="291"/>
      <c r="D863" s="127"/>
      <c r="E863" s="127"/>
      <c r="F863" s="291"/>
      <c r="G863" s="130"/>
    </row>
    <row r="864" ht="15.75" customHeight="1">
      <c r="A864" s="291"/>
      <c r="B864" s="291"/>
      <c r="C864" s="291"/>
      <c r="D864" s="127"/>
      <c r="E864" s="127"/>
      <c r="F864" s="291"/>
      <c r="G864" s="130"/>
    </row>
    <row r="865" ht="15.75" customHeight="1">
      <c r="A865" s="291"/>
      <c r="B865" s="291"/>
      <c r="C865" s="291"/>
      <c r="D865" s="127"/>
      <c r="E865" s="127"/>
      <c r="F865" s="291"/>
      <c r="G865" s="130"/>
    </row>
    <row r="866" ht="15.75" customHeight="1">
      <c r="A866" s="291"/>
      <c r="B866" s="291"/>
      <c r="C866" s="291"/>
      <c r="D866" s="127"/>
      <c r="E866" s="127"/>
      <c r="F866" s="291"/>
      <c r="G866" s="130"/>
    </row>
    <row r="867" ht="15.75" customHeight="1">
      <c r="A867" s="291"/>
      <c r="B867" s="291"/>
      <c r="C867" s="291"/>
      <c r="D867" s="127"/>
      <c r="E867" s="127"/>
      <c r="F867" s="291"/>
      <c r="G867" s="130"/>
    </row>
    <row r="868" ht="15.75" customHeight="1">
      <c r="A868" s="291"/>
      <c r="B868" s="291"/>
      <c r="C868" s="291"/>
      <c r="D868" s="127"/>
      <c r="E868" s="127"/>
      <c r="F868" s="291"/>
      <c r="G868" s="130"/>
    </row>
    <row r="869" ht="15.75" customHeight="1">
      <c r="A869" s="291"/>
      <c r="B869" s="291"/>
      <c r="C869" s="291"/>
      <c r="D869" s="127"/>
      <c r="E869" s="127"/>
      <c r="F869" s="291"/>
      <c r="G869" s="130"/>
    </row>
    <row r="870" ht="15.75" customHeight="1">
      <c r="A870" s="291"/>
      <c r="B870" s="291"/>
      <c r="C870" s="291"/>
      <c r="D870" s="127"/>
      <c r="E870" s="127"/>
      <c r="F870" s="291"/>
      <c r="G870" s="130"/>
    </row>
    <row r="871" ht="15.75" customHeight="1">
      <c r="A871" s="291"/>
      <c r="B871" s="291"/>
      <c r="C871" s="291"/>
      <c r="D871" s="127"/>
      <c r="E871" s="127"/>
      <c r="F871" s="291"/>
      <c r="G871" s="130"/>
    </row>
    <row r="872" ht="15.75" customHeight="1">
      <c r="A872" s="291"/>
      <c r="B872" s="291"/>
      <c r="C872" s="291"/>
      <c r="D872" s="127"/>
      <c r="E872" s="127"/>
      <c r="F872" s="291"/>
      <c r="G872" s="130"/>
    </row>
    <row r="873" ht="15.75" customHeight="1">
      <c r="A873" s="291"/>
      <c r="B873" s="291"/>
      <c r="C873" s="291"/>
      <c r="D873" s="127"/>
      <c r="E873" s="127"/>
      <c r="F873" s="291"/>
      <c r="G873" s="130"/>
    </row>
    <row r="874" ht="15.75" customHeight="1">
      <c r="A874" s="291"/>
      <c r="B874" s="291"/>
      <c r="C874" s="291"/>
      <c r="D874" s="127"/>
      <c r="E874" s="127"/>
      <c r="F874" s="291"/>
      <c r="G874" s="130"/>
    </row>
    <row r="875" ht="15.75" customHeight="1">
      <c r="A875" s="291"/>
      <c r="B875" s="291"/>
      <c r="C875" s="291"/>
      <c r="D875" s="127"/>
      <c r="E875" s="127"/>
      <c r="F875" s="291"/>
      <c r="G875" s="130"/>
    </row>
    <row r="876" ht="15.75" customHeight="1">
      <c r="A876" s="291"/>
      <c r="B876" s="291"/>
      <c r="C876" s="291"/>
      <c r="D876" s="127"/>
      <c r="E876" s="127"/>
      <c r="F876" s="291"/>
      <c r="G876" s="130"/>
    </row>
    <row r="877" ht="15.75" customHeight="1">
      <c r="A877" s="291"/>
      <c r="B877" s="291"/>
      <c r="C877" s="291"/>
      <c r="D877" s="127"/>
      <c r="E877" s="127"/>
      <c r="F877" s="291"/>
      <c r="G877" s="130"/>
    </row>
    <row r="878" ht="15.75" customHeight="1">
      <c r="A878" s="291"/>
      <c r="B878" s="291"/>
      <c r="C878" s="291"/>
      <c r="D878" s="127"/>
      <c r="E878" s="127"/>
      <c r="F878" s="291"/>
      <c r="G878" s="130"/>
    </row>
    <row r="879" ht="15.75" customHeight="1">
      <c r="A879" s="291"/>
      <c r="B879" s="291"/>
      <c r="C879" s="291"/>
      <c r="D879" s="127"/>
      <c r="E879" s="127"/>
      <c r="F879" s="291"/>
      <c r="G879" s="130"/>
    </row>
    <row r="880" ht="15.75" customHeight="1">
      <c r="A880" s="291"/>
      <c r="B880" s="291"/>
      <c r="C880" s="291"/>
      <c r="D880" s="127"/>
      <c r="E880" s="127"/>
      <c r="F880" s="291"/>
      <c r="G880" s="130"/>
    </row>
    <row r="881" ht="15.75" customHeight="1">
      <c r="A881" s="291"/>
      <c r="B881" s="291"/>
      <c r="C881" s="291"/>
      <c r="D881" s="127"/>
      <c r="E881" s="127"/>
      <c r="F881" s="291"/>
      <c r="G881" s="130"/>
    </row>
    <row r="882" ht="15.75" customHeight="1">
      <c r="A882" s="291"/>
      <c r="B882" s="291"/>
      <c r="C882" s="291"/>
      <c r="D882" s="127"/>
      <c r="E882" s="127"/>
      <c r="F882" s="291"/>
      <c r="G882" s="130"/>
    </row>
    <row r="883" ht="15.75" customHeight="1">
      <c r="A883" s="291"/>
      <c r="B883" s="291"/>
      <c r="C883" s="291"/>
      <c r="D883" s="127"/>
      <c r="E883" s="127"/>
      <c r="F883" s="291"/>
      <c r="G883" s="130"/>
    </row>
    <row r="884" ht="15.75" customHeight="1">
      <c r="A884" s="291"/>
      <c r="B884" s="291"/>
      <c r="C884" s="291"/>
      <c r="D884" s="127"/>
      <c r="E884" s="127"/>
      <c r="F884" s="291"/>
      <c r="G884" s="130"/>
    </row>
    <row r="885" ht="15.75" customHeight="1">
      <c r="A885" s="291"/>
      <c r="B885" s="291"/>
      <c r="C885" s="291"/>
      <c r="D885" s="127"/>
      <c r="E885" s="127"/>
      <c r="F885" s="291"/>
      <c r="G885" s="130"/>
    </row>
    <row r="886" ht="15.75" customHeight="1">
      <c r="A886" s="291"/>
      <c r="B886" s="291"/>
      <c r="C886" s="291"/>
      <c r="D886" s="127"/>
      <c r="E886" s="127"/>
      <c r="F886" s="291"/>
      <c r="G886" s="130"/>
    </row>
    <row r="887" ht="15.75" customHeight="1">
      <c r="A887" s="291"/>
      <c r="B887" s="291"/>
      <c r="C887" s="291"/>
      <c r="D887" s="127"/>
      <c r="E887" s="127"/>
      <c r="F887" s="291"/>
      <c r="G887" s="130"/>
    </row>
    <row r="888" ht="15.75" customHeight="1">
      <c r="A888" s="291"/>
      <c r="B888" s="291"/>
      <c r="C888" s="291"/>
      <c r="D888" s="127"/>
      <c r="E888" s="127"/>
      <c r="F888" s="291"/>
      <c r="G888" s="130"/>
    </row>
    <row r="889" ht="15.75" customHeight="1">
      <c r="A889" s="291"/>
      <c r="B889" s="291"/>
      <c r="C889" s="291"/>
      <c r="D889" s="127"/>
      <c r="E889" s="127"/>
      <c r="F889" s="291"/>
      <c r="G889" s="130"/>
    </row>
    <row r="890" ht="15.75" customHeight="1">
      <c r="A890" s="291"/>
      <c r="B890" s="291"/>
      <c r="C890" s="291"/>
      <c r="D890" s="127"/>
      <c r="E890" s="127"/>
      <c r="F890" s="291"/>
      <c r="G890" s="130"/>
    </row>
    <row r="891" ht="15.75" customHeight="1">
      <c r="A891" s="291"/>
      <c r="B891" s="291"/>
      <c r="C891" s="291"/>
      <c r="D891" s="127"/>
      <c r="E891" s="127"/>
      <c r="F891" s="291"/>
      <c r="G891" s="130"/>
    </row>
    <row r="892" ht="15.75" customHeight="1">
      <c r="A892" s="291"/>
      <c r="B892" s="291"/>
      <c r="C892" s="291"/>
      <c r="D892" s="127"/>
      <c r="E892" s="127"/>
      <c r="F892" s="291"/>
      <c r="G892" s="130"/>
    </row>
    <row r="893" ht="15.75" customHeight="1">
      <c r="A893" s="291"/>
      <c r="B893" s="291"/>
      <c r="C893" s="291"/>
      <c r="D893" s="127"/>
      <c r="E893" s="127"/>
      <c r="F893" s="291"/>
      <c r="G893" s="130"/>
    </row>
    <row r="894" ht="15.75" customHeight="1">
      <c r="A894" s="291"/>
      <c r="B894" s="291"/>
      <c r="C894" s="291"/>
      <c r="D894" s="127"/>
      <c r="E894" s="127"/>
      <c r="F894" s="291"/>
      <c r="G894" s="130"/>
    </row>
    <row r="895" ht="15.75" customHeight="1">
      <c r="A895" s="291"/>
      <c r="B895" s="291"/>
      <c r="C895" s="291"/>
      <c r="D895" s="127"/>
      <c r="E895" s="127"/>
      <c r="F895" s="291"/>
      <c r="G895" s="130"/>
    </row>
    <row r="896" ht="15.75" customHeight="1">
      <c r="A896" s="291"/>
      <c r="B896" s="291"/>
      <c r="C896" s="291"/>
      <c r="D896" s="127"/>
      <c r="E896" s="127"/>
      <c r="F896" s="291"/>
      <c r="G896" s="130"/>
    </row>
    <row r="897" ht="15.75" customHeight="1">
      <c r="A897" s="291"/>
      <c r="B897" s="291"/>
      <c r="C897" s="291"/>
      <c r="D897" s="127"/>
      <c r="E897" s="127"/>
      <c r="F897" s="291"/>
      <c r="G897" s="130"/>
    </row>
    <row r="898" ht="15.75" customHeight="1">
      <c r="A898" s="291"/>
      <c r="B898" s="291"/>
      <c r="C898" s="291"/>
      <c r="D898" s="127"/>
      <c r="E898" s="127"/>
      <c r="F898" s="291"/>
      <c r="G898" s="130"/>
    </row>
    <row r="899" ht="15.75" customHeight="1">
      <c r="A899" s="291"/>
      <c r="B899" s="291"/>
      <c r="C899" s="291"/>
      <c r="D899" s="127"/>
      <c r="E899" s="127"/>
      <c r="F899" s="291"/>
      <c r="G899" s="130"/>
    </row>
    <row r="900" ht="15.75" customHeight="1">
      <c r="A900" s="291"/>
      <c r="B900" s="291"/>
      <c r="C900" s="291"/>
      <c r="D900" s="127"/>
      <c r="E900" s="127"/>
      <c r="F900" s="291"/>
      <c r="G900" s="130"/>
    </row>
    <row r="901" ht="15.75" customHeight="1">
      <c r="A901" s="291"/>
      <c r="B901" s="291"/>
      <c r="C901" s="291"/>
      <c r="D901" s="127"/>
      <c r="E901" s="127"/>
      <c r="F901" s="291"/>
      <c r="G901" s="130"/>
    </row>
    <row r="902" ht="15.75" customHeight="1">
      <c r="A902" s="291"/>
      <c r="B902" s="291"/>
      <c r="C902" s="291"/>
      <c r="D902" s="127"/>
      <c r="E902" s="127"/>
      <c r="F902" s="291"/>
      <c r="G902" s="130"/>
    </row>
    <row r="903" ht="15.75" customHeight="1">
      <c r="A903" s="291"/>
      <c r="B903" s="291"/>
      <c r="C903" s="291"/>
      <c r="D903" s="127"/>
      <c r="E903" s="127"/>
      <c r="F903" s="291"/>
      <c r="G903" s="130"/>
    </row>
    <row r="904" ht="15.75" customHeight="1">
      <c r="A904" s="291"/>
      <c r="B904" s="291"/>
      <c r="C904" s="291"/>
      <c r="D904" s="127"/>
      <c r="E904" s="127"/>
      <c r="F904" s="291"/>
      <c r="G904" s="130"/>
    </row>
    <row r="905" ht="15.75" customHeight="1">
      <c r="A905" s="291"/>
      <c r="B905" s="291"/>
      <c r="C905" s="291"/>
      <c r="D905" s="127"/>
      <c r="E905" s="127"/>
      <c r="F905" s="291"/>
      <c r="G905" s="130"/>
    </row>
    <row r="906" ht="15.75" customHeight="1">
      <c r="A906" s="291"/>
      <c r="B906" s="291"/>
      <c r="C906" s="291"/>
      <c r="D906" s="127"/>
      <c r="E906" s="127"/>
      <c r="F906" s="291"/>
      <c r="G906" s="130"/>
    </row>
    <row r="907" ht="15.75" customHeight="1">
      <c r="A907" s="291"/>
      <c r="B907" s="291"/>
      <c r="C907" s="291"/>
      <c r="D907" s="127"/>
      <c r="E907" s="127"/>
      <c r="F907" s="291"/>
      <c r="G907" s="130"/>
    </row>
    <row r="908" ht="15.75" customHeight="1">
      <c r="A908" s="291"/>
      <c r="B908" s="291"/>
      <c r="C908" s="291"/>
      <c r="D908" s="127"/>
      <c r="E908" s="127"/>
      <c r="F908" s="291"/>
      <c r="G908" s="130"/>
    </row>
    <row r="909" ht="15.75" customHeight="1">
      <c r="A909" s="291"/>
      <c r="B909" s="291"/>
      <c r="C909" s="291"/>
      <c r="D909" s="127"/>
      <c r="E909" s="127"/>
      <c r="F909" s="291"/>
      <c r="G909" s="130"/>
    </row>
    <row r="910" ht="15.75" customHeight="1">
      <c r="A910" s="291"/>
      <c r="B910" s="291"/>
      <c r="C910" s="291"/>
      <c r="D910" s="127"/>
      <c r="E910" s="127"/>
      <c r="F910" s="291"/>
      <c r="G910" s="130"/>
    </row>
    <row r="911" ht="15.75" customHeight="1">
      <c r="A911" s="291"/>
      <c r="B911" s="291"/>
      <c r="C911" s="291"/>
      <c r="D911" s="127"/>
      <c r="E911" s="127"/>
      <c r="F911" s="291"/>
      <c r="G911" s="130"/>
    </row>
    <row r="912" ht="15.75" customHeight="1">
      <c r="A912" s="291"/>
      <c r="B912" s="291"/>
      <c r="C912" s="291"/>
      <c r="D912" s="127"/>
      <c r="E912" s="127"/>
      <c r="F912" s="291"/>
      <c r="G912" s="130"/>
    </row>
    <row r="913" ht="15.75" customHeight="1">
      <c r="A913" s="291"/>
      <c r="B913" s="291"/>
      <c r="C913" s="291"/>
      <c r="D913" s="127"/>
      <c r="E913" s="127"/>
      <c r="F913" s="291"/>
      <c r="G913" s="130"/>
    </row>
    <row r="914" ht="15.75" customHeight="1">
      <c r="A914" s="291"/>
      <c r="B914" s="291"/>
      <c r="C914" s="291"/>
      <c r="D914" s="127"/>
      <c r="E914" s="127"/>
      <c r="F914" s="291"/>
      <c r="G914" s="130"/>
    </row>
    <row r="915" ht="15.75" customHeight="1">
      <c r="A915" s="291"/>
      <c r="B915" s="291"/>
      <c r="C915" s="291"/>
      <c r="D915" s="127"/>
      <c r="E915" s="127"/>
      <c r="F915" s="291"/>
      <c r="G915" s="130"/>
    </row>
    <row r="916" ht="15.75" customHeight="1">
      <c r="A916" s="291"/>
      <c r="B916" s="291"/>
      <c r="C916" s="291"/>
      <c r="D916" s="127"/>
      <c r="E916" s="127"/>
      <c r="F916" s="291"/>
      <c r="G916" s="130"/>
    </row>
    <row r="917" ht="15.75" customHeight="1">
      <c r="A917" s="291"/>
      <c r="B917" s="291"/>
      <c r="C917" s="291"/>
      <c r="D917" s="127"/>
      <c r="E917" s="127"/>
      <c r="F917" s="291"/>
      <c r="G917" s="130"/>
    </row>
    <row r="918" ht="15.75" customHeight="1">
      <c r="A918" s="291"/>
      <c r="B918" s="291"/>
      <c r="C918" s="291"/>
      <c r="D918" s="127"/>
      <c r="E918" s="127"/>
      <c r="F918" s="291"/>
      <c r="G918" s="130"/>
    </row>
    <row r="919" ht="15.75" customHeight="1">
      <c r="A919" s="291"/>
      <c r="B919" s="291"/>
      <c r="C919" s="291"/>
      <c r="D919" s="127"/>
      <c r="E919" s="127"/>
      <c r="F919" s="291"/>
      <c r="G919" s="130"/>
    </row>
    <row r="920" ht="15.75" customHeight="1">
      <c r="A920" s="291"/>
      <c r="B920" s="291"/>
      <c r="C920" s="291"/>
      <c r="D920" s="127"/>
      <c r="E920" s="127"/>
      <c r="F920" s="291"/>
      <c r="G920" s="130"/>
    </row>
    <row r="921" ht="15.75" customHeight="1">
      <c r="A921" s="291"/>
      <c r="B921" s="291"/>
      <c r="C921" s="291"/>
      <c r="D921" s="127"/>
      <c r="E921" s="127"/>
      <c r="F921" s="291"/>
      <c r="G921" s="130"/>
    </row>
    <row r="922" ht="15.75" customHeight="1">
      <c r="A922" s="291"/>
      <c r="B922" s="291"/>
      <c r="C922" s="291"/>
      <c r="D922" s="127"/>
      <c r="E922" s="127"/>
      <c r="F922" s="291"/>
      <c r="G922" s="130"/>
    </row>
    <row r="923" ht="15.75" customHeight="1">
      <c r="A923" s="291"/>
      <c r="B923" s="291"/>
      <c r="C923" s="291"/>
      <c r="D923" s="127"/>
      <c r="E923" s="127"/>
      <c r="F923" s="291"/>
      <c r="G923" s="130"/>
    </row>
    <row r="924" ht="15.75" customHeight="1">
      <c r="A924" s="291"/>
      <c r="B924" s="291"/>
      <c r="C924" s="291"/>
      <c r="D924" s="127"/>
      <c r="E924" s="127"/>
      <c r="F924" s="291"/>
      <c r="G924" s="130"/>
    </row>
    <row r="925" ht="15.75" customHeight="1">
      <c r="A925" s="291"/>
      <c r="B925" s="291"/>
      <c r="C925" s="291"/>
      <c r="D925" s="127"/>
      <c r="E925" s="127"/>
      <c r="F925" s="291"/>
      <c r="G925" s="130"/>
    </row>
    <row r="926" ht="15.75" customHeight="1">
      <c r="A926" s="291"/>
      <c r="B926" s="291"/>
      <c r="C926" s="291"/>
      <c r="D926" s="127"/>
      <c r="E926" s="127"/>
      <c r="F926" s="291"/>
      <c r="G926" s="130"/>
    </row>
    <row r="927" ht="15.75" customHeight="1">
      <c r="A927" s="291"/>
      <c r="B927" s="291"/>
      <c r="C927" s="291"/>
      <c r="D927" s="127"/>
      <c r="E927" s="127"/>
      <c r="F927" s="291"/>
      <c r="G927" s="130"/>
    </row>
    <row r="928" ht="15.75" customHeight="1">
      <c r="A928" s="291"/>
      <c r="B928" s="291"/>
      <c r="C928" s="291"/>
      <c r="D928" s="127"/>
      <c r="E928" s="127"/>
      <c r="F928" s="291"/>
      <c r="G928" s="130"/>
    </row>
    <row r="929" ht="15.75" customHeight="1">
      <c r="A929" s="291"/>
      <c r="B929" s="291"/>
      <c r="C929" s="291"/>
      <c r="D929" s="127"/>
      <c r="E929" s="127"/>
      <c r="F929" s="291"/>
      <c r="G929" s="130"/>
    </row>
    <row r="930" ht="15.75" customHeight="1">
      <c r="A930" s="291"/>
      <c r="B930" s="291"/>
      <c r="C930" s="291"/>
      <c r="D930" s="127"/>
      <c r="E930" s="127"/>
      <c r="F930" s="291"/>
      <c r="G930" s="130"/>
    </row>
    <row r="931" ht="15.75" customHeight="1">
      <c r="A931" s="291"/>
      <c r="B931" s="291"/>
      <c r="C931" s="291"/>
      <c r="D931" s="127"/>
      <c r="E931" s="127"/>
      <c r="F931" s="291"/>
      <c r="G931" s="130"/>
    </row>
    <row r="932" ht="15.75" customHeight="1">
      <c r="A932" s="291"/>
      <c r="B932" s="291"/>
      <c r="C932" s="291"/>
      <c r="D932" s="127"/>
      <c r="E932" s="127"/>
      <c r="F932" s="291"/>
      <c r="G932" s="130"/>
    </row>
    <row r="933" ht="15.75" customHeight="1">
      <c r="A933" s="291"/>
      <c r="B933" s="291"/>
      <c r="C933" s="291"/>
      <c r="D933" s="127"/>
      <c r="E933" s="127"/>
      <c r="F933" s="291"/>
      <c r="G933" s="130"/>
    </row>
    <row r="934" ht="15.75" customHeight="1">
      <c r="A934" s="291"/>
      <c r="B934" s="291"/>
      <c r="C934" s="291"/>
      <c r="D934" s="127"/>
      <c r="E934" s="127"/>
      <c r="F934" s="291"/>
      <c r="G934" s="130"/>
    </row>
    <row r="935" ht="15.75" customHeight="1">
      <c r="A935" s="291"/>
      <c r="B935" s="291"/>
      <c r="C935" s="291"/>
      <c r="D935" s="127"/>
      <c r="E935" s="127"/>
      <c r="F935" s="291"/>
      <c r="G935" s="130"/>
    </row>
    <row r="936" ht="15.75" customHeight="1">
      <c r="A936" s="291"/>
      <c r="B936" s="291"/>
      <c r="C936" s="291"/>
      <c r="D936" s="127"/>
      <c r="E936" s="127"/>
      <c r="F936" s="291"/>
      <c r="G936" s="130"/>
    </row>
    <row r="937" ht="15.75" customHeight="1">
      <c r="A937" s="291"/>
      <c r="B937" s="291"/>
      <c r="C937" s="291"/>
      <c r="D937" s="127"/>
      <c r="E937" s="127"/>
      <c r="F937" s="291"/>
      <c r="G937" s="130"/>
    </row>
    <row r="938" ht="15.75" customHeight="1">
      <c r="A938" s="291"/>
      <c r="B938" s="291"/>
      <c r="C938" s="291"/>
      <c r="D938" s="127"/>
      <c r="E938" s="127"/>
      <c r="F938" s="291"/>
      <c r="G938" s="130"/>
    </row>
    <row r="939" ht="15.75" customHeight="1">
      <c r="A939" s="291"/>
      <c r="B939" s="291"/>
      <c r="C939" s="291"/>
      <c r="D939" s="127"/>
      <c r="E939" s="127"/>
      <c r="F939" s="291"/>
      <c r="G939" s="130"/>
    </row>
    <row r="940" ht="15.75" customHeight="1">
      <c r="A940" s="291"/>
      <c r="B940" s="291"/>
      <c r="C940" s="291"/>
      <c r="D940" s="127"/>
      <c r="E940" s="127"/>
      <c r="F940" s="291"/>
      <c r="G940" s="130"/>
    </row>
    <row r="941" ht="15.75" customHeight="1">
      <c r="A941" s="291"/>
      <c r="B941" s="291"/>
      <c r="C941" s="291"/>
      <c r="D941" s="127"/>
      <c r="E941" s="127"/>
      <c r="F941" s="291"/>
      <c r="G941" s="130"/>
    </row>
    <row r="942" ht="15.75" customHeight="1">
      <c r="A942" s="291"/>
      <c r="B942" s="291"/>
      <c r="C942" s="291"/>
      <c r="D942" s="127"/>
      <c r="E942" s="127"/>
      <c r="F942" s="291"/>
      <c r="G942" s="130"/>
    </row>
    <row r="943" ht="15.75" customHeight="1">
      <c r="A943" s="291"/>
      <c r="B943" s="291"/>
      <c r="C943" s="291"/>
      <c r="D943" s="127"/>
      <c r="E943" s="127"/>
      <c r="F943" s="291"/>
      <c r="G943" s="130"/>
    </row>
    <row r="944" ht="15.75" customHeight="1">
      <c r="A944" s="291"/>
      <c r="B944" s="291"/>
      <c r="C944" s="291"/>
      <c r="D944" s="127"/>
      <c r="E944" s="127"/>
      <c r="F944" s="291"/>
      <c r="G944" s="130"/>
    </row>
    <row r="945" ht="15.75" customHeight="1">
      <c r="A945" s="291"/>
      <c r="B945" s="291"/>
      <c r="C945" s="291"/>
      <c r="D945" s="127"/>
      <c r="E945" s="127"/>
      <c r="F945" s="291"/>
      <c r="G945" s="130"/>
    </row>
    <row r="946" ht="15.75" customHeight="1">
      <c r="A946" s="291"/>
      <c r="B946" s="291"/>
      <c r="C946" s="291"/>
      <c r="D946" s="127"/>
      <c r="E946" s="127"/>
      <c r="F946" s="291"/>
      <c r="G946" s="130"/>
    </row>
    <row r="947" ht="15.75" customHeight="1">
      <c r="A947" s="291"/>
      <c r="B947" s="291"/>
      <c r="C947" s="291"/>
      <c r="D947" s="127"/>
      <c r="E947" s="127"/>
      <c r="F947" s="291"/>
      <c r="G947" s="130"/>
    </row>
    <row r="948" ht="15.75" customHeight="1">
      <c r="A948" s="291"/>
      <c r="B948" s="291"/>
      <c r="C948" s="291"/>
      <c r="D948" s="127"/>
      <c r="E948" s="127"/>
      <c r="F948" s="291"/>
      <c r="G948" s="130"/>
    </row>
    <row r="949" ht="15.75" customHeight="1">
      <c r="A949" s="291"/>
      <c r="B949" s="291"/>
      <c r="C949" s="291"/>
      <c r="D949" s="127"/>
      <c r="E949" s="127"/>
      <c r="F949" s="291"/>
      <c r="G949" s="130"/>
    </row>
    <row r="950" ht="15.75" customHeight="1">
      <c r="A950" s="291"/>
      <c r="B950" s="291"/>
      <c r="C950" s="291"/>
      <c r="D950" s="127"/>
      <c r="E950" s="127"/>
      <c r="F950" s="291"/>
      <c r="G950" s="130"/>
    </row>
    <row r="951" ht="15.75" customHeight="1">
      <c r="A951" s="291"/>
      <c r="B951" s="291"/>
      <c r="C951" s="291"/>
      <c r="D951" s="127"/>
      <c r="E951" s="127"/>
      <c r="F951" s="291"/>
      <c r="G951" s="130"/>
    </row>
    <row r="952" ht="15.75" customHeight="1">
      <c r="A952" s="291"/>
      <c r="B952" s="291"/>
      <c r="C952" s="291"/>
      <c r="D952" s="127"/>
      <c r="E952" s="127"/>
      <c r="F952" s="291"/>
      <c r="G952" s="130"/>
    </row>
    <row r="953" ht="15.75" customHeight="1">
      <c r="A953" s="291"/>
      <c r="B953" s="291"/>
      <c r="C953" s="291"/>
      <c r="D953" s="127"/>
      <c r="E953" s="127"/>
      <c r="F953" s="291"/>
      <c r="G953" s="130"/>
    </row>
    <row r="954" ht="15.75" customHeight="1">
      <c r="A954" s="291"/>
      <c r="B954" s="291"/>
      <c r="C954" s="291"/>
      <c r="D954" s="127"/>
      <c r="E954" s="127"/>
      <c r="F954" s="291"/>
      <c r="G954" s="130"/>
    </row>
    <row r="955" ht="15.75" customHeight="1">
      <c r="A955" s="291"/>
      <c r="B955" s="291"/>
      <c r="C955" s="291"/>
      <c r="D955" s="127"/>
      <c r="E955" s="127"/>
      <c r="F955" s="291"/>
      <c r="G955" s="130"/>
    </row>
    <row r="956" ht="15.75" customHeight="1">
      <c r="A956" s="291"/>
      <c r="B956" s="291"/>
      <c r="C956" s="291"/>
      <c r="D956" s="127"/>
      <c r="E956" s="127"/>
      <c r="F956" s="291"/>
      <c r="G956" s="130"/>
    </row>
    <row r="957" ht="15.75" customHeight="1">
      <c r="A957" s="291"/>
      <c r="B957" s="291"/>
      <c r="C957" s="291"/>
      <c r="D957" s="127"/>
      <c r="E957" s="127"/>
      <c r="F957" s="291"/>
      <c r="G957" s="130"/>
    </row>
    <row r="958" ht="15.75" customHeight="1">
      <c r="A958" s="291"/>
      <c r="B958" s="291"/>
      <c r="C958" s="291"/>
      <c r="D958" s="127"/>
      <c r="E958" s="127"/>
      <c r="F958" s="291"/>
      <c r="G958" s="130"/>
    </row>
    <row r="959" ht="15.75" customHeight="1">
      <c r="A959" s="291"/>
      <c r="B959" s="291"/>
      <c r="C959" s="291"/>
      <c r="D959" s="127"/>
      <c r="E959" s="127"/>
      <c r="F959" s="291"/>
      <c r="G959" s="130"/>
    </row>
    <row r="960" ht="15.75" customHeight="1">
      <c r="A960" s="291"/>
      <c r="B960" s="291"/>
      <c r="C960" s="291"/>
      <c r="D960" s="127"/>
      <c r="E960" s="127"/>
      <c r="F960" s="291"/>
      <c r="G960" s="130"/>
    </row>
    <row r="961" ht="15.75" customHeight="1">
      <c r="A961" s="291"/>
      <c r="B961" s="291"/>
      <c r="C961" s="291"/>
      <c r="D961" s="127"/>
      <c r="E961" s="127"/>
      <c r="F961" s="291"/>
      <c r="G961" s="130"/>
    </row>
    <row r="962" ht="15.75" customHeight="1">
      <c r="A962" s="291"/>
      <c r="B962" s="291"/>
      <c r="C962" s="291"/>
      <c r="D962" s="127"/>
      <c r="E962" s="127"/>
      <c r="F962" s="291"/>
      <c r="G962" s="130"/>
    </row>
    <row r="963" ht="15.75" customHeight="1">
      <c r="A963" s="291"/>
      <c r="B963" s="291"/>
      <c r="C963" s="291"/>
      <c r="D963" s="127"/>
      <c r="E963" s="127"/>
      <c r="F963" s="291"/>
      <c r="G963" s="130"/>
    </row>
    <row r="964" ht="15.75" customHeight="1">
      <c r="A964" s="291"/>
      <c r="B964" s="291"/>
      <c r="C964" s="291"/>
      <c r="D964" s="127"/>
      <c r="E964" s="127"/>
      <c r="F964" s="291"/>
      <c r="G964" s="130"/>
    </row>
    <row r="965" ht="15.75" customHeight="1">
      <c r="A965" s="291"/>
      <c r="B965" s="291"/>
      <c r="C965" s="291"/>
      <c r="D965" s="127"/>
      <c r="E965" s="127"/>
      <c r="F965" s="291"/>
      <c r="G965" s="130"/>
    </row>
    <row r="966" ht="15.75" customHeight="1">
      <c r="A966" s="291"/>
      <c r="B966" s="291"/>
      <c r="C966" s="291"/>
      <c r="D966" s="127"/>
      <c r="E966" s="127"/>
      <c r="F966" s="291"/>
      <c r="G966" s="130"/>
    </row>
    <row r="967" ht="15.75" customHeight="1">
      <c r="A967" s="291"/>
      <c r="B967" s="291"/>
      <c r="C967" s="291"/>
      <c r="D967" s="127"/>
      <c r="E967" s="127"/>
      <c r="F967" s="291"/>
      <c r="G967" s="130"/>
    </row>
    <row r="968" ht="15.75" customHeight="1">
      <c r="A968" s="291"/>
      <c r="B968" s="291"/>
      <c r="C968" s="291"/>
      <c r="D968" s="127"/>
      <c r="E968" s="127"/>
      <c r="F968" s="291"/>
      <c r="G968" s="130"/>
    </row>
    <row r="969" ht="15.75" customHeight="1">
      <c r="A969" s="291"/>
      <c r="B969" s="291"/>
      <c r="C969" s="291"/>
      <c r="D969" s="127"/>
      <c r="E969" s="127"/>
      <c r="F969" s="291"/>
      <c r="G969" s="130"/>
    </row>
    <row r="970" ht="15.75" customHeight="1">
      <c r="A970" s="291"/>
      <c r="B970" s="291"/>
      <c r="C970" s="291"/>
      <c r="D970" s="127"/>
      <c r="E970" s="127"/>
      <c r="F970" s="291"/>
      <c r="G970" s="130"/>
    </row>
    <row r="971" ht="15.75" customHeight="1">
      <c r="A971" s="291"/>
      <c r="B971" s="291"/>
      <c r="C971" s="291"/>
      <c r="D971" s="127"/>
      <c r="E971" s="127"/>
      <c r="F971" s="291"/>
      <c r="G971" s="130"/>
    </row>
    <row r="972" ht="15.75" customHeight="1">
      <c r="A972" s="291"/>
      <c r="B972" s="291"/>
      <c r="C972" s="291"/>
      <c r="D972" s="127"/>
      <c r="E972" s="127"/>
      <c r="F972" s="291"/>
      <c r="G972" s="130"/>
    </row>
    <row r="973" ht="15.75" customHeight="1">
      <c r="A973" s="291"/>
      <c r="B973" s="291"/>
      <c r="C973" s="291"/>
      <c r="D973" s="127"/>
      <c r="E973" s="127"/>
      <c r="F973" s="291"/>
      <c r="G973" s="130"/>
    </row>
    <row r="974" ht="15.75" customHeight="1">
      <c r="A974" s="291"/>
      <c r="B974" s="291"/>
      <c r="C974" s="291"/>
      <c r="D974" s="127"/>
      <c r="E974" s="127"/>
      <c r="F974" s="291"/>
      <c r="G974" s="130"/>
    </row>
    <row r="975" ht="15.75" customHeight="1">
      <c r="A975" s="291"/>
      <c r="B975" s="291"/>
      <c r="C975" s="291"/>
      <c r="D975" s="127"/>
      <c r="E975" s="127"/>
      <c r="F975" s="291"/>
      <c r="G975" s="130"/>
    </row>
    <row r="976" ht="15.75" customHeight="1">
      <c r="A976" s="291"/>
      <c r="B976" s="291"/>
      <c r="C976" s="291"/>
      <c r="D976" s="127"/>
      <c r="E976" s="127"/>
      <c r="F976" s="291"/>
      <c r="G976" s="130"/>
    </row>
    <row r="977" ht="15.75" customHeight="1">
      <c r="A977" s="291"/>
      <c r="B977" s="291"/>
      <c r="C977" s="291"/>
      <c r="D977" s="127"/>
      <c r="E977" s="127"/>
      <c r="F977" s="291"/>
      <c r="G977" s="130"/>
    </row>
    <row r="978" ht="15.75" customHeight="1">
      <c r="A978" s="291"/>
      <c r="B978" s="291"/>
      <c r="C978" s="291"/>
      <c r="D978" s="127"/>
      <c r="E978" s="127"/>
      <c r="F978" s="291"/>
      <c r="G978" s="130"/>
    </row>
    <row r="979" ht="15.75" customHeight="1">
      <c r="A979" s="291"/>
      <c r="B979" s="291"/>
      <c r="C979" s="291"/>
      <c r="D979" s="127"/>
      <c r="E979" s="127"/>
      <c r="F979" s="291"/>
      <c r="G979" s="130"/>
    </row>
    <row r="980" ht="15.75" customHeight="1">
      <c r="A980" s="291"/>
      <c r="B980" s="291"/>
      <c r="C980" s="291"/>
      <c r="D980" s="127"/>
      <c r="E980" s="127"/>
      <c r="F980" s="291"/>
      <c r="G980" s="130"/>
    </row>
    <row r="981" ht="15.75" customHeight="1">
      <c r="A981" s="291"/>
      <c r="B981" s="291"/>
      <c r="C981" s="291"/>
      <c r="D981" s="127"/>
      <c r="E981" s="127"/>
      <c r="F981" s="291"/>
      <c r="G981" s="130"/>
    </row>
    <row r="982" ht="15.75" customHeight="1">
      <c r="A982" s="291"/>
      <c r="B982" s="291"/>
      <c r="C982" s="291"/>
      <c r="D982" s="127"/>
      <c r="E982" s="127"/>
      <c r="F982" s="291"/>
      <c r="G982" s="130"/>
    </row>
    <row r="983" ht="15.75" customHeight="1">
      <c r="A983" s="291"/>
      <c r="B983" s="291"/>
      <c r="C983" s="291"/>
      <c r="D983" s="127"/>
      <c r="E983" s="127"/>
      <c r="F983" s="291"/>
      <c r="G983" s="130"/>
    </row>
    <row r="984" ht="15.75" customHeight="1">
      <c r="A984" s="291"/>
      <c r="B984" s="291"/>
      <c r="C984" s="291"/>
      <c r="D984" s="127"/>
      <c r="E984" s="127"/>
      <c r="F984" s="291"/>
      <c r="G984" s="130"/>
    </row>
    <row r="985" ht="15.75" customHeight="1">
      <c r="A985" s="291"/>
      <c r="B985" s="291"/>
      <c r="C985" s="291"/>
      <c r="D985" s="127"/>
      <c r="E985" s="127"/>
      <c r="F985" s="291"/>
      <c r="G985" s="130"/>
    </row>
    <row r="986" ht="15.75" customHeight="1">
      <c r="A986" s="291"/>
      <c r="B986" s="291"/>
      <c r="C986" s="291"/>
      <c r="D986" s="127"/>
      <c r="E986" s="127"/>
      <c r="F986" s="291"/>
      <c r="G986" s="130"/>
    </row>
    <row r="987" ht="15.75" customHeight="1">
      <c r="A987" s="291"/>
      <c r="B987" s="291"/>
      <c r="C987" s="291"/>
      <c r="D987" s="127"/>
      <c r="E987" s="127"/>
      <c r="F987" s="291"/>
      <c r="G987" s="130"/>
    </row>
    <row r="988" ht="15.75" customHeight="1">
      <c r="A988" s="291"/>
      <c r="B988" s="291"/>
      <c r="C988" s="291"/>
      <c r="D988" s="127"/>
      <c r="E988" s="127"/>
      <c r="F988" s="291"/>
      <c r="G988" s="130"/>
    </row>
    <row r="989" ht="15.75" customHeight="1">
      <c r="A989" s="291"/>
      <c r="B989" s="291"/>
      <c r="C989" s="291"/>
      <c r="D989" s="127"/>
      <c r="E989" s="127"/>
      <c r="F989" s="291"/>
      <c r="G989" s="130"/>
    </row>
    <row r="990" ht="15.75" customHeight="1">
      <c r="A990" s="291"/>
      <c r="B990" s="291"/>
      <c r="C990" s="291"/>
      <c r="D990" s="127"/>
      <c r="E990" s="127"/>
      <c r="F990" s="291"/>
      <c r="G990" s="130"/>
    </row>
    <row r="991" ht="15.75" customHeight="1">
      <c r="A991" s="291"/>
      <c r="B991" s="291"/>
      <c r="C991" s="291"/>
      <c r="D991" s="127"/>
      <c r="E991" s="127"/>
      <c r="F991" s="291"/>
      <c r="G991" s="130"/>
    </row>
    <row r="992" ht="15.75" customHeight="1">
      <c r="A992" s="291"/>
      <c r="B992" s="291"/>
      <c r="C992" s="291"/>
      <c r="D992" s="127"/>
      <c r="E992" s="127"/>
      <c r="F992" s="291"/>
      <c r="G992" s="130"/>
    </row>
    <row r="993" ht="15.75" customHeight="1">
      <c r="A993" s="291"/>
      <c r="B993" s="291"/>
      <c r="C993" s="291"/>
      <c r="D993" s="127"/>
      <c r="E993" s="127"/>
      <c r="F993" s="291"/>
      <c r="G993" s="130"/>
    </row>
    <row r="994" ht="15.75" customHeight="1">
      <c r="A994" s="291"/>
      <c r="B994" s="291"/>
      <c r="C994" s="291"/>
      <c r="D994" s="127"/>
      <c r="E994" s="127"/>
      <c r="F994" s="291"/>
      <c r="G994" s="130"/>
    </row>
    <row r="995" ht="15.75" customHeight="1">
      <c r="A995" s="291"/>
      <c r="B995" s="291"/>
      <c r="C995" s="291"/>
      <c r="D995" s="127"/>
      <c r="E995" s="127"/>
      <c r="F995" s="291"/>
      <c r="G995" s="130"/>
    </row>
    <row r="996" ht="15.75" customHeight="1">
      <c r="A996" s="291"/>
      <c r="B996" s="291"/>
      <c r="C996" s="291"/>
      <c r="D996" s="127"/>
      <c r="E996" s="127"/>
      <c r="F996" s="291"/>
      <c r="G996" s="130"/>
    </row>
    <row r="997" ht="15.75" customHeight="1">
      <c r="A997" s="291"/>
      <c r="B997" s="291"/>
      <c r="C997" s="291"/>
      <c r="D997" s="291"/>
      <c r="E997" s="291"/>
      <c r="F997" s="291"/>
      <c r="G997" s="130"/>
    </row>
    <row r="998" ht="15.75" customHeight="1">
      <c r="A998" s="291"/>
      <c r="B998" s="291"/>
      <c r="C998" s="291"/>
      <c r="D998" s="291"/>
      <c r="E998" s="291"/>
      <c r="F998" s="291"/>
      <c r="G998" s="130"/>
    </row>
    <row r="999" ht="15.75" customHeight="1">
      <c r="A999" s="291"/>
      <c r="B999" s="291"/>
      <c r="C999" s="291"/>
      <c r="D999" s="291"/>
      <c r="E999" s="291"/>
      <c r="F999" s="291"/>
      <c r="G999" s="130"/>
    </row>
    <row r="1000" ht="15.75" customHeight="1">
      <c r="A1000" s="291"/>
      <c r="B1000" s="291"/>
      <c r="C1000" s="291"/>
      <c r="D1000" s="291"/>
      <c r="E1000" s="291"/>
      <c r="F1000" s="291"/>
      <c r="G1000" s="130"/>
    </row>
    <row r="1001" ht="15.75" customHeight="1">
      <c r="A1001" s="291"/>
      <c r="B1001" s="291"/>
      <c r="C1001" s="291"/>
      <c r="D1001" s="291"/>
      <c r="E1001" s="291"/>
      <c r="F1001" s="291"/>
      <c r="G1001" s="130"/>
    </row>
    <row r="1002" ht="15.75" customHeight="1">
      <c r="A1002" s="291"/>
      <c r="B1002" s="291"/>
      <c r="C1002" s="291"/>
      <c r="D1002" s="291"/>
      <c r="E1002" s="291"/>
      <c r="F1002" s="291"/>
      <c r="G1002" s="130"/>
    </row>
    <row r="1003" ht="15.75" customHeight="1">
      <c r="A1003" s="291"/>
      <c r="B1003" s="291"/>
      <c r="C1003" s="291"/>
      <c r="D1003" s="291"/>
      <c r="E1003" s="291"/>
      <c r="F1003" s="291"/>
      <c r="G1003" s="130"/>
    </row>
    <row r="1004" ht="15.75" customHeight="1">
      <c r="A1004" s="291"/>
      <c r="B1004" s="291"/>
      <c r="C1004" s="291"/>
      <c r="D1004" s="291"/>
      <c r="E1004" s="291"/>
      <c r="F1004" s="291"/>
      <c r="G1004" s="130"/>
    </row>
    <row r="1005" ht="15.75" customHeight="1">
      <c r="A1005" s="291"/>
      <c r="B1005" s="291"/>
      <c r="C1005" s="291"/>
      <c r="D1005" s="291"/>
      <c r="E1005" s="291"/>
      <c r="F1005" s="291"/>
      <c r="G1005" s="130"/>
    </row>
    <row r="1006" ht="15.75" customHeight="1">
      <c r="A1006" s="291"/>
      <c r="B1006" s="291"/>
      <c r="C1006" s="291"/>
      <c r="D1006" s="291"/>
      <c r="E1006" s="291"/>
      <c r="F1006" s="291"/>
      <c r="G1006" s="130"/>
    </row>
    <row r="1007" ht="15.75" customHeight="1">
      <c r="A1007" s="291"/>
      <c r="B1007" s="291"/>
      <c r="C1007" s="291"/>
      <c r="D1007" s="291"/>
      <c r="E1007" s="291"/>
      <c r="F1007" s="291"/>
      <c r="G1007" s="130"/>
    </row>
    <row r="1008" ht="15.75" customHeight="1">
      <c r="A1008" s="291"/>
      <c r="B1008" s="291"/>
      <c r="C1008" s="291"/>
      <c r="D1008" s="291"/>
      <c r="E1008" s="291"/>
      <c r="F1008" s="291"/>
      <c r="G1008" s="130"/>
    </row>
    <row r="1009" ht="15.75" customHeight="1">
      <c r="A1009" s="291"/>
      <c r="B1009" s="291"/>
      <c r="C1009" s="291"/>
      <c r="D1009" s="291"/>
      <c r="E1009" s="291"/>
      <c r="F1009" s="291"/>
      <c r="G1009" s="130"/>
    </row>
    <row r="1010" ht="15.75" customHeight="1">
      <c r="A1010" s="291"/>
      <c r="B1010" s="291"/>
      <c r="C1010" s="291"/>
      <c r="D1010" s="291"/>
      <c r="E1010" s="291"/>
      <c r="F1010" s="291"/>
      <c r="G1010" s="130"/>
    </row>
    <row r="1011" ht="15.75" customHeight="1">
      <c r="A1011" s="291"/>
      <c r="B1011" s="291"/>
      <c r="C1011" s="291"/>
      <c r="D1011" s="291"/>
      <c r="E1011" s="291"/>
      <c r="F1011" s="291"/>
      <c r="G1011" s="13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6">
        <v>675278.0</v>
      </c>
      <c r="C1" s="8" t="s">
        <v>25</v>
      </c>
      <c r="D1" s="8" t="s">
        <v>4752</v>
      </c>
      <c r="E1" s="131" t="s">
        <v>26</v>
      </c>
      <c r="F1" s="27" t="s">
        <v>27</v>
      </c>
      <c r="G1" s="132" t="s">
        <v>28</v>
      </c>
      <c r="H1" s="8" t="s">
        <v>29</v>
      </c>
    </row>
    <row r="2" ht="15.75" customHeight="1">
      <c r="A2" s="29" t="s">
        <v>4753</v>
      </c>
      <c r="C2" s="32"/>
      <c r="D2" s="32"/>
      <c r="E2" s="55"/>
      <c r="F2" s="55"/>
      <c r="G2" s="32"/>
      <c r="H2" s="30"/>
    </row>
    <row r="3" ht="15.75" customHeight="1">
      <c r="A3" s="161" t="s">
        <v>4754</v>
      </c>
      <c r="B3" s="170" t="s">
        <v>4755</v>
      </c>
      <c r="C3" s="163" t="s">
        <v>4756</v>
      </c>
      <c r="D3" s="297"/>
      <c r="E3" s="247" t="s">
        <v>4757</v>
      </c>
      <c r="F3" s="102" t="s">
        <v>4758</v>
      </c>
      <c r="G3" s="103">
        <v>0.21</v>
      </c>
      <c r="H3" s="39" t="str">
        <f>VLOOKUP("NC3FX1-TOP",STOCK!$B$2:$Q$3686,3,FALSE)</f>
        <v>Mayor a 5</v>
      </c>
    </row>
    <row r="4" ht="15.75" customHeight="1">
      <c r="A4" s="166" t="s">
        <v>4754</v>
      </c>
      <c r="B4" s="171" t="s">
        <v>4759</v>
      </c>
      <c r="C4" s="168" t="s">
        <v>4760</v>
      </c>
      <c r="D4" s="126"/>
      <c r="E4" s="249" t="s">
        <v>4761</v>
      </c>
      <c r="F4" s="105" t="s">
        <v>4762</v>
      </c>
      <c r="G4" s="106">
        <v>0.21</v>
      </c>
      <c r="H4" s="39" t="str">
        <f>VLOOKUP("NC3MX1-TOP",STOCK!$B$2:$Q$3686,3,FALSE)</f>
        <v>Mayor a 5</v>
      </c>
    </row>
    <row r="5" ht="15.75" customHeight="1">
      <c r="A5" s="161" t="s">
        <v>4754</v>
      </c>
      <c r="B5" s="170" t="s">
        <v>4763</v>
      </c>
      <c r="C5" s="298" t="s">
        <v>4764</v>
      </c>
      <c r="D5" s="297"/>
      <c r="E5" s="247" t="s">
        <v>4765</v>
      </c>
      <c r="F5" s="102" t="s">
        <v>4766</v>
      </c>
      <c r="G5" s="103">
        <v>0.21</v>
      </c>
      <c r="H5" s="39" t="str">
        <f>VLOOKUP("NC3FXX-D",STOCK!$B$2:$Q$3686,3,FALSE)</f>
        <v>Menor a 5</v>
      </c>
    </row>
    <row r="6" ht="15.75" customHeight="1">
      <c r="A6" s="166" t="s">
        <v>4754</v>
      </c>
      <c r="B6" s="171" t="s">
        <v>4767</v>
      </c>
      <c r="C6" s="168" t="s">
        <v>4768</v>
      </c>
      <c r="D6" s="126"/>
      <c r="E6" s="249" t="s">
        <v>4769</v>
      </c>
      <c r="F6" s="105" t="s">
        <v>4770</v>
      </c>
      <c r="G6" s="106">
        <v>0.21</v>
      </c>
      <c r="H6" s="39" t="str">
        <f>VLOOKUP("NC3MXCC",STOCK!$B$2:$Q$3686,3,FALSE)</f>
        <v>Mayor a 5</v>
      </c>
    </row>
    <row r="7" ht="15.75" customHeight="1">
      <c r="A7" s="161" t="s">
        <v>4754</v>
      </c>
      <c r="B7" s="170" t="s">
        <v>4771</v>
      </c>
      <c r="C7" s="298" t="s">
        <v>4772</v>
      </c>
      <c r="D7" s="297"/>
      <c r="E7" s="247" t="s">
        <v>4773</v>
      </c>
      <c r="F7" s="102" t="s">
        <v>4774</v>
      </c>
      <c r="G7" s="103">
        <v>0.21</v>
      </c>
      <c r="H7" s="39" t="str">
        <f>VLOOKUP("NC3MXX-D",STOCK!$B$2:$Q$3686,3,FALSE)</f>
        <v>Menor a 5</v>
      </c>
    </row>
    <row r="8" ht="15.75" customHeight="1">
      <c r="A8" s="166" t="s">
        <v>4754</v>
      </c>
      <c r="B8" s="167" t="s">
        <v>4775</v>
      </c>
      <c r="C8" s="168" t="s">
        <v>4776</v>
      </c>
      <c r="D8" s="299">
        <v>100.0</v>
      </c>
      <c r="E8" s="249" t="s">
        <v>4777</v>
      </c>
      <c r="F8" s="105" t="s">
        <v>4778</v>
      </c>
      <c r="G8" s="106">
        <v>0.21</v>
      </c>
      <c r="H8" s="39" t="str">
        <f>VLOOKUP("NC3FX-D",STOCK!$B$2:$Q$3686,3,FALSE)</f>
        <v>Mayor a 5</v>
      </c>
    </row>
    <row r="9" ht="15.75" customHeight="1">
      <c r="A9" s="161" t="s">
        <v>4754</v>
      </c>
      <c r="B9" s="172" t="s">
        <v>4779</v>
      </c>
      <c r="C9" s="163" t="s">
        <v>4780</v>
      </c>
      <c r="D9" s="300">
        <v>100.0</v>
      </c>
      <c r="E9" s="247" t="s">
        <v>4781</v>
      </c>
      <c r="F9" s="102" t="s">
        <v>4782</v>
      </c>
      <c r="G9" s="103">
        <v>0.21</v>
      </c>
      <c r="H9" s="39" t="str">
        <f>VLOOKUP("NC3MX-D",STOCK!$B$2:$Q$3686,3,FALSE)</f>
        <v>Mayor a 5</v>
      </c>
    </row>
    <row r="10" ht="15.75" customHeight="1">
      <c r="A10" s="166" t="s">
        <v>4754</v>
      </c>
      <c r="B10" s="167" t="s">
        <v>4783</v>
      </c>
      <c r="C10" s="168" t="s">
        <v>4784</v>
      </c>
      <c r="D10" s="299">
        <v>100.0</v>
      </c>
      <c r="E10" s="249" t="s">
        <v>4785</v>
      </c>
      <c r="F10" s="105" t="s">
        <v>4786</v>
      </c>
      <c r="G10" s="106">
        <v>0.21</v>
      </c>
      <c r="H10" s="39" t="str">
        <f>VLOOKUP("NC3FX",STOCK!$B$2:$Q$3686,3,FALSE)</f>
        <v>Mayor a 5</v>
      </c>
    </row>
    <row r="11" ht="15.75" customHeight="1">
      <c r="A11" s="161" t="s">
        <v>4754</v>
      </c>
      <c r="B11" s="172" t="s">
        <v>4787</v>
      </c>
      <c r="C11" s="163" t="s">
        <v>4788</v>
      </c>
      <c r="D11" s="300">
        <v>50.0</v>
      </c>
      <c r="E11" s="247" t="s">
        <v>4789</v>
      </c>
      <c r="F11" s="102" t="s">
        <v>4790</v>
      </c>
      <c r="G11" s="103">
        <v>0.21</v>
      </c>
      <c r="H11" s="39" t="str">
        <f>VLOOKUP("NC3FXCC",STOCK!$B$2:$Q$3686,3,FALSE)</f>
        <v>SIN STOCK</v>
      </c>
    </row>
    <row r="12" ht="15.75" customHeight="1">
      <c r="A12" s="166" t="s">
        <v>4754</v>
      </c>
      <c r="B12" s="167" t="s">
        <v>4791</v>
      </c>
      <c r="C12" s="168" t="s">
        <v>4792</v>
      </c>
      <c r="D12" s="299">
        <v>100.0</v>
      </c>
      <c r="E12" s="249" t="s">
        <v>4793</v>
      </c>
      <c r="F12" s="105" t="s">
        <v>4794</v>
      </c>
      <c r="G12" s="106">
        <v>0.21</v>
      </c>
      <c r="H12" s="39" t="str">
        <f>VLOOKUP("NC3MX",STOCK!$B$2:$Q$3686,3,FALSE)</f>
        <v>Mayor a 5</v>
      </c>
    </row>
    <row r="13" ht="15.75" customHeight="1">
      <c r="A13" s="161" t="s">
        <v>4754</v>
      </c>
      <c r="B13" s="172" t="s">
        <v>4767</v>
      </c>
      <c r="C13" s="163" t="s">
        <v>4795</v>
      </c>
      <c r="D13" s="300">
        <v>50.0</v>
      </c>
      <c r="E13" s="247" t="s">
        <v>4796</v>
      </c>
      <c r="F13" s="102" t="s">
        <v>4797</v>
      </c>
      <c r="G13" s="103">
        <v>0.21</v>
      </c>
      <c r="H13" s="39" t="str">
        <f>VLOOKUP("NC3MXCC",STOCK!$B$2:$Q$3686,3,FALSE)</f>
        <v>Mayor a 5</v>
      </c>
    </row>
    <row r="14" ht="15.75" customHeight="1">
      <c r="A14" s="166" t="s">
        <v>4754</v>
      </c>
      <c r="B14" s="167" t="s">
        <v>4798</v>
      </c>
      <c r="C14" s="168" t="s">
        <v>4799</v>
      </c>
      <c r="D14" s="299">
        <v>100.0</v>
      </c>
      <c r="E14" s="249" t="s">
        <v>4800</v>
      </c>
      <c r="F14" s="105" t="s">
        <v>4801</v>
      </c>
      <c r="G14" s="106">
        <v>0.21</v>
      </c>
      <c r="H14" s="39" t="str">
        <f>VLOOKUP("NC3FX-B",STOCK!$B$2:$Q$3686,3,FALSE)</f>
        <v>Mayor a 5</v>
      </c>
    </row>
    <row r="15" ht="15.75" customHeight="1">
      <c r="A15" s="161" t="s">
        <v>4754</v>
      </c>
      <c r="B15" s="172" t="s">
        <v>4802</v>
      </c>
      <c r="C15" s="163" t="s">
        <v>4803</v>
      </c>
      <c r="D15" s="300">
        <v>100.0</v>
      </c>
      <c r="E15" s="247" t="s">
        <v>4804</v>
      </c>
      <c r="F15" s="102" t="s">
        <v>4805</v>
      </c>
      <c r="G15" s="103">
        <v>0.21</v>
      </c>
      <c r="H15" s="39" t="str">
        <f>VLOOKUP("NC3MX-B",STOCK!$B$2:$Q$3686,3,FALSE)</f>
        <v>Mayor a 5</v>
      </c>
    </row>
    <row r="16" ht="15.75" customHeight="1">
      <c r="A16" s="166" t="s">
        <v>4754</v>
      </c>
      <c r="B16" s="167" t="s">
        <v>4806</v>
      </c>
      <c r="C16" s="166" t="s">
        <v>4807</v>
      </c>
      <c r="D16" s="299">
        <v>100.0</v>
      </c>
      <c r="E16" s="249" t="s">
        <v>4808</v>
      </c>
      <c r="F16" s="105" t="s">
        <v>4809</v>
      </c>
      <c r="G16" s="106">
        <v>0.21</v>
      </c>
      <c r="H16" s="39" t="str">
        <f>VLOOKUP("NC3FXX",STOCK!$B$2:$Q$3686,3,FALSE)</f>
        <v>Mayor a 5</v>
      </c>
    </row>
    <row r="17" ht="15.75" customHeight="1">
      <c r="A17" s="161" t="s">
        <v>4754</v>
      </c>
      <c r="B17" s="172" t="s">
        <v>4810</v>
      </c>
      <c r="C17" s="170" t="s">
        <v>4811</v>
      </c>
      <c r="D17" s="300">
        <v>100.0</v>
      </c>
      <c r="E17" s="247" t="s">
        <v>4812</v>
      </c>
      <c r="F17" s="102" t="s">
        <v>4813</v>
      </c>
      <c r="G17" s="103">
        <v>0.21</v>
      </c>
      <c r="H17" s="39" t="str">
        <f>VLOOKUP("NC3FX",STOCK!$B$2:$Q$3686,3,FALSE)</f>
        <v>Mayor a 5</v>
      </c>
    </row>
    <row r="18" ht="15.75" customHeight="1">
      <c r="A18" s="166" t="s">
        <v>4754</v>
      </c>
      <c r="B18" s="167" t="s">
        <v>4814</v>
      </c>
      <c r="C18" s="168" t="s">
        <v>4815</v>
      </c>
      <c r="D18" s="299">
        <v>50.0</v>
      </c>
      <c r="E18" s="249" t="s">
        <v>4816</v>
      </c>
      <c r="F18" s="105" t="s">
        <v>4817</v>
      </c>
      <c r="G18" s="106">
        <v>0.21</v>
      </c>
      <c r="H18" s="39" t="str">
        <f>VLOOKUP("NC3FX-HD",STOCK!$B$2:$Q$3686,3,FALSE)</f>
        <v>Mayor a 5</v>
      </c>
    </row>
    <row r="19" ht="15.75" customHeight="1">
      <c r="A19" s="161" t="s">
        <v>4754</v>
      </c>
      <c r="B19" s="172" t="s">
        <v>4818</v>
      </c>
      <c r="C19" s="163" t="s">
        <v>4819</v>
      </c>
      <c r="D19" s="300">
        <v>50.0</v>
      </c>
      <c r="E19" s="247" t="s">
        <v>4820</v>
      </c>
      <c r="F19" s="102" t="s">
        <v>4821</v>
      </c>
      <c r="G19" s="103">
        <v>0.21</v>
      </c>
      <c r="H19" s="39" t="str">
        <f>VLOOKUP("NC3FX",STOCK!$B$2:$Q$3686,3,FALSE)</f>
        <v>Mayor a 5</v>
      </c>
    </row>
    <row r="20" ht="15.75" customHeight="1">
      <c r="A20" s="166" t="s">
        <v>4754</v>
      </c>
      <c r="B20" s="167" t="s">
        <v>4822</v>
      </c>
      <c r="C20" s="168" t="s">
        <v>4823</v>
      </c>
      <c r="D20" s="299">
        <v>50.0</v>
      </c>
      <c r="E20" s="249" t="s">
        <v>4824</v>
      </c>
      <c r="F20" s="105" t="s">
        <v>4825</v>
      </c>
      <c r="G20" s="106">
        <v>0.21</v>
      </c>
      <c r="H20" s="39" t="str">
        <f>VLOOKUP("NC3FRX",STOCK!$B$2:$Q$3686,3,FALSE)</f>
        <v>Mayor a 5</v>
      </c>
    </row>
    <row r="21" ht="15.75" customHeight="1">
      <c r="A21" s="161" t="s">
        <v>4754</v>
      </c>
      <c r="B21" s="172" t="s">
        <v>4826</v>
      </c>
      <c r="C21" s="161" t="s">
        <v>4827</v>
      </c>
      <c r="D21" s="300">
        <v>50.0</v>
      </c>
      <c r="E21" s="247" t="s">
        <v>4828</v>
      </c>
      <c r="F21" s="102" t="s">
        <v>4829</v>
      </c>
      <c r="G21" s="103">
        <v>0.21</v>
      </c>
      <c r="H21" s="39" t="str">
        <f>VLOOKUP("NC3FX",STOCK!$B$2:$Q$3686,3,FALSE)</f>
        <v>Mayor a 5</v>
      </c>
    </row>
    <row r="22" ht="15.75" customHeight="1">
      <c r="A22" s="166" t="s">
        <v>4754</v>
      </c>
      <c r="B22" s="167" t="s">
        <v>4830</v>
      </c>
      <c r="C22" s="168" t="s">
        <v>4831</v>
      </c>
      <c r="D22" s="299">
        <v>50.0</v>
      </c>
      <c r="E22" s="249" t="s">
        <v>4832</v>
      </c>
      <c r="F22" s="105" t="s">
        <v>4833</v>
      </c>
      <c r="G22" s="106">
        <v>0.21</v>
      </c>
      <c r="H22" s="39" t="str">
        <f>VLOOKUP("NC3FM",STOCK!$B$2:$Q$3686,3,FALSE)</f>
        <v>Mayor a 5</v>
      </c>
    </row>
    <row r="23" ht="15.75" customHeight="1">
      <c r="A23" s="29" t="s">
        <v>4834</v>
      </c>
      <c r="C23" s="301"/>
      <c r="D23" s="301"/>
      <c r="E23" s="55"/>
      <c r="F23" s="55"/>
      <c r="G23" s="114"/>
      <c r="H23" s="114"/>
    </row>
    <row r="24" ht="15.75" customHeight="1">
      <c r="A24" s="161" t="s">
        <v>4754</v>
      </c>
      <c r="B24" s="172" t="s">
        <v>4835</v>
      </c>
      <c r="C24" s="163" t="s">
        <v>4836</v>
      </c>
      <c r="D24" s="300">
        <v>100.0</v>
      </c>
      <c r="E24" s="247" t="s">
        <v>4837</v>
      </c>
      <c r="F24" s="102" t="s">
        <v>4838</v>
      </c>
      <c r="G24" s="103">
        <v>0.21</v>
      </c>
      <c r="H24" s="39" t="str">
        <f>VLOOKUP("BSX-2-RED",STOCK!$B$2:$Q$3686,3,FALSE)</f>
        <v>Mayor a 5</v>
      </c>
    </row>
    <row r="25" ht="15.75" customHeight="1">
      <c r="A25" s="166" t="s">
        <v>4754</v>
      </c>
      <c r="B25" s="167" t="s">
        <v>4839</v>
      </c>
      <c r="C25" s="168" t="s">
        <v>4840</v>
      </c>
      <c r="D25" s="299">
        <v>100.0</v>
      </c>
      <c r="E25" s="249" t="s">
        <v>4837</v>
      </c>
      <c r="F25" s="105" t="s">
        <v>4838</v>
      </c>
      <c r="G25" s="106">
        <v>0.21</v>
      </c>
      <c r="H25" s="39" t="str">
        <f>VLOOKUP("NC3MX-D",STOCK!$B$2:$Q$3686,3,FALSE)</f>
        <v>Mayor a 5</v>
      </c>
    </row>
    <row r="26" ht="15.75" customHeight="1">
      <c r="A26" s="161" t="s">
        <v>4754</v>
      </c>
      <c r="B26" s="172" t="s">
        <v>4841</v>
      </c>
      <c r="C26" s="163" t="s">
        <v>4842</v>
      </c>
      <c r="D26" s="300">
        <v>100.0</v>
      </c>
      <c r="E26" s="247" t="s">
        <v>4837</v>
      </c>
      <c r="F26" s="102" t="s">
        <v>4838</v>
      </c>
      <c r="G26" s="103">
        <v>0.21</v>
      </c>
      <c r="H26" s="39" t="str">
        <f>VLOOKUP("NC3FX",STOCK!$B$2:$Q$3686,3,FALSE)</f>
        <v>Mayor a 5</v>
      </c>
    </row>
    <row r="27" ht="15.75" customHeight="1">
      <c r="A27" s="166" t="s">
        <v>4754</v>
      </c>
      <c r="B27" s="167" t="s">
        <v>4843</v>
      </c>
      <c r="C27" s="168" t="s">
        <v>4844</v>
      </c>
      <c r="D27" s="299">
        <v>100.0</v>
      </c>
      <c r="E27" s="249" t="s">
        <v>4845</v>
      </c>
      <c r="F27" s="105" t="s">
        <v>4846</v>
      </c>
      <c r="G27" s="106">
        <v>0.21</v>
      </c>
      <c r="H27" s="302" t="str">
        <f>VLOOKUP("XXR-2 NEO",STOCK!$B$2:$Q$3686,3,FALSE)</f>
        <v>Mayor a 5</v>
      </c>
    </row>
    <row r="28" ht="15.75" customHeight="1">
      <c r="A28" s="161" t="s">
        <v>4754</v>
      </c>
      <c r="B28" s="172" t="s">
        <v>4847</v>
      </c>
      <c r="C28" s="161" t="s">
        <v>4848</v>
      </c>
      <c r="D28" s="300">
        <v>100.0</v>
      </c>
      <c r="E28" s="247" t="s">
        <v>4845</v>
      </c>
      <c r="F28" s="102" t="s">
        <v>4846</v>
      </c>
      <c r="G28" s="103">
        <v>0.21</v>
      </c>
      <c r="H28" s="302" t="str">
        <f>VLOOKUP("XXR-6 NEO",STOCK!$B$2:$Q$3686,3,FALSE)</f>
        <v>Mayor a 5</v>
      </c>
    </row>
    <row r="29" ht="15.75" customHeight="1">
      <c r="A29" s="29" t="s">
        <v>4849</v>
      </c>
      <c r="C29" s="301"/>
      <c r="D29" s="32"/>
      <c r="E29" s="55"/>
      <c r="F29" s="55"/>
      <c r="G29" s="32"/>
      <c r="H29" s="30"/>
    </row>
    <row r="30" ht="15.75" customHeight="1">
      <c r="A30" s="161" t="s">
        <v>4754</v>
      </c>
      <c r="B30" s="170" t="s">
        <v>4850</v>
      </c>
      <c r="C30" s="163" t="s">
        <v>4851</v>
      </c>
      <c r="D30" s="297"/>
      <c r="E30" s="247" t="s">
        <v>4852</v>
      </c>
      <c r="F30" s="102" t="s">
        <v>4853</v>
      </c>
      <c r="G30" s="103">
        <v>0.21</v>
      </c>
      <c r="H30" s="39" t="str">
        <f>VLOOKUP("NC4FXX",STOCK!$B$2:$Q$3686,3,FALSE)</f>
        <v>Mayor a 5</v>
      </c>
    </row>
    <row r="31" ht="15.75" customHeight="1">
      <c r="A31" s="166" t="s">
        <v>4754</v>
      </c>
      <c r="B31" s="167" t="s">
        <v>4854</v>
      </c>
      <c r="C31" s="166" t="s">
        <v>4855</v>
      </c>
      <c r="D31" s="299">
        <v>100.0</v>
      </c>
      <c r="E31" s="249" t="s">
        <v>4856</v>
      </c>
      <c r="F31" s="105" t="s">
        <v>4857</v>
      </c>
      <c r="G31" s="106">
        <v>0.21</v>
      </c>
      <c r="H31" s="39" t="str">
        <f>VLOOKUP("NC4FX",STOCK!$B$2:$Q$3686,3,FALSE)</f>
        <v>Mayor a 5</v>
      </c>
    </row>
    <row r="32" ht="15.75" customHeight="1">
      <c r="A32" s="161" t="s">
        <v>4754</v>
      </c>
      <c r="B32" s="172" t="s">
        <v>4858</v>
      </c>
      <c r="C32" s="163" t="s">
        <v>4859</v>
      </c>
      <c r="D32" s="300">
        <v>100.0</v>
      </c>
      <c r="E32" s="247" t="s">
        <v>4860</v>
      </c>
      <c r="F32" s="102" t="s">
        <v>4861</v>
      </c>
      <c r="G32" s="103">
        <v>0.21</v>
      </c>
      <c r="H32" s="302" t="str">
        <f>VLOOKUP("NC4MX",STOCK!$B$2:$Q$3686,3,FALSE)</f>
        <v>Mayor a 5</v>
      </c>
    </row>
    <row r="33" ht="15.75" customHeight="1">
      <c r="A33" s="29" t="s">
        <v>4862</v>
      </c>
      <c r="C33" s="301"/>
      <c r="D33" s="301"/>
      <c r="E33" s="55"/>
      <c r="F33" s="55"/>
      <c r="G33" s="114"/>
      <c r="H33" s="114"/>
    </row>
    <row r="34" ht="15.75" customHeight="1">
      <c r="A34" s="161" t="s">
        <v>4754</v>
      </c>
      <c r="B34" s="161" t="s">
        <v>4863</v>
      </c>
      <c r="C34" s="161" t="s">
        <v>4864</v>
      </c>
      <c r="D34" s="297"/>
      <c r="E34" s="247" t="s">
        <v>4865</v>
      </c>
      <c r="F34" s="102" t="s">
        <v>4866</v>
      </c>
      <c r="G34" s="103">
        <v>0.21</v>
      </c>
      <c r="H34" s="39" t="str">
        <f>VLOOKUP("NC5FXX",STOCK!$B$2:$Q$3686,3,FALSE)</f>
        <v>Mayor a 5</v>
      </c>
    </row>
    <row r="35" ht="15.75" customHeight="1">
      <c r="A35" s="166" t="s">
        <v>4754</v>
      </c>
      <c r="B35" s="171" t="s">
        <v>4867</v>
      </c>
      <c r="C35" s="168" t="s">
        <v>4868</v>
      </c>
      <c r="D35" s="126"/>
      <c r="E35" s="249" t="s">
        <v>4869</v>
      </c>
      <c r="F35" s="105" t="s">
        <v>4870</v>
      </c>
      <c r="G35" s="106">
        <v>0.21</v>
      </c>
      <c r="H35" s="39" t="str">
        <f>VLOOKUP("NC5MXX",STOCK!$B$2:$Q$3686,3,FALSE)</f>
        <v>Mayor a 5</v>
      </c>
    </row>
    <row r="36" ht="15.75" customHeight="1">
      <c r="A36" s="161" t="s">
        <v>4754</v>
      </c>
      <c r="B36" s="172" t="s">
        <v>4871</v>
      </c>
      <c r="C36" s="163" t="s">
        <v>4872</v>
      </c>
      <c r="D36" s="300">
        <v>100.0</v>
      </c>
      <c r="E36" s="247" t="s">
        <v>4873</v>
      </c>
      <c r="F36" s="102" t="s">
        <v>4874</v>
      </c>
      <c r="G36" s="103">
        <v>0.21</v>
      </c>
      <c r="H36" s="39" t="str">
        <f>VLOOKUP("NC5FX",STOCK!$B$2:$Q$3686,3,FALSE)</f>
        <v>Mayor a 5</v>
      </c>
    </row>
    <row r="37" ht="15.75" customHeight="1">
      <c r="A37" s="166" t="s">
        <v>4754</v>
      </c>
      <c r="B37" s="167" t="s">
        <v>4875</v>
      </c>
      <c r="C37" s="168" t="s">
        <v>4876</v>
      </c>
      <c r="D37" s="299">
        <v>100.0</v>
      </c>
      <c r="E37" s="249" t="s">
        <v>4877</v>
      </c>
      <c r="F37" s="105" t="s">
        <v>4878</v>
      </c>
      <c r="G37" s="106">
        <v>0.21</v>
      </c>
      <c r="H37" s="39" t="str">
        <f>VLOOKUP("NC5MX",STOCK!$B$2:$Q$3686,3,FALSE)</f>
        <v>Mayor a 5</v>
      </c>
    </row>
    <row r="38" ht="15.75" customHeight="1">
      <c r="A38" s="29" t="s">
        <v>4879</v>
      </c>
      <c r="C38" s="301"/>
      <c r="D38" s="301"/>
      <c r="E38" s="55"/>
      <c r="F38" s="55"/>
      <c r="G38" s="303"/>
      <c r="H38" s="303"/>
    </row>
    <row r="39" ht="15.75" customHeight="1">
      <c r="A39" s="161" t="s">
        <v>4754</v>
      </c>
      <c r="B39" s="172" t="s">
        <v>4880</v>
      </c>
      <c r="C39" s="163" t="s">
        <v>4881</v>
      </c>
      <c r="D39" s="300">
        <v>25.0</v>
      </c>
      <c r="E39" s="247" t="s">
        <v>4882</v>
      </c>
      <c r="F39" s="102" t="s">
        <v>4883</v>
      </c>
      <c r="G39" s="103">
        <v>0.21</v>
      </c>
      <c r="H39" s="39" t="str">
        <f>VLOOKUP("NC6FX",STOCK!$B$2:$Q$3686,3,FALSE)</f>
        <v>Mayor a 5</v>
      </c>
    </row>
    <row r="40" ht="15.75" customHeight="1">
      <c r="A40" s="166" t="s">
        <v>4754</v>
      </c>
      <c r="B40" s="167" t="s">
        <v>4884</v>
      </c>
      <c r="C40" s="168" t="s">
        <v>4885</v>
      </c>
      <c r="D40" s="299">
        <v>25.0</v>
      </c>
      <c r="E40" s="249" t="s">
        <v>4886</v>
      </c>
      <c r="F40" s="105" t="s">
        <v>4887</v>
      </c>
      <c r="G40" s="106">
        <v>0.21</v>
      </c>
      <c r="H40" s="39" t="str">
        <f>VLOOKUP("NC6MX",STOCK!$B$2:$Q$3686,3,FALSE)</f>
        <v>Mayor a 5</v>
      </c>
    </row>
    <row r="41" ht="15.75" customHeight="1">
      <c r="A41" s="29" t="s">
        <v>4888</v>
      </c>
      <c r="C41" s="32"/>
      <c r="D41" s="301"/>
      <c r="E41" s="55"/>
      <c r="F41" s="55"/>
      <c r="G41" s="114"/>
      <c r="H41" s="114"/>
    </row>
    <row r="42" ht="15.75" customHeight="1">
      <c r="A42" s="161" t="s">
        <v>4754</v>
      </c>
      <c r="B42" s="172" t="s">
        <v>4889</v>
      </c>
      <c r="C42" s="161" t="s">
        <v>4890</v>
      </c>
      <c r="D42" s="300"/>
      <c r="E42" s="247" t="s">
        <v>4891</v>
      </c>
      <c r="F42" s="102" t="s">
        <v>4892</v>
      </c>
      <c r="G42" s="103">
        <v>0.21</v>
      </c>
      <c r="H42" s="39" t="str">
        <f>VLOOKUP("NC7MX-BAG",STOCK!$B$2:$Q$3686,3,FALSE)</f>
        <v>Mayor a 5</v>
      </c>
    </row>
    <row r="43" ht="15.75" customHeight="1">
      <c r="A43" s="166" t="s">
        <v>4754</v>
      </c>
      <c r="B43" s="167" t="s">
        <v>4893</v>
      </c>
      <c r="C43" s="168" t="s">
        <v>4894</v>
      </c>
      <c r="D43" s="299">
        <v>25.0</v>
      </c>
      <c r="E43" s="249" t="s">
        <v>4895</v>
      </c>
      <c r="F43" s="105" t="s">
        <v>4896</v>
      </c>
      <c r="G43" s="106">
        <v>0.21</v>
      </c>
      <c r="H43" s="39" t="str">
        <f>VLOOKUP("NC7FX",STOCK!$B$2:$Q$3686,3,FALSE)</f>
        <v>Mayor a 5</v>
      </c>
    </row>
    <row r="44" ht="15.75" customHeight="1">
      <c r="A44" s="161" t="s">
        <v>4754</v>
      </c>
      <c r="B44" s="172" t="s">
        <v>4897</v>
      </c>
      <c r="C44" s="163" t="s">
        <v>4898</v>
      </c>
      <c r="D44" s="300">
        <v>25.0</v>
      </c>
      <c r="E44" s="247" t="s">
        <v>4899</v>
      </c>
      <c r="F44" s="102" t="s">
        <v>4900</v>
      </c>
      <c r="G44" s="103">
        <v>0.21</v>
      </c>
      <c r="H44" s="39" t="str">
        <f>VLOOKUP("NC7MX",STOCK!$B$2:$Q$3686,3,FALSE)</f>
        <v>Mayor a 5</v>
      </c>
    </row>
    <row r="45" ht="15.75" customHeight="1">
      <c r="A45" s="29" t="s">
        <v>4901</v>
      </c>
      <c r="C45" s="301"/>
      <c r="D45" s="301"/>
      <c r="E45" s="55"/>
      <c r="F45" s="55"/>
      <c r="G45" s="114"/>
      <c r="H45" s="114"/>
    </row>
    <row r="46" ht="15.75" customHeight="1">
      <c r="A46" s="161" t="s">
        <v>4754</v>
      </c>
      <c r="B46" s="172" t="s">
        <v>4902</v>
      </c>
      <c r="C46" s="161" t="s">
        <v>4903</v>
      </c>
      <c r="D46" s="300">
        <v>100.0</v>
      </c>
      <c r="E46" s="247" t="s">
        <v>4904</v>
      </c>
      <c r="F46" s="102" t="s">
        <v>4905</v>
      </c>
      <c r="G46" s="103">
        <v>0.21</v>
      </c>
      <c r="H46" s="39" t="str">
        <f>VLOOKUP("NC3FP-1",STOCK!$B$2:$Q$3686,3,FALSE)</f>
        <v>Mayor a 5</v>
      </c>
    </row>
    <row r="47" ht="15.75" customHeight="1">
      <c r="A47" s="166" t="s">
        <v>4754</v>
      </c>
      <c r="B47" s="167" t="s">
        <v>4906</v>
      </c>
      <c r="C47" s="168" t="s">
        <v>4907</v>
      </c>
      <c r="D47" s="299">
        <v>100.0</v>
      </c>
      <c r="E47" s="249" t="s">
        <v>4908</v>
      </c>
      <c r="F47" s="105" t="s">
        <v>4909</v>
      </c>
      <c r="G47" s="106">
        <v>0.21</v>
      </c>
      <c r="H47" s="30" t="str">
        <f>VLOOKUP("NC3MP",STOCK!$B$2:$Q$3686,3,FALSE)</f>
        <v>Mayor a 5</v>
      </c>
    </row>
    <row r="48" ht="15.75" customHeight="1">
      <c r="A48" s="161" t="s">
        <v>4754</v>
      </c>
      <c r="B48" s="172" t="s">
        <v>4910</v>
      </c>
      <c r="C48" s="163" t="s">
        <v>4911</v>
      </c>
      <c r="D48" s="300">
        <v>100.0</v>
      </c>
      <c r="E48" s="247" t="s">
        <v>4912</v>
      </c>
      <c r="F48" s="102" t="s">
        <v>4913</v>
      </c>
      <c r="G48" s="103">
        <v>0.21</v>
      </c>
      <c r="H48" s="39" t="str">
        <f>VLOOKUP("NC3FD-L-1",STOCK!$B$2:$Q$3686,3,FALSE)</f>
        <v>Mayor a 5</v>
      </c>
    </row>
    <row r="49" ht="15.75" customHeight="1">
      <c r="A49" s="166" t="s">
        <v>4754</v>
      </c>
      <c r="B49" s="167" t="s">
        <v>4914</v>
      </c>
      <c r="C49" s="168" t="s">
        <v>4915</v>
      </c>
      <c r="D49" s="299">
        <v>100.0</v>
      </c>
      <c r="E49" s="249" t="s">
        <v>4916</v>
      </c>
      <c r="F49" s="105" t="s">
        <v>4917</v>
      </c>
      <c r="G49" s="106">
        <v>0.21</v>
      </c>
      <c r="H49" s="39" t="str">
        <f>VLOOKUP("NC3MD-L-1",STOCK!$B$2:$Q$3686,3,FALSE)</f>
        <v>Mayor a 5</v>
      </c>
    </row>
    <row r="50" ht="15.75" customHeight="1">
      <c r="A50" s="161" t="s">
        <v>4754</v>
      </c>
      <c r="B50" s="172" t="s">
        <v>4918</v>
      </c>
      <c r="C50" s="161" t="s">
        <v>4919</v>
      </c>
      <c r="D50" s="300">
        <v>100.0</v>
      </c>
      <c r="E50" s="247" t="s">
        <v>4920</v>
      </c>
      <c r="F50" s="102" t="s">
        <v>4921</v>
      </c>
      <c r="G50" s="103">
        <v>0.21</v>
      </c>
      <c r="H50" s="302"/>
    </row>
    <row r="51" ht="15.75" customHeight="1">
      <c r="A51" s="166" t="s">
        <v>4754</v>
      </c>
      <c r="B51" s="167" t="s">
        <v>4922</v>
      </c>
      <c r="C51" s="168" t="s">
        <v>4923</v>
      </c>
      <c r="D51" s="299">
        <v>100.0</v>
      </c>
      <c r="E51" s="249" t="s">
        <v>4924</v>
      </c>
      <c r="F51" s="105" t="s">
        <v>4925</v>
      </c>
      <c r="G51" s="106">
        <v>0.21</v>
      </c>
      <c r="H51" s="39" t="str">
        <f>VLOOKUP("NC3MD-L-B-1",STOCK!$B$2:$Q$3686,3,FALSE)</f>
        <v>Mayor a 5</v>
      </c>
    </row>
    <row r="52" ht="15.75" customHeight="1">
      <c r="A52" s="29" t="s">
        <v>4926</v>
      </c>
      <c r="C52" s="301"/>
      <c r="D52" s="32"/>
      <c r="E52" s="55"/>
      <c r="F52" s="55"/>
      <c r="G52" s="32"/>
      <c r="H52" s="30"/>
    </row>
    <row r="53" ht="15.75" customHeight="1">
      <c r="A53" s="161" t="s">
        <v>4754</v>
      </c>
      <c r="B53" s="172" t="s">
        <v>4927</v>
      </c>
      <c r="C53" s="163" t="s">
        <v>4928</v>
      </c>
      <c r="D53" s="300">
        <v>100.0</v>
      </c>
      <c r="E53" s="247" t="s">
        <v>4929</v>
      </c>
      <c r="F53" s="102" t="s">
        <v>4930</v>
      </c>
      <c r="G53" s="103">
        <v>0.21</v>
      </c>
      <c r="H53" s="39" t="str">
        <f>VLOOKUP("NC4FP-1",STOCK!$B$2:$Q$3686,3,FALSE)</f>
        <v>Mayor a 5</v>
      </c>
    </row>
    <row r="54" ht="15.75" customHeight="1">
      <c r="A54" s="166" t="s">
        <v>4754</v>
      </c>
      <c r="B54" s="167" t="s">
        <v>4931</v>
      </c>
      <c r="C54" s="166" t="s">
        <v>4932</v>
      </c>
      <c r="D54" s="299">
        <v>100.0</v>
      </c>
      <c r="E54" s="249" t="s">
        <v>4933</v>
      </c>
      <c r="F54" s="105" t="s">
        <v>4934</v>
      </c>
      <c r="G54" s="106">
        <v>0.21</v>
      </c>
      <c r="H54" s="39" t="str">
        <f>VLOOKUP("NC4MP",STOCK!$B$2:$Q$3686,3,FALSE)</f>
        <v>Mayor a 5</v>
      </c>
    </row>
    <row r="55" ht="15.75" customHeight="1">
      <c r="A55" s="161" t="s">
        <v>4754</v>
      </c>
      <c r="B55" s="172" t="s">
        <v>4935</v>
      </c>
      <c r="C55" s="163" t="s">
        <v>4936</v>
      </c>
      <c r="D55" s="300">
        <v>100.0</v>
      </c>
      <c r="E55" s="247" t="s">
        <v>520</v>
      </c>
      <c r="F55" s="102" t="s">
        <v>521</v>
      </c>
      <c r="G55" s="103">
        <v>0.21</v>
      </c>
      <c r="H55" s="39" t="str">
        <f>VLOOKUP("NC4FD-L-1",STOCK!$B$2:$Q$3686,3,FALSE)</f>
        <v>Mayor a 5</v>
      </c>
    </row>
    <row r="56" ht="15.75" customHeight="1">
      <c r="A56" s="166" t="s">
        <v>4754</v>
      </c>
      <c r="B56" s="167" t="s">
        <v>4937</v>
      </c>
      <c r="C56" s="168" t="s">
        <v>4938</v>
      </c>
      <c r="D56" s="299">
        <v>100.0</v>
      </c>
      <c r="E56" s="249" t="s">
        <v>4939</v>
      </c>
      <c r="F56" s="105" t="s">
        <v>4940</v>
      </c>
      <c r="G56" s="106">
        <v>0.21</v>
      </c>
      <c r="H56" s="39" t="str">
        <f>VLOOKUP("NC4MD-L-1",STOCK!$B$2:$Q$3686,3,FALSE)</f>
        <v>Mayor a 5</v>
      </c>
    </row>
    <row r="57" ht="15.75" customHeight="1">
      <c r="A57" s="29" t="s">
        <v>4941</v>
      </c>
      <c r="C57" s="301"/>
      <c r="D57" s="301"/>
      <c r="E57" s="55"/>
      <c r="F57" s="55"/>
      <c r="G57" s="114"/>
      <c r="H57" s="114"/>
    </row>
    <row r="58" ht="15.75" customHeight="1">
      <c r="A58" s="161" t="s">
        <v>4754</v>
      </c>
      <c r="B58" s="172" t="s">
        <v>4942</v>
      </c>
      <c r="C58" s="163" t="s">
        <v>4943</v>
      </c>
      <c r="D58" s="300">
        <v>100.0</v>
      </c>
      <c r="E58" s="247" t="s">
        <v>4944</v>
      </c>
      <c r="F58" s="102" t="s">
        <v>4945</v>
      </c>
      <c r="G58" s="103">
        <v>0.21</v>
      </c>
      <c r="H58" s="39" t="str">
        <f>VLOOKUP("NC5FP-1",STOCK!$B$2:$Q$3686,3,FALSE)</f>
        <v>Mayor a 5</v>
      </c>
    </row>
    <row r="59" ht="15.75" customHeight="1">
      <c r="A59" s="166" t="s">
        <v>4754</v>
      </c>
      <c r="B59" s="167" t="s">
        <v>4946</v>
      </c>
      <c r="C59" s="168" t="s">
        <v>4947</v>
      </c>
      <c r="D59" s="299">
        <v>100.0</v>
      </c>
      <c r="E59" s="249" t="s">
        <v>4948</v>
      </c>
      <c r="F59" s="105" t="s">
        <v>4949</v>
      </c>
      <c r="G59" s="106">
        <v>0.21</v>
      </c>
      <c r="H59" s="39" t="str">
        <f>VLOOKUP("NC5MP",STOCK!$B$2:$Q$3686,3,FALSE)</f>
        <v>Mayor a 5</v>
      </c>
    </row>
    <row r="60" ht="15.75" customHeight="1">
      <c r="A60" s="161" t="s">
        <v>4754</v>
      </c>
      <c r="B60" s="172" t="s">
        <v>4950</v>
      </c>
      <c r="C60" s="163" t="s">
        <v>4951</v>
      </c>
      <c r="D60" s="300">
        <v>100.0</v>
      </c>
      <c r="E60" s="247" t="s">
        <v>4952</v>
      </c>
      <c r="F60" s="102" t="s">
        <v>4953</v>
      </c>
      <c r="G60" s="103">
        <v>0.21</v>
      </c>
      <c r="H60" s="39" t="str">
        <f>VLOOKUP("NC5MD-L-1",STOCK!$B$2:$Q$3686,3,FALSE)</f>
        <v>Mayor a 5</v>
      </c>
    </row>
    <row r="61" ht="15.75" customHeight="1">
      <c r="A61" s="29" t="s">
        <v>4954</v>
      </c>
      <c r="C61" s="32"/>
      <c r="D61" s="301"/>
      <c r="E61" s="55"/>
      <c r="F61" s="55"/>
      <c r="G61" s="114"/>
      <c r="H61" s="114"/>
    </row>
    <row r="62" ht="15.75" customHeight="1">
      <c r="A62" s="161" t="s">
        <v>4754</v>
      </c>
      <c r="B62" s="172" t="s">
        <v>4955</v>
      </c>
      <c r="C62" s="163" t="s">
        <v>4956</v>
      </c>
      <c r="D62" s="300">
        <v>20.0</v>
      </c>
      <c r="E62" s="247" t="s">
        <v>4957</v>
      </c>
      <c r="F62" s="102" t="s">
        <v>4958</v>
      </c>
      <c r="G62" s="103">
        <v>0.21</v>
      </c>
      <c r="H62" s="39" t="str">
        <f>VLOOKUP("NC7FP-1",STOCK!$B$2:$Q$3686,3,FALSE)</f>
        <v>Mayor a 5</v>
      </c>
    </row>
    <row r="63" ht="15.75" customHeight="1">
      <c r="A63" s="166" t="s">
        <v>4754</v>
      </c>
      <c r="B63" s="167" t="s">
        <v>4959</v>
      </c>
      <c r="C63" s="166" t="s">
        <v>4960</v>
      </c>
      <c r="D63" s="299">
        <v>20.0</v>
      </c>
      <c r="E63" s="249" t="s">
        <v>4961</v>
      </c>
      <c r="F63" s="105" t="s">
        <v>4962</v>
      </c>
      <c r="G63" s="106">
        <v>0.21</v>
      </c>
      <c r="H63" s="39" t="str">
        <f>VLOOKUP("NC7MD-L-1",STOCK!$B$2:$Q$3686,3,FALSE)</f>
        <v>Mayor a 5</v>
      </c>
    </row>
    <row r="64" ht="15.75" customHeight="1">
      <c r="A64" s="161" t="s">
        <v>4754</v>
      </c>
      <c r="B64" s="172" t="s">
        <v>4963</v>
      </c>
      <c r="C64" s="163" t="s">
        <v>4956</v>
      </c>
      <c r="D64" s="300">
        <v>20.0</v>
      </c>
      <c r="E64" s="247" t="s">
        <v>4964</v>
      </c>
      <c r="F64" s="102" t="s">
        <v>4965</v>
      </c>
      <c r="G64" s="103">
        <v>0.21</v>
      </c>
      <c r="H64" s="39" t="str">
        <f>VLOOKUP("NC7FD-L-1",STOCK!$B$2:$Q$3686,3,FALSE)</f>
        <v>Mayor a 5</v>
      </c>
    </row>
    <row r="65" ht="15.75" customHeight="1">
      <c r="A65" s="29" t="s">
        <v>4966</v>
      </c>
      <c r="C65" s="301"/>
      <c r="D65" s="301"/>
      <c r="E65" s="55"/>
      <c r="F65" s="55"/>
      <c r="G65" s="114"/>
      <c r="H65" s="114"/>
    </row>
    <row r="66" ht="15.75" customHeight="1">
      <c r="A66" s="161" t="s">
        <v>4754</v>
      </c>
      <c r="B66" s="172" t="s">
        <v>4967</v>
      </c>
      <c r="C66" s="163" t="s">
        <v>4968</v>
      </c>
      <c r="D66" s="300">
        <v>100.0</v>
      </c>
      <c r="E66" s="247" t="s">
        <v>4969</v>
      </c>
      <c r="F66" s="102" t="s">
        <v>4970</v>
      </c>
      <c r="G66" s="103">
        <v>0.21</v>
      </c>
      <c r="H66" s="39" t="str">
        <f>VLOOKUP("NC3FAH2",STOCK!$B$2:$Q$3686,3,FALSE)</f>
        <v>Mayor a 5</v>
      </c>
    </row>
    <row r="67" ht="15.75" customHeight="1">
      <c r="A67" s="166" t="s">
        <v>4754</v>
      </c>
      <c r="B67" s="167" t="s">
        <v>4971</v>
      </c>
      <c r="C67" s="168" t="s">
        <v>4972</v>
      </c>
      <c r="D67" s="299">
        <v>100.0</v>
      </c>
      <c r="E67" s="249" t="s">
        <v>4973</v>
      </c>
      <c r="F67" s="105" t="s">
        <v>4974</v>
      </c>
      <c r="G67" s="106">
        <v>0.21</v>
      </c>
      <c r="H67" s="50" t="str">
        <f>VLOOKUP("NC3MAH",STOCK!$B$2:$Q$3686,3,FALSE)</f>
        <v>Mayor a 5</v>
      </c>
    </row>
    <row r="68" ht="15.75" customHeight="1">
      <c r="A68" s="161" t="s">
        <v>4754</v>
      </c>
      <c r="B68" s="172" t="s">
        <v>4975</v>
      </c>
      <c r="C68" s="161" t="s">
        <v>4976</v>
      </c>
      <c r="D68" s="300">
        <v>100.0</v>
      </c>
      <c r="E68" s="247" t="s">
        <v>4977</v>
      </c>
      <c r="F68" s="102" t="s">
        <v>4978</v>
      </c>
      <c r="G68" s="103">
        <v>0.21</v>
      </c>
      <c r="H68" s="50" t="str">
        <f>VLOOKUP("NC3FAV2",STOCK!$B$2:$Q$3686,3,FALSE)</f>
        <v>Mayor a 5</v>
      </c>
    </row>
    <row r="69" ht="15.75" customHeight="1">
      <c r="A69" s="166" t="s">
        <v>4754</v>
      </c>
      <c r="B69" s="167" t="s">
        <v>4979</v>
      </c>
      <c r="C69" s="168" t="s">
        <v>4980</v>
      </c>
      <c r="D69" s="299">
        <v>100.0</v>
      </c>
      <c r="E69" s="249" t="s">
        <v>4973</v>
      </c>
      <c r="F69" s="105" t="s">
        <v>4974</v>
      </c>
      <c r="G69" s="106">
        <v>0.21</v>
      </c>
      <c r="H69" s="39" t="str">
        <f>VLOOKUP("NC3MAV",STOCK!$B$2:$Q$3686,3,FALSE)</f>
        <v>Mayor a 5</v>
      </c>
    </row>
    <row r="70" ht="15.75" customHeight="1">
      <c r="A70" s="161" t="s">
        <v>4754</v>
      </c>
      <c r="B70" s="172" t="s">
        <v>4981</v>
      </c>
      <c r="C70" s="163" t="s">
        <v>4982</v>
      </c>
      <c r="D70" s="300">
        <v>100.0</v>
      </c>
      <c r="E70" s="247" t="s">
        <v>4983</v>
      </c>
      <c r="F70" s="102" t="s">
        <v>4984</v>
      </c>
      <c r="G70" s="103">
        <v>0.21</v>
      </c>
      <c r="H70" s="39" t="str">
        <f>VLOOKUP("NC3FAHR2",STOCK!$B$2:$Q$3686,3,FALSE)</f>
        <v>Mayor a 5</v>
      </c>
    </row>
    <row r="71" ht="15.75" customHeight="1">
      <c r="A71" s="166" t="s">
        <v>4754</v>
      </c>
      <c r="B71" s="167" t="s">
        <v>4985</v>
      </c>
      <c r="C71" s="166" t="s">
        <v>4986</v>
      </c>
      <c r="D71" s="299">
        <v>100.0</v>
      </c>
      <c r="E71" s="249" t="s">
        <v>4987</v>
      </c>
      <c r="F71" s="105" t="s">
        <v>4988</v>
      </c>
      <c r="G71" s="106">
        <v>0.21</v>
      </c>
      <c r="H71" s="50" t="str">
        <f>VLOOKUP("NC3MAHR",STOCK!$B$2:$Q$3686,3,FALSE)</f>
        <v>Mayor a 5</v>
      </c>
    </row>
    <row r="72" ht="15.75" customHeight="1">
      <c r="A72" s="161" t="s">
        <v>4754</v>
      </c>
      <c r="B72" s="172" t="s">
        <v>4989</v>
      </c>
      <c r="C72" s="163" t="s">
        <v>4990</v>
      </c>
      <c r="D72" s="300">
        <v>100.0</v>
      </c>
      <c r="E72" s="247" t="s">
        <v>4991</v>
      </c>
      <c r="F72" s="102" t="s">
        <v>4992</v>
      </c>
      <c r="G72" s="103">
        <v>0.21</v>
      </c>
      <c r="H72" s="39" t="str">
        <f>VLOOKUP("NC3FDM3-H-BAG",STOCK!$B$2:$Q$3686,3,FALSE)</f>
        <v>SIN STOCK</v>
      </c>
    </row>
    <row r="73" ht="15.75" customHeight="1">
      <c r="A73" s="166" t="s">
        <v>4754</v>
      </c>
      <c r="B73" s="167" t="s">
        <v>4993</v>
      </c>
      <c r="C73" s="166" t="s">
        <v>4994</v>
      </c>
      <c r="D73" s="299">
        <v>100.0</v>
      </c>
      <c r="E73" s="249" t="s">
        <v>4995</v>
      </c>
      <c r="F73" s="105" t="s">
        <v>4996</v>
      </c>
      <c r="G73" s="106">
        <v>0.21</v>
      </c>
      <c r="H73" s="39" t="str">
        <f>VLOOKUP("NC3MD-V",STOCK!$B$2:$Q$3686,3,FALSE)</f>
        <v>SIN STOCK</v>
      </c>
    </row>
    <row r="74" ht="15.75" customHeight="1">
      <c r="A74" s="29" t="s">
        <v>4997</v>
      </c>
      <c r="C74" s="301"/>
      <c r="D74" s="32"/>
      <c r="E74" s="55"/>
      <c r="F74" s="55"/>
      <c r="G74" s="32"/>
      <c r="H74" s="30"/>
    </row>
    <row r="75" ht="15.75" customHeight="1">
      <c r="A75" s="161" t="s">
        <v>4754</v>
      </c>
      <c r="B75" s="172" t="s">
        <v>4998</v>
      </c>
      <c r="C75" s="163" t="s">
        <v>4999</v>
      </c>
      <c r="D75" s="300">
        <v>100.0</v>
      </c>
      <c r="E75" s="247" t="s">
        <v>5000</v>
      </c>
      <c r="F75" s="102" t="s">
        <v>5001</v>
      </c>
      <c r="G75" s="103">
        <v>0.21</v>
      </c>
      <c r="H75" s="39" t="str">
        <f>VLOOKUP("NCJ6FI-H",STOCK!$B$2:$Q$3686,3,FALSE)</f>
        <v>Mayor a 5</v>
      </c>
    </row>
    <row r="76" ht="15.75" customHeight="1">
      <c r="A76" s="166" t="s">
        <v>4754</v>
      </c>
      <c r="B76" s="167" t="s">
        <v>5002</v>
      </c>
      <c r="C76" s="168" t="s">
        <v>4999</v>
      </c>
      <c r="D76" s="299">
        <v>100.0</v>
      </c>
      <c r="E76" s="249" t="s">
        <v>5003</v>
      </c>
      <c r="F76" s="105" t="s">
        <v>5004</v>
      </c>
      <c r="G76" s="106">
        <v>0.21</v>
      </c>
      <c r="H76" s="39" t="str">
        <f>VLOOKUP("NCJ6FI-V",STOCK!$B$2:$Q$3686,3,FALSE)</f>
        <v>Mayor a 5</v>
      </c>
    </row>
    <row r="77" ht="15.75" customHeight="1">
      <c r="A77" s="161" t="s">
        <v>4754</v>
      </c>
      <c r="B77" s="172" t="s">
        <v>5005</v>
      </c>
      <c r="C77" s="163" t="s">
        <v>5006</v>
      </c>
      <c r="D77" s="300">
        <v>100.0</v>
      </c>
      <c r="E77" s="247" t="s">
        <v>5007</v>
      </c>
      <c r="F77" s="102" t="s">
        <v>5008</v>
      </c>
      <c r="G77" s="103">
        <v>0.21</v>
      </c>
      <c r="H77" s="53" t="str">
        <f>VLOOKUP("NCJ6FA-H",STOCK!$B$2:$Q$3686,3,FALSE)</f>
        <v>Mayor a 5</v>
      </c>
    </row>
    <row r="78" ht="15.75" customHeight="1">
      <c r="A78" s="166" t="s">
        <v>4754</v>
      </c>
      <c r="B78" s="167" t="s">
        <v>5009</v>
      </c>
      <c r="C78" s="168" t="s">
        <v>5010</v>
      </c>
      <c r="D78" s="299">
        <v>100.0</v>
      </c>
      <c r="E78" s="249" t="s">
        <v>5011</v>
      </c>
      <c r="F78" s="105" t="s">
        <v>5012</v>
      </c>
      <c r="G78" s="106">
        <v>0.21</v>
      </c>
      <c r="H78" s="53" t="str">
        <f>VLOOKUP("NCJ6FA-V",STOCK!$B$2:$Q$3686,3,FALSE)</f>
        <v>Mayor a 5</v>
      </c>
    </row>
    <row r="79" ht="15.75" customHeight="1">
      <c r="A79" s="29" t="s">
        <v>5013</v>
      </c>
      <c r="C79" s="301"/>
      <c r="D79" s="301"/>
      <c r="E79" s="55"/>
      <c r="F79" s="55"/>
      <c r="G79" s="114"/>
      <c r="H79" s="114"/>
    </row>
    <row r="80" ht="15.75" customHeight="1">
      <c r="A80" s="161" t="s">
        <v>4754</v>
      </c>
      <c r="B80" s="172" t="s">
        <v>5014</v>
      </c>
      <c r="C80" s="163" t="s">
        <v>5015</v>
      </c>
      <c r="D80" s="300">
        <v>100.0</v>
      </c>
      <c r="E80" s="247" t="s">
        <v>5016</v>
      </c>
      <c r="F80" s="102" t="s">
        <v>5017</v>
      </c>
      <c r="G80" s="103">
        <v>0.21</v>
      </c>
      <c r="H80" s="50" t="str">
        <f>VLOOKUP("NJ3FP6C",STOCK!$B$2:$Q$3686,3,FALSE)</f>
        <v>Mayor a 5</v>
      </c>
    </row>
    <row r="81" ht="15.75" customHeight="1">
      <c r="A81" s="166" t="s">
        <v>4754</v>
      </c>
      <c r="B81" s="167" t="s">
        <v>5018</v>
      </c>
      <c r="C81" s="168" t="s">
        <v>5019</v>
      </c>
      <c r="D81" s="299">
        <v>50.0</v>
      </c>
      <c r="E81" s="249" t="s">
        <v>5020</v>
      </c>
      <c r="F81" s="105" t="s">
        <v>5021</v>
      </c>
      <c r="G81" s="106">
        <v>0.21</v>
      </c>
      <c r="H81" s="39" t="str">
        <f>VLOOKUP("NJ3FC6",STOCK!$B$2:$Q$3686,3,FALSE)</f>
        <v>Mayor a 5</v>
      </c>
    </row>
    <row r="82" ht="15.75" customHeight="1">
      <c r="A82" s="29" t="s">
        <v>5022</v>
      </c>
      <c r="C82" s="32"/>
      <c r="D82" s="301"/>
      <c r="E82" s="55"/>
      <c r="F82" s="55"/>
      <c r="G82" s="114"/>
      <c r="H82" s="114"/>
    </row>
    <row r="83" ht="15.75" customHeight="1">
      <c r="A83" s="161" t="s">
        <v>4754</v>
      </c>
      <c r="B83" s="172" t="s">
        <v>5023</v>
      </c>
      <c r="C83" s="161" t="s">
        <v>5024</v>
      </c>
      <c r="D83" s="300">
        <v>50.0</v>
      </c>
      <c r="E83" s="247" t="s">
        <v>5025</v>
      </c>
      <c r="F83" s="102" t="s">
        <v>5026</v>
      </c>
      <c r="G83" s="103">
        <v>0.21</v>
      </c>
      <c r="H83" s="39" t="str">
        <f>VLOOKUP("NL2FX",STOCK!$B$2:$Q$3686,3,FALSE)</f>
        <v>SIN STOCK</v>
      </c>
    </row>
    <row r="84" ht="15.75" customHeight="1">
      <c r="A84" s="166" t="s">
        <v>4754</v>
      </c>
      <c r="B84" s="167" t="s">
        <v>5027</v>
      </c>
      <c r="C84" s="168" t="s">
        <v>5028</v>
      </c>
      <c r="D84" s="299">
        <v>50.0</v>
      </c>
      <c r="E84" s="249" t="s">
        <v>5025</v>
      </c>
      <c r="F84" s="105" t="s">
        <v>5026</v>
      </c>
      <c r="G84" s="106">
        <v>0.21</v>
      </c>
      <c r="H84" s="39" t="str">
        <f>VLOOKUP("NL2FXX-W-S",STOCK!$B$2:$Q$3686,3,FALSE)</f>
        <v>Mayor a 5</v>
      </c>
    </row>
    <row r="85" ht="15.75" customHeight="1">
      <c r="A85" s="161" t="s">
        <v>4754</v>
      </c>
      <c r="B85" s="172" t="s">
        <v>5029</v>
      </c>
      <c r="C85" s="163" t="s">
        <v>5030</v>
      </c>
      <c r="D85" s="300">
        <v>50.0</v>
      </c>
      <c r="E85" s="247" t="s">
        <v>5031</v>
      </c>
      <c r="F85" s="102" t="s">
        <v>5032</v>
      </c>
      <c r="G85" s="103">
        <v>0.21</v>
      </c>
      <c r="H85" s="39" t="str">
        <f>VLOOKUP("NL4FX",STOCK!$B$2:$Q$3686,3,FALSE)</f>
        <v>Menor a 5</v>
      </c>
    </row>
    <row r="86" ht="15.75" customHeight="1">
      <c r="A86" s="166" t="s">
        <v>4754</v>
      </c>
      <c r="B86" s="167" t="s">
        <v>5033</v>
      </c>
      <c r="C86" s="304" t="s">
        <v>5034</v>
      </c>
      <c r="D86" s="299">
        <v>50.0</v>
      </c>
      <c r="E86" s="249" t="s">
        <v>5035</v>
      </c>
      <c r="F86" s="105" t="s">
        <v>5036</v>
      </c>
      <c r="G86" s="106">
        <v>0.21</v>
      </c>
      <c r="H86" s="39" t="str">
        <f>VLOOKUP("NL4FX-D",STOCK!$B$2:$Q$3686,3,FALSE)</f>
        <v>Mayor a 5</v>
      </c>
    </row>
    <row r="87" ht="15.75" customHeight="1">
      <c r="A87" s="161" t="s">
        <v>4754</v>
      </c>
      <c r="B87" s="172" t="s">
        <v>5037</v>
      </c>
      <c r="C87" s="163" t="s">
        <v>5038</v>
      </c>
      <c r="D87" s="300">
        <v>50.0</v>
      </c>
      <c r="E87" s="247" t="s">
        <v>4796</v>
      </c>
      <c r="F87" s="102" t="s">
        <v>4797</v>
      </c>
      <c r="G87" s="103">
        <v>0.21</v>
      </c>
      <c r="H87" s="39" t="str">
        <f>VLOOKUP("NL4FXX-W-S",STOCK!$B$2:$Q$3686,3,FALSE)</f>
        <v>Mayor a 5</v>
      </c>
    </row>
    <row r="88" ht="15.75" customHeight="1">
      <c r="A88" s="166" t="s">
        <v>4754</v>
      </c>
      <c r="B88" s="167" t="s">
        <v>5039</v>
      </c>
      <c r="C88" s="168" t="s">
        <v>5040</v>
      </c>
      <c r="D88" s="299">
        <v>50.0</v>
      </c>
      <c r="E88" s="249" t="s">
        <v>4796</v>
      </c>
      <c r="F88" s="105" t="s">
        <v>4797</v>
      </c>
      <c r="G88" s="106">
        <v>0.21</v>
      </c>
      <c r="H88" s="39" t="str">
        <f>VLOOKUP("NL4FXX-W-L",STOCK!$B$2:$Q$3686,3,FALSE)</f>
        <v>Mayor a 5</v>
      </c>
    </row>
    <row r="89" ht="15.75" customHeight="1">
      <c r="A89" s="161" t="s">
        <v>4754</v>
      </c>
      <c r="B89" s="172" t="s">
        <v>5041</v>
      </c>
      <c r="C89" s="161" t="s">
        <v>5042</v>
      </c>
      <c r="D89" s="300">
        <v>50.0</v>
      </c>
      <c r="E89" s="247" t="s">
        <v>5043</v>
      </c>
      <c r="F89" s="102" t="s">
        <v>5044</v>
      </c>
      <c r="G89" s="103">
        <v>0.21</v>
      </c>
      <c r="H89" s="39" t="str">
        <f>VLOOKUP("NLT4FX",STOCK!$B$2:$Q$3686,3,FALSE)</f>
        <v>SIN STOCK</v>
      </c>
    </row>
    <row r="90" ht="15.75" customHeight="1">
      <c r="A90" s="166" t="s">
        <v>4754</v>
      </c>
      <c r="B90" s="171" t="s">
        <v>5045</v>
      </c>
      <c r="C90" s="168" t="s">
        <v>5046</v>
      </c>
      <c r="D90" s="126"/>
      <c r="E90" s="249" t="s">
        <v>5047</v>
      </c>
      <c r="F90" s="105" t="s">
        <v>5048</v>
      </c>
      <c r="G90" s="106">
        <v>0.21</v>
      </c>
      <c r="H90" s="39" t="str">
        <f>VLOOKUP("NLT4FXX",STOCK!$B$2:$Q$3686,3,FALSE)</f>
        <v>Mayor a 5</v>
      </c>
    </row>
    <row r="91" ht="15.75" customHeight="1">
      <c r="A91" s="161" t="s">
        <v>4754</v>
      </c>
      <c r="B91" s="172" t="s">
        <v>5049</v>
      </c>
      <c r="C91" s="163" t="s">
        <v>5050</v>
      </c>
      <c r="D91" s="300">
        <v>50.0</v>
      </c>
      <c r="E91" s="247" t="s">
        <v>5051</v>
      </c>
      <c r="F91" s="102" t="s">
        <v>5052</v>
      </c>
      <c r="G91" s="103">
        <v>0.21</v>
      </c>
      <c r="H91" s="39" t="str">
        <f>VLOOKUP("NLT4MX",STOCK!$B$2:$Q$3686,3,FALSE)</f>
        <v>SIN STOCK</v>
      </c>
    </row>
    <row r="92" ht="15.75" customHeight="1">
      <c r="A92" s="166" t="s">
        <v>4754</v>
      </c>
      <c r="B92" s="171" t="s">
        <v>5053</v>
      </c>
      <c r="C92" s="166" t="s">
        <v>5054</v>
      </c>
      <c r="D92" s="126"/>
      <c r="E92" s="249" t="s">
        <v>5051</v>
      </c>
      <c r="F92" s="105" t="s">
        <v>5052</v>
      </c>
      <c r="G92" s="106">
        <v>0.21</v>
      </c>
      <c r="H92" s="50" t="str">
        <f>VLOOKUP("NLT4MXX",STOCK!$B$2:$Q$3686,3,FALSE)</f>
        <v>Mayor a 5</v>
      </c>
    </row>
    <row r="93" ht="15.75" customHeight="1">
      <c r="A93" s="161" t="s">
        <v>4754</v>
      </c>
      <c r="B93" s="172" t="s">
        <v>5055</v>
      </c>
      <c r="C93" s="163" t="s">
        <v>5056</v>
      </c>
      <c r="D93" s="300">
        <v>25.0</v>
      </c>
      <c r="E93" s="247" t="s">
        <v>5057</v>
      </c>
      <c r="F93" s="102" t="s">
        <v>5058</v>
      </c>
      <c r="G93" s="103">
        <v>0.21</v>
      </c>
      <c r="H93" s="39" t="str">
        <f>VLOOKUP("NL8FC",STOCK!$B$2:$Q$3686,3,FALSE)</f>
        <v>Mayor a 5</v>
      </c>
    </row>
    <row r="94" ht="15.75" customHeight="1">
      <c r="A94" s="166" t="s">
        <v>4754</v>
      </c>
      <c r="B94" s="167" t="s">
        <v>5059</v>
      </c>
      <c r="C94" s="168" t="s">
        <v>5060</v>
      </c>
      <c r="D94" s="299">
        <v>20.0</v>
      </c>
      <c r="E94" s="249" t="s">
        <v>5061</v>
      </c>
      <c r="F94" s="105" t="s">
        <v>5062</v>
      </c>
      <c r="G94" s="106">
        <v>0.21</v>
      </c>
      <c r="H94" s="39" t="str">
        <f>VLOOKUP("NC3FX",STOCK!$B$2:$Q$3686,3,FALSE)</f>
        <v>Mayor a 5</v>
      </c>
    </row>
    <row r="95" ht="15.75" customHeight="1">
      <c r="A95" s="161" t="s">
        <v>4754</v>
      </c>
      <c r="B95" s="172" t="s">
        <v>5063</v>
      </c>
      <c r="C95" s="163" t="s">
        <v>5060</v>
      </c>
      <c r="D95" s="300">
        <v>20.0</v>
      </c>
      <c r="E95" s="247" t="s">
        <v>5064</v>
      </c>
      <c r="F95" s="102" t="s">
        <v>5065</v>
      </c>
      <c r="G95" s="103">
        <v>0.21</v>
      </c>
      <c r="H95" s="39" t="str">
        <f>VLOOKUP("NLT8MX",STOCK!$B$2:$Q$3686,3,FALSE)</f>
        <v>SIN STOCK</v>
      </c>
    </row>
    <row r="96" ht="15.75" customHeight="1">
      <c r="A96" s="166" t="s">
        <v>4754</v>
      </c>
      <c r="B96" s="167" t="s">
        <v>5066</v>
      </c>
      <c r="C96" s="168" t="s">
        <v>5067</v>
      </c>
      <c r="D96" s="299">
        <v>25.0</v>
      </c>
      <c r="E96" s="249" t="s">
        <v>5068</v>
      </c>
      <c r="F96" s="105" t="s">
        <v>5069</v>
      </c>
      <c r="G96" s="106">
        <v>0.21</v>
      </c>
      <c r="H96" s="39" t="str">
        <f>VLOOKUP("NL4MMX",STOCK!$B$2:$Q$3686,3,FALSE)</f>
        <v>Mayor a 5</v>
      </c>
    </row>
    <row r="97" ht="15.75" customHeight="1">
      <c r="A97" s="161" t="s">
        <v>4754</v>
      </c>
      <c r="B97" s="172" t="s">
        <v>5070</v>
      </c>
      <c r="C97" s="161" t="s">
        <v>5071</v>
      </c>
      <c r="D97" s="300">
        <v>25.0</v>
      </c>
      <c r="E97" s="247" t="s">
        <v>5072</v>
      </c>
      <c r="F97" s="102" t="s">
        <v>5073</v>
      </c>
      <c r="G97" s="103">
        <v>0.21</v>
      </c>
      <c r="H97" s="39" t="str">
        <f>VLOOKUP("NL8MM",STOCK!$B$2:$Q$3686,3,FALSE)</f>
        <v>Mayor a 5</v>
      </c>
    </row>
    <row r="98" ht="15.75" customHeight="1">
      <c r="A98" s="166" t="s">
        <v>4754</v>
      </c>
      <c r="B98" s="166" t="s">
        <v>5074</v>
      </c>
      <c r="C98" s="166" t="s">
        <v>5075</v>
      </c>
      <c r="D98" s="126"/>
      <c r="E98" s="249" t="s">
        <v>5076</v>
      </c>
      <c r="F98" s="105" t="s">
        <v>5077</v>
      </c>
      <c r="G98" s="106">
        <v>0.21</v>
      </c>
      <c r="H98" s="39" t="str">
        <f>VLOOKUP("NLT8MXX-BAG",STOCK!$B$2:$Q$3686,3,FALSE)</f>
        <v>Mayor a 5</v>
      </c>
    </row>
    <row r="99" ht="15.75" customHeight="1">
      <c r="A99" s="29" t="s">
        <v>5078</v>
      </c>
      <c r="C99" s="301"/>
      <c r="D99" s="301"/>
      <c r="E99" s="55"/>
      <c r="F99" s="55"/>
      <c r="G99" s="114"/>
      <c r="H99" s="114"/>
    </row>
    <row r="100" ht="15.75" customHeight="1">
      <c r="A100" s="161" t="s">
        <v>4754</v>
      </c>
      <c r="B100" s="172" t="s">
        <v>5079</v>
      </c>
      <c r="C100" s="163" t="s">
        <v>5080</v>
      </c>
      <c r="D100" s="300">
        <v>100.0</v>
      </c>
      <c r="E100" s="247" t="s">
        <v>5081</v>
      </c>
      <c r="F100" s="102" t="s">
        <v>5082</v>
      </c>
      <c r="G100" s="103">
        <v>0.21</v>
      </c>
      <c r="H100" s="39" t="str">
        <f>VLOOKUP("NL4MP",STOCK!$B$2:$Q$3686,3,FALSE)</f>
        <v>Menor a 5</v>
      </c>
    </row>
    <row r="101" ht="15.75" customHeight="1">
      <c r="A101" s="166" t="s">
        <v>4754</v>
      </c>
      <c r="B101" s="167" t="s">
        <v>5083</v>
      </c>
      <c r="C101" s="168" t="s">
        <v>5084</v>
      </c>
      <c r="D101" s="299">
        <v>25.0</v>
      </c>
      <c r="E101" s="249" t="s">
        <v>5085</v>
      </c>
      <c r="F101" s="105" t="s">
        <v>5086</v>
      </c>
      <c r="G101" s="106">
        <v>0.21</v>
      </c>
      <c r="H101" s="30" t="str">
        <f>VLOOKUP("NLT4MP",STOCK!$B$2:$Q$3686,3,FALSE)</f>
        <v>Mayor a 5</v>
      </c>
    </row>
    <row r="102" ht="15.75" customHeight="1">
      <c r="A102" s="161" t="s">
        <v>4754</v>
      </c>
      <c r="B102" s="172" t="s">
        <v>5087</v>
      </c>
      <c r="C102" s="163" t="s">
        <v>5088</v>
      </c>
      <c r="D102" s="300">
        <v>40.0</v>
      </c>
      <c r="E102" s="247" t="s">
        <v>4793</v>
      </c>
      <c r="F102" s="102" t="s">
        <v>4794</v>
      </c>
      <c r="G102" s="103">
        <v>0.21</v>
      </c>
      <c r="H102" s="39" t="str">
        <f>VLOOKUP("NL4MPR",STOCK!$B$2:$Q$3686,3,FALSE)</f>
        <v>Menor a 5</v>
      </c>
    </row>
    <row r="103" ht="15.75" customHeight="1">
      <c r="A103" s="166" t="s">
        <v>4754</v>
      </c>
      <c r="B103" s="167" t="s">
        <v>5089</v>
      </c>
      <c r="C103" s="168" t="s">
        <v>5090</v>
      </c>
      <c r="D103" s="299">
        <v>100.0</v>
      </c>
      <c r="E103" s="249" t="s">
        <v>5081</v>
      </c>
      <c r="F103" s="105" t="s">
        <v>5082</v>
      </c>
      <c r="G103" s="106">
        <v>0.21</v>
      </c>
      <c r="H103" s="39" t="str">
        <f>VLOOKUP("NL4MPXX",STOCK!$B$2:$Q$3686,3,FALSE)</f>
        <v>Mayor a 5</v>
      </c>
    </row>
    <row r="104" ht="15.75" customHeight="1">
      <c r="A104" s="161" t="s">
        <v>4754</v>
      </c>
      <c r="B104" s="170" t="s">
        <v>5091</v>
      </c>
      <c r="C104" s="163" t="s">
        <v>5092</v>
      </c>
      <c r="D104" s="297"/>
      <c r="E104" s="247" t="s">
        <v>5085</v>
      </c>
      <c r="F104" s="102" t="s">
        <v>5086</v>
      </c>
      <c r="G104" s="103">
        <v>0.21</v>
      </c>
      <c r="H104" s="39" t="str">
        <f>VLOOKUP("NLT4MPXX",STOCK!$B$2:$Q$3686,3,FALSE)</f>
        <v>Mayor a 5</v>
      </c>
    </row>
    <row r="105" ht="15.75" customHeight="1">
      <c r="A105" s="166" t="s">
        <v>4754</v>
      </c>
      <c r="B105" s="167" t="s">
        <v>5093</v>
      </c>
      <c r="C105" s="166" t="s">
        <v>5084</v>
      </c>
      <c r="D105" s="299">
        <v>40.0</v>
      </c>
      <c r="E105" s="249" t="s">
        <v>5094</v>
      </c>
      <c r="F105" s="105" t="s">
        <v>5095</v>
      </c>
      <c r="G105" s="106">
        <v>0.21</v>
      </c>
      <c r="H105" s="39" t="str">
        <f>VLOOKUP("NLT8MP",STOCK!$B$2:$Q$3686,3,FALSE)</f>
        <v>Mayor a 5</v>
      </c>
    </row>
    <row r="106" ht="15.75" customHeight="1">
      <c r="A106" s="161" t="s">
        <v>4754</v>
      </c>
      <c r="B106" s="172" t="s">
        <v>5096</v>
      </c>
      <c r="C106" s="163" t="s">
        <v>5097</v>
      </c>
      <c r="D106" s="300">
        <v>40.0</v>
      </c>
      <c r="E106" s="247" t="s">
        <v>5098</v>
      </c>
      <c r="F106" s="102" t="s">
        <v>5099</v>
      </c>
      <c r="G106" s="103">
        <v>0.21</v>
      </c>
      <c r="H106" s="39" t="str">
        <f>VLOOKUP("NL8MPR",STOCK!$B$2:$Q$3686,3,FALSE)</f>
        <v>Mayor a 5</v>
      </c>
    </row>
    <row r="107" ht="15.75" customHeight="1">
      <c r="A107" s="166" t="s">
        <v>4754</v>
      </c>
      <c r="B107" s="171" t="s">
        <v>5100</v>
      </c>
      <c r="C107" s="168" t="s">
        <v>5101</v>
      </c>
      <c r="D107" s="126"/>
      <c r="E107" s="249" t="s">
        <v>5094</v>
      </c>
      <c r="F107" s="105" t="s">
        <v>5095</v>
      </c>
      <c r="G107" s="106">
        <v>0.21</v>
      </c>
      <c r="H107" s="39" t="str">
        <f>VLOOKUP("NLT8MPXX",STOCK!$B$2:$Q$3686,3,FALSE)</f>
        <v>Mayor a 5</v>
      </c>
    </row>
    <row r="108" ht="15.75" customHeight="1">
      <c r="A108" s="29" t="s">
        <v>5102</v>
      </c>
      <c r="C108" s="32"/>
      <c r="D108" s="301"/>
      <c r="E108" s="55"/>
      <c r="F108" s="55"/>
      <c r="G108" s="114"/>
      <c r="H108" s="114"/>
    </row>
    <row r="109" ht="15.75" customHeight="1">
      <c r="A109" s="161" t="s">
        <v>5103</v>
      </c>
      <c r="B109" s="172" t="s">
        <v>5104</v>
      </c>
      <c r="C109" s="163" t="s">
        <v>5105</v>
      </c>
      <c r="D109" s="300">
        <v>1.0</v>
      </c>
      <c r="E109" s="247" t="s">
        <v>5106</v>
      </c>
      <c r="F109" s="102" t="s">
        <v>5107</v>
      </c>
      <c r="G109" s="103">
        <v>0.21</v>
      </c>
      <c r="H109" s="50" t="str">
        <f>VLOOKUP("NSB2B-12/4",STOCK!$B$2:$Q$3686,3,FALSE)</f>
        <v>Menor a 5</v>
      </c>
    </row>
    <row r="110" ht="15.75" customHeight="1">
      <c r="A110" s="166" t="s">
        <v>5103</v>
      </c>
      <c r="B110" s="167" t="s">
        <v>5108</v>
      </c>
      <c r="C110" s="168" t="s">
        <v>5109</v>
      </c>
      <c r="D110" s="299">
        <v>1.0</v>
      </c>
      <c r="E110" s="249" t="s">
        <v>5110</v>
      </c>
      <c r="F110" s="105" t="s">
        <v>5111</v>
      </c>
      <c r="G110" s="106">
        <v>0.21</v>
      </c>
      <c r="H110" s="39" t="str">
        <f>VLOOKUP("NSB3B-20/4",STOCK!$B$2:$Q$3686,3,FALSE)</f>
        <v>Mayor a 5</v>
      </c>
    </row>
    <row r="111" ht="15.75" customHeight="1">
      <c r="A111" s="29" t="s">
        <v>5112</v>
      </c>
      <c r="B111" s="32"/>
      <c r="C111" s="301"/>
      <c r="D111" s="301"/>
      <c r="E111" s="55"/>
      <c r="F111" s="55"/>
      <c r="G111" s="114"/>
      <c r="H111" s="114"/>
    </row>
    <row r="112" ht="15.75" customHeight="1">
      <c r="A112" s="161" t="s">
        <v>4754</v>
      </c>
      <c r="B112" s="172" t="s">
        <v>5113</v>
      </c>
      <c r="C112" s="163" t="s">
        <v>5114</v>
      </c>
      <c r="D112" s="300">
        <v>1.0</v>
      </c>
      <c r="E112" s="247" t="s">
        <v>5115</v>
      </c>
      <c r="F112" s="102" t="s">
        <v>5116</v>
      </c>
      <c r="G112" s="103">
        <v>0.21</v>
      </c>
      <c r="H112" s="39" t="str">
        <f>VLOOKUP("NTL1",STOCK!$B$2:$Q$3686,3,FALSE)</f>
        <v>Mayor a 5</v>
      </c>
    </row>
    <row r="113" ht="15.75" customHeight="1">
      <c r="A113" s="166" t="s">
        <v>4754</v>
      </c>
      <c r="B113" s="167" t="s">
        <v>5117</v>
      </c>
      <c r="C113" s="168" t="s">
        <v>5118</v>
      </c>
      <c r="D113" s="299">
        <v>1.0</v>
      </c>
      <c r="E113" s="249" t="s">
        <v>5119</v>
      </c>
      <c r="F113" s="105" t="s">
        <v>5120</v>
      </c>
      <c r="G113" s="106">
        <v>0.21</v>
      </c>
      <c r="H113" s="39" t="str">
        <f>VLOOKUP("NTE1",STOCK!$B$2:$Q$3686,3,FALSE)</f>
        <v>Mayor a 5</v>
      </c>
    </row>
    <row r="114" ht="15.75" customHeight="1">
      <c r="A114" s="161" t="s">
        <v>4754</v>
      </c>
      <c r="B114" s="172" t="s">
        <v>5121</v>
      </c>
      <c r="C114" s="163" t="s">
        <v>5122</v>
      </c>
      <c r="D114" s="300">
        <v>1.0</v>
      </c>
      <c r="E114" s="247" t="s">
        <v>5123</v>
      </c>
      <c r="F114" s="102" t="s">
        <v>5124</v>
      </c>
      <c r="G114" s="103">
        <v>0.21</v>
      </c>
      <c r="H114" s="39" t="str">
        <f>VLOOKUP("NTM4",STOCK!$B$2:$Q$3686,3,FALSE)</f>
        <v>Mayor a 5</v>
      </c>
    </row>
    <row r="115" ht="15.75" customHeight="1">
      <c r="A115" s="166" t="s">
        <v>4754</v>
      </c>
      <c r="B115" s="167" t="s">
        <v>5125</v>
      </c>
      <c r="C115" s="168" t="s">
        <v>5126</v>
      </c>
      <c r="D115" s="299">
        <v>1.0</v>
      </c>
      <c r="E115" s="249" t="s">
        <v>5127</v>
      </c>
      <c r="F115" s="105" t="s">
        <v>5128</v>
      </c>
      <c r="G115" s="106">
        <v>0.21</v>
      </c>
      <c r="H115" s="39" t="str">
        <f>VLOOKUP("NTE4",STOCK!$B$2:$Q$3686,3,FALSE)</f>
        <v>Mayor a 5</v>
      </c>
    </row>
    <row r="116" ht="15.75" customHeight="1">
      <c r="A116" s="29" t="s">
        <v>5129</v>
      </c>
      <c r="B116" s="32"/>
      <c r="C116" s="301"/>
      <c r="D116" s="301"/>
      <c r="E116" s="55"/>
      <c r="F116" s="55"/>
      <c r="G116" s="114"/>
      <c r="H116" s="114"/>
    </row>
    <row r="117" ht="15.75" customHeight="1">
      <c r="A117" s="161" t="s">
        <v>4754</v>
      </c>
      <c r="B117" s="172" t="s">
        <v>5130</v>
      </c>
      <c r="C117" s="163" t="s">
        <v>5131</v>
      </c>
      <c r="D117" s="300">
        <v>100.0</v>
      </c>
      <c r="E117" s="247" t="s">
        <v>5132</v>
      </c>
      <c r="F117" s="102" t="s">
        <v>5133</v>
      </c>
      <c r="G117" s="103">
        <v>0.21</v>
      </c>
      <c r="H117" s="39" t="str">
        <f>VLOOKUP("NP2C",STOCK!$B$2:$Q$3686,3,FALSE)</f>
        <v>Mayor a 5</v>
      </c>
    </row>
    <row r="118" ht="15.75" customHeight="1">
      <c r="A118" s="166" t="s">
        <v>4754</v>
      </c>
      <c r="B118" s="181" t="s">
        <v>5134</v>
      </c>
      <c r="C118" s="168" t="s">
        <v>5135</v>
      </c>
      <c r="D118" s="299">
        <v>100.0</v>
      </c>
      <c r="E118" s="249" t="s">
        <v>4904</v>
      </c>
      <c r="F118" s="105" t="s">
        <v>4905</v>
      </c>
      <c r="G118" s="106">
        <v>0.21</v>
      </c>
      <c r="H118" s="39" t="str">
        <f>VLOOKUP("NP2X",STOCK!$B$2:$Q$3686,3,FALSE)</f>
        <v>Mayor a 5</v>
      </c>
    </row>
    <row r="119" ht="15.75" customHeight="1">
      <c r="A119" s="161" t="s">
        <v>4754</v>
      </c>
      <c r="B119" s="172" t="s">
        <v>5136</v>
      </c>
      <c r="C119" s="163" t="s">
        <v>5137</v>
      </c>
      <c r="D119" s="300">
        <v>25.0</v>
      </c>
      <c r="E119" s="247" t="s">
        <v>5138</v>
      </c>
      <c r="F119" s="102" t="s">
        <v>5139</v>
      </c>
      <c r="G119" s="103">
        <v>0.21</v>
      </c>
      <c r="H119" s="39" t="str">
        <f>VLOOKUP("NP2RX",STOCK!$B$2:$Q$3686,3,FALSE)</f>
        <v>Mayor a 5</v>
      </c>
    </row>
    <row r="120" ht="15.75" customHeight="1">
      <c r="A120" s="166" t="s">
        <v>4754</v>
      </c>
      <c r="B120" s="167" t="s">
        <v>5140</v>
      </c>
      <c r="C120" s="166" t="s">
        <v>5141</v>
      </c>
      <c r="D120" s="299">
        <v>100.0</v>
      </c>
      <c r="E120" s="249" t="s">
        <v>5142</v>
      </c>
      <c r="F120" s="105" t="s">
        <v>5143</v>
      </c>
      <c r="G120" s="106">
        <v>0.21</v>
      </c>
      <c r="H120" s="302" t="str">
        <f>VLOOKUP("NP2X-SILENT",STOCK!$B$2:$Q$3686,3,FALSE)</f>
        <v>Mayor a 5</v>
      </c>
    </row>
    <row r="121" ht="15.75" customHeight="1">
      <c r="A121" s="161" t="s">
        <v>4754</v>
      </c>
      <c r="B121" s="172" t="s">
        <v>5144</v>
      </c>
      <c r="C121" s="163" t="s">
        <v>5145</v>
      </c>
      <c r="D121" s="300">
        <v>100.0</v>
      </c>
      <c r="E121" s="247" t="s">
        <v>4769</v>
      </c>
      <c r="F121" s="102" t="s">
        <v>4770</v>
      </c>
      <c r="G121" s="103">
        <v>0.21</v>
      </c>
      <c r="H121" s="39" t="str">
        <f>VLOOKUP("NP3X",STOCK!$B$2:$Q$3686,3,FALSE)</f>
        <v>Mayor a 5</v>
      </c>
    </row>
    <row r="122" ht="15.75" customHeight="1">
      <c r="A122" s="166" t="s">
        <v>4754</v>
      </c>
      <c r="B122" s="167" t="s">
        <v>5146</v>
      </c>
      <c r="C122" s="168" t="s">
        <v>5147</v>
      </c>
      <c r="D122" s="299">
        <v>25.0</v>
      </c>
      <c r="E122" s="249" t="s">
        <v>5148</v>
      </c>
      <c r="F122" s="105" t="s">
        <v>5149</v>
      </c>
      <c r="G122" s="106">
        <v>0.21</v>
      </c>
      <c r="H122" s="39" t="str">
        <f>VLOOKUP("NP3RX",STOCK!$B$2:$Q$3686,3,FALSE)</f>
        <v>Mayor a 5</v>
      </c>
    </row>
    <row r="123" ht="15.75" customHeight="1">
      <c r="A123" s="161" t="s">
        <v>4754</v>
      </c>
      <c r="B123" s="172" t="s">
        <v>5150</v>
      </c>
      <c r="C123" s="163" t="s">
        <v>5151</v>
      </c>
      <c r="D123" s="300">
        <v>100.0</v>
      </c>
      <c r="E123" s="247" t="s">
        <v>5152</v>
      </c>
      <c r="F123" s="102" t="s">
        <v>5153</v>
      </c>
      <c r="G123" s="103">
        <v>0.21</v>
      </c>
      <c r="H123" s="39" t="str">
        <f>VLOOKUP("NTP3RC",STOCK!$B$2:$Q$3686,3,FALSE)</f>
        <v>Mayor a 5</v>
      </c>
    </row>
    <row r="124" ht="15.75" customHeight="1">
      <c r="A124" s="29" t="s">
        <v>5154</v>
      </c>
      <c r="B124" s="32"/>
      <c r="C124" s="301"/>
      <c r="D124" s="301"/>
      <c r="E124" s="55"/>
      <c r="F124" s="55"/>
      <c r="G124" s="114"/>
      <c r="H124" s="114"/>
    </row>
    <row r="125" ht="15.75" customHeight="1">
      <c r="A125" s="161" t="s">
        <v>4754</v>
      </c>
      <c r="B125" s="172" t="s">
        <v>5155</v>
      </c>
      <c r="C125" s="163" t="s">
        <v>5156</v>
      </c>
      <c r="D125" s="300">
        <v>100.0</v>
      </c>
      <c r="E125" s="247" t="s">
        <v>5157</v>
      </c>
      <c r="F125" s="102" t="s">
        <v>5158</v>
      </c>
      <c r="G125" s="103">
        <v>0.21</v>
      </c>
      <c r="H125" s="39" t="str">
        <f>VLOOKUP("NF2D-O",STOCK!$B$2:$Q$3686,3,FALSE)</f>
        <v>Mayor a 5</v>
      </c>
    </row>
    <row r="126" ht="15.75" customHeight="1">
      <c r="A126" s="166" t="s">
        <v>4754</v>
      </c>
      <c r="B126" s="167" t="s">
        <v>5159</v>
      </c>
      <c r="C126" s="168" t="s">
        <v>5160</v>
      </c>
      <c r="D126" s="299">
        <v>100.0</v>
      </c>
      <c r="E126" s="249" t="s">
        <v>5161</v>
      </c>
      <c r="F126" s="105" t="s">
        <v>5162</v>
      </c>
      <c r="G126" s="106">
        <v>0.21</v>
      </c>
      <c r="H126" s="302" t="str">
        <f>VLOOKUP("NF2D-2",STOCK!$B$2:$Q$3686,3,FALSE)</f>
        <v>Mayor a 5</v>
      </c>
    </row>
    <row r="127" ht="15.75" customHeight="1">
      <c r="A127" s="29" t="s">
        <v>5163</v>
      </c>
      <c r="C127" s="301"/>
      <c r="D127" s="301"/>
      <c r="E127" s="55"/>
      <c r="F127" s="55"/>
      <c r="G127" s="114"/>
      <c r="H127" s="114"/>
    </row>
    <row r="128" ht="15.75" customHeight="1">
      <c r="A128" s="161" t="s">
        <v>4754</v>
      </c>
      <c r="B128" s="172" t="s">
        <v>5164</v>
      </c>
      <c r="C128" s="163" t="s">
        <v>5165</v>
      </c>
      <c r="D128" s="300">
        <v>25.0</v>
      </c>
      <c r="E128" s="247" t="s">
        <v>5166</v>
      </c>
      <c r="F128" s="102" t="s">
        <v>5167</v>
      </c>
      <c r="G128" s="103">
        <v>0.21</v>
      </c>
      <c r="H128" s="39" t="str">
        <f>VLOOKUP("NADITBNC-M",STOCK!$B$2:$Q$3686,3,FALSE)</f>
        <v>Mayor a 5</v>
      </c>
    </row>
    <row r="129" ht="15.75" customHeight="1">
      <c r="A129" s="166" t="s">
        <v>4754</v>
      </c>
      <c r="B129" s="167" t="s">
        <v>5168</v>
      </c>
      <c r="C129" s="168" t="s">
        <v>5165</v>
      </c>
      <c r="D129" s="299">
        <v>25.0</v>
      </c>
      <c r="E129" s="249" t="s">
        <v>5169</v>
      </c>
      <c r="F129" s="105" t="s">
        <v>5170</v>
      </c>
      <c r="G129" s="106">
        <v>0.21</v>
      </c>
      <c r="H129" s="39" t="str">
        <f>VLOOKUP("NADITBNC-F",STOCK!$B$2:$Q$3686,3,FALSE)</f>
        <v>Mayor a 5</v>
      </c>
    </row>
    <row r="130" ht="15.75" customHeight="1">
      <c r="A130" s="166" t="s">
        <v>4754</v>
      </c>
      <c r="B130" s="167" t="s">
        <v>5171</v>
      </c>
      <c r="C130" s="168" t="s">
        <v>5172</v>
      </c>
      <c r="D130" s="299">
        <v>25.0</v>
      </c>
      <c r="E130" s="247" t="s">
        <v>5173</v>
      </c>
      <c r="F130" s="102" t="s">
        <v>5174</v>
      </c>
      <c r="G130" s="106">
        <v>0.21</v>
      </c>
      <c r="H130" s="39" t="str">
        <f>VLOOKUP("NA3MJ",STOCK!$B$2:$Q$3686,3,FALSE)</f>
        <v>Mayor a 5</v>
      </c>
    </row>
    <row r="131" ht="15.75" customHeight="1">
      <c r="A131" s="161" t="s">
        <v>4754</v>
      </c>
      <c r="B131" s="172" t="s">
        <v>5175</v>
      </c>
      <c r="C131" s="163" t="s">
        <v>5176</v>
      </c>
      <c r="D131" s="300">
        <v>25.0</v>
      </c>
      <c r="E131" s="249" t="s">
        <v>5177</v>
      </c>
      <c r="F131" s="105" t="s">
        <v>5178</v>
      </c>
      <c r="G131" s="103">
        <v>0.21</v>
      </c>
      <c r="H131" s="39" t="str">
        <f>VLOOKUP("NA3FP",STOCK!$B$2:$Q$3686,3,FALSE)</f>
        <v>Mayor a 5</v>
      </c>
    </row>
    <row r="132" ht="15.75" customHeight="1">
      <c r="A132" s="166" t="s">
        <v>4754</v>
      </c>
      <c r="B132" s="167" t="s">
        <v>5179</v>
      </c>
      <c r="C132" s="168" t="s">
        <v>5180</v>
      </c>
      <c r="D132" s="299">
        <v>25.0</v>
      </c>
      <c r="E132" s="247" t="s">
        <v>5181</v>
      </c>
      <c r="F132" s="102" t="s">
        <v>5182</v>
      </c>
      <c r="G132" s="106">
        <v>0.21</v>
      </c>
      <c r="H132" s="39" t="str">
        <f>VLOOKUP("NC3FX",STOCK!$B$2:$Q$3686,3,FALSE)</f>
        <v>Mayor a 5</v>
      </c>
    </row>
    <row r="133" ht="15.75" customHeight="1">
      <c r="A133" s="161" t="s">
        <v>4754</v>
      </c>
      <c r="B133" s="172" t="s">
        <v>5183</v>
      </c>
      <c r="C133" s="161" t="s">
        <v>5184</v>
      </c>
      <c r="D133" s="300">
        <v>25.0</v>
      </c>
      <c r="E133" s="249" t="s">
        <v>5185</v>
      </c>
      <c r="F133" s="105" t="s">
        <v>5186</v>
      </c>
      <c r="G133" s="103">
        <v>0.21</v>
      </c>
      <c r="H133" s="39" t="str">
        <f>VLOOKUP("NA3FF",STOCK!$B$2:$Q$3686,3,FALSE)</f>
        <v>Mayor a 5</v>
      </c>
    </row>
    <row r="134" ht="15.75" customHeight="1">
      <c r="A134" s="166" t="s">
        <v>4754</v>
      </c>
      <c r="B134" s="167" t="s">
        <v>5187</v>
      </c>
      <c r="C134" s="166" t="s">
        <v>5188</v>
      </c>
      <c r="D134" s="299">
        <v>25.0</v>
      </c>
      <c r="E134" s="247" t="s">
        <v>5189</v>
      </c>
      <c r="F134" s="102" t="s">
        <v>5190</v>
      </c>
      <c r="G134" s="106">
        <v>0.21</v>
      </c>
      <c r="H134" s="50" t="str">
        <f>VLOOKUP("NA3MM",STOCK!$B$2:$Q$3686,3,FALSE)</f>
        <v>Mayor a 5</v>
      </c>
    </row>
    <row r="135" ht="15.75" customHeight="1">
      <c r="A135" s="161" t="s">
        <v>4754</v>
      </c>
      <c r="B135" s="172" t="s">
        <v>5191</v>
      </c>
      <c r="C135" s="161" t="s">
        <v>5192</v>
      </c>
      <c r="D135" s="300">
        <v>25.0</v>
      </c>
      <c r="E135" s="249" t="s">
        <v>5193</v>
      </c>
      <c r="F135" s="105" t="s">
        <v>5194</v>
      </c>
      <c r="G135" s="103">
        <v>0.21</v>
      </c>
      <c r="H135" s="50" t="str">
        <f>VLOOKUP("NA3JJ",STOCK!$B$2:$Q$3686,3,FALSE)</f>
        <v>Mayor a 5</v>
      </c>
    </row>
    <row r="136" ht="15.75" customHeight="1">
      <c r="A136" s="29" t="s">
        <v>5195</v>
      </c>
      <c r="B136" s="32"/>
      <c r="C136" s="301"/>
      <c r="D136" s="301"/>
      <c r="E136" s="55"/>
      <c r="F136" s="55"/>
      <c r="G136" s="114"/>
      <c r="H136" s="114"/>
    </row>
    <row r="137" ht="15.75" customHeight="1">
      <c r="A137" s="161" t="s">
        <v>4754</v>
      </c>
      <c r="B137" s="170" t="s">
        <v>5196</v>
      </c>
      <c r="C137" s="163" t="s">
        <v>5197</v>
      </c>
      <c r="D137" s="297"/>
      <c r="E137" s="247" t="s">
        <v>5198</v>
      </c>
      <c r="F137" s="102" t="s">
        <v>5199</v>
      </c>
      <c r="G137" s="103">
        <v>0.21</v>
      </c>
      <c r="H137" s="39" t="str">
        <f>VLOOKUP("NAC3FX-W-TOP",STOCK!$B$2:$Q$3686,3,FALSE)</f>
        <v>Mayor a 5</v>
      </c>
    </row>
    <row r="138" ht="15.75" customHeight="1">
      <c r="A138" s="166" t="s">
        <v>4754</v>
      </c>
      <c r="B138" s="171" t="s">
        <v>5200</v>
      </c>
      <c r="C138" s="168" t="s">
        <v>5201</v>
      </c>
      <c r="D138" s="126"/>
      <c r="E138" s="249" t="s">
        <v>5198</v>
      </c>
      <c r="F138" s="105" t="s">
        <v>5199</v>
      </c>
      <c r="G138" s="106">
        <v>0.21</v>
      </c>
      <c r="H138" s="39" t="str">
        <f>VLOOKUP("NAC3MX-W-TOP",STOCK!$B$2:$Q$3686,3,FALSE)</f>
        <v>Mayor a 5</v>
      </c>
    </row>
    <row r="139" ht="15.75" customHeight="1">
      <c r="A139" s="161" t="s">
        <v>4754</v>
      </c>
      <c r="B139" s="172" t="s">
        <v>5202</v>
      </c>
      <c r="C139" s="163" t="s">
        <v>5203</v>
      </c>
      <c r="D139" s="300">
        <v>50.0</v>
      </c>
      <c r="E139" s="247" t="s">
        <v>5204</v>
      </c>
      <c r="F139" s="102" t="s">
        <v>5205</v>
      </c>
      <c r="G139" s="103">
        <v>0.21</v>
      </c>
      <c r="H139" s="39" t="str">
        <f>VLOOKUP("NAC3FCA",STOCK!$B$2:$Q$3686,3,FALSE)</f>
        <v>SIN STOCK</v>
      </c>
    </row>
    <row r="140" ht="15.75" customHeight="1">
      <c r="A140" s="166" t="s">
        <v>4754</v>
      </c>
      <c r="B140" s="167" t="s">
        <v>5206</v>
      </c>
      <c r="C140" s="168" t="s">
        <v>5207</v>
      </c>
      <c r="D140" s="299">
        <v>100.0</v>
      </c>
      <c r="E140" s="249" t="s">
        <v>3905</v>
      </c>
      <c r="F140" s="105" t="s">
        <v>5208</v>
      </c>
      <c r="G140" s="106">
        <v>0.21</v>
      </c>
      <c r="H140" s="302" t="str">
        <f>VLOOKUP("NAC3MPA",STOCK!$B$2:$Q$3686,3,FALSE)</f>
        <v>Mayor a 5</v>
      </c>
    </row>
    <row r="141" ht="15.75" customHeight="1">
      <c r="A141" s="161" t="s">
        <v>4754</v>
      </c>
      <c r="B141" s="172" t="s">
        <v>5209</v>
      </c>
      <c r="C141" s="163" t="s">
        <v>5203</v>
      </c>
      <c r="D141" s="300">
        <v>50.0</v>
      </c>
      <c r="E141" s="247" t="s">
        <v>5204</v>
      </c>
      <c r="F141" s="102" t="s">
        <v>5205</v>
      </c>
      <c r="G141" s="103">
        <v>0.21</v>
      </c>
      <c r="H141" s="39" t="str">
        <f>VLOOKUP("NAC3FCB",STOCK!$B$2:$Q$3686,3,FALSE)</f>
        <v>Mayor a 5</v>
      </c>
    </row>
    <row r="142" ht="15.75" customHeight="1">
      <c r="A142" s="166" t="s">
        <v>4754</v>
      </c>
      <c r="B142" s="167" t="s">
        <v>5210</v>
      </c>
      <c r="C142" s="166" t="s">
        <v>5207</v>
      </c>
      <c r="D142" s="299">
        <v>100.0</v>
      </c>
      <c r="E142" s="249" t="s">
        <v>5211</v>
      </c>
      <c r="F142" s="105" t="s">
        <v>5212</v>
      </c>
      <c r="G142" s="106">
        <v>0.21</v>
      </c>
      <c r="H142" s="39" t="str">
        <f>VLOOKUP("NAC3MPB",STOCK!$B$2:$Q$3686,3,FALSE)</f>
        <v>Mayor a 5</v>
      </c>
    </row>
    <row r="143" ht="15.75" customHeight="1">
      <c r="A143" s="161" t="s">
        <v>4754</v>
      </c>
      <c r="B143" s="172" t="s">
        <v>5213</v>
      </c>
      <c r="C143" s="163" t="s">
        <v>5214</v>
      </c>
      <c r="D143" s="300">
        <v>50.0</v>
      </c>
      <c r="E143" s="247" t="s">
        <v>4757</v>
      </c>
      <c r="F143" s="102" t="s">
        <v>4758</v>
      </c>
      <c r="G143" s="103">
        <v>0.21</v>
      </c>
      <c r="H143" s="39" t="str">
        <f>VLOOKUP("NAC3FX",STOCK!$B$2:$Q$3686,3,FALSE)</f>
        <v>SIN STOCK</v>
      </c>
    </row>
    <row r="144" ht="15.75" customHeight="1">
      <c r="A144" s="166" t="s">
        <v>4754</v>
      </c>
      <c r="B144" s="167" t="s">
        <v>5215</v>
      </c>
      <c r="C144" s="168" t="s">
        <v>5216</v>
      </c>
      <c r="D144" s="299">
        <v>50.0</v>
      </c>
      <c r="E144" s="249" t="s">
        <v>4757</v>
      </c>
      <c r="F144" s="105" t="s">
        <v>4758</v>
      </c>
      <c r="G144" s="106">
        <v>0.21</v>
      </c>
      <c r="H144" s="39" t="str">
        <f>VLOOKUP("NAC3MX",STOCK!$B$2:$Q$3686,3,FALSE)</f>
        <v>Mayor a 5</v>
      </c>
    </row>
    <row r="145" ht="15.75" customHeight="1">
      <c r="A145" s="161" t="s">
        <v>4754</v>
      </c>
      <c r="B145" s="162" t="s">
        <v>5217</v>
      </c>
      <c r="C145" s="234" t="s">
        <v>5218</v>
      </c>
      <c r="D145" s="300">
        <v>100.0</v>
      </c>
      <c r="E145" s="247" t="s">
        <v>5219</v>
      </c>
      <c r="F145" s="102" t="s">
        <v>5220</v>
      </c>
      <c r="G145" s="103">
        <v>0.21</v>
      </c>
      <c r="H145" s="39" t="str">
        <f>VLOOKUP("NAC3FPX",STOCK!$B$2:$Q$3686,3,FALSE)</f>
        <v>Mayor a 5</v>
      </c>
    </row>
    <row r="146" ht="15.75" customHeight="1">
      <c r="A146" s="166" t="s">
        <v>4754</v>
      </c>
      <c r="B146" s="167" t="s">
        <v>5221</v>
      </c>
      <c r="C146" s="168" t="s">
        <v>5222</v>
      </c>
      <c r="D146" s="299">
        <v>100.0</v>
      </c>
      <c r="E146" s="249" t="s">
        <v>5223</v>
      </c>
      <c r="F146" s="105" t="s">
        <v>5025</v>
      </c>
      <c r="G146" s="106">
        <v>0.21</v>
      </c>
      <c r="H146" s="39" t="str">
        <f>VLOOKUP("NAC3MPX",STOCK!$B$2:$Q$3686,3,FALSE)</f>
        <v>Mayor a 5</v>
      </c>
    </row>
    <row r="147" ht="15.75" customHeight="1">
      <c r="A147" s="161" t="s">
        <v>4754</v>
      </c>
      <c r="B147" s="172" t="s">
        <v>5224</v>
      </c>
      <c r="C147" s="163" t="s">
        <v>5225</v>
      </c>
      <c r="D147" s="300">
        <v>50.0</v>
      </c>
      <c r="E147" s="247" t="s">
        <v>5226</v>
      </c>
      <c r="F147" s="102" t="s">
        <v>5227</v>
      </c>
      <c r="G147" s="103">
        <v>0.21</v>
      </c>
      <c r="H147" s="39" t="str">
        <f>VLOOKUP("NAC3PX",STOCK!$B$2:$Q$3686,3,FALSE)</f>
        <v>Mayor a 5</v>
      </c>
    </row>
    <row r="148" ht="15.75" customHeight="1">
      <c r="A148" s="166" t="s">
        <v>4754</v>
      </c>
      <c r="B148" s="167" t="s">
        <v>5228</v>
      </c>
      <c r="C148" s="168" t="s">
        <v>5229</v>
      </c>
      <c r="D148" s="299">
        <v>25.0</v>
      </c>
      <c r="E148" s="249" t="s">
        <v>5230</v>
      </c>
      <c r="F148" s="105" t="s">
        <v>5231</v>
      </c>
      <c r="G148" s="106">
        <v>0.21</v>
      </c>
      <c r="H148" s="39" t="str">
        <f>VLOOKUP("NAC3FC-HC",STOCK!$B$2:$Q$3686,3,FALSE)</f>
        <v>Mayor a 5</v>
      </c>
    </row>
    <row r="149" ht="15.75" customHeight="1">
      <c r="A149" s="161" t="s">
        <v>4754</v>
      </c>
      <c r="B149" s="172" t="s">
        <v>5232</v>
      </c>
      <c r="C149" s="161" t="s">
        <v>5233</v>
      </c>
      <c r="D149" s="300">
        <v>40.0</v>
      </c>
      <c r="E149" s="247" t="s">
        <v>5234</v>
      </c>
      <c r="F149" s="102" t="s">
        <v>5235</v>
      </c>
      <c r="G149" s="103">
        <v>0.21</v>
      </c>
      <c r="H149" s="39" t="str">
        <f>VLOOKUP("NAC3MP-HC",STOCK!$B$2:$Q$3686,3,FALSE)</f>
        <v>Mayor a 5</v>
      </c>
    </row>
    <row r="150" ht="15.75" customHeight="1">
      <c r="A150" s="166" t="s">
        <v>4754</v>
      </c>
      <c r="B150" s="167" t="s">
        <v>5236</v>
      </c>
      <c r="C150" s="168" t="s">
        <v>5237</v>
      </c>
      <c r="D150" s="299">
        <v>25.0</v>
      </c>
      <c r="E150" s="249" t="s">
        <v>5238</v>
      </c>
      <c r="F150" s="105" t="s">
        <v>5239</v>
      </c>
      <c r="G150" s="106">
        <v>0.21</v>
      </c>
      <c r="H150" s="39" t="str">
        <f>VLOOKUP("NAC3MM",STOCK!$B$2:$Q$3686,3,FALSE)</f>
        <v>Mayor a 5</v>
      </c>
    </row>
    <row r="151" ht="15.75" customHeight="1">
      <c r="A151" s="29" t="s">
        <v>5240</v>
      </c>
      <c r="B151" s="32"/>
      <c r="C151" s="301"/>
      <c r="D151" s="301"/>
      <c r="E151" s="55"/>
      <c r="F151" s="55"/>
      <c r="G151" s="114"/>
      <c r="H151" s="114"/>
    </row>
    <row r="152" ht="15.75" customHeight="1">
      <c r="A152" s="161" t="s">
        <v>4754</v>
      </c>
      <c r="B152" s="161" t="s">
        <v>5241</v>
      </c>
      <c r="C152" s="163" t="s">
        <v>5242</v>
      </c>
      <c r="D152" s="297"/>
      <c r="E152" s="247" t="s">
        <v>5243</v>
      </c>
      <c r="F152" s="102" t="s">
        <v>5244</v>
      </c>
      <c r="G152" s="103">
        <v>0.21</v>
      </c>
      <c r="H152" s="39" t="str">
        <f>VLOOKUP("NE8FDY-C6-B",STOCK!$B$2:$Q$3686,3,FALSE)</f>
        <v>Mayor a 5</v>
      </c>
    </row>
    <row r="153" ht="15.75" customHeight="1">
      <c r="A153" s="166" t="s">
        <v>4754</v>
      </c>
      <c r="B153" s="181" t="s">
        <v>5245</v>
      </c>
      <c r="C153" s="168" t="s">
        <v>5246</v>
      </c>
      <c r="D153" s="299">
        <v>100.0</v>
      </c>
      <c r="E153" s="249" t="s">
        <v>5247</v>
      </c>
      <c r="F153" s="105" t="s">
        <v>5248</v>
      </c>
      <c r="G153" s="106">
        <v>0.21</v>
      </c>
      <c r="H153" s="39" t="str">
        <f>VLOOKUP("NE8MC",STOCK!$B$2:$Q$3686,3,FALSE)</f>
        <v>Mayor a 5</v>
      </c>
    </row>
    <row r="154" ht="15.75" customHeight="1">
      <c r="A154" s="161" t="s">
        <v>4754</v>
      </c>
      <c r="B154" s="162" t="s">
        <v>5249</v>
      </c>
      <c r="C154" s="163" t="s">
        <v>5250</v>
      </c>
      <c r="D154" s="300">
        <v>100.0</v>
      </c>
      <c r="E154" s="247" t="s">
        <v>5247</v>
      </c>
      <c r="F154" s="102" t="s">
        <v>5248</v>
      </c>
      <c r="G154" s="103">
        <v>0.21</v>
      </c>
      <c r="H154" s="39" t="str">
        <f>VLOOKUP("NE8MC-1",STOCK!$B$2:$Q$3686,3,FALSE)</f>
        <v>Mayor a 5</v>
      </c>
    </row>
    <row r="155" ht="15.75" customHeight="1">
      <c r="A155" s="166" t="s">
        <v>4754</v>
      </c>
      <c r="B155" s="305" t="s">
        <v>5251</v>
      </c>
      <c r="C155" s="168" t="s">
        <v>5252</v>
      </c>
      <c r="D155" s="299">
        <v>100.0</v>
      </c>
      <c r="E155" s="249" t="s">
        <v>5253</v>
      </c>
      <c r="F155" s="105" t="s">
        <v>5254</v>
      </c>
      <c r="G155" s="106">
        <v>0.21</v>
      </c>
      <c r="H155" s="39" t="str">
        <f>VLOOKUP("NE8MX-1",STOCK!$B$2:$Q$3686,3,FALSE)</f>
        <v>Mayor a 5</v>
      </c>
    </row>
    <row r="156" ht="15.75" customHeight="1">
      <c r="A156" s="161" t="s">
        <v>4754</v>
      </c>
      <c r="B156" s="172" t="s">
        <v>5255</v>
      </c>
      <c r="C156" s="161" t="s">
        <v>5256</v>
      </c>
      <c r="D156" s="300">
        <v>100.0</v>
      </c>
      <c r="E156" s="247" t="s">
        <v>5257</v>
      </c>
      <c r="F156" s="102" t="s">
        <v>5258</v>
      </c>
      <c r="G156" s="103">
        <v>0.21</v>
      </c>
      <c r="H156" s="39" t="str">
        <f>VLOOKUP("NE8FAV",STOCK!$B$2:$Q$3686,3,FALSE)</f>
        <v>Mayor a 5</v>
      </c>
    </row>
    <row r="157" ht="15.75" customHeight="1">
      <c r="A157" s="166" t="s">
        <v>4754</v>
      </c>
      <c r="B157" s="167" t="s">
        <v>5259</v>
      </c>
      <c r="C157" s="168" t="s">
        <v>5260</v>
      </c>
      <c r="D157" s="299">
        <v>100.0</v>
      </c>
      <c r="E157" s="249" t="s">
        <v>5257</v>
      </c>
      <c r="F157" s="105" t="s">
        <v>5258</v>
      </c>
      <c r="G157" s="106">
        <v>0.21</v>
      </c>
      <c r="H157" s="39" t="str">
        <f>VLOOKUP("NE8FAH",STOCK!$B$2:$Q$3686,3,FALSE)</f>
        <v>Mayor a 5</v>
      </c>
    </row>
    <row r="158" ht="15.75" customHeight="1">
      <c r="A158" s="161" t="s">
        <v>4754</v>
      </c>
      <c r="B158" s="172" t="s">
        <v>5261</v>
      </c>
      <c r="C158" s="161" t="s">
        <v>5262</v>
      </c>
      <c r="D158" s="300">
        <v>50.0</v>
      </c>
      <c r="E158" s="247" t="s">
        <v>5263</v>
      </c>
      <c r="F158" s="102" t="s">
        <v>5264</v>
      </c>
      <c r="G158" s="103">
        <v>0.21</v>
      </c>
      <c r="H158" s="39" t="str">
        <f>VLOOKUP("NE8FDV-YK",STOCK!$B$2:$Q$3686,3,FALSE)</f>
        <v>SIN STOCK</v>
      </c>
    </row>
    <row r="159" ht="15.75" customHeight="1">
      <c r="A159" s="166" t="s">
        <v>4754</v>
      </c>
      <c r="B159" s="167" t="s">
        <v>5265</v>
      </c>
      <c r="C159" s="168" t="s">
        <v>5266</v>
      </c>
      <c r="D159" s="299">
        <v>50.0</v>
      </c>
      <c r="E159" s="249" t="s">
        <v>5267</v>
      </c>
      <c r="F159" s="105" t="s">
        <v>5268</v>
      </c>
      <c r="G159" s="106">
        <v>0.21</v>
      </c>
      <c r="H159" s="39" t="str">
        <f>VLOOKUP("NE8FDP",STOCK!$B$2:$Q$3686,3,FALSE)</f>
        <v>Mayor a 5</v>
      </c>
    </row>
    <row r="160" ht="15.75" customHeight="1">
      <c r="A160" s="161" t="s">
        <v>4754</v>
      </c>
      <c r="B160" s="172" t="s">
        <v>5269</v>
      </c>
      <c r="C160" s="163" t="s">
        <v>5270</v>
      </c>
      <c r="D160" s="300">
        <v>50.0</v>
      </c>
      <c r="E160" s="247" t="s">
        <v>5271</v>
      </c>
      <c r="F160" s="102" t="s">
        <v>5272</v>
      </c>
      <c r="G160" s="103">
        <v>0.21</v>
      </c>
      <c r="H160" s="39" t="str">
        <f>VLOOKUP("NE8MX6",STOCK!$B$2:$Q$3686,3,FALSE)</f>
        <v>Mayor a 5</v>
      </c>
    </row>
    <row r="161" ht="15.75" customHeight="1">
      <c r="A161" s="166" t="s">
        <v>4754</v>
      </c>
      <c r="B161" s="167" t="s">
        <v>5273</v>
      </c>
      <c r="C161" s="168" t="s">
        <v>5274</v>
      </c>
      <c r="D161" s="299">
        <v>50.0</v>
      </c>
      <c r="E161" s="249" t="s">
        <v>5275</v>
      </c>
      <c r="F161" s="105" t="s">
        <v>5276</v>
      </c>
      <c r="G161" s="106">
        <v>0.21</v>
      </c>
      <c r="H161" s="302"/>
    </row>
    <row r="162" ht="15.75" customHeight="1">
      <c r="A162" s="29" t="s">
        <v>5277</v>
      </c>
      <c r="B162" s="32"/>
      <c r="C162" s="301"/>
      <c r="D162" s="32"/>
      <c r="E162" s="55"/>
      <c r="F162" s="55"/>
      <c r="G162" s="32"/>
      <c r="H162" s="30"/>
    </row>
    <row r="163" ht="15.75" customHeight="1">
      <c r="A163" s="161" t="s">
        <v>4754</v>
      </c>
      <c r="B163" s="170" t="s">
        <v>5278</v>
      </c>
      <c r="C163" s="163" t="s">
        <v>5279</v>
      </c>
      <c r="D163" s="300">
        <v>1.0</v>
      </c>
      <c r="E163" s="247" t="s">
        <v>5280</v>
      </c>
      <c r="F163" s="102" t="s">
        <v>5281</v>
      </c>
      <c r="G163" s="103">
        <v>0.21</v>
      </c>
      <c r="H163" s="39" t="str">
        <f>VLOOKUP("NKE5E-E1E1-M0050",STOCK!$B$2:$Q$3686,3,FALSE)</f>
        <v>SIN STOCK</v>
      </c>
    </row>
    <row r="164" ht="15.75" customHeight="1">
      <c r="A164" s="166" t="s">
        <v>4754</v>
      </c>
      <c r="B164" s="171" t="s">
        <v>5282</v>
      </c>
      <c r="C164" s="166" t="s">
        <v>5283</v>
      </c>
      <c r="D164" s="299">
        <v>1.0</v>
      </c>
      <c r="E164" s="249" t="s">
        <v>5284</v>
      </c>
      <c r="F164" s="105" t="s">
        <v>5285</v>
      </c>
      <c r="G164" s="106">
        <v>0.21</v>
      </c>
      <c r="H164" s="50" t="str">
        <f>VLOOKUP("NKE5E-E1E1-M0150",STOCK!$B$2:$Q$3686,3,FALSE)</f>
        <v>Menor a 5</v>
      </c>
    </row>
    <row r="165" ht="15.75" customHeight="1">
      <c r="A165" s="29" t="s">
        <v>5286</v>
      </c>
      <c r="B165" s="112"/>
      <c r="C165" s="301"/>
      <c r="D165" s="301"/>
      <c r="E165" s="55"/>
      <c r="F165" s="55"/>
      <c r="G165" s="114"/>
      <c r="H165" s="114"/>
    </row>
    <row r="166" ht="15.75" customHeight="1">
      <c r="A166" s="161" t="s">
        <v>4754</v>
      </c>
      <c r="B166" s="172" t="s">
        <v>5287</v>
      </c>
      <c r="C166" s="163" t="s">
        <v>5288</v>
      </c>
      <c r="D166" s="300">
        <v>100.0</v>
      </c>
      <c r="E166" s="247" t="s">
        <v>5003</v>
      </c>
      <c r="F166" s="102" t="s">
        <v>5004</v>
      </c>
      <c r="G166" s="103">
        <v>0.21</v>
      </c>
      <c r="H166" s="39" t="str">
        <f>VLOOKUP("NBNC75BLP7",STOCK!$B$2:$Q$3686,3,FALSE)</f>
        <v>Mayor a 5</v>
      </c>
    </row>
    <row r="167" ht="15.75" customHeight="1">
      <c r="A167" s="166" t="s">
        <v>4754</v>
      </c>
      <c r="B167" s="167" t="s">
        <v>5289</v>
      </c>
      <c r="C167" s="166" t="s">
        <v>5290</v>
      </c>
      <c r="D167" s="299">
        <v>100.0</v>
      </c>
      <c r="E167" s="249" t="s">
        <v>5003</v>
      </c>
      <c r="F167" s="105" t="s">
        <v>5004</v>
      </c>
      <c r="G167" s="106">
        <v>0.21</v>
      </c>
      <c r="H167" s="39" t="str">
        <f>VLOOKUP("NBNC75BLP9",STOCK!$B$2:$Q$3686,3,FALSE)</f>
        <v>Mayor a 5</v>
      </c>
    </row>
    <row r="168" ht="15.75" customHeight="1">
      <c r="A168" s="161" t="s">
        <v>4754</v>
      </c>
      <c r="B168" s="161" t="s">
        <v>5291</v>
      </c>
      <c r="C168" s="161" t="s">
        <v>5292</v>
      </c>
      <c r="D168" s="300">
        <v>100.0</v>
      </c>
      <c r="E168" s="247" t="s">
        <v>5293</v>
      </c>
      <c r="F168" s="102" t="s">
        <v>5294</v>
      </c>
      <c r="G168" s="103">
        <v>0.21</v>
      </c>
      <c r="H168" s="39" t="str">
        <f>VLOOKUP("NBNC75PNS7",STOCK!$B$2:$Q$3686,3,FALSE)</f>
        <v>Mayor a 5</v>
      </c>
    </row>
    <row r="169" ht="15.75" customHeight="1">
      <c r="A169" s="166" t="s">
        <v>4754</v>
      </c>
      <c r="B169" s="167" t="s">
        <v>5295</v>
      </c>
      <c r="C169" s="166" t="s">
        <v>5296</v>
      </c>
      <c r="D169" s="299">
        <v>100.0</v>
      </c>
      <c r="E169" s="249" t="s">
        <v>5003</v>
      </c>
      <c r="F169" s="105" t="s">
        <v>5004</v>
      </c>
      <c r="G169" s="106">
        <v>0.21</v>
      </c>
      <c r="H169" s="39" t="str">
        <f>VLOOKUP("NBNC75BTU11",STOCK!$B$2:$Q$3686,3,FALSE)</f>
        <v>Mayor a 5</v>
      </c>
    </row>
    <row r="170" ht="15.75" customHeight="1">
      <c r="A170" s="161" t="s">
        <v>4754</v>
      </c>
      <c r="B170" s="172" t="s">
        <v>5297</v>
      </c>
      <c r="C170" s="161" t="s">
        <v>5298</v>
      </c>
      <c r="D170" s="300">
        <v>100.0</v>
      </c>
      <c r="E170" s="247" t="s">
        <v>5299</v>
      </c>
      <c r="F170" s="102" t="s">
        <v>5300</v>
      </c>
      <c r="G170" s="103">
        <v>0.21</v>
      </c>
      <c r="H170" s="39" t="str">
        <f>VLOOKUP("NBNC75BDD6X",STOCK!$B$2:$Q$3686,3,FALSE)</f>
        <v>Mayor a 5</v>
      </c>
    </row>
    <row r="171" ht="15.75" customHeight="1">
      <c r="A171" s="166" t="s">
        <v>4754</v>
      </c>
      <c r="B171" s="167" t="s">
        <v>5301</v>
      </c>
      <c r="C171" s="168" t="s">
        <v>5302</v>
      </c>
      <c r="D171" s="299">
        <v>100.0</v>
      </c>
      <c r="E171" s="249" t="s">
        <v>4921</v>
      </c>
      <c r="F171" s="105" t="s">
        <v>5003</v>
      </c>
      <c r="G171" s="106">
        <v>0.21</v>
      </c>
      <c r="H171" s="39" t="str">
        <f>VLOOKUP("NBNC75BUU11X",STOCK!$B$2:$Q$3686,3,FALSE)</f>
        <v>SIN STOCK</v>
      </c>
    </row>
    <row r="172" ht="15.75" customHeight="1">
      <c r="A172" s="29" t="s">
        <v>5303</v>
      </c>
      <c r="B172" s="32"/>
      <c r="C172" s="32"/>
      <c r="D172" s="301"/>
      <c r="E172" s="55"/>
      <c r="F172" s="55"/>
      <c r="G172" s="114"/>
      <c r="H172" s="114"/>
    </row>
    <row r="173" ht="15.75" customHeight="1">
      <c r="A173" s="161" t="s">
        <v>4754</v>
      </c>
      <c r="B173" s="172" t="s">
        <v>5304</v>
      </c>
      <c r="C173" s="163" t="s">
        <v>5305</v>
      </c>
      <c r="D173" s="300">
        <v>100.0</v>
      </c>
      <c r="E173" s="247" t="s">
        <v>5306</v>
      </c>
      <c r="F173" s="102" t="s">
        <v>5307</v>
      </c>
      <c r="G173" s="103">
        <v>0.21</v>
      </c>
      <c r="H173" s="39" t="str">
        <f>VLOOKUP("NBB75FI",STOCK!$B$2:$Q$3686,3,FALSE)</f>
        <v>Mayor a 5</v>
      </c>
    </row>
    <row r="174" ht="15.75" customHeight="1">
      <c r="A174" s="166" t="s">
        <v>4754</v>
      </c>
      <c r="B174" s="166" t="s">
        <v>5308</v>
      </c>
      <c r="C174" s="168" t="s">
        <v>5309</v>
      </c>
      <c r="D174" s="126"/>
      <c r="E174" s="249" t="s">
        <v>5310</v>
      </c>
      <c r="F174" s="105" t="s">
        <v>5311</v>
      </c>
      <c r="G174" s="106">
        <v>0.21</v>
      </c>
      <c r="H174" s="50" t="str">
        <f>VLOOKUP("NBB75DFIX",STOCK!$B$2:$Q$3686,3,FALSE)</f>
        <v>Mayor a 5</v>
      </c>
    </row>
    <row r="175" ht="15.75" customHeight="1">
      <c r="A175" s="161" t="s">
        <v>4754</v>
      </c>
      <c r="B175" s="172" t="s">
        <v>5312</v>
      </c>
      <c r="C175" s="163" t="s">
        <v>5313</v>
      </c>
      <c r="D175" s="300">
        <v>100.0</v>
      </c>
      <c r="E175" s="247" t="s">
        <v>5263</v>
      </c>
      <c r="F175" s="102" t="s">
        <v>5264</v>
      </c>
      <c r="G175" s="103">
        <v>0.21</v>
      </c>
      <c r="H175" s="39" t="str">
        <f>VLOOKUP("NBB75DFI",STOCK!$B$2:$Q$3686,3,FALSE)</f>
        <v>Mayor a 5</v>
      </c>
    </row>
    <row r="176" ht="15.75" customHeight="1">
      <c r="A176" s="166" t="s">
        <v>4754</v>
      </c>
      <c r="B176" s="167" t="s">
        <v>5314</v>
      </c>
      <c r="C176" s="168" t="s">
        <v>5315</v>
      </c>
      <c r="D176" s="299">
        <v>100.0</v>
      </c>
      <c r="E176" s="249" t="s">
        <v>5316</v>
      </c>
      <c r="F176" s="105" t="s">
        <v>5317</v>
      </c>
      <c r="G176" s="106">
        <v>0.21</v>
      </c>
      <c r="H176" s="39" t="str">
        <f>VLOOKUP("NBB75DFG",STOCK!$B$2:$Q$3686,3,FALSE)</f>
        <v>Mayor a 5</v>
      </c>
    </row>
    <row r="177" ht="15.75" customHeight="1">
      <c r="A177" s="161" t="s">
        <v>4754</v>
      </c>
      <c r="B177" s="234" t="s">
        <v>5318</v>
      </c>
      <c r="C177" s="163" t="s">
        <v>5319</v>
      </c>
      <c r="D177" s="297"/>
      <c r="E177" s="247" t="s">
        <v>5320</v>
      </c>
      <c r="F177" s="102" t="s">
        <v>5321</v>
      </c>
      <c r="G177" s="103">
        <v>0.21</v>
      </c>
      <c r="H177" s="39" t="str">
        <f>VLOOKUP("NBB75DFGX",STOCK!$B$2:$Q$3686,3,FALSE)</f>
        <v>Mayor a 5</v>
      </c>
    </row>
    <row r="178" ht="15.75" customHeight="1">
      <c r="A178" s="29" t="s">
        <v>5322</v>
      </c>
      <c r="B178" s="32"/>
      <c r="C178" s="32"/>
      <c r="D178" s="32"/>
      <c r="E178" s="55"/>
      <c r="F178" s="55"/>
      <c r="G178" s="32"/>
      <c r="H178" s="30"/>
    </row>
    <row r="179" ht="15.75" customHeight="1">
      <c r="A179" s="161" t="s">
        <v>4754</v>
      </c>
      <c r="B179" s="172" t="s">
        <v>5323</v>
      </c>
      <c r="C179" s="161" t="s">
        <v>5324</v>
      </c>
      <c r="D179" s="300">
        <v>100.0</v>
      </c>
      <c r="E179" s="247" t="s">
        <v>5325</v>
      </c>
      <c r="F179" s="102" t="s">
        <v>5326</v>
      </c>
      <c r="G179" s="103">
        <v>0.21</v>
      </c>
      <c r="H179" s="39" t="str">
        <f>VLOOKUP("NAHDMI-W",STOCK!$B$2:$Q$3686,3,FALSE)</f>
        <v>SIN STOCK</v>
      </c>
    </row>
    <row r="180" ht="15.75" customHeight="1">
      <c r="A180" s="29" t="s">
        <v>5327</v>
      </c>
      <c r="B180" s="32"/>
      <c r="C180" s="32"/>
      <c r="D180" s="32"/>
      <c r="E180" s="55"/>
      <c r="F180" s="55"/>
      <c r="G180" s="32"/>
      <c r="H180" s="30"/>
    </row>
    <row r="181" ht="15.75" customHeight="1">
      <c r="A181" s="161" t="s">
        <v>4754</v>
      </c>
      <c r="B181" s="172" t="s">
        <v>5328</v>
      </c>
      <c r="C181" s="163" t="s">
        <v>5329</v>
      </c>
      <c r="D181" s="300">
        <v>1.0</v>
      </c>
      <c r="E181" s="247" t="s">
        <v>5330</v>
      </c>
      <c r="F181" s="102" t="s">
        <v>5331</v>
      </c>
      <c r="G181" s="103">
        <v>0.21</v>
      </c>
      <c r="H181" s="39" t="str">
        <f>VLOOKUP("NKUSB-1",STOCK!$B$2:$Q$3686,3,FALSE)</f>
        <v>Mayor a 5</v>
      </c>
    </row>
    <row r="182" ht="15.75" customHeight="1">
      <c r="A182" s="166" t="s">
        <v>4754</v>
      </c>
      <c r="B182" s="167" t="s">
        <v>5332</v>
      </c>
      <c r="C182" s="168" t="s">
        <v>5333</v>
      </c>
      <c r="D182" s="299">
        <v>100.0</v>
      </c>
      <c r="E182" s="249" t="s">
        <v>5334</v>
      </c>
      <c r="F182" s="105" t="s">
        <v>5335</v>
      </c>
      <c r="G182" s="106">
        <v>0.21</v>
      </c>
      <c r="H182" s="50" t="str">
        <f>VLOOKUP("NAUSB-W",STOCK!$B$2:$Q$3686,3,FALSE)</f>
        <v>Mayor a 5</v>
      </c>
    </row>
    <row r="183" ht="15.75" customHeight="1">
      <c r="A183" s="161" t="s">
        <v>4754</v>
      </c>
      <c r="B183" s="172" t="s">
        <v>5336</v>
      </c>
      <c r="C183" s="163" t="s">
        <v>5337</v>
      </c>
      <c r="D183" s="300">
        <v>100.0</v>
      </c>
      <c r="E183" s="247" t="s">
        <v>5338</v>
      </c>
      <c r="F183" s="102" t="s">
        <v>5339</v>
      </c>
      <c r="G183" s="103">
        <v>0.21</v>
      </c>
      <c r="H183" s="302" t="str">
        <f>VLOOKUP("NAUSB3",STOCK!$B$2:$Q$3686,3,FALSE)</f>
        <v>Mayor a 5</v>
      </c>
    </row>
    <row r="184" ht="15.75" customHeight="1">
      <c r="A184" s="166" t="s">
        <v>4754</v>
      </c>
      <c r="B184" s="167" t="s">
        <v>5340</v>
      </c>
      <c r="C184" s="168" t="s">
        <v>5341</v>
      </c>
      <c r="D184" s="299">
        <v>100.0</v>
      </c>
      <c r="E184" s="249" t="s">
        <v>5342</v>
      </c>
      <c r="F184" s="105" t="s">
        <v>5343</v>
      </c>
      <c r="G184" s="106">
        <v>0.21</v>
      </c>
      <c r="H184" s="50" t="str">
        <f>VLOOKUP("NMC-C",STOCK!$B$2:$Q$3686,3,FALSE)</f>
        <v>Mayor a 5</v>
      </c>
    </row>
    <row r="185" ht="15.75" customHeight="1">
      <c r="A185" s="161" t="s">
        <v>4754</v>
      </c>
      <c r="B185" s="172" t="s">
        <v>5344</v>
      </c>
      <c r="C185" s="161" t="s">
        <v>5345</v>
      </c>
      <c r="D185" s="300">
        <v>100.0</v>
      </c>
      <c r="E185" s="247" t="s">
        <v>5346</v>
      </c>
      <c r="F185" s="102" t="s">
        <v>5347</v>
      </c>
      <c r="G185" s="103">
        <v>0.21</v>
      </c>
      <c r="H185" s="53" t="str">
        <f>VLOOKUP("NMC-C-HR",STOCK!$B$2:$Q$3686,3,FALSE)</f>
        <v>Mayor a 5</v>
      </c>
    </row>
    <row r="186" ht="15.75" customHeight="1">
      <c r="A186" s="29" t="s">
        <v>5348</v>
      </c>
      <c r="B186" s="32"/>
      <c r="C186" s="301"/>
      <c r="D186" s="301"/>
      <c r="E186" s="55"/>
      <c r="F186" s="55"/>
      <c r="G186" s="114"/>
      <c r="H186" s="114"/>
    </row>
    <row r="187" ht="15.75" customHeight="1">
      <c r="A187" s="161" t="s">
        <v>4754</v>
      </c>
      <c r="B187" s="170" t="s">
        <v>5349</v>
      </c>
      <c r="C187" s="306"/>
      <c r="D187" s="297"/>
      <c r="E187" s="266" t="s">
        <v>5350</v>
      </c>
      <c r="F187" s="44" t="s">
        <v>5351</v>
      </c>
      <c r="G187" s="103">
        <v>0.21</v>
      </c>
      <c r="H187" s="302" t="str">
        <f>VLOOKUP("NOSR-2C-L-ARD",STOCK!$B$2:$Q$3686,3,FALSE)</f>
        <v>Mayor a 5</v>
      </c>
    </row>
    <row r="188" ht="15.75" customHeight="1">
      <c r="A188" s="166" t="s">
        <v>4754</v>
      </c>
      <c r="B188" s="171" t="s">
        <v>5352</v>
      </c>
      <c r="C188" s="126"/>
      <c r="D188" s="126"/>
      <c r="E188" s="307" t="s">
        <v>5350</v>
      </c>
      <c r="F188" s="37" t="s">
        <v>5351</v>
      </c>
      <c r="G188" s="106">
        <v>0.21</v>
      </c>
      <c r="H188" s="302" t="str">
        <f>VLOOKUP("NOSR-4C-A-ARD",STOCK!$B$2:$Q$3686,3,FALSE)</f>
        <v>Mayor a 5</v>
      </c>
    </row>
    <row r="189" ht="15.75" customHeight="1">
      <c r="A189" s="161" t="s">
        <v>4754</v>
      </c>
      <c r="B189" s="170" t="s">
        <v>5353</v>
      </c>
      <c r="C189" s="297"/>
      <c r="D189" s="297"/>
      <c r="E189" s="266" t="s">
        <v>5354</v>
      </c>
      <c r="F189" s="44" t="s">
        <v>5355</v>
      </c>
      <c r="G189" s="103">
        <v>0.21</v>
      </c>
      <c r="H189" s="302" t="str">
        <f>VLOOKUP("NOSR-4C-L-ARD",STOCK!$B$2:$Q$3686,3,FALSE)</f>
        <v>Mayor a 5</v>
      </c>
    </row>
    <row r="190" ht="15.75" customHeight="1">
      <c r="A190" s="166" t="s">
        <v>4754</v>
      </c>
      <c r="B190" s="171" t="s">
        <v>5356</v>
      </c>
      <c r="C190" s="125"/>
      <c r="D190" s="126"/>
      <c r="E190" s="307" t="s">
        <v>5350</v>
      </c>
      <c r="F190" s="37" t="s">
        <v>5351</v>
      </c>
      <c r="G190" s="106">
        <v>0.21</v>
      </c>
      <c r="H190" s="39" t="str">
        <f>VLOOKUP("NO2SX-A-KIT",STOCK!$B$2:$Q$3686,3,FALSE)</f>
        <v>Menor a 5</v>
      </c>
    </row>
    <row r="191" ht="15.75" customHeight="1">
      <c r="A191" s="161" t="s">
        <v>4754</v>
      </c>
      <c r="B191" s="170" t="s">
        <v>5357</v>
      </c>
      <c r="C191" s="297"/>
      <c r="D191" s="297"/>
      <c r="E191" s="266" t="s">
        <v>5358</v>
      </c>
      <c r="F191" s="44" t="s">
        <v>5359</v>
      </c>
      <c r="G191" s="103">
        <v>0.21</v>
      </c>
      <c r="H191" s="53" t="str">
        <f>VLOOKUP("NO2SX-L-KIT",STOCK!$B$2:$Q$3686,3,FALSE)</f>
        <v>Mayor a 5</v>
      </c>
    </row>
    <row r="192" ht="15.75" customHeight="1">
      <c r="A192" s="166" t="s">
        <v>4754</v>
      </c>
      <c r="B192" s="171" t="s">
        <v>5360</v>
      </c>
      <c r="C192" s="126"/>
      <c r="D192" s="126"/>
      <c r="E192" s="307" t="s">
        <v>5361</v>
      </c>
      <c r="F192" s="37" t="s">
        <v>5362</v>
      </c>
      <c r="G192" s="106">
        <v>0.21</v>
      </c>
      <c r="H192" s="53" t="str">
        <f>VLOOKUP("NO4MX-A-KIT",STOCK!$B$2:$Q$3686,3,FALSE)</f>
        <v>Mayor a 5</v>
      </c>
    </row>
    <row r="193" ht="15.75" customHeight="1">
      <c r="A193" s="161" t="s">
        <v>4754</v>
      </c>
      <c r="B193" s="170" t="s">
        <v>5363</v>
      </c>
      <c r="C193" s="297"/>
      <c r="D193" s="297"/>
      <c r="E193" s="266" t="s">
        <v>5364</v>
      </c>
      <c r="F193" s="44" t="s">
        <v>5365</v>
      </c>
      <c r="G193" s="103">
        <v>0.21</v>
      </c>
      <c r="H193" s="53" t="str">
        <f>VLOOKUP("NO4SF-KIT",STOCK!$B$2:$Q$3686,3,FALSE)</f>
        <v>Mayor a 5</v>
      </c>
    </row>
    <row r="194" ht="15.75" customHeight="1">
      <c r="A194" s="166" t="s">
        <v>4754</v>
      </c>
      <c r="B194" s="166" t="s">
        <v>5366</v>
      </c>
      <c r="C194" s="126"/>
      <c r="D194" s="126"/>
      <c r="E194" s="307" t="s">
        <v>5367</v>
      </c>
      <c r="F194" s="37" t="s">
        <v>5368</v>
      </c>
      <c r="G194" s="106">
        <v>0.21</v>
      </c>
      <c r="H194" s="53" t="str">
        <f>VLOOKUP("NO4SX-L-KIT",STOCK!$B$2:$Q$3686,3,FALSE)</f>
        <v>Mayor a 5</v>
      </c>
    </row>
    <row r="195" ht="15.75" customHeight="1">
      <c r="A195" s="161" t="s">
        <v>4754</v>
      </c>
      <c r="B195" s="170" t="s">
        <v>5369</v>
      </c>
      <c r="C195" s="306"/>
      <c r="D195" s="297"/>
      <c r="E195" s="266" t="s">
        <v>5370</v>
      </c>
      <c r="F195" s="44" t="s">
        <v>5371</v>
      </c>
      <c r="G195" s="103">
        <v>0.21</v>
      </c>
      <c r="H195" s="53" t="str">
        <f>VLOOKUP("NOSR-S1-A-ARD",STOCK!$B$2:$Q$3686,3,FALSE)</f>
        <v>Mayor a 5</v>
      </c>
    </row>
    <row r="196" ht="15.75" customHeight="1">
      <c r="A196" s="166" t="s">
        <v>4754</v>
      </c>
      <c r="B196" s="167" t="s">
        <v>5372</v>
      </c>
      <c r="C196" s="168" t="s">
        <v>5373</v>
      </c>
      <c r="D196" s="299">
        <v>25.0</v>
      </c>
      <c r="E196" s="307" t="s">
        <v>5374</v>
      </c>
      <c r="F196" s="37" t="s">
        <v>5375</v>
      </c>
      <c r="G196" s="169">
        <v>0.21</v>
      </c>
      <c r="H196" s="53" t="str">
        <f>VLOOKUP("NO2-4FDW-A",STOCK!$B$2:$Q$3686,3,FALSE)</f>
        <v>Mayor a 5</v>
      </c>
    </row>
    <row r="197" ht="15.75" customHeight="1">
      <c r="A197" s="161" t="s">
        <v>4754</v>
      </c>
      <c r="B197" s="172" t="s">
        <v>5376</v>
      </c>
      <c r="C197" s="163" t="s">
        <v>5373</v>
      </c>
      <c r="D197" s="300">
        <v>25.0</v>
      </c>
      <c r="E197" s="266" t="s">
        <v>5377</v>
      </c>
      <c r="F197" s="44" t="s">
        <v>5378</v>
      </c>
      <c r="G197" s="308">
        <v>0.21</v>
      </c>
      <c r="H197" s="53" t="str">
        <f>VLOOKUP("NO4-FDW-A",STOCK!$B$2:$Q$3686,3,FALSE)</f>
        <v>Mayor a 5</v>
      </c>
    </row>
    <row r="198" ht="15.75" customHeight="1">
      <c r="A198" s="47" t="s">
        <v>4754</v>
      </c>
      <c r="B198" s="70" t="s">
        <v>5379</v>
      </c>
      <c r="C198" s="214" t="s">
        <v>5380</v>
      </c>
      <c r="D198" s="309">
        <v>1.0</v>
      </c>
      <c r="E198" s="307" t="s">
        <v>5381</v>
      </c>
      <c r="F198" s="37" t="s">
        <v>5382</v>
      </c>
      <c r="G198" s="38">
        <v>0.105</v>
      </c>
      <c r="H198" s="302"/>
    </row>
    <row r="199" ht="15.75" customHeight="1">
      <c r="A199" s="29" t="s">
        <v>5383</v>
      </c>
      <c r="B199" s="32"/>
      <c r="C199" s="32"/>
      <c r="D199" s="32"/>
      <c r="E199" s="55"/>
      <c r="F199" s="55"/>
      <c r="G199" s="32"/>
      <c r="H199" s="30"/>
    </row>
    <row r="200" ht="15.75" customHeight="1">
      <c r="A200" s="161" t="s">
        <v>4754</v>
      </c>
      <c r="B200" s="172" t="s">
        <v>5384</v>
      </c>
      <c r="C200" s="161" t="s">
        <v>5385</v>
      </c>
      <c r="D200" s="300">
        <v>1.0</v>
      </c>
      <c r="E200" s="247" t="s">
        <v>5386</v>
      </c>
      <c r="F200" s="102" t="s">
        <v>3167</v>
      </c>
      <c r="G200" s="103">
        <v>0.21</v>
      </c>
      <c r="H200" s="39" t="str">
        <f>VLOOKUP("NA2-IO-DPRO",STOCK!$B$2:$Q$3686,3,FALSE)</f>
        <v>Menor a 5</v>
      </c>
    </row>
    <row r="201" ht="15.75" customHeight="1">
      <c r="A201" s="29" t="s">
        <v>5387</v>
      </c>
      <c r="C201" s="301"/>
      <c r="D201" s="301"/>
      <c r="E201" s="55"/>
      <c r="F201" s="55"/>
      <c r="G201" s="114"/>
      <c r="H201" s="114"/>
    </row>
    <row r="202" ht="15.75" customHeight="1">
      <c r="A202" s="161" t="s">
        <v>4754</v>
      </c>
      <c r="B202" s="234" t="s">
        <v>5388</v>
      </c>
      <c r="C202" s="163" t="s">
        <v>5389</v>
      </c>
      <c r="D202" s="300">
        <v>100.0</v>
      </c>
      <c r="E202" s="247" t="s">
        <v>5390</v>
      </c>
      <c r="F202" s="102" t="s">
        <v>5391</v>
      </c>
      <c r="G202" s="103">
        <v>0.21</v>
      </c>
      <c r="H202" s="39" t="str">
        <f>VLOOKUP("NA1394-6-W",STOCK!$B$2:$Q$3686,3,FALSE)</f>
        <v>Mayor a 5</v>
      </c>
    </row>
    <row r="203" ht="15.75" customHeight="1">
      <c r="A203" s="29" t="s">
        <v>5392</v>
      </c>
      <c r="B203" s="32"/>
      <c r="C203" s="301"/>
      <c r="D203" s="301"/>
      <c r="E203" s="55"/>
      <c r="F203" s="55"/>
      <c r="G203" s="114"/>
      <c r="H203" s="114"/>
    </row>
    <row r="204" ht="15.75" customHeight="1">
      <c r="A204" s="161" t="s">
        <v>4754</v>
      </c>
      <c r="B204" s="170" t="s">
        <v>5393</v>
      </c>
      <c r="C204" s="163" t="s">
        <v>5394</v>
      </c>
      <c r="D204" s="297"/>
      <c r="E204" s="266" t="s">
        <v>5395</v>
      </c>
      <c r="F204" s="44" t="s">
        <v>5396</v>
      </c>
      <c r="G204" s="103">
        <v>0.21</v>
      </c>
      <c r="H204" s="53" t="str">
        <f>VLOOKUP("NKTT12-R",STOCK!$B$2:$Q$3686,3,FALSE)</f>
        <v>Mayor a 5</v>
      </c>
    </row>
    <row r="205" ht="15.75" customHeight="1">
      <c r="A205" s="166" t="s">
        <v>4754</v>
      </c>
      <c r="B205" s="171" t="s">
        <v>5397</v>
      </c>
      <c r="C205" s="166" t="s">
        <v>5398</v>
      </c>
      <c r="D205" s="126"/>
      <c r="E205" s="307" t="s">
        <v>5395</v>
      </c>
      <c r="F205" s="37" t="s">
        <v>5396</v>
      </c>
      <c r="G205" s="106">
        <v>0.21</v>
      </c>
      <c r="H205" s="39" t="str">
        <f>VLOOKUP("NKTT12-B",STOCK!$B$2:$Q$3686,3,FALSE)</f>
        <v>Mayor a 5</v>
      </c>
    </row>
    <row r="206" ht="15.75" customHeight="1">
      <c r="A206" s="161" t="s">
        <v>4754</v>
      </c>
      <c r="B206" s="172" t="s">
        <v>5399</v>
      </c>
      <c r="C206" s="163" t="s">
        <v>5400</v>
      </c>
      <c r="D206" s="300">
        <v>1.0</v>
      </c>
      <c r="E206" s="266" t="s">
        <v>5401</v>
      </c>
      <c r="F206" s="44" t="s">
        <v>5402</v>
      </c>
      <c r="G206" s="103">
        <v>0.21</v>
      </c>
      <c r="H206" s="39"/>
    </row>
    <row r="207" ht="15.75" customHeight="1">
      <c r="A207" s="166" t="s">
        <v>4754</v>
      </c>
      <c r="B207" s="167" t="s">
        <v>5403</v>
      </c>
      <c r="C207" s="168" t="s">
        <v>5404</v>
      </c>
      <c r="D207" s="299">
        <v>1.0</v>
      </c>
      <c r="E207" s="307" t="s">
        <v>5405</v>
      </c>
      <c r="F207" s="37" t="s">
        <v>5406</v>
      </c>
      <c r="G207" s="106">
        <v>0.21</v>
      </c>
      <c r="H207" s="302" t="str">
        <f>VLOOKUP("NPPA-TT-PT",STOCK!$B$2:$Q$3686,3,FALSE)</f>
        <v>SIN STOCK</v>
      </c>
    </row>
    <row r="208" ht="15.75" customHeight="1">
      <c r="A208" s="161" t="s">
        <v>4754</v>
      </c>
      <c r="B208" s="172" t="s">
        <v>5407</v>
      </c>
      <c r="C208" s="163" t="s">
        <v>5408</v>
      </c>
      <c r="D208" s="300">
        <v>1.0</v>
      </c>
      <c r="E208" s="266" t="s">
        <v>5409</v>
      </c>
      <c r="F208" s="44" t="s">
        <v>5410</v>
      </c>
      <c r="G208" s="103">
        <v>0.21</v>
      </c>
      <c r="H208" s="39" t="str">
        <f>VLOOKUP("NPP-TB",STOCK!$B$2:$Q$3686,3,FALSE)</f>
        <v>Menor a 5</v>
      </c>
    </row>
    <row r="209" ht="15.75" customHeight="1">
      <c r="A209" s="166" t="s">
        <v>4754</v>
      </c>
      <c r="B209" s="167" t="s">
        <v>5411</v>
      </c>
      <c r="C209" s="168" t="s">
        <v>5412</v>
      </c>
      <c r="D209" s="299">
        <v>1.0</v>
      </c>
      <c r="E209" s="307" t="s">
        <v>5413</v>
      </c>
      <c r="F209" s="37" t="s">
        <v>5414</v>
      </c>
      <c r="G209" s="106">
        <v>0.21</v>
      </c>
      <c r="H209" s="30" t="str">
        <f>VLOOKUP("NPP-TB-HN",STOCK!$B$2:$Q$3686,3,FALSE)</f>
        <v>Mayor a 5</v>
      </c>
    </row>
    <row r="210" ht="15.75" customHeight="1">
      <c r="A210" s="161" t="s">
        <v>4754</v>
      </c>
      <c r="B210" s="172" t="s">
        <v>5415</v>
      </c>
      <c r="C210" s="161" t="s">
        <v>5416</v>
      </c>
      <c r="D210" s="300">
        <v>1.0</v>
      </c>
      <c r="E210" s="266" t="s">
        <v>5417</v>
      </c>
      <c r="F210" s="44" t="s">
        <v>5418</v>
      </c>
      <c r="G210" s="103">
        <v>0.21</v>
      </c>
      <c r="H210" s="302"/>
    </row>
    <row r="211" ht="15.75" customHeight="1">
      <c r="A211" s="166" t="s">
        <v>4754</v>
      </c>
      <c r="B211" s="167" t="s">
        <v>5419</v>
      </c>
      <c r="C211" s="168" t="s">
        <v>5420</v>
      </c>
      <c r="D211" s="299">
        <v>1.0</v>
      </c>
      <c r="E211" s="307" t="s">
        <v>5421</v>
      </c>
      <c r="F211" s="37" t="s">
        <v>5422</v>
      </c>
      <c r="G211" s="106">
        <v>0.21</v>
      </c>
      <c r="H211" s="302"/>
    </row>
    <row r="212" ht="15.75" customHeight="1">
      <c r="A212" s="161" t="s">
        <v>4754</v>
      </c>
      <c r="B212" s="172" t="s">
        <v>5423</v>
      </c>
      <c r="C212" s="163" t="s">
        <v>5420</v>
      </c>
      <c r="D212" s="300">
        <v>1.0</v>
      </c>
      <c r="E212" s="266" t="s">
        <v>5421</v>
      </c>
      <c r="F212" s="44" t="s">
        <v>5422</v>
      </c>
      <c r="G212" s="103">
        <v>0.21</v>
      </c>
      <c r="H212" s="50" t="str">
        <f>VLOOKUP("NKTT05BU",STOCK!$B$2:$Q$3686,3,FALSE)</f>
        <v>#N/A</v>
      </c>
    </row>
    <row r="213" ht="15.75" customHeight="1">
      <c r="A213" s="166" t="s">
        <v>4754</v>
      </c>
      <c r="B213" s="167" t="s">
        <v>5424</v>
      </c>
      <c r="C213" s="168" t="s">
        <v>5425</v>
      </c>
      <c r="D213" s="299">
        <v>10.0</v>
      </c>
      <c r="E213" s="307" t="s">
        <v>5426</v>
      </c>
      <c r="F213" s="37" t="s">
        <v>5427</v>
      </c>
      <c r="G213" s="106">
        <v>0.21</v>
      </c>
      <c r="H213" s="50" t="str">
        <f>VLOOKUP("NKTB05-R",STOCK!$B$2:$Q$3686,3,FALSE)</f>
        <v>Mayor a 5</v>
      </c>
    </row>
    <row r="214" ht="15.75" customHeight="1">
      <c r="A214" s="161" t="s">
        <v>4754</v>
      </c>
      <c r="B214" s="172" t="s">
        <v>5428</v>
      </c>
      <c r="C214" s="163" t="s">
        <v>5425</v>
      </c>
      <c r="D214" s="300">
        <v>10.0</v>
      </c>
      <c r="E214" s="266" t="s">
        <v>5429</v>
      </c>
      <c r="F214" s="44" t="s">
        <v>5430</v>
      </c>
      <c r="G214" s="103">
        <v>0.21</v>
      </c>
      <c r="H214" s="50" t="str">
        <f>VLOOKUP("NKTB05-B",STOCK!$B$2:$Q$3686,3,FALSE)</f>
        <v>Mayor a 5</v>
      </c>
    </row>
    <row r="215" ht="15.75" customHeight="1">
      <c r="A215" s="166" t="s">
        <v>4754</v>
      </c>
      <c r="B215" s="167" t="s">
        <v>5431</v>
      </c>
      <c r="C215" s="166" t="s">
        <v>5432</v>
      </c>
      <c r="D215" s="299">
        <v>100.0</v>
      </c>
      <c r="E215" s="307" t="s">
        <v>5068</v>
      </c>
      <c r="F215" s="37" t="s">
        <v>5069</v>
      </c>
      <c r="G215" s="106">
        <v>0.21</v>
      </c>
      <c r="H215" s="50" t="str">
        <f>VLOOKUP("NP3TT-P-B",STOCK!$B$2:$Q$3686,3,FALSE)</f>
        <v>Mayor a 5</v>
      </c>
    </row>
    <row r="216" ht="15.75" customHeight="1">
      <c r="A216" s="161" t="s">
        <v>4754</v>
      </c>
      <c r="B216" s="172" t="s">
        <v>5433</v>
      </c>
      <c r="C216" s="163" t="s">
        <v>5434</v>
      </c>
      <c r="D216" s="300">
        <v>100.0</v>
      </c>
      <c r="E216" s="247" t="s">
        <v>4952</v>
      </c>
      <c r="F216" s="102" t="s">
        <v>4953</v>
      </c>
      <c r="G216" s="103">
        <v>0.21</v>
      </c>
      <c r="H216" s="302"/>
    </row>
    <row r="217" ht="15.75" customHeight="1">
      <c r="A217" s="29" t="s">
        <v>5435</v>
      </c>
      <c r="B217" s="32"/>
      <c r="C217" s="301"/>
      <c r="D217" s="301"/>
      <c r="E217" s="55"/>
      <c r="F217" s="55"/>
      <c r="G217" s="114"/>
      <c r="H217" s="114"/>
    </row>
    <row r="218" ht="15.75" customHeight="1">
      <c r="A218" s="161" t="s">
        <v>4754</v>
      </c>
      <c r="B218" s="172" t="s">
        <v>5436</v>
      </c>
      <c r="C218" s="161" t="s">
        <v>5437</v>
      </c>
      <c r="D218" s="300">
        <v>1.0</v>
      </c>
      <c r="E218" s="247" t="s">
        <v>5438</v>
      </c>
      <c r="F218" s="102" t="s">
        <v>5439</v>
      </c>
      <c r="G218" s="103">
        <v>0.21</v>
      </c>
      <c r="H218" s="39" t="str">
        <f>VLOOKUP("GN18",STOCK!$B$2:$Q$3686,3,FALSE)</f>
        <v>Mayor a 5</v>
      </c>
    </row>
    <row r="219" ht="15.75" customHeight="1">
      <c r="A219" s="29" t="s">
        <v>5440</v>
      </c>
      <c r="B219" s="32"/>
      <c r="C219" s="301"/>
      <c r="D219" s="32"/>
      <c r="E219" s="55"/>
      <c r="F219" s="55"/>
      <c r="G219" s="32"/>
      <c r="H219" s="30"/>
    </row>
    <row r="220" ht="15.75" customHeight="1">
      <c r="A220" s="161" t="s">
        <v>4754</v>
      </c>
      <c r="B220" s="172" t="s">
        <v>5441</v>
      </c>
      <c r="C220" s="163" t="s">
        <v>5442</v>
      </c>
      <c r="D220" s="300">
        <v>10.0</v>
      </c>
      <c r="E220" s="266" t="s">
        <v>5443</v>
      </c>
      <c r="F220" s="44" t="s">
        <v>5444</v>
      </c>
      <c r="G220" s="103">
        <v>0.21</v>
      </c>
      <c r="H220" s="39" t="str">
        <f>VLOOKUP("NMK-20U-0.5",STOCK!$B$2:$Q$3686,3,FALSE)</f>
        <v>Menor a 5</v>
      </c>
    </row>
    <row r="221" ht="15.75" customHeight="1">
      <c r="A221" s="166" t="s">
        <v>4754</v>
      </c>
      <c r="B221" s="167" t="s">
        <v>5445</v>
      </c>
      <c r="C221" s="166" t="s">
        <v>5446</v>
      </c>
      <c r="D221" s="299">
        <v>10.0</v>
      </c>
      <c r="E221" s="307" t="s">
        <v>5447</v>
      </c>
      <c r="F221" s="37" t="s">
        <v>5448</v>
      </c>
      <c r="G221" s="106">
        <v>0.21</v>
      </c>
      <c r="H221" s="39" t="str">
        <f>VLOOKUP("NMK-20U-1",STOCK!$B$2:$Q$3686,3,FALSE)</f>
        <v>Menor a 5</v>
      </c>
    </row>
    <row r="222" ht="15.75" customHeight="1">
      <c r="A222" s="29" t="s">
        <v>5449</v>
      </c>
      <c r="C222" s="301"/>
      <c r="D222" s="301"/>
      <c r="E222" s="55"/>
      <c r="F222" s="55"/>
      <c r="G222" s="114"/>
      <c r="H222" s="114"/>
    </row>
    <row r="223" ht="15.75" customHeight="1">
      <c r="A223" s="161" t="s">
        <v>5103</v>
      </c>
      <c r="B223" s="172" t="s">
        <v>5450</v>
      </c>
      <c r="C223" s="163" t="s">
        <v>5451</v>
      </c>
      <c r="D223" s="300">
        <v>100.0</v>
      </c>
      <c r="E223" s="266" t="s">
        <v>5452</v>
      </c>
      <c r="F223" s="44" t="s">
        <v>5453</v>
      </c>
      <c r="G223" s="103">
        <v>0.21</v>
      </c>
      <c r="H223" s="39" t="str">
        <f>VLOOKUP("NYS352",STOCK!$B$2:$Q$3686,3,FALSE)</f>
        <v>Mayor a 5</v>
      </c>
    </row>
    <row r="224" ht="15.75" customHeight="1">
      <c r="A224" s="166" t="s">
        <v>5103</v>
      </c>
      <c r="B224" s="167" t="s">
        <v>5454</v>
      </c>
      <c r="C224" s="166" t="s">
        <v>5455</v>
      </c>
      <c r="D224" s="299">
        <v>100.0</v>
      </c>
      <c r="E224" s="307" t="s">
        <v>5011</v>
      </c>
      <c r="F224" s="37" t="s">
        <v>5012</v>
      </c>
      <c r="G224" s="106">
        <v>0.21</v>
      </c>
      <c r="H224" s="39" t="str">
        <f>VLOOKUP("NYS373-0",STOCK!$B$2:$Q$3686,3,FALSE)</f>
        <v>Mayor a 5</v>
      </c>
    </row>
    <row r="225" ht="15.75" customHeight="1">
      <c r="A225" s="161" t="s">
        <v>5103</v>
      </c>
      <c r="B225" s="172" t="s">
        <v>5456</v>
      </c>
      <c r="C225" s="163" t="s">
        <v>5457</v>
      </c>
      <c r="D225" s="300">
        <v>100.0</v>
      </c>
      <c r="E225" s="266" t="s">
        <v>5458</v>
      </c>
      <c r="F225" s="44" t="s">
        <v>5459</v>
      </c>
      <c r="G225" s="103">
        <v>0.21</v>
      </c>
      <c r="H225" s="39" t="str">
        <f>VLOOKUP("NYS373-2",STOCK!$B$2:$Q$3686,3,FALSE)</f>
        <v>Mayor a 5</v>
      </c>
    </row>
    <row r="226" ht="15.75" customHeight="1">
      <c r="A226" s="166" t="s">
        <v>5103</v>
      </c>
      <c r="B226" s="167" t="s">
        <v>5460</v>
      </c>
      <c r="C226" s="168" t="s">
        <v>5461</v>
      </c>
      <c r="D226" s="299">
        <v>100.0</v>
      </c>
      <c r="E226" s="307" t="s">
        <v>5462</v>
      </c>
      <c r="F226" s="37" t="s">
        <v>5463</v>
      </c>
      <c r="G226" s="106">
        <v>0.21</v>
      </c>
      <c r="H226" s="39" t="str">
        <f>VLOOKUP("NYS373-5",STOCK!$B$2:$Q$3686,3,FALSE)</f>
        <v>Mayor a 5</v>
      </c>
    </row>
    <row r="227" ht="15.75" customHeight="1">
      <c r="A227" s="161" t="s">
        <v>5103</v>
      </c>
      <c r="B227" s="172" t="s">
        <v>5464</v>
      </c>
      <c r="C227" s="163" t="s">
        <v>5465</v>
      </c>
      <c r="D227" s="300">
        <v>10.0</v>
      </c>
      <c r="E227" s="266" t="s">
        <v>5466</v>
      </c>
      <c r="F227" s="44" t="s">
        <v>5467</v>
      </c>
      <c r="G227" s="103">
        <v>0.21</v>
      </c>
      <c r="H227" s="39" t="str">
        <f>VLOOKUP("NF2C-B/2",STOCK!$B$2:$Q$3686,3,FALSE)</f>
        <v>Mayor a 5</v>
      </c>
    </row>
    <row r="228" ht="15.75" customHeight="1">
      <c r="A228" s="166" t="s">
        <v>5103</v>
      </c>
      <c r="B228" s="167" t="s">
        <v>5468</v>
      </c>
      <c r="C228" s="168" t="s">
        <v>5469</v>
      </c>
      <c r="D228" s="299">
        <v>200.0</v>
      </c>
      <c r="E228" s="307" t="s">
        <v>5458</v>
      </c>
      <c r="F228" s="37" t="s">
        <v>5459</v>
      </c>
      <c r="G228" s="106">
        <v>0.21</v>
      </c>
      <c r="H228" s="39" t="str">
        <f>VLOOKUP("NYS367-0",STOCK!$B$2:$Q$3686,3,FALSE)</f>
        <v>Mayor a 5</v>
      </c>
    </row>
    <row r="229" ht="15.75" customHeight="1">
      <c r="A229" s="161" t="s">
        <v>5103</v>
      </c>
      <c r="B229" s="172" t="s">
        <v>5470</v>
      </c>
      <c r="C229" s="163" t="s">
        <v>5471</v>
      </c>
      <c r="D229" s="300">
        <v>200.0</v>
      </c>
      <c r="E229" s="266" t="s">
        <v>5458</v>
      </c>
      <c r="F229" s="44" t="s">
        <v>5459</v>
      </c>
      <c r="G229" s="103">
        <v>0.21</v>
      </c>
      <c r="H229" s="39" t="str">
        <f>VLOOKUP("NYS367-2",STOCK!$B$2:$Q$3686,3,FALSE)</f>
        <v>Mayor a 5</v>
      </c>
    </row>
    <row r="230" ht="15.75" customHeight="1">
      <c r="A230" s="166" t="s">
        <v>5103</v>
      </c>
      <c r="B230" s="166" t="s">
        <v>5472</v>
      </c>
      <c r="C230" s="168" t="s">
        <v>5473</v>
      </c>
      <c r="D230" s="299">
        <v>100.0</v>
      </c>
      <c r="E230" s="307" t="s">
        <v>5474</v>
      </c>
      <c r="F230" s="37" t="s">
        <v>5475</v>
      </c>
      <c r="G230" s="106">
        <v>0.21</v>
      </c>
      <c r="H230" s="302"/>
    </row>
    <row r="231" ht="15.75" customHeight="1">
      <c r="A231" s="161" t="s">
        <v>5103</v>
      </c>
      <c r="B231" s="172" t="s">
        <v>5476</v>
      </c>
      <c r="C231" s="163" t="s">
        <v>5477</v>
      </c>
      <c r="D231" s="300">
        <v>1.0</v>
      </c>
      <c r="E231" s="247" t="s">
        <v>5478</v>
      </c>
      <c r="F231" s="102" t="s">
        <v>5479</v>
      </c>
      <c r="G231" s="103">
        <v>0.21</v>
      </c>
      <c r="H231" s="39" t="str">
        <f>VLOOKUP("NYS-SPP-L",STOCK!$B$2:$Q$3686,3,FALSE)</f>
        <v>Mayor a 5</v>
      </c>
    </row>
    <row r="232" ht="15.75" customHeight="1">
      <c r="A232" s="29" t="s">
        <v>5240</v>
      </c>
      <c r="B232" s="32"/>
      <c r="C232" s="301"/>
      <c r="D232" s="301"/>
      <c r="E232" s="55"/>
      <c r="F232" s="55"/>
      <c r="G232" s="114"/>
      <c r="H232" s="114"/>
    </row>
    <row r="233" ht="15.75" customHeight="1">
      <c r="A233" s="161" t="s">
        <v>5103</v>
      </c>
      <c r="B233" s="172" t="s">
        <v>5480</v>
      </c>
      <c r="C233" s="163" t="s">
        <v>5481</v>
      </c>
      <c r="D233" s="300">
        <v>100.0</v>
      </c>
      <c r="E233" s="266" t="s">
        <v>5482</v>
      </c>
      <c r="F233" s="44" t="s">
        <v>5483</v>
      </c>
      <c r="G233" s="103">
        <v>0.21</v>
      </c>
      <c r="H233" s="302"/>
    </row>
    <row r="234" ht="15.75" customHeight="1">
      <c r="A234" s="166" t="s">
        <v>5103</v>
      </c>
      <c r="B234" s="167" t="s">
        <v>5484</v>
      </c>
      <c r="C234" s="168" t="s">
        <v>5485</v>
      </c>
      <c r="D234" s="299">
        <v>100.0</v>
      </c>
      <c r="E234" s="307" t="s">
        <v>5486</v>
      </c>
      <c r="F234" s="37" t="s">
        <v>5487</v>
      </c>
      <c r="G234" s="106">
        <v>0.21</v>
      </c>
      <c r="H234" s="302"/>
    </row>
    <row r="235" ht="15.75" customHeight="1">
      <c r="A235" s="161" t="s">
        <v>5103</v>
      </c>
      <c r="B235" s="172" t="s">
        <v>5488</v>
      </c>
      <c r="C235" s="163" t="s">
        <v>5489</v>
      </c>
      <c r="D235" s="300">
        <v>100.0</v>
      </c>
      <c r="E235" s="266" t="s">
        <v>5490</v>
      </c>
      <c r="F235" s="44" t="s">
        <v>5491</v>
      </c>
      <c r="G235" s="103">
        <v>0.21</v>
      </c>
      <c r="H235" s="39" t="str">
        <f>VLOOKUP("RE8MY-1",STOCK!$B$2:$Q$3686,3,FALSE)</f>
        <v>Mayor a 5</v>
      </c>
    </row>
    <row r="236" ht="15.75" customHeight="1">
      <c r="A236" s="166" t="s">
        <v>5103</v>
      </c>
      <c r="B236" s="167" t="s">
        <v>5492</v>
      </c>
      <c r="C236" s="168" t="s">
        <v>5493</v>
      </c>
      <c r="D236" s="299">
        <v>100.0</v>
      </c>
      <c r="E236" s="307" t="s">
        <v>5494</v>
      </c>
      <c r="F236" s="37" t="s">
        <v>5495</v>
      </c>
      <c r="G236" s="106">
        <v>0.21</v>
      </c>
      <c r="H236" s="39" t="str">
        <f>VLOOKUP("RE8MY-1-D",STOCK!$B$2:$Q$3686,3,FALSE)</f>
        <v>Mayor a 5</v>
      </c>
    </row>
    <row r="237" ht="15.75" customHeight="1">
      <c r="A237" s="29" t="s">
        <v>4753</v>
      </c>
      <c r="B237" s="32"/>
      <c r="C237" s="301"/>
      <c r="D237" s="301"/>
      <c r="E237" s="55"/>
      <c r="F237" s="55"/>
      <c r="G237" s="114"/>
      <c r="H237" s="114"/>
    </row>
    <row r="238" ht="15.75" customHeight="1">
      <c r="A238" s="161" t="s">
        <v>5103</v>
      </c>
      <c r="B238" s="172" t="s">
        <v>5496</v>
      </c>
      <c r="C238" s="163" t="s">
        <v>5497</v>
      </c>
      <c r="D238" s="300">
        <v>100.0</v>
      </c>
      <c r="E238" s="266" t="s">
        <v>5498</v>
      </c>
      <c r="F238" s="44" t="s">
        <v>5499</v>
      </c>
      <c r="G238" s="103">
        <v>0.21</v>
      </c>
      <c r="H238" s="39" t="str">
        <f>VLOOKUP("RC3F-D",STOCK!$B$2:$Q$3686,3,FALSE)</f>
        <v>Mayor a 5</v>
      </c>
    </row>
    <row r="239" ht="15.75" customHeight="1">
      <c r="A239" s="166" t="s">
        <v>5103</v>
      </c>
      <c r="B239" s="167" t="s">
        <v>5500</v>
      </c>
      <c r="C239" s="166" t="s">
        <v>5501</v>
      </c>
      <c r="D239" s="299">
        <v>100.0</v>
      </c>
      <c r="E239" s="307" t="s">
        <v>5490</v>
      </c>
      <c r="F239" s="37" t="s">
        <v>5491</v>
      </c>
      <c r="G239" s="106">
        <v>0.21</v>
      </c>
      <c r="H239" s="39" t="str">
        <f>VLOOKUP("RC3M-D",STOCK!$B$2:$Q$3686,3,FALSE)</f>
        <v>Mayor a 5</v>
      </c>
    </row>
    <row r="240" ht="15.75" customHeight="1">
      <c r="A240" s="161" t="s">
        <v>5103</v>
      </c>
      <c r="B240" s="172" t="s">
        <v>5502</v>
      </c>
      <c r="C240" s="163" t="s">
        <v>4784</v>
      </c>
      <c r="D240" s="300">
        <v>100.0</v>
      </c>
      <c r="E240" s="266" t="s">
        <v>5503</v>
      </c>
      <c r="F240" s="44" t="s">
        <v>5504</v>
      </c>
      <c r="G240" s="103">
        <v>0.21</v>
      </c>
      <c r="H240" s="50" t="str">
        <f>VLOOKUP("RC3F",STOCK!$B$2:$Q$3686,3,FALSE)</f>
        <v>Mayor a 5</v>
      </c>
    </row>
    <row r="241" ht="15.75" customHeight="1">
      <c r="A241" s="166" t="s">
        <v>5103</v>
      </c>
      <c r="B241" s="167" t="s">
        <v>5505</v>
      </c>
      <c r="C241" s="168" t="s">
        <v>4792</v>
      </c>
      <c r="D241" s="299">
        <v>100.0</v>
      </c>
      <c r="E241" s="307" t="s">
        <v>5506</v>
      </c>
      <c r="F241" s="37" t="s">
        <v>5507</v>
      </c>
      <c r="G241" s="106">
        <v>0.21</v>
      </c>
      <c r="H241" s="39" t="str">
        <f>VLOOKUP("RC3M",STOCK!$B$2:$Q$3686,3,FALSE)</f>
        <v>Mayor a 5</v>
      </c>
    </row>
    <row r="242" ht="15.75" customHeight="1">
      <c r="A242" s="161" t="s">
        <v>5103</v>
      </c>
      <c r="B242" s="170" t="s">
        <v>5508</v>
      </c>
      <c r="C242" s="163" t="s">
        <v>5509</v>
      </c>
      <c r="D242" s="297"/>
      <c r="E242" s="266" t="s">
        <v>5510</v>
      </c>
      <c r="F242" s="44" t="s">
        <v>5511</v>
      </c>
      <c r="G242" s="103">
        <v>0.21</v>
      </c>
      <c r="H242" s="39" t="str">
        <f>VLOOKUP("RC3F-B",STOCK!$B$2:$Q$3686,3,FALSE)</f>
        <v>Mayor a 5</v>
      </c>
    </row>
    <row r="243" ht="15.75" customHeight="1">
      <c r="A243" s="166" t="s">
        <v>5103</v>
      </c>
      <c r="B243" s="171" t="s">
        <v>5512</v>
      </c>
      <c r="C243" s="304" t="s">
        <v>5513</v>
      </c>
      <c r="D243" s="126"/>
      <c r="E243" s="307" t="s">
        <v>5514</v>
      </c>
      <c r="F243" s="37" t="s">
        <v>5515</v>
      </c>
      <c r="G243" s="106">
        <v>0.21</v>
      </c>
      <c r="H243" s="39" t="str">
        <f>VLOOKUP("RC3F-BAG-D",STOCK!$B$2:$Q$3686,3,FALSE)</f>
        <v>Mayor a 5</v>
      </c>
    </row>
    <row r="244" ht="15.75" customHeight="1">
      <c r="A244" s="161" t="s">
        <v>5103</v>
      </c>
      <c r="B244" s="170" t="s">
        <v>5516</v>
      </c>
      <c r="C244" s="163" t="s">
        <v>5517</v>
      </c>
      <c r="D244" s="297"/>
      <c r="E244" s="266" t="s">
        <v>5518</v>
      </c>
      <c r="F244" s="44" t="s">
        <v>5519</v>
      </c>
      <c r="G244" s="103">
        <v>0.21</v>
      </c>
      <c r="H244" s="39" t="str">
        <f>VLOOKUP("RC3M-B",STOCK!$B$2:$Q$3686,3,FALSE)</f>
        <v>Mayor a 5</v>
      </c>
    </row>
    <row r="245" ht="15.75" customHeight="1">
      <c r="A245" s="166" t="s">
        <v>5103</v>
      </c>
      <c r="B245" s="171" t="s">
        <v>5520</v>
      </c>
      <c r="C245" s="304" t="s">
        <v>5521</v>
      </c>
      <c r="D245" s="126"/>
      <c r="E245" s="307" t="s">
        <v>5522</v>
      </c>
      <c r="F245" s="37" t="s">
        <v>5523</v>
      </c>
      <c r="G245" s="106">
        <v>0.21</v>
      </c>
      <c r="H245" s="39" t="str">
        <f>VLOOKUP("RC3M-BAG-D",STOCK!$B$2:$Q$3686,3,FALSE)</f>
        <v>Mayor a 5</v>
      </c>
    </row>
    <row r="246" ht="15.75" customHeight="1">
      <c r="A246" s="29" t="s">
        <v>4862</v>
      </c>
      <c r="B246" s="32"/>
      <c r="C246" s="32"/>
      <c r="D246" s="301"/>
      <c r="E246" s="55"/>
      <c r="F246" s="55"/>
      <c r="G246" s="114"/>
      <c r="H246" s="114"/>
    </row>
    <row r="247" ht="15.75" customHeight="1">
      <c r="A247" s="161" t="s">
        <v>5103</v>
      </c>
      <c r="B247" s="172" t="s">
        <v>5524</v>
      </c>
      <c r="C247" s="163" t="s">
        <v>5525</v>
      </c>
      <c r="D247" s="300">
        <v>100.0</v>
      </c>
      <c r="E247" s="266" t="s">
        <v>5526</v>
      </c>
      <c r="F247" s="44" t="s">
        <v>5527</v>
      </c>
      <c r="G247" s="103">
        <v>0.21</v>
      </c>
      <c r="H247" s="50" t="str">
        <f>VLOOKUP("RC5F-D",STOCK!$B$2:$Q$3686,3,FALSE)</f>
        <v>Mayor a 5</v>
      </c>
    </row>
    <row r="248" ht="15.75" customHeight="1">
      <c r="A248" s="166" t="s">
        <v>5103</v>
      </c>
      <c r="B248" s="167" t="s">
        <v>5528</v>
      </c>
      <c r="C248" s="166" t="s">
        <v>5529</v>
      </c>
      <c r="D248" s="299">
        <v>100.0</v>
      </c>
      <c r="E248" s="307" t="s">
        <v>5530</v>
      </c>
      <c r="F248" s="37" t="s">
        <v>5531</v>
      </c>
      <c r="G248" s="106">
        <v>0.21</v>
      </c>
      <c r="H248" s="50" t="str">
        <f>VLOOKUP("RC5M-D",STOCK!$B$2:$Q$3686,3,FALSE)</f>
        <v>Mayor a 5</v>
      </c>
    </row>
    <row r="249" ht="15.75" customHeight="1">
      <c r="A249" s="161" t="s">
        <v>5103</v>
      </c>
      <c r="B249" s="172" t="s">
        <v>5532</v>
      </c>
      <c r="C249" s="163" t="s">
        <v>5533</v>
      </c>
      <c r="D249" s="300">
        <v>100.0</v>
      </c>
      <c r="E249" s="266" t="s">
        <v>5003</v>
      </c>
      <c r="F249" s="44" t="s">
        <v>5004</v>
      </c>
      <c r="G249" s="103">
        <v>0.21</v>
      </c>
      <c r="H249" s="50" t="str">
        <f>VLOOKUP("RC5F",STOCK!$B$2:$Q$3686,3,FALSE)</f>
        <v>Mayor a 5</v>
      </c>
    </row>
    <row r="250" ht="15.75" customHeight="1">
      <c r="A250" s="166" t="s">
        <v>5103</v>
      </c>
      <c r="B250" s="167" t="s">
        <v>5534</v>
      </c>
      <c r="C250" s="168" t="s">
        <v>5535</v>
      </c>
      <c r="D250" s="299">
        <v>100.0</v>
      </c>
      <c r="E250" s="307" t="s">
        <v>5510</v>
      </c>
      <c r="F250" s="37" t="s">
        <v>5511</v>
      </c>
      <c r="G250" s="106">
        <v>0.21</v>
      </c>
      <c r="H250" s="50" t="str">
        <f>VLOOKUP("RC5M",STOCK!$B$2:$Q$3686,3,FALSE)</f>
        <v>Mayor a 5</v>
      </c>
    </row>
    <row r="251" ht="15.75" customHeight="1">
      <c r="A251" s="29" t="s">
        <v>4901</v>
      </c>
      <c r="B251" s="32"/>
      <c r="C251" s="32"/>
      <c r="D251" s="301"/>
      <c r="E251" s="55"/>
      <c r="F251" s="55"/>
      <c r="G251" s="114"/>
      <c r="H251" s="114"/>
    </row>
    <row r="252" ht="15.75" customHeight="1">
      <c r="A252" s="161" t="s">
        <v>5103</v>
      </c>
      <c r="B252" s="172" t="s">
        <v>5536</v>
      </c>
      <c r="C252" s="163" t="s">
        <v>4911</v>
      </c>
      <c r="D252" s="300">
        <v>50.0</v>
      </c>
      <c r="E252" s="266" t="s">
        <v>5011</v>
      </c>
      <c r="F252" s="44" t="s">
        <v>5012</v>
      </c>
      <c r="G252" s="103">
        <v>0.21</v>
      </c>
      <c r="H252" s="39" t="str">
        <f>VLOOKUP("RC3FDL",STOCK!$B$2:$Q$3686,3,FALSE)</f>
        <v>Mayor a 5</v>
      </c>
    </row>
    <row r="253" ht="15.75" customHeight="1">
      <c r="A253" s="166" t="s">
        <v>5103</v>
      </c>
      <c r="B253" s="167" t="s">
        <v>5537</v>
      </c>
      <c r="C253" s="168" t="s">
        <v>4915</v>
      </c>
      <c r="D253" s="299">
        <v>50.0</v>
      </c>
      <c r="E253" s="307" t="s">
        <v>5498</v>
      </c>
      <c r="F253" s="37" t="s">
        <v>5499</v>
      </c>
      <c r="G253" s="106">
        <v>0.21</v>
      </c>
      <c r="H253" s="39" t="str">
        <f>VLOOKUP("RC3MDL",STOCK!$B$2:$Q$3686,3,FALSE)</f>
        <v>Mayor a 5</v>
      </c>
    </row>
    <row r="254" ht="15.75" customHeight="1">
      <c r="A254" s="161" t="s">
        <v>5103</v>
      </c>
      <c r="B254" s="170" t="s">
        <v>5538</v>
      </c>
      <c r="C254" s="298" t="s">
        <v>5539</v>
      </c>
      <c r="D254" s="297"/>
      <c r="E254" s="247" t="s">
        <v>5540</v>
      </c>
      <c r="F254" s="102" t="s">
        <v>5541</v>
      </c>
      <c r="G254" s="103">
        <v>0.21</v>
      </c>
      <c r="H254" s="39" t="str">
        <f>VLOOKUP("RRX3F-Z",STOCK!$B$2:$Q$3686,3,FALSE)</f>
        <v>Mayor a 5</v>
      </c>
    </row>
    <row r="255" ht="15.75" customHeight="1">
      <c r="A255" s="29" t="s">
        <v>4941</v>
      </c>
      <c r="B255" s="32"/>
      <c r="C255" s="301"/>
      <c r="D255" s="32"/>
      <c r="E255" s="55"/>
      <c r="F255" s="55"/>
      <c r="G255" s="32"/>
      <c r="H255" s="30"/>
    </row>
    <row r="256" ht="15.75" customHeight="1">
      <c r="A256" s="161" t="s">
        <v>5103</v>
      </c>
      <c r="B256" s="172" t="s">
        <v>5542</v>
      </c>
      <c r="C256" s="163" t="s">
        <v>5543</v>
      </c>
      <c r="D256" s="300">
        <v>50.0</v>
      </c>
      <c r="E256" s="266" t="s">
        <v>4860</v>
      </c>
      <c r="F256" s="44" t="s">
        <v>4861</v>
      </c>
      <c r="G256" s="103">
        <v>0.21</v>
      </c>
      <c r="H256" s="39" t="str">
        <f>VLOOKUP("RC5FDL",STOCK!$B$2:$Q$3686,3,FALSE)</f>
        <v>Mayor a 5</v>
      </c>
    </row>
    <row r="257" ht="15.75" customHeight="1">
      <c r="A257" s="166" t="s">
        <v>5103</v>
      </c>
      <c r="B257" s="167" t="s">
        <v>5544</v>
      </c>
      <c r="C257" s="168" t="s">
        <v>5545</v>
      </c>
      <c r="D257" s="299">
        <v>50.0</v>
      </c>
      <c r="E257" s="307" t="s">
        <v>5546</v>
      </c>
      <c r="F257" s="37" t="s">
        <v>3693</v>
      </c>
      <c r="G257" s="106">
        <v>0.21</v>
      </c>
      <c r="H257" s="39" t="str">
        <f>VLOOKUP("RC5MDL",STOCK!$B$2:$Q$3686,3,FALSE)</f>
        <v>Mayor a 5</v>
      </c>
    </row>
    <row r="258" ht="15.75" customHeight="1">
      <c r="A258" s="29" t="s">
        <v>4997</v>
      </c>
      <c r="B258" s="32"/>
      <c r="C258" s="301"/>
      <c r="D258" s="301"/>
      <c r="E258" s="55"/>
      <c r="F258" s="55"/>
      <c r="G258" s="114"/>
      <c r="H258" s="114"/>
    </row>
    <row r="259" ht="15.75" customHeight="1">
      <c r="A259" s="161" t="s">
        <v>5103</v>
      </c>
      <c r="B259" s="172" t="s">
        <v>5547</v>
      </c>
      <c r="C259" s="163" t="s">
        <v>4999</v>
      </c>
      <c r="D259" s="300">
        <v>100.0</v>
      </c>
      <c r="E259" s="266" t="s">
        <v>3866</v>
      </c>
      <c r="F259" s="44" t="s">
        <v>5548</v>
      </c>
      <c r="G259" s="103">
        <v>0.21</v>
      </c>
      <c r="H259" s="39" t="str">
        <f>VLOOKUP("RCJ6FI-H",STOCK!$B$2:$Q$3686,3,FALSE)</f>
        <v>Mayor a 5</v>
      </c>
    </row>
    <row r="260" ht="15.75" customHeight="1">
      <c r="A260" s="166" t="s">
        <v>5103</v>
      </c>
      <c r="B260" s="167" t="s">
        <v>5549</v>
      </c>
      <c r="C260" s="168" t="s">
        <v>4999</v>
      </c>
      <c r="D260" s="299">
        <v>100.0</v>
      </c>
      <c r="E260" s="307" t="s">
        <v>5550</v>
      </c>
      <c r="F260" s="37" t="s">
        <v>5551</v>
      </c>
      <c r="G260" s="106">
        <v>0.21</v>
      </c>
      <c r="H260" s="39" t="str">
        <f>VLOOKUP("RCJ6FI-V",STOCK!$B$2:$Q$3686,3,FALSE)</f>
        <v>Mayor a 5</v>
      </c>
    </row>
    <row r="261" ht="15.75" customHeight="1">
      <c r="A261" s="29" t="s">
        <v>5129</v>
      </c>
      <c r="B261" s="32"/>
      <c r="C261" s="301"/>
      <c r="D261" s="301"/>
      <c r="E261" s="55"/>
      <c r="F261" s="55"/>
      <c r="G261" s="114"/>
      <c r="H261" s="114"/>
    </row>
    <row r="262" ht="15.75" customHeight="1">
      <c r="A262" s="161" t="s">
        <v>5103</v>
      </c>
      <c r="B262" s="172" t="s">
        <v>5552</v>
      </c>
      <c r="C262" s="163" t="s">
        <v>5553</v>
      </c>
      <c r="D262" s="300">
        <v>100.0</v>
      </c>
      <c r="E262" s="266" t="s">
        <v>5554</v>
      </c>
      <c r="F262" s="44" t="s">
        <v>5452</v>
      </c>
      <c r="G262" s="103">
        <v>0.21</v>
      </c>
      <c r="H262" s="39" t="str">
        <f>VLOOKUP("NYS201",STOCK!$B$2:$Q$3686,3,FALSE)</f>
        <v>Mayor a 5</v>
      </c>
    </row>
    <row r="263" ht="15.75" customHeight="1">
      <c r="A263" s="166" t="s">
        <v>5103</v>
      </c>
      <c r="B263" s="167" t="s">
        <v>5555</v>
      </c>
      <c r="C263" s="168" t="s">
        <v>5556</v>
      </c>
      <c r="D263" s="299">
        <v>100.0</v>
      </c>
      <c r="E263" s="307" t="s">
        <v>5012</v>
      </c>
      <c r="F263" s="37" t="s">
        <v>5557</v>
      </c>
      <c r="G263" s="106">
        <v>0.21</v>
      </c>
      <c r="H263" s="39" t="str">
        <f>VLOOKUP("NYS202",STOCK!$B$2:$Q$3686,3,FALSE)</f>
        <v>SIN STOCK</v>
      </c>
    </row>
    <row r="264" ht="15.75" customHeight="1">
      <c r="A264" s="161" t="s">
        <v>5103</v>
      </c>
      <c r="B264" s="172" t="s">
        <v>5558</v>
      </c>
      <c r="C264" s="163" t="s">
        <v>5559</v>
      </c>
      <c r="D264" s="300">
        <v>100.0</v>
      </c>
      <c r="E264" s="266" t="s">
        <v>5560</v>
      </c>
      <c r="F264" s="44" t="s">
        <v>5561</v>
      </c>
      <c r="G264" s="103">
        <v>0.21</v>
      </c>
      <c r="H264" s="39" t="str">
        <f>VLOOKUP("NYS207",STOCK!$B$2:$Q$3686,3,FALSE)</f>
        <v>Mayor a 5</v>
      </c>
    </row>
    <row r="265" ht="15.75" customHeight="1">
      <c r="A265" s="166" t="s">
        <v>5103</v>
      </c>
      <c r="B265" s="167" t="s">
        <v>5562</v>
      </c>
      <c r="C265" s="168" t="s">
        <v>5563</v>
      </c>
      <c r="D265" s="299">
        <v>100.0</v>
      </c>
      <c r="E265" s="307" t="s">
        <v>5564</v>
      </c>
      <c r="F265" s="37" t="s">
        <v>5565</v>
      </c>
      <c r="G265" s="106">
        <v>0.21</v>
      </c>
      <c r="H265" s="39" t="str">
        <f>VLOOKUP("NYS231",STOCK!$B$2:$Q$3686,3,FALSE)</f>
        <v>Mayor a 5</v>
      </c>
    </row>
    <row r="266" ht="15.75" customHeight="1">
      <c r="A266" s="161" t="s">
        <v>5103</v>
      </c>
      <c r="B266" s="161" t="s">
        <v>5566</v>
      </c>
      <c r="C266" s="163" t="s">
        <v>5567</v>
      </c>
      <c r="D266" s="297"/>
      <c r="E266" s="266" t="s">
        <v>5568</v>
      </c>
      <c r="F266" s="44" t="s">
        <v>5569</v>
      </c>
      <c r="G266" s="103">
        <v>0.21</v>
      </c>
      <c r="H266" s="39" t="str">
        <f>VLOOKUP("NYS2203P",STOCK!$B$2:$Q$3686,3,FALSE)</f>
        <v>Mayor a 5</v>
      </c>
    </row>
    <row r="267" ht="15.75" customHeight="1">
      <c r="A267" s="166" t="s">
        <v>5103</v>
      </c>
      <c r="B267" s="167" t="s">
        <v>5570</v>
      </c>
      <c r="C267" s="168" t="s">
        <v>5571</v>
      </c>
      <c r="D267" s="299">
        <v>100.0</v>
      </c>
      <c r="E267" s="307" t="s">
        <v>5572</v>
      </c>
      <c r="F267" s="37" t="s">
        <v>5573</v>
      </c>
      <c r="G267" s="106">
        <v>0.21</v>
      </c>
      <c r="H267" s="39" t="str">
        <f>VLOOKUP("RP2C-D",STOCK!$B$2:$Q$3686,3,FALSE)</f>
        <v>Menor a 5</v>
      </c>
    </row>
    <row r="268" ht="15.75" customHeight="1">
      <c r="A268" s="161" t="s">
        <v>5103</v>
      </c>
      <c r="B268" s="172" t="s">
        <v>5574</v>
      </c>
      <c r="C268" s="163" t="s">
        <v>5131</v>
      </c>
      <c r="D268" s="300">
        <v>100.0</v>
      </c>
      <c r="E268" s="266" t="s">
        <v>5575</v>
      </c>
      <c r="F268" s="44" t="s">
        <v>5576</v>
      </c>
      <c r="G268" s="103">
        <v>0.21</v>
      </c>
      <c r="H268" s="39" t="str">
        <f>VLOOKUP("RP2C",STOCK!$B$2:$Q$3686,3,FALSE)</f>
        <v>Mayor a 5</v>
      </c>
    </row>
    <row r="269" ht="15.75" customHeight="1">
      <c r="A269" s="166" t="s">
        <v>5103</v>
      </c>
      <c r="B269" s="166" t="s">
        <v>5577</v>
      </c>
      <c r="C269" s="168" t="s">
        <v>5578</v>
      </c>
      <c r="D269" s="126"/>
      <c r="E269" s="307" t="s">
        <v>5579</v>
      </c>
      <c r="F269" s="37" t="s">
        <v>5580</v>
      </c>
      <c r="G269" s="106">
        <v>0.21</v>
      </c>
      <c r="H269" s="39" t="str">
        <f>VLOOKUP("RTP3C-BAG",STOCK!$B$2:$Q$3686,3,FALSE)</f>
        <v>Mayor a 5</v>
      </c>
    </row>
    <row r="270" ht="15.75" customHeight="1">
      <c r="A270" s="161" t="s">
        <v>5103</v>
      </c>
      <c r="B270" s="172" t="s">
        <v>5581</v>
      </c>
      <c r="C270" s="163" t="s">
        <v>5582</v>
      </c>
      <c r="D270" s="300">
        <v>100.0</v>
      </c>
      <c r="E270" s="266" t="s">
        <v>5583</v>
      </c>
      <c r="F270" s="44" t="s">
        <v>5568</v>
      </c>
      <c r="G270" s="103">
        <v>0.21</v>
      </c>
      <c r="H270" s="39" t="str">
        <f>VLOOKUP("RP3C-D",STOCK!$B$2:$Q$3686,3,FALSE)</f>
        <v>SIN STOCK</v>
      </c>
    </row>
    <row r="271" ht="15.75" customHeight="1">
      <c r="A271" s="166" t="s">
        <v>5103</v>
      </c>
      <c r="B271" s="167" t="s">
        <v>5584</v>
      </c>
      <c r="C271" s="168" t="s">
        <v>5585</v>
      </c>
      <c r="D271" s="299">
        <v>100.0</v>
      </c>
      <c r="E271" s="307" t="s">
        <v>5510</v>
      </c>
      <c r="F271" s="37" t="s">
        <v>5511</v>
      </c>
      <c r="G271" s="106">
        <v>0.21</v>
      </c>
      <c r="H271" s="39" t="str">
        <f>VLOOKUP("RP3C",STOCK!$B$2:$Q$3686,3,FALSE)</f>
        <v>Mayor a 5</v>
      </c>
    </row>
    <row r="272" ht="15.75" customHeight="1">
      <c r="A272" s="161" t="s">
        <v>5103</v>
      </c>
      <c r="B272" s="172" t="s">
        <v>5586</v>
      </c>
      <c r="C272" s="163" t="s">
        <v>5137</v>
      </c>
      <c r="D272" s="300">
        <v>100.0</v>
      </c>
      <c r="E272" s="266" t="s">
        <v>4812</v>
      </c>
      <c r="F272" s="44" t="s">
        <v>4813</v>
      </c>
      <c r="G272" s="103">
        <v>0.21</v>
      </c>
      <c r="H272" s="39" t="str">
        <f>VLOOKUP("RP2RC",STOCK!$B$2:$Q$3686,3,FALSE)</f>
        <v>Mayor a 5</v>
      </c>
    </row>
    <row r="273" ht="15.75" customHeight="1">
      <c r="A273" s="166" t="s">
        <v>5103</v>
      </c>
      <c r="B273" s="167" t="s">
        <v>5587</v>
      </c>
      <c r="C273" s="168" t="s">
        <v>5147</v>
      </c>
      <c r="D273" s="299">
        <v>100.0</v>
      </c>
      <c r="E273" s="307" t="s">
        <v>5588</v>
      </c>
      <c r="F273" s="37" t="s">
        <v>5589</v>
      </c>
      <c r="G273" s="106">
        <v>0.21</v>
      </c>
      <c r="H273" s="39" t="str">
        <f>VLOOKUP("RP3RC",STOCK!$B$2:$Q$3686,3,FALSE)</f>
        <v>Mayor a 5</v>
      </c>
    </row>
    <row r="274" ht="15.75" customHeight="1">
      <c r="A274" s="161" t="s">
        <v>5103</v>
      </c>
      <c r="B274" s="172" t="s">
        <v>5590</v>
      </c>
      <c r="C274" s="163" t="s">
        <v>5147</v>
      </c>
      <c r="D274" s="300">
        <v>100.0</v>
      </c>
      <c r="E274" s="266" t="s">
        <v>5482</v>
      </c>
      <c r="F274" s="44" t="s">
        <v>5483</v>
      </c>
      <c r="G274" s="103">
        <v>0.21</v>
      </c>
      <c r="H274" s="39" t="str">
        <f>VLOOKUP("NYS208",STOCK!$B$2:$Q$3686,3,FALSE)</f>
        <v>Mayor a 5</v>
      </c>
    </row>
    <row r="275" ht="15.75" customHeight="1">
      <c r="A275" s="166" t="s">
        <v>5103</v>
      </c>
      <c r="B275" s="167" t="s">
        <v>5591</v>
      </c>
      <c r="C275" s="168" t="s">
        <v>5592</v>
      </c>
      <c r="D275" s="299">
        <v>100.0</v>
      </c>
      <c r="E275" s="307" t="s">
        <v>5462</v>
      </c>
      <c r="F275" s="37" t="s">
        <v>5463</v>
      </c>
      <c r="G275" s="106">
        <v>0.21</v>
      </c>
      <c r="H275" s="39" t="str">
        <f>VLOOKUP("RTP3C",STOCK!$B$2:$Q$3686,3,FALSE)</f>
        <v>Mayor a 5</v>
      </c>
    </row>
    <row r="276" ht="15.75" customHeight="1">
      <c r="A276" s="161" t="s">
        <v>5103</v>
      </c>
      <c r="B276" s="172" t="s">
        <v>5593</v>
      </c>
      <c r="C276" s="163" t="s">
        <v>5594</v>
      </c>
      <c r="D276" s="300">
        <v>100.0</v>
      </c>
      <c r="E276" s="266" t="s">
        <v>5490</v>
      </c>
      <c r="F276" s="44" t="s">
        <v>5491</v>
      </c>
      <c r="G276" s="103">
        <v>0.21</v>
      </c>
      <c r="H276" s="39" t="str">
        <f>VLOOKUP("RP2RCF-D",STOCK!$B$2:$Q$3686,3,FALSE)</f>
        <v>SIN STOCK</v>
      </c>
    </row>
    <row r="277" ht="15.75" customHeight="1">
      <c r="A277" s="166" t="s">
        <v>5103</v>
      </c>
      <c r="B277" s="167" t="s">
        <v>5595</v>
      </c>
      <c r="C277" s="168" t="s">
        <v>5596</v>
      </c>
      <c r="D277" s="299">
        <v>100.0</v>
      </c>
      <c r="E277" s="307" t="s">
        <v>5597</v>
      </c>
      <c r="F277" s="37" t="s">
        <v>5598</v>
      </c>
      <c r="G277" s="106">
        <v>0.21</v>
      </c>
      <c r="H277" s="39" t="str">
        <f>VLOOKUP("NYS240L",STOCK!$B$2:$Q$3686,3,FALSE)</f>
        <v>SIN STOCK</v>
      </c>
    </row>
    <row r="278" ht="15.75" customHeight="1">
      <c r="A278" s="29" t="s">
        <v>5599</v>
      </c>
      <c r="B278" s="32"/>
      <c r="C278" s="301"/>
      <c r="D278" s="301"/>
      <c r="E278" s="55"/>
      <c r="F278" s="55"/>
      <c r="G278" s="114"/>
      <c r="H278" s="114"/>
    </row>
    <row r="279" ht="15.75" customHeight="1">
      <c r="A279" s="161" t="s">
        <v>5103</v>
      </c>
      <c r="B279" s="172" t="s">
        <v>5600</v>
      </c>
      <c r="C279" s="163" t="s">
        <v>5601</v>
      </c>
      <c r="D279" s="300">
        <v>100.0</v>
      </c>
      <c r="E279" s="266" t="s">
        <v>5602</v>
      </c>
      <c r="F279" s="44" t="s">
        <v>5603</v>
      </c>
      <c r="G279" s="103">
        <v>0.21</v>
      </c>
      <c r="H279" s="39" t="str">
        <f>VLOOKUP("NYS212",STOCK!$B$2:$Q$3686,3,FALSE)</f>
        <v>Mayor a 5</v>
      </c>
    </row>
    <row r="280" ht="15.75" customHeight="1">
      <c r="A280" s="166" t="s">
        <v>5103</v>
      </c>
      <c r="B280" s="167" t="s">
        <v>5604</v>
      </c>
      <c r="C280" s="168" t="s">
        <v>5605</v>
      </c>
      <c r="D280" s="299">
        <v>100.0</v>
      </c>
      <c r="E280" s="307" t="s">
        <v>5606</v>
      </c>
      <c r="F280" s="37" t="s">
        <v>5607</v>
      </c>
      <c r="G280" s="106">
        <v>0.21</v>
      </c>
      <c r="H280" s="39" t="str">
        <f>VLOOKUP("NYS212/2",STOCK!$B$2:$Q$3686,3,FALSE)</f>
        <v>Mayor a 5</v>
      </c>
    </row>
    <row r="281" ht="15.75" customHeight="1">
      <c r="A281" s="161" t="s">
        <v>5103</v>
      </c>
      <c r="B281" s="172" t="s">
        <v>5608</v>
      </c>
      <c r="C281" s="163" t="s">
        <v>5609</v>
      </c>
      <c r="D281" s="300">
        <v>100.0</v>
      </c>
      <c r="E281" s="266" t="s">
        <v>5610</v>
      </c>
      <c r="F281" s="44" t="s">
        <v>5611</v>
      </c>
      <c r="G281" s="103">
        <v>0.21</v>
      </c>
      <c r="H281" s="39" t="str">
        <f>VLOOKUP("NYS215",STOCK!$B$2:$Q$3686,3,FALSE)</f>
        <v>Mayor a 5</v>
      </c>
    </row>
    <row r="282" ht="15.75" customHeight="1">
      <c r="A282" s="166" t="s">
        <v>5103</v>
      </c>
      <c r="B282" s="167" t="s">
        <v>5612</v>
      </c>
      <c r="C282" s="168" t="s">
        <v>5613</v>
      </c>
      <c r="D282" s="299">
        <v>100.0</v>
      </c>
      <c r="E282" s="307" t="s">
        <v>5614</v>
      </c>
      <c r="F282" s="37" t="s">
        <v>5615</v>
      </c>
      <c r="G282" s="106">
        <v>0.21</v>
      </c>
      <c r="H282" s="39" t="str">
        <f>VLOOKUP("NYS216",STOCK!$B$2:$Q$3686,3,FALSE)</f>
        <v>Mayor a 5</v>
      </c>
    </row>
    <row r="283" ht="15.75" customHeight="1">
      <c r="A283" s="161" t="s">
        <v>5103</v>
      </c>
      <c r="B283" s="172" t="s">
        <v>5616</v>
      </c>
      <c r="C283" s="163" t="s">
        <v>5617</v>
      </c>
      <c r="D283" s="300">
        <v>200.0</v>
      </c>
      <c r="E283" s="266" t="s">
        <v>5452</v>
      </c>
      <c r="F283" s="44" t="s">
        <v>5453</v>
      </c>
      <c r="G283" s="103">
        <v>0.21</v>
      </c>
      <c r="H283" s="39" t="str">
        <f>VLOOKUP("NYS229",STOCK!$B$2:$Q$3686,3,FALSE)</f>
        <v>Mayor a 5</v>
      </c>
    </row>
    <row r="284" ht="15.75" customHeight="1">
      <c r="A284" s="166" t="s">
        <v>5103</v>
      </c>
      <c r="B284" s="167" t="s">
        <v>5618</v>
      </c>
      <c r="C284" s="168" t="s">
        <v>5619</v>
      </c>
      <c r="D284" s="299">
        <v>100.0</v>
      </c>
      <c r="E284" s="307" t="s">
        <v>5620</v>
      </c>
      <c r="F284" s="37" t="s">
        <v>5621</v>
      </c>
      <c r="G284" s="106">
        <v>0.21</v>
      </c>
      <c r="H284" s="39" t="str">
        <f>VLOOKUP("NYS230",STOCK!$B$2:$Q$3686,3,FALSE)</f>
        <v>Mayor a 5</v>
      </c>
    </row>
    <row r="285" ht="15.75" customHeight="1">
      <c r="A285" s="29" t="s">
        <v>5622</v>
      </c>
      <c r="C285" s="301"/>
      <c r="D285" s="301"/>
      <c r="E285" s="55"/>
      <c r="F285" s="55"/>
      <c r="G285" s="114"/>
      <c r="H285" s="114"/>
    </row>
    <row r="286" ht="15.75" customHeight="1">
      <c r="A286" s="161" t="s">
        <v>5103</v>
      </c>
      <c r="B286" s="161" t="s">
        <v>5623</v>
      </c>
      <c r="C286" s="298" t="s">
        <v>5624</v>
      </c>
      <c r="D286" s="297"/>
      <c r="E286" s="266" t="s">
        <v>5625</v>
      </c>
      <c r="F286" s="44" t="s">
        <v>5626</v>
      </c>
      <c r="G286" s="103">
        <v>0.21</v>
      </c>
      <c r="H286" s="39" t="str">
        <f>VLOOKUP("RCLS4F-G-000-0",STOCK!$B$2:$Q$3686,3,FALSE)</f>
        <v>Mayor a 5</v>
      </c>
    </row>
    <row r="287" ht="15.75" customHeight="1">
      <c r="A287" s="166" t="s">
        <v>5103</v>
      </c>
      <c r="B287" s="166" t="s">
        <v>5627</v>
      </c>
      <c r="C287" s="168" t="s">
        <v>5628</v>
      </c>
      <c r="D287" s="126"/>
      <c r="E287" s="307" t="s">
        <v>5257</v>
      </c>
      <c r="F287" s="37" t="s">
        <v>5258</v>
      </c>
      <c r="G287" s="106">
        <v>0.21</v>
      </c>
      <c r="H287" s="39" t="str">
        <f>VLOOKUP("RCLS4F-G-000-1",STOCK!$B$2:$Q$3686,3,FALSE)</f>
        <v>Mayor a 5</v>
      </c>
    </row>
    <row r="288" ht="15.75" customHeight="1">
      <c r="A288" s="161" t="s">
        <v>5103</v>
      </c>
      <c r="B288" s="172" t="s">
        <v>5629</v>
      </c>
      <c r="C288" s="163" t="s">
        <v>5030</v>
      </c>
      <c r="D288" s="300">
        <v>100.0</v>
      </c>
      <c r="E288" s="247" t="s">
        <v>5630</v>
      </c>
      <c r="F288" s="102" t="s">
        <v>5631</v>
      </c>
      <c r="G288" s="103">
        <v>0.21</v>
      </c>
      <c r="H288" s="39" t="str">
        <f>VLOOKUP("RLS4FC",STOCK!$B$2:$Q$3686,3,FALSE)</f>
        <v>Mayor a 5</v>
      </c>
    </row>
    <row r="289" ht="15.75" customHeight="1">
      <c r="A289" s="29" t="s">
        <v>5632</v>
      </c>
      <c r="B289" s="32"/>
      <c r="C289" s="301"/>
      <c r="D289" s="301"/>
      <c r="E289" s="55"/>
      <c r="F289" s="55"/>
      <c r="G289" s="114"/>
      <c r="H289" s="114"/>
    </row>
    <row r="290" ht="15.75" customHeight="1">
      <c r="A290" s="161" t="s">
        <v>5103</v>
      </c>
      <c r="B290" s="172" t="s">
        <v>5633</v>
      </c>
      <c r="C290" s="163" t="s">
        <v>5634</v>
      </c>
      <c r="D290" s="300">
        <v>100.0</v>
      </c>
      <c r="E290" s="266" t="s">
        <v>5630</v>
      </c>
      <c r="F290" s="44" t="s">
        <v>5631</v>
      </c>
      <c r="G290" s="103">
        <v>0.21</v>
      </c>
      <c r="H290" s="39" t="str">
        <f>VLOOKUP("RCAC3I-G",STOCK!$B$2:$Q$3686,3,FALSE)</f>
        <v>Mayor a 5</v>
      </c>
    </row>
    <row r="291" ht="15.75" customHeight="1">
      <c r="A291" s="166" t="s">
        <v>5103</v>
      </c>
      <c r="B291" s="167" t="s">
        <v>5635</v>
      </c>
      <c r="C291" s="168" t="s">
        <v>5636</v>
      </c>
      <c r="D291" s="299">
        <v>100.0</v>
      </c>
      <c r="E291" s="307" t="s">
        <v>5630</v>
      </c>
      <c r="F291" s="37" t="s">
        <v>5631</v>
      </c>
      <c r="G291" s="106">
        <v>0.21</v>
      </c>
      <c r="H291" s="39" t="str">
        <f>VLOOKUP("RCAC3O-G",STOCK!$B$2:$Q$3686,3,FALSE)</f>
        <v>Mayor a 5</v>
      </c>
    </row>
    <row r="292" ht="15.75" customHeight="1">
      <c r="A292" s="161" t="s">
        <v>5103</v>
      </c>
      <c r="B292" s="161" t="s">
        <v>5637</v>
      </c>
      <c r="C292" s="298" t="s">
        <v>5638</v>
      </c>
      <c r="D292" s="300">
        <v>100.0</v>
      </c>
      <c r="E292" s="266" t="s">
        <v>5639</v>
      </c>
      <c r="F292" s="44" t="s">
        <v>5640</v>
      </c>
      <c r="G292" s="103">
        <v>0.21</v>
      </c>
      <c r="H292" s="39" t="str">
        <f>VLOOKUP("RCAC3F-X",STOCK!$B$2:$Q$3686,3,FALSE)</f>
        <v>Mayor a 5</v>
      </c>
    </row>
    <row r="293" ht="15.75" customHeight="1">
      <c r="A293" s="166" t="s">
        <v>5103</v>
      </c>
      <c r="B293" s="166" t="s">
        <v>5641</v>
      </c>
      <c r="C293" s="304" t="s">
        <v>5642</v>
      </c>
      <c r="D293" s="299">
        <v>100.0</v>
      </c>
      <c r="E293" s="307" t="s">
        <v>5643</v>
      </c>
      <c r="F293" s="37" t="s">
        <v>5644</v>
      </c>
      <c r="G293" s="106">
        <v>0.21</v>
      </c>
      <c r="H293" s="39" t="str">
        <f>VLOOKUP("RCAC3M-X",STOCK!$B$2:$Q$3686,3,FALSE)</f>
        <v>Mayor a 5</v>
      </c>
    </row>
    <row r="294" ht="15.75" customHeight="1">
      <c r="A294" s="29" t="s">
        <v>5645</v>
      </c>
      <c r="B294" s="32"/>
      <c r="C294" s="301"/>
      <c r="D294" s="301"/>
      <c r="E294" s="55"/>
      <c r="F294" s="55"/>
      <c r="G294" s="114"/>
      <c r="H294" s="114"/>
    </row>
    <row r="295" ht="15.75" customHeight="1">
      <c r="A295" s="161" t="s">
        <v>5103</v>
      </c>
      <c r="B295" s="172" t="s">
        <v>5646</v>
      </c>
      <c r="C295" s="163" t="s">
        <v>5647</v>
      </c>
      <c r="D295" s="300">
        <v>100.0</v>
      </c>
      <c r="E295" s="266" t="s">
        <v>5648</v>
      </c>
      <c r="F295" s="44" t="s">
        <v>5649</v>
      </c>
      <c r="G295" s="103">
        <v>0.21</v>
      </c>
      <c r="H295" s="39" t="str">
        <f>VLOOKUP("RRAC3I-G",STOCK!$B$2:$Q$3686,3,FALSE)</f>
        <v>Mayor a 5</v>
      </c>
    </row>
    <row r="296" ht="15.75" customHeight="1">
      <c r="A296" s="166" t="s">
        <v>5103</v>
      </c>
      <c r="B296" s="167" t="s">
        <v>5650</v>
      </c>
      <c r="C296" s="168" t="s">
        <v>5647</v>
      </c>
      <c r="D296" s="299">
        <v>100.0</v>
      </c>
      <c r="E296" s="307" t="s">
        <v>5648</v>
      </c>
      <c r="F296" s="37" t="s">
        <v>5649</v>
      </c>
      <c r="G296" s="106">
        <v>0.21</v>
      </c>
      <c r="H296" s="39" t="str">
        <f>VLOOKUP("RRAC3O-G",STOCK!$B$2:$Q$3686,3,FALSE)</f>
        <v>Mayor a 5</v>
      </c>
    </row>
    <row r="297" ht="15.75" customHeight="1">
      <c r="A297" s="161" t="s">
        <v>5103</v>
      </c>
      <c r="B297" s="161" t="s">
        <v>5651</v>
      </c>
      <c r="C297" s="298" t="s">
        <v>5652</v>
      </c>
      <c r="D297" s="300">
        <v>100.0</v>
      </c>
      <c r="E297" s="266" t="s">
        <v>5653</v>
      </c>
      <c r="F297" s="44" t="s">
        <v>5654</v>
      </c>
      <c r="G297" s="103">
        <v>0.21</v>
      </c>
      <c r="H297" s="39" t="str">
        <f>VLOOKUP("RRAC3F-X",STOCK!$B$2:$Q$3686,3,FALSE)</f>
        <v>Mayor a 5</v>
      </c>
    </row>
    <row r="298" ht="15.75" customHeight="1">
      <c r="A298" s="166" t="s">
        <v>5103</v>
      </c>
      <c r="B298" s="166" t="s">
        <v>5655</v>
      </c>
      <c r="C298" s="304" t="s">
        <v>5656</v>
      </c>
      <c r="D298" s="126"/>
      <c r="E298" s="307" t="s">
        <v>5657</v>
      </c>
      <c r="F298" s="37" t="s">
        <v>5658</v>
      </c>
      <c r="G298" s="106">
        <v>0.21</v>
      </c>
      <c r="H298" s="39" t="str">
        <f>VLOOKUP("RRAC3M-X",STOCK!$B$2:$Q$3686,3,FALSE)</f>
        <v>Mayor a 5</v>
      </c>
    </row>
    <row r="299" ht="15.75" customHeight="1">
      <c r="A299" s="161" t="s">
        <v>4754</v>
      </c>
      <c r="B299" s="161" t="s">
        <v>5659</v>
      </c>
      <c r="C299" s="163" t="s">
        <v>5660</v>
      </c>
      <c r="D299" s="297"/>
      <c r="E299" s="247" t="s">
        <v>5661</v>
      </c>
      <c r="F299" s="102" t="s">
        <v>5662</v>
      </c>
      <c r="G299" s="308">
        <v>0.105</v>
      </c>
      <c r="H299" s="39" t="str">
        <f>VLOOKUP("NA-4I4O-AES72",STOCK!$B$2:$Q$3686,3,FALSE)</f>
        <v>Mayor a 5</v>
      </c>
    </row>
    <row r="300" ht="15.75" customHeight="1">
      <c r="A300" s="29" t="s">
        <v>5663</v>
      </c>
      <c r="B300" s="32"/>
      <c r="C300" s="301"/>
      <c r="D300" s="301"/>
      <c r="E300" s="55"/>
      <c r="F300" s="55"/>
      <c r="G300" s="114"/>
      <c r="H300" s="114"/>
    </row>
    <row r="301" ht="15.75" customHeight="1">
      <c r="A301" s="161" t="s">
        <v>4754</v>
      </c>
      <c r="B301" s="161" t="s">
        <v>5664</v>
      </c>
      <c r="C301" s="163" t="s">
        <v>5665</v>
      </c>
      <c r="D301" s="297"/>
      <c r="E301" s="266" t="s">
        <v>5666</v>
      </c>
      <c r="F301" s="44" t="s">
        <v>5667</v>
      </c>
      <c r="G301" s="103">
        <v>0.21</v>
      </c>
      <c r="H301" s="39" t="str">
        <f>VLOOKUP("NRP1RU-2A",STOCK!$B$2:$Q$3686,3,FALSE)</f>
        <v>Mayor a 5</v>
      </c>
    </row>
    <row r="302" ht="15.75" customHeight="1">
      <c r="A302" s="166" t="s">
        <v>4754</v>
      </c>
      <c r="B302" s="166" t="s">
        <v>5668</v>
      </c>
      <c r="C302" s="168" t="s">
        <v>5669</v>
      </c>
      <c r="D302" s="126"/>
      <c r="E302" s="307" t="s">
        <v>5670</v>
      </c>
      <c r="F302" s="37" t="s">
        <v>5671</v>
      </c>
      <c r="G302" s="106">
        <v>0.21</v>
      </c>
      <c r="H302" s="39" t="str">
        <f>VLOOKUP("NZP1RU-12",STOCK!$B$2:$Q$3686,3,FALSE)</f>
        <v>Mayor a 5</v>
      </c>
    </row>
    <row r="303" ht="15.75" customHeight="1">
      <c r="A303" s="161" t="s">
        <v>4754</v>
      </c>
      <c r="B303" s="161" t="s">
        <v>5672</v>
      </c>
      <c r="C303" s="163" t="s">
        <v>5673</v>
      </c>
      <c r="D303" s="297"/>
      <c r="E303" s="247" t="s">
        <v>5674</v>
      </c>
      <c r="F303" s="102" t="s">
        <v>5675</v>
      </c>
      <c r="G303" s="103">
        <v>0.21</v>
      </c>
      <c r="H303" s="39" t="str">
        <f>VLOOKUP("NZP1RU-8",STOCK!$B$2:$Q$3686,3,FALSE)</f>
        <v>Mayor a 5</v>
      </c>
    </row>
    <row r="304" ht="15.75" customHeight="1">
      <c r="A304" s="29" t="s">
        <v>5676</v>
      </c>
      <c r="B304" s="32"/>
      <c r="C304" s="301"/>
      <c r="D304" s="301"/>
      <c r="E304" s="55"/>
      <c r="F304" s="55"/>
      <c r="G304" s="114"/>
      <c r="H304" s="114"/>
    </row>
    <row r="305" ht="15.75" customHeight="1">
      <c r="A305" s="161" t="s">
        <v>5103</v>
      </c>
      <c r="B305" s="161" t="s">
        <v>5677</v>
      </c>
      <c r="C305" s="298" t="s">
        <v>5678</v>
      </c>
      <c r="D305" s="297"/>
      <c r="E305" s="266" t="s">
        <v>5679</v>
      </c>
      <c r="F305" s="44" t="s">
        <v>5680</v>
      </c>
      <c r="G305" s="103">
        <v>0.21</v>
      </c>
      <c r="H305" s="39" t="str">
        <f>VLOOKUP("RT3FC-B-D",STOCK!$B$2:$Q$3686,3,FALSE)</f>
        <v>Mayor a 5</v>
      </c>
    </row>
    <row r="306" ht="15.75" customHeight="1">
      <c r="A306" s="166" t="s">
        <v>5103</v>
      </c>
      <c r="B306" s="166" t="s">
        <v>5681</v>
      </c>
      <c r="C306" s="304" t="s">
        <v>5682</v>
      </c>
      <c r="D306" s="126"/>
      <c r="E306" s="307" t="s">
        <v>5683</v>
      </c>
      <c r="F306" s="37" t="s">
        <v>5684</v>
      </c>
      <c r="G306" s="106">
        <v>0.21</v>
      </c>
      <c r="H306" s="39" t="str">
        <f>VLOOKUP("RT3MC-B-D",STOCK!$B$2:$Q$3686,3,FALSE)</f>
        <v>Mayor a 5</v>
      </c>
    </row>
    <row r="307" ht="15.75" customHeight="1">
      <c r="A307" s="161" t="s">
        <v>5103</v>
      </c>
      <c r="B307" s="161" t="s">
        <v>5685</v>
      </c>
      <c r="C307" s="298" t="s">
        <v>5686</v>
      </c>
      <c r="D307" s="297"/>
      <c r="E307" s="266" t="s">
        <v>5687</v>
      </c>
      <c r="F307" s="44" t="s">
        <v>5688</v>
      </c>
      <c r="G307" s="103">
        <v>0.21</v>
      </c>
      <c r="H307" s="39" t="str">
        <f>VLOOKUP("RT4FC-B-D",STOCK!$B$2:$Q$3686,3,FALSE)</f>
        <v>Mayor a 5</v>
      </c>
    </row>
    <row r="308" ht="15.75" customHeight="1">
      <c r="A308" s="166" t="s">
        <v>5103</v>
      </c>
      <c r="B308" s="166" t="s">
        <v>5689</v>
      </c>
      <c r="C308" s="168" t="s">
        <v>5690</v>
      </c>
      <c r="D308" s="126"/>
      <c r="E308" s="307" t="s">
        <v>5691</v>
      </c>
      <c r="F308" s="37" t="s">
        <v>5692</v>
      </c>
      <c r="G308" s="106">
        <v>0.21</v>
      </c>
      <c r="H308" s="39" t="str">
        <f>VLOOKUP("RT4FC-B-W",STOCK!$B$2:$Q$3686,3,FALSE)</f>
        <v>Mayor a 5</v>
      </c>
    </row>
    <row r="309" ht="15.75" customHeight="1">
      <c r="A309" s="161" t="s">
        <v>5103</v>
      </c>
      <c r="B309" s="161" t="s">
        <v>5693</v>
      </c>
      <c r="C309" s="298" t="s">
        <v>5694</v>
      </c>
      <c r="D309" s="297"/>
      <c r="E309" s="266" t="s">
        <v>5695</v>
      </c>
      <c r="F309" s="44" t="s">
        <v>5696</v>
      </c>
      <c r="G309" s="103">
        <v>0.21</v>
      </c>
      <c r="H309" s="39" t="str">
        <f>VLOOKUP("RT5FC-B-D",STOCK!$B$2:$Q$3686,3,FALSE)</f>
        <v>Mayor a 5</v>
      </c>
    </row>
    <row r="310" ht="15.75" customHeight="1">
      <c r="A310" s="125"/>
      <c r="B310" s="166" t="s">
        <v>5697</v>
      </c>
      <c r="C310" s="126"/>
      <c r="D310" s="126"/>
      <c r="E310" s="307" t="s">
        <v>2095</v>
      </c>
      <c r="F310" s="37" t="s">
        <v>2095</v>
      </c>
      <c r="G310" s="106">
        <v>0.21</v>
      </c>
      <c r="H310" s="39" t="str">
        <f>VLOOKUP("SCNO2SX-A",STOCK!$B$2:$Q$3686,3,FALSE)</f>
        <v>Mayor a 5</v>
      </c>
    </row>
    <row r="311" ht="15.75" customHeight="1">
      <c r="A311" s="306"/>
      <c r="B311" s="161" t="s">
        <v>5698</v>
      </c>
      <c r="C311" s="297"/>
      <c r="D311" s="297"/>
      <c r="E311" s="266" t="s">
        <v>2095</v>
      </c>
      <c r="F311" s="44" t="s">
        <v>2095</v>
      </c>
      <c r="G311" s="103">
        <v>0.21</v>
      </c>
      <c r="H311" s="39" t="str">
        <f>VLOOKUP("SCNO4SX-A",STOCK!$B$2:$Q$3686,3,FALSE)</f>
        <v>Mayor a 5</v>
      </c>
    </row>
    <row r="312" ht="15.75" customHeight="1">
      <c r="A312" s="125"/>
      <c r="B312" s="166" t="s">
        <v>5699</v>
      </c>
      <c r="C312" s="126"/>
      <c r="D312" s="126"/>
      <c r="E312" s="307" t="s">
        <v>5700</v>
      </c>
      <c r="F312" s="37" t="s">
        <v>5701</v>
      </c>
      <c r="G312" s="106">
        <v>0.21</v>
      </c>
      <c r="H312" s="39" t="str">
        <f>VLOOKUP("NKO-DR1",STOCK!$B$2:$Q$3686,3,FALSE)</f>
        <v>Menor a 5</v>
      </c>
    </row>
    <row r="313" ht="15.75" customHeight="1">
      <c r="A313" s="306"/>
      <c r="B313" s="161" t="s">
        <v>5702</v>
      </c>
      <c r="C313" s="297"/>
      <c r="D313" s="297"/>
      <c r="E313" s="247" t="s">
        <v>2095</v>
      </c>
      <c r="F313" s="102" t="s">
        <v>2095</v>
      </c>
      <c r="G313" s="103">
        <v>0.21</v>
      </c>
      <c r="H313" s="39" t="str">
        <f>VLOOKUP("NKTB1-R/G",STOCK!$B$2:$Q$3686,3,FALSE)</f>
        <v>Mayor a 5</v>
      </c>
    </row>
    <row r="314" ht="15.75" customHeight="1">
      <c r="A314" s="306"/>
      <c r="B314" s="161"/>
      <c r="C314" s="297"/>
      <c r="D314" s="297"/>
      <c r="E314" s="247" t="s">
        <v>5703</v>
      </c>
      <c r="F314" s="102" t="s">
        <v>5704</v>
      </c>
      <c r="G314" s="103"/>
      <c r="H314" s="39"/>
    </row>
    <row r="315" ht="15.75" customHeight="1">
      <c r="A315" s="306"/>
      <c r="B315" s="161"/>
      <c r="C315" s="297"/>
      <c r="D315" s="297"/>
      <c r="E315" s="236"/>
      <c r="F315" s="236"/>
      <c r="G315" s="103"/>
      <c r="H315" s="39"/>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310" t="s">
        <v>28</v>
      </c>
      <c r="G1" s="8" t="s">
        <v>29</v>
      </c>
    </row>
    <row r="2" ht="15.75" customHeight="1">
      <c r="A2" s="29" t="s">
        <v>5705</v>
      </c>
      <c r="B2" s="30"/>
      <c r="C2" s="30"/>
      <c r="D2" s="55"/>
      <c r="E2" s="55"/>
      <c r="F2" s="114"/>
      <c r="G2" s="30"/>
    </row>
    <row r="3" ht="15.75" customHeight="1">
      <c r="A3" s="41" t="s">
        <v>5706</v>
      </c>
      <c r="B3" s="57" t="s">
        <v>5707</v>
      </c>
      <c r="C3" s="72" t="s">
        <v>5708</v>
      </c>
      <c r="D3" s="102" t="s">
        <v>5709</v>
      </c>
      <c r="E3" s="102" t="s">
        <v>5710</v>
      </c>
      <c r="F3" s="103">
        <v>0.105</v>
      </c>
      <c r="G3" s="50" t="str">
        <f t="shared" ref="G3:G4" si="1">IFERROR(VLOOKUP("SIN STOCK",#REF!,3,FALSE),"SIN STOCK")</f>
        <v>SIN STOCK</v>
      </c>
    </row>
    <row r="4" ht="15.75" customHeight="1">
      <c r="A4" s="47" t="s">
        <v>5706</v>
      </c>
      <c r="B4" s="48" t="s">
        <v>5711</v>
      </c>
      <c r="C4" s="73" t="s">
        <v>5712</v>
      </c>
      <c r="D4" s="105" t="s">
        <v>5713</v>
      </c>
      <c r="E4" s="105" t="s">
        <v>5714</v>
      </c>
      <c r="F4" s="311">
        <v>0.105</v>
      </c>
      <c r="G4" s="50" t="str">
        <f t="shared" si="1"/>
        <v>SIN STOCK</v>
      </c>
    </row>
    <row r="5" ht="15.75" customHeight="1">
      <c r="A5" s="41" t="s">
        <v>5706</v>
      </c>
      <c r="B5" s="42" t="s">
        <v>5715</v>
      </c>
      <c r="C5" s="72" t="s">
        <v>5716</v>
      </c>
      <c r="D5" s="102" t="s">
        <v>5717</v>
      </c>
      <c r="E5" s="102" t="s">
        <v>5718</v>
      </c>
      <c r="F5" s="103">
        <v>0.21</v>
      </c>
      <c r="G5" s="53" t="str">
        <f>IFERROR(VLOOKUP("USBDUALPRE",STOCK!$B$2:$Q$3692,3,FALSE),"")</f>
        <v>Mayor a 5</v>
      </c>
    </row>
    <row r="6" ht="15.75" customHeight="1">
      <c r="A6" s="47" t="s">
        <v>5706</v>
      </c>
      <c r="B6" s="48" t="s">
        <v>5719</v>
      </c>
      <c r="C6" s="73" t="s">
        <v>5720</v>
      </c>
      <c r="D6" s="105" t="s">
        <v>5721</v>
      </c>
      <c r="E6" s="105" t="s">
        <v>5722</v>
      </c>
      <c r="F6" s="311">
        <v>0.105</v>
      </c>
      <c r="G6" s="50" t="str">
        <f>IFERROR(VLOOKUP("USBPhonoPlus",STOCK!$B$2:$Q$3692,3,FALSE),"")</f>
        <v>SIN STOCK</v>
      </c>
    </row>
    <row r="7" ht="15.75" customHeight="1">
      <c r="A7" s="41" t="s">
        <v>5706</v>
      </c>
      <c r="B7" s="42" t="s">
        <v>5723</v>
      </c>
      <c r="C7" s="72" t="s">
        <v>5724</v>
      </c>
      <c r="D7" s="102" t="s">
        <v>5725</v>
      </c>
      <c r="E7" s="102" t="s">
        <v>5726</v>
      </c>
      <c r="F7" s="103">
        <v>0.105</v>
      </c>
      <c r="G7" s="50" t="str">
        <f>IFERROR(VLOOKUP("TUBEMIX",STOCK!$B$2:$Q$3692,3,FALSE),"SIN STOCK")</f>
        <v>SIN STOCK</v>
      </c>
    </row>
    <row r="8" ht="15.75" customHeight="1">
      <c r="A8" s="47" t="s">
        <v>5706</v>
      </c>
      <c r="B8" s="48" t="s">
        <v>5727</v>
      </c>
      <c r="C8" s="73" t="s">
        <v>5728</v>
      </c>
      <c r="D8" s="105" t="s">
        <v>5721</v>
      </c>
      <c r="E8" s="105" t="s">
        <v>5722</v>
      </c>
      <c r="F8" s="311">
        <v>0.105</v>
      </c>
      <c r="G8" s="39" t="str">
        <f>IFERROR(VLOOKUP("USBMIX",STOCK!$B$2:$Q$3692,3,FALSE),"")</f>
        <v>Mayor a 5</v>
      </c>
    </row>
    <row r="9" ht="15.75" customHeight="1">
      <c r="A9" s="41" t="s">
        <v>5706</v>
      </c>
      <c r="B9" s="42" t="s">
        <v>5729</v>
      </c>
      <c r="C9" s="72" t="s">
        <v>5730</v>
      </c>
      <c r="D9" s="102" t="s">
        <v>5731</v>
      </c>
      <c r="E9" s="102" t="s">
        <v>5732</v>
      </c>
      <c r="F9" s="103">
        <v>0.105</v>
      </c>
      <c r="G9" s="39" t="str">
        <f>IFERROR(VLOOKUP("USBMIX4",STOCK!$B$2:$Q$3692,3,FALSE),"")</f>
        <v>Mayor a 5</v>
      </c>
    </row>
    <row r="10" ht="15.75" customHeight="1">
      <c r="A10" s="47" t="s">
        <v>5706</v>
      </c>
      <c r="B10" s="48" t="s">
        <v>5733</v>
      </c>
      <c r="C10" s="73" t="s">
        <v>5734</v>
      </c>
      <c r="D10" s="105" t="s">
        <v>5735</v>
      </c>
      <c r="E10" s="105" t="s">
        <v>5736</v>
      </c>
      <c r="F10" s="311">
        <v>0.105</v>
      </c>
      <c r="G10" s="53" t="str">
        <f>IFERROR(VLOOKUP("USBMIX6",STOCK!$B$2:$Q$3692,3,FALSE),"")</f>
        <v>Mayor a 5</v>
      </c>
    </row>
    <row r="11" ht="15.75" customHeight="1">
      <c r="A11" s="41" t="s">
        <v>5706</v>
      </c>
      <c r="B11" s="42" t="s">
        <v>5737</v>
      </c>
      <c r="C11" s="72" t="s">
        <v>5738</v>
      </c>
      <c r="D11" s="102" t="s">
        <v>5739</v>
      </c>
      <c r="E11" s="102" t="s">
        <v>5740</v>
      </c>
      <c r="F11" s="103">
        <v>0.105</v>
      </c>
      <c r="G11" s="50" t="str">
        <f>IFERROR(VLOOKUP("Tube MP Project Series",STOCK!$B$2:$Q$3692,3,FALSE),"")</f>
        <v>SIN STOCK</v>
      </c>
    </row>
    <row r="12" ht="15.75" customHeight="1">
      <c r="A12" s="47" t="s">
        <v>5706</v>
      </c>
      <c r="B12" s="48" t="s">
        <v>5741</v>
      </c>
      <c r="C12" s="73" t="s">
        <v>5742</v>
      </c>
      <c r="D12" s="105" t="s">
        <v>5743</v>
      </c>
      <c r="E12" s="105" t="s">
        <v>5744</v>
      </c>
      <c r="F12" s="311">
        <v>0.105</v>
      </c>
      <c r="G12" s="50" t="str">
        <f>IFERROR(VLOOKUP("USBII",STOCK!$B$2:$Q$3692,3,FALSE),"SIN STOCK")</f>
        <v>SIN STOCK</v>
      </c>
    </row>
    <row r="13" ht="15.75" customHeight="1">
      <c r="A13" s="41" t="s">
        <v>5706</v>
      </c>
      <c r="B13" s="42" t="s">
        <v>5745</v>
      </c>
      <c r="C13" s="72" t="s">
        <v>5746</v>
      </c>
      <c r="D13" s="102" t="s">
        <v>4088</v>
      </c>
      <c r="E13" s="102" t="s">
        <v>5747</v>
      </c>
      <c r="F13" s="103">
        <v>0.105</v>
      </c>
      <c r="G13" s="50" t="str">
        <f>IFERROR(VLOOKUP("USBIV",STOCK!$B$2:$Q$3692,3,FALSE),"SIN STOCK")</f>
        <v>SIN STOCK</v>
      </c>
    </row>
    <row r="14" ht="15.75" customHeight="1">
      <c r="A14" s="47" t="s">
        <v>5706</v>
      </c>
      <c r="B14" s="48" t="s">
        <v>5748</v>
      </c>
      <c r="C14" s="73" t="s">
        <v>5749</v>
      </c>
      <c r="D14" s="105" t="s">
        <v>5750</v>
      </c>
      <c r="E14" s="105" t="s">
        <v>5751</v>
      </c>
      <c r="F14" s="311">
        <v>0.105</v>
      </c>
      <c r="G14" s="50" t="str">
        <f>IFERROR(VLOOKUP("DMPAII",STOCK!$B$2:$Q$3692,3,FALSE),"SIN STOCK")</f>
        <v>SIN STOCK</v>
      </c>
    </row>
    <row r="15" ht="15.75" customHeight="1">
      <c r="A15" s="41" t="s">
        <v>5706</v>
      </c>
      <c r="B15" s="42" t="s">
        <v>5752</v>
      </c>
      <c r="C15" s="72" t="s">
        <v>5753</v>
      </c>
      <c r="D15" s="102" t="s">
        <v>5754</v>
      </c>
      <c r="E15" s="102" t="s">
        <v>5755</v>
      </c>
      <c r="F15" s="103">
        <v>0.105</v>
      </c>
      <c r="G15" s="50" t="str">
        <f>IFERROR(VLOOKUP("VOICECHANNEL",STOCK!$B$2:$Q$3692,3,FALSE),"SIN STOCK")</f>
        <v>SIN STOCK</v>
      </c>
    </row>
    <row r="16" ht="15.75" customHeight="1">
      <c r="A16" s="47" t="s">
        <v>5706</v>
      </c>
      <c r="B16" s="48" t="s">
        <v>5756</v>
      </c>
      <c r="C16" s="73" t="s">
        <v>5757</v>
      </c>
      <c r="D16" s="105" t="s">
        <v>5758</v>
      </c>
      <c r="E16" s="105" t="s">
        <v>5759</v>
      </c>
      <c r="F16" s="311">
        <v>0.105</v>
      </c>
      <c r="G16" s="50" t="str">
        <f>IFERROR(VLOOKUP("MCONNECT",STOCK!$B$2:$Q$3692,3,FALSE),"SIN STOCK")</f>
        <v>SIN STOCK</v>
      </c>
    </row>
    <row r="17" ht="15.75" customHeight="1">
      <c r="A17" s="41" t="s">
        <v>5706</v>
      </c>
      <c r="B17" s="42" t="s">
        <v>5760</v>
      </c>
      <c r="C17" s="72" t="s">
        <v>5761</v>
      </c>
      <c r="D17" s="102" t="s">
        <v>5762</v>
      </c>
      <c r="E17" s="102" t="s">
        <v>5763</v>
      </c>
      <c r="F17" s="103">
        <v>0.105</v>
      </c>
      <c r="G17" s="50" t="str">
        <f>IFERROR(VLOOKUP("XCONNECT",STOCK!$B$2:$Q$3692,3,FALSE),"SIN STOCK")</f>
        <v>SIN STOCK</v>
      </c>
    </row>
    <row r="18" ht="15.75" customHeight="1">
      <c r="A18" s="29" t="s">
        <v>5764</v>
      </c>
      <c r="B18" s="30"/>
      <c r="C18" s="30"/>
      <c r="D18" s="55"/>
      <c r="E18" s="55"/>
      <c r="F18" s="32"/>
      <c r="G18" s="30"/>
    </row>
    <row r="19" ht="15.75" customHeight="1">
      <c r="A19" s="41" t="s">
        <v>5706</v>
      </c>
      <c r="B19" s="42" t="s">
        <v>5765</v>
      </c>
      <c r="C19" s="72" t="s">
        <v>5766</v>
      </c>
      <c r="D19" s="102" t="s">
        <v>5767</v>
      </c>
      <c r="E19" s="102" t="s">
        <v>5768</v>
      </c>
      <c r="F19" s="103">
        <v>0.105</v>
      </c>
      <c r="G19" s="302" t="str">
        <f>IFERROR(VLOOKUP("TUBE MP",STOCK!$B$2:$Q$3692,3,FALSE),"")</f>
        <v>Menor a 5</v>
      </c>
    </row>
    <row r="20" ht="15.75" customHeight="1">
      <c r="A20" s="47" t="s">
        <v>5706</v>
      </c>
      <c r="B20" s="48" t="s">
        <v>5769</v>
      </c>
      <c r="C20" s="73" t="s">
        <v>5770</v>
      </c>
      <c r="D20" s="105" t="s">
        <v>5771</v>
      </c>
      <c r="E20" s="105" t="s">
        <v>5772</v>
      </c>
      <c r="F20" s="311">
        <v>0.105</v>
      </c>
      <c r="G20" s="50" t="str">
        <f>IFERROR(VLOOKUP("TUBE-MP-S-V3",STOCK!$B$2:$Q$3692,3,FALSE),"SIN STOCK")</f>
        <v>SIN STOCK</v>
      </c>
    </row>
    <row r="21" ht="15.75" customHeight="1">
      <c r="A21" s="41" t="s">
        <v>5706</v>
      </c>
      <c r="B21" s="42" t="s">
        <v>5773</v>
      </c>
      <c r="C21" s="72" t="s">
        <v>5738</v>
      </c>
      <c r="D21" s="102" t="s">
        <v>5771</v>
      </c>
      <c r="E21" s="102" t="s">
        <v>5772</v>
      </c>
      <c r="F21" s="103">
        <v>0.105</v>
      </c>
      <c r="G21" s="50" t="str">
        <f>IFERROR(VLOOKUP("Tube MP Studio V3",STOCK!$B$2:$Q$3692,3,FALSE),"")</f>
        <v>SIN STOCK</v>
      </c>
    </row>
    <row r="22" ht="15.75" customHeight="1">
      <c r="A22" s="47" t="s">
        <v>5706</v>
      </c>
      <c r="B22" s="48" t="s">
        <v>5774</v>
      </c>
      <c r="C22" s="73" t="s">
        <v>5775</v>
      </c>
      <c r="D22" s="105" t="s">
        <v>5776</v>
      </c>
      <c r="E22" s="105" t="s">
        <v>5777</v>
      </c>
      <c r="F22" s="311">
        <v>0.105</v>
      </c>
      <c r="G22" s="50" t="str">
        <f>IFERROR(VLOOKUP("RP1",STOCK!$B$2:$Q$3692,3,FALSE),"SIN STOCK")</f>
        <v>SIN STOCK</v>
      </c>
    </row>
    <row r="23" ht="15.75" customHeight="1">
      <c r="A23" s="29" t="s">
        <v>5778</v>
      </c>
      <c r="B23" s="30"/>
      <c r="C23" s="30"/>
      <c r="D23" s="55"/>
      <c r="E23" s="55"/>
      <c r="F23" s="32"/>
      <c r="G23" s="30"/>
    </row>
    <row r="24" ht="15.75" customHeight="1">
      <c r="A24" s="41" t="s">
        <v>5706</v>
      </c>
      <c r="B24" s="57" t="s">
        <v>5779</v>
      </c>
      <c r="C24" s="72" t="s">
        <v>5780</v>
      </c>
      <c r="D24" s="102" t="s">
        <v>5781</v>
      </c>
      <c r="E24" s="102" t="s">
        <v>5782</v>
      </c>
      <c r="F24" s="103">
        <v>0.105</v>
      </c>
      <c r="G24" s="50" t="str">
        <f>IFERROR(VLOOKUP("TPS II",STOCK!$B$2:$Q$3692,3,FALSE),"SIN STOCK")</f>
        <v>Menor a 5</v>
      </c>
    </row>
    <row r="25" ht="15.75" customHeight="1">
      <c r="A25" s="47" t="s">
        <v>5706</v>
      </c>
      <c r="B25" s="48" t="s">
        <v>5783</v>
      </c>
      <c r="C25" s="73" t="s">
        <v>5784</v>
      </c>
      <c r="D25" s="105" t="s">
        <v>5785</v>
      </c>
      <c r="E25" s="105" t="s">
        <v>5786</v>
      </c>
      <c r="F25" s="311">
        <v>0.105</v>
      </c>
      <c r="G25" s="50" t="str">
        <f>IFERROR(VLOOKUP("Pro MPA II",STOCK!$B$2:$Q$3692,3,FALSE),"")</f>
        <v>SIN STOCK</v>
      </c>
    </row>
    <row r="26" ht="15.75" customHeight="1">
      <c r="A26" s="41" t="s">
        <v>5706</v>
      </c>
      <c r="B26" s="42" t="s">
        <v>5787</v>
      </c>
      <c r="C26" s="72" t="s">
        <v>5788</v>
      </c>
      <c r="D26" s="102" t="s">
        <v>5789</v>
      </c>
      <c r="E26" s="102" t="s">
        <v>5790</v>
      </c>
      <c r="F26" s="103">
        <v>0.105</v>
      </c>
      <c r="G26" s="50" t="str">
        <f>IFERROR(VLOOKUP("TRANSXCE",STOCK!$B$2:$Q$3692,3,FALSE),"SIN STOCK")</f>
        <v>SIN STOCK</v>
      </c>
    </row>
    <row r="27" ht="15.75" customHeight="1">
      <c r="A27" s="47" t="s">
        <v>5706</v>
      </c>
      <c r="B27" s="48" t="s">
        <v>5791</v>
      </c>
      <c r="C27" s="73" t="s">
        <v>5792</v>
      </c>
      <c r="D27" s="105" t="s">
        <v>5793</v>
      </c>
      <c r="E27" s="105" t="s">
        <v>5794</v>
      </c>
      <c r="F27" s="311">
        <v>0.105</v>
      </c>
      <c r="G27" s="50" t="str">
        <f>IFERROR(VLOOKUP("DRP",STOCK!$B$2:$Q$3692,3,FALSE),"SIN STOCK")</f>
        <v>Mayor a 5</v>
      </c>
    </row>
    <row r="28" ht="15.75" customHeight="1">
      <c r="A28" s="41" t="s">
        <v>5706</v>
      </c>
      <c r="B28" s="42" t="s">
        <v>5795</v>
      </c>
      <c r="C28" s="72" t="s">
        <v>5796</v>
      </c>
      <c r="D28" s="102" t="s">
        <v>5776</v>
      </c>
      <c r="E28" s="102" t="s">
        <v>5777</v>
      </c>
      <c r="F28" s="103">
        <v>0.105</v>
      </c>
      <c r="G28" s="50" t="str">
        <f>IFERROR(VLOOKUP("DJPRE-2CE",STOCK!$B$2:$Q$3692,3,FALSE),"SIN STOCK")</f>
        <v>Mayor a 5</v>
      </c>
    </row>
    <row r="29" ht="15.75" customHeight="1">
      <c r="A29" s="47" t="s">
        <v>5706</v>
      </c>
      <c r="B29" s="48" t="s">
        <v>5797</v>
      </c>
      <c r="C29" s="73" t="s">
        <v>5798</v>
      </c>
      <c r="D29" s="105" t="s">
        <v>5799</v>
      </c>
      <c r="E29" s="105" t="s">
        <v>5800</v>
      </c>
      <c r="F29" s="311">
        <v>0.105</v>
      </c>
      <c r="G29" s="50" t="str">
        <f>IFERROR(VLOOKUP("PRECISIONPHONO",STOCK!$B$2:$Q$3692,3,FALSE),"SIN STOCK")</f>
        <v>SIN STOCK</v>
      </c>
    </row>
    <row r="30" ht="15.75" customHeight="1">
      <c r="A30" s="29" t="s">
        <v>5801</v>
      </c>
      <c r="B30" s="30"/>
      <c r="C30" s="30"/>
      <c r="D30" s="55"/>
      <c r="E30" s="55"/>
      <c r="F30" s="32"/>
      <c r="G30" s="30"/>
    </row>
    <row r="31" ht="15.75" customHeight="1">
      <c r="A31" s="41" t="s">
        <v>5706</v>
      </c>
      <c r="B31" s="42" t="s">
        <v>5802</v>
      </c>
      <c r="C31" s="72" t="s">
        <v>5803</v>
      </c>
      <c r="D31" s="102" t="s">
        <v>5743</v>
      </c>
      <c r="E31" s="102" t="s">
        <v>5744</v>
      </c>
      <c r="F31" s="103">
        <v>0.105</v>
      </c>
      <c r="G31" s="50" t="str">
        <f>IFERROR(VLOOKUP("DUALLIMITERCE",STOCK!$B$2:$Q$3692,3,FALSE),"SIN STOCK")</f>
        <v>SIN STOCK</v>
      </c>
    </row>
    <row r="32" ht="15.75" customHeight="1">
      <c r="A32" s="47" t="s">
        <v>5706</v>
      </c>
      <c r="B32" s="48" t="s">
        <v>5804</v>
      </c>
      <c r="C32" s="73" t="s">
        <v>5805</v>
      </c>
      <c r="D32" s="105" t="s">
        <v>5806</v>
      </c>
      <c r="E32" s="105" t="s">
        <v>5807</v>
      </c>
      <c r="F32" s="311">
        <v>0.105</v>
      </c>
      <c r="G32" s="50" t="str">
        <f>IFERROR(VLOOKUP("Pro VLA II",STOCK!$B$2:$Q$3692,3,FALSE),"SIN STOCK")</f>
        <v>SIN STOCK</v>
      </c>
    </row>
    <row r="33" ht="15.75" customHeight="1">
      <c r="A33" s="41" t="s">
        <v>5706</v>
      </c>
      <c r="B33" s="42" t="s">
        <v>5808</v>
      </c>
      <c r="C33" s="72" t="s">
        <v>5809</v>
      </c>
      <c r="D33" s="102" t="s">
        <v>5806</v>
      </c>
      <c r="E33" s="102" t="s">
        <v>5807</v>
      </c>
      <c r="F33" s="103">
        <v>0.105</v>
      </c>
      <c r="G33" s="50" t="str">
        <f>IFERROR(VLOOKUP("Pro Channel II",STOCK!$B$2:$Q$3692,3,FALSE),"SIN STOCK")</f>
        <v>SIN STOCK</v>
      </c>
    </row>
    <row r="34" ht="15.75" customHeight="1">
      <c r="A34" s="47" t="s">
        <v>5706</v>
      </c>
      <c r="B34" s="48" t="s">
        <v>5810</v>
      </c>
      <c r="C34" s="73" t="s">
        <v>5811</v>
      </c>
      <c r="D34" s="105" t="s">
        <v>5812</v>
      </c>
      <c r="E34" s="105" t="s">
        <v>5813</v>
      </c>
      <c r="F34" s="311">
        <v>0.105</v>
      </c>
      <c r="G34" s="50" t="str">
        <f>IFERROR(VLOOKUP("SL2CE",STOCK!$B$2:$Q$3692,3,FALSE),"SIN STOCK")</f>
        <v>SIN STOCK</v>
      </c>
    </row>
    <row r="35" ht="15.75" customHeight="1">
      <c r="A35" s="41" t="s">
        <v>5706</v>
      </c>
      <c r="B35" s="42" t="s">
        <v>5814</v>
      </c>
      <c r="C35" s="72" t="s">
        <v>5815</v>
      </c>
      <c r="D35" s="102" t="s">
        <v>5785</v>
      </c>
      <c r="E35" s="102" t="s">
        <v>5786</v>
      </c>
      <c r="F35" s="103">
        <v>0.105</v>
      </c>
      <c r="G35" s="50" t="str">
        <f>IFERROR(VLOOKUP("TRANSYCE",STOCK!$B$2:$Q$3692,3,FALSE),"SIN STOCK")</f>
        <v>SIN STOCK</v>
      </c>
    </row>
    <row r="36" ht="15.75" customHeight="1">
      <c r="A36" s="47" t="s">
        <v>5706</v>
      </c>
      <c r="B36" s="48" t="s">
        <v>5816</v>
      </c>
      <c r="C36" s="73" t="s">
        <v>5817</v>
      </c>
      <c r="D36" s="105" t="s">
        <v>5818</v>
      </c>
      <c r="E36" s="105" t="s">
        <v>5819</v>
      </c>
      <c r="F36" s="311">
        <v>0.105</v>
      </c>
      <c r="G36" s="50" t="str">
        <f>IFERROR(VLOOKUP("TUBEMP/CCE",STOCK!$B$2:$Q$3692,3,FALSE),"SIN STOCK")</f>
        <v>SIN STOCK</v>
      </c>
    </row>
    <row r="37" ht="15.75" customHeight="1">
      <c r="A37" s="29" t="s">
        <v>5820</v>
      </c>
      <c r="B37" s="30"/>
      <c r="C37" s="30"/>
      <c r="D37" s="55"/>
      <c r="E37" s="55"/>
      <c r="F37" s="32"/>
      <c r="G37" s="30"/>
    </row>
    <row r="38" ht="15.75" customHeight="1">
      <c r="A38" s="41" t="s">
        <v>5706</v>
      </c>
      <c r="B38" s="42" t="s">
        <v>5821</v>
      </c>
      <c r="C38" s="72" t="s">
        <v>5822</v>
      </c>
      <c r="D38" s="102" t="s">
        <v>5823</v>
      </c>
      <c r="E38" s="102" t="s">
        <v>5777</v>
      </c>
      <c r="F38" s="103">
        <v>0.21</v>
      </c>
      <c r="G38" s="50" t="str">
        <f>IFERROR(VLOOKUP("HP-1",STOCK!$B$2:$Q$3692,3,FALSE),"SIN STOCK")</f>
        <v>Mayor a 5</v>
      </c>
    </row>
    <row r="39" ht="15.75" customHeight="1">
      <c r="A39" s="47" t="s">
        <v>5706</v>
      </c>
      <c r="B39" s="48" t="s">
        <v>5824</v>
      </c>
      <c r="C39" s="73" t="s">
        <v>5825</v>
      </c>
      <c r="D39" s="105" t="s">
        <v>5776</v>
      </c>
      <c r="E39" s="105" t="s">
        <v>5777</v>
      </c>
      <c r="F39" s="311">
        <v>0.105</v>
      </c>
      <c r="G39" s="39" t="str">
        <f>IFERROR(VLOOKUP("HEADTAP",STOCK!$B$2:$Q$3692,3,FALSE),"SIN STOCK")</f>
        <v>Mayor a 5</v>
      </c>
    </row>
    <row r="40" ht="15.75" customHeight="1">
      <c r="A40" s="41" t="s">
        <v>5706</v>
      </c>
      <c r="B40" s="42" t="s">
        <v>5826</v>
      </c>
      <c r="C40" s="72" t="s">
        <v>5827</v>
      </c>
      <c r="D40" s="102" t="s">
        <v>5828</v>
      </c>
      <c r="E40" s="102" t="s">
        <v>5829</v>
      </c>
      <c r="F40" s="103">
        <v>0.21</v>
      </c>
      <c r="G40" s="53" t="str">
        <f>IFERROR(VLOOKUP("HeadAmp4",STOCK!$B$2:$Q$3692,3,FALSE),"SIN STOCK")</f>
        <v>Mayor a 5</v>
      </c>
    </row>
    <row r="41" ht="15.75" customHeight="1">
      <c r="A41" s="47" t="s">
        <v>5706</v>
      </c>
      <c r="B41" s="47" t="s">
        <v>5830</v>
      </c>
      <c r="C41" s="73" t="s">
        <v>5831</v>
      </c>
      <c r="D41" s="105" t="s">
        <v>5832</v>
      </c>
      <c r="E41" s="105" t="s">
        <v>5710</v>
      </c>
      <c r="F41" s="311">
        <v>0.21</v>
      </c>
      <c r="G41" s="39" t="str">
        <f>IFERROR(VLOOKUP("HEADAMP4PRO",STOCK!$B$2:$Q$3692,3,FALSE),"SIN STOCK")</f>
        <v>Mayor a 5</v>
      </c>
    </row>
    <row r="42" ht="15.75" customHeight="1">
      <c r="A42" s="41" t="s">
        <v>5706</v>
      </c>
      <c r="B42" s="42" t="s">
        <v>5833</v>
      </c>
      <c r="C42" s="72" t="s">
        <v>5834</v>
      </c>
      <c r="D42" s="102" t="s">
        <v>5835</v>
      </c>
      <c r="E42" s="102" t="s">
        <v>5836</v>
      </c>
      <c r="F42" s="103">
        <v>0.105</v>
      </c>
      <c r="G42" s="50" t="str">
        <f>IFERROR(VLOOKUP("HEADAMP6",STOCK!$B$2:$Q$3692,3,FALSE),"SIN STOCK")</f>
        <v>SIN STOCK</v>
      </c>
    </row>
    <row r="43" ht="15.75" customHeight="1">
      <c r="A43" s="47" t="s">
        <v>5706</v>
      </c>
      <c r="B43" s="48" t="s">
        <v>5837</v>
      </c>
      <c r="C43" s="73" t="s">
        <v>5838</v>
      </c>
      <c r="D43" s="105" t="s">
        <v>5839</v>
      </c>
      <c r="E43" s="105" t="s">
        <v>5747</v>
      </c>
      <c r="F43" s="311">
        <v>0.21</v>
      </c>
      <c r="G43" s="50" t="str">
        <f>IFERROR(VLOOKUP("HEADAMP6 PRO",STOCK!$B$2:$Q$3692,3,FALSE),"SIN STOCK")</f>
        <v>Menor a 5</v>
      </c>
    </row>
    <row r="44" ht="15.75" customHeight="1">
      <c r="A44" s="41" t="s">
        <v>5706</v>
      </c>
      <c r="B44" s="42" t="s">
        <v>5840</v>
      </c>
      <c r="C44" s="72" t="s">
        <v>5841</v>
      </c>
      <c r="D44" s="102" t="s">
        <v>5842</v>
      </c>
      <c r="E44" s="102" t="s">
        <v>5843</v>
      </c>
      <c r="F44" s="103">
        <v>0.105</v>
      </c>
      <c r="G44" s="50" t="str">
        <f>IFERROR(VLOOKUP("MyMonitor",STOCK!$B$2:$Q$3692,3,FALSE),"SIN STOCK")</f>
        <v>SIN STOCK</v>
      </c>
    </row>
    <row r="45" ht="15.75" customHeight="1">
      <c r="A45" s="29" t="s">
        <v>5844</v>
      </c>
      <c r="B45" s="30"/>
      <c r="C45" s="30"/>
      <c r="D45" s="55"/>
      <c r="E45" s="55"/>
      <c r="F45" s="32"/>
      <c r="G45" s="30"/>
    </row>
    <row r="46" ht="15.75" customHeight="1">
      <c r="A46" s="41" t="s">
        <v>5706</v>
      </c>
      <c r="B46" s="42" t="s">
        <v>5845</v>
      </c>
      <c r="C46" s="72" t="s">
        <v>5846</v>
      </c>
      <c r="D46" s="102" t="s">
        <v>5847</v>
      </c>
      <c r="E46" s="102" t="e">
        <v>#VALUE!</v>
      </c>
      <c r="F46" s="103">
        <v>0.105</v>
      </c>
      <c r="G46" s="50" t="str">
        <f>IFERROR(VLOOKUP("RM5ART",STOCK!$B$2:$Q$3692,3,FALSE),"SIN STOCK")</f>
        <v>SIN STOCK</v>
      </c>
    </row>
    <row r="47" ht="15.75" customHeight="1">
      <c r="A47" s="47" t="s">
        <v>5706</v>
      </c>
      <c r="B47" s="48" t="s">
        <v>5848</v>
      </c>
      <c r="C47" s="73" t="s">
        <v>5849</v>
      </c>
      <c r="D47" s="105" t="s">
        <v>5850</v>
      </c>
      <c r="E47" s="105" t="s">
        <v>5851</v>
      </c>
      <c r="F47" s="311">
        <v>0.21</v>
      </c>
      <c r="G47" s="50" t="str">
        <f>IFERROR(VLOOKUP("SDA1CE",STOCK!$B$2:$Q$3692,3,FALSE),"SIN STOCK")</f>
        <v>Mayor a 5</v>
      </c>
    </row>
    <row r="48" ht="15.75" customHeight="1">
      <c r="A48" s="41" t="s">
        <v>5706</v>
      </c>
      <c r="B48" s="42" t="s">
        <v>5852</v>
      </c>
      <c r="C48" s="72" t="s">
        <v>5853</v>
      </c>
      <c r="D48" s="102" t="s">
        <v>5854</v>
      </c>
      <c r="E48" s="102" t="s">
        <v>5855</v>
      </c>
      <c r="F48" s="103">
        <v>0.21</v>
      </c>
      <c r="G48" s="50" t="str">
        <f>IFERROR(VLOOKUP("SLA1CE",STOCK!$B$2:$Q$3692,3,FALSE),"SIN STOCK")</f>
        <v>Mayor a 5</v>
      </c>
    </row>
    <row r="49" ht="15.75" customHeight="1">
      <c r="A49" s="47" t="s">
        <v>5706</v>
      </c>
      <c r="B49" s="48" t="s">
        <v>5856</v>
      </c>
      <c r="C49" s="73" t="s">
        <v>5857</v>
      </c>
      <c r="D49" s="105" t="s">
        <v>5858</v>
      </c>
      <c r="E49" s="105" t="s">
        <v>5859</v>
      </c>
      <c r="F49" s="311">
        <v>0.105</v>
      </c>
      <c r="G49" s="50" t="str">
        <f>IFERROR(VLOOKUP("SLA2CE",STOCK!$B$2:$Q$3692,3,FALSE),"SIN STOCK")</f>
        <v>SIN STOCK</v>
      </c>
    </row>
    <row r="50" ht="15.75" customHeight="1">
      <c r="A50" s="41" t="s">
        <v>5706</v>
      </c>
      <c r="B50" s="42" t="s">
        <v>5860</v>
      </c>
      <c r="C50" s="72" t="s">
        <v>5861</v>
      </c>
      <c r="D50" s="102" t="s">
        <v>5862</v>
      </c>
      <c r="E50" s="102" t="s">
        <v>5863</v>
      </c>
      <c r="F50" s="103">
        <v>0.21</v>
      </c>
      <c r="G50" s="50" t="str">
        <f>IFERROR(VLOOKUP("SLA4CE",STOCK!$B$2:$Q$3692,3,FALSE),"SIN STOCK")</f>
        <v>Mayor a 5</v>
      </c>
    </row>
    <row r="51" ht="15.75" customHeight="1">
      <c r="A51" s="47" t="s">
        <v>5706</v>
      </c>
      <c r="B51" s="48" t="s">
        <v>5864</v>
      </c>
      <c r="C51" s="73" t="s">
        <v>5865</v>
      </c>
      <c r="D51" s="105" t="s">
        <v>5866</v>
      </c>
      <c r="E51" s="105" t="s">
        <v>5859</v>
      </c>
      <c r="F51" s="311">
        <v>0.21</v>
      </c>
      <c r="G51" s="50" t="str">
        <f>IFERROR(VLOOKUP("HVA1CE",STOCK!$B$2:$Q$3692,3,FALSE),"SIN STOCK")</f>
        <v>Menor a 5</v>
      </c>
    </row>
    <row r="52" ht="15.75" customHeight="1">
      <c r="A52" s="41" t="s">
        <v>5706</v>
      </c>
      <c r="B52" s="57" t="s">
        <v>5867</v>
      </c>
      <c r="C52" s="72" t="s">
        <v>5868</v>
      </c>
      <c r="D52" s="102" t="s">
        <v>5869</v>
      </c>
      <c r="E52" s="102" t="s">
        <v>5870</v>
      </c>
      <c r="F52" s="103">
        <v>0.21</v>
      </c>
      <c r="G52" s="50" t="str">
        <f>IFERROR(VLOOKUP("HVA4CE",STOCK!$B$2:$Q$3692,3,FALSE),"SIN STOCK")</f>
        <v>SIN STOCK</v>
      </c>
    </row>
    <row r="53" ht="15.75" customHeight="1">
      <c r="A53" s="29" t="s">
        <v>5871</v>
      </c>
      <c r="B53" s="30"/>
      <c r="C53" s="30"/>
      <c r="D53" s="55"/>
      <c r="E53" s="55"/>
      <c r="F53" s="32"/>
      <c r="G53" s="30"/>
    </row>
    <row r="54" ht="15.75" customHeight="1">
      <c r="A54" s="41" t="s">
        <v>5706</v>
      </c>
      <c r="B54" s="42" t="s">
        <v>5872</v>
      </c>
      <c r="C54" s="72" t="s">
        <v>5873</v>
      </c>
      <c r="D54" s="102" t="s">
        <v>5874</v>
      </c>
      <c r="E54" s="102" t="s">
        <v>5875</v>
      </c>
      <c r="F54" s="103">
        <v>0.105</v>
      </c>
      <c r="G54" s="50" t="str">
        <f>IFERROR(VLOOKUP("CX310",STOCK!$B$2:$Q$3692,3,FALSE),"SIN STOCK")</f>
        <v>SIN STOCK</v>
      </c>
    </row>
    <row r="55" ht="15.75" customHeight="1">
      <c r="A55" s="47" t="s">
        <v>5706</v>
      </c>
      <c r="B55" s="48" t="s">
        <v>5876</v>
      </c>
      <c r="C55" s="73" t="s">
        <v>5877</v>
      </c>
      <c r="D55" s="105" t="s">
        <v>5878</v>
      </c>
      <c r="E55" s="105" t="s">
        <v>5879</v>
      </c>
      <c r="F55" s="311">
        <v>0.105</v>
      </c>
      <c r="G55" s="50" t="str">
        <f>IFERROR(VLOOKUP("CX311",STOCK!$B$2:$Q$3692,3,FALSE),"SIN STOCK")</f>
        <v>SIN STOCK</v>
      </c>
    </row>
    <row r="56" ht="15.75" customHeight="1">
      <c r="A56" s="41" t="s">
        <v>5706</v>
      </c>
      <c r="B56" s="42" t="s">
        <v>5880</v>
      </c>
      <c r="C56" s="72" t="s">
        <v>5881</v>
      </c>
      <c r="D56" s="102" t="s">
        <v>5878</v>
      </c>
      <c r="E56" s="102" t="s">
        <v>5879</v>
      </c>
      <c r="F56" s="103">
        <v>0.105</v>
      </c>
      <c r="G56" s="50" t="str">
        <f>IFERROR(VLOOKUP("EQ-341",STOCK!$B$2:$Q$3692,3,FALSE),"SIN STOCK")</f>
        <v>SIN STOCK</v>
      </c>
    </row>
    <row r="57" ht="15.75" customHeight="1">
      <c r="A57" s="47" t="s">
        <v>5706</v>
      </c>
      <c r="B57" s="48" t="s">
        <v>5882</v>
      </c>
      <c r="C57" s="73" t="s">
        <v>5883</v>
      </c>
      <c r="D57" s="105" t="s">
        <v>5878</v>
      </c>
      <c r="E57" s="105" t="s">
        <v>5879</v>
      </c>
      <c r="F57" s="311">
        <v>0.105</v>
      </c>
      <c r="G57" s="50" t="str">
        <f>IFERROR(VLOOKUP("EQ-351",STOCK!$B$2:$Q$3692,3,FALSE),"SIN STOCK")</f>
        <v>SIN STOCK</v>
      </c>
    </row>
    <row r="58" ht="15.75" customHeight="1">
      <c r="A58" s="41" t="s">
        <v>5706</v>
      </c>
      <c r="B58" s="42" t="s">
        <v>5884</v>
      </c>
      <c r="C58" s="72" t="s">
        <v>5885</v>
      </c>
      <c r="D58" s="102" t="s">
        <v>5886</v>
      </c>
      <c r="E58" s="102" t="s">
        <v>5887</v>
      </c>
      <c r="F58" s="103">
        <v>0.105</v>
      </c>
      <c r="G58" s="50" t="str">
        <f>IFERROR(VLOOKUP("EQ-355",STOCK!$B$2:$Q$3692,3,FALSE),"SIN STOCK")</f>
        <v>SIN STOCK</v>
      </c>
    </row>
    <row r="59" ht="15.75" customHeight="1">
      <c r="A59" s="29" t="s">
        <v>5888</v>
      </c>
      <c r="B59" s="30"/>
      <c r="C59" s="30"/>
      <c r="D59" s="55"/>
      <c r="E59" s="55"/>
      <c r="F59" s="32"/>
      <c r="G59" s="30"/>
    </row>
    <row r="60" ht="15.75" customHeight="1">
      <c r="A60" s="41" t="s">
        <v>5706</v>
      </c>
      <c r="B60" s="42" t="s">
        <v>5889</v>
      </c>
      <c r="C60" s="72" t="s">
        <v>5890</v>
      </c>
      <c r="D60" s="102" t="s">
        <v>5891</v>
      </c>
      <c r="E60" s="102" t="s">
        <v>5829</v>
      </c>
      <c r="F60" s="103">
        <v>0.105</v>
      </c>
      <c r="G60" s="50" t="str">
        <f>IFERROR(VLOOKUP("PB 4 x 4",STOCK!$B$2:$Q$3692,3,FALSE),"SIN STOCK")</f>
        <v>SIN STOCK</v>
      </c>
    </row>
    <row r="61" ht="15.75" customHeight="1">
      <c r="A61" s="47" t="s">
        <v>5706</v>
      </c>
      <c r="B61" s="48" t="s">
        <v>5892</v>
      </c>
      <c r="C61" s="73" t="s">
        <v>5893</v>
      </c>
      <c r="D61" s="105" t="s">
        <v>5894</v>
      </c>
      <c r="E61" s="105" t="s">
        <v>5895</v>
      </c>
      <c r="F61" s="311">
        <v>0.105</v>
      </c>
      <c r="G61" s="50" t="str">
        <f>IFERROR(VLOOKUP("SP 4 x 4",STOCK!$B$2:$Q$3692,3,FALSE),"SIN STOCK")</f>
        <v>SIN STOCK</v>
      </c>
    </row>
    <row r="62" ht="15.75" customHeight="1">
      <c r="A62" s="41" t="s">
        <v>5706</v>
      </c>
      <c r="B62" s="42" t="s">
        <v>5896</v>
      </c>
      <c r="C62" s="72" t="s">
        <v>5897</v>
      </c>
      <c r="D62" s="102" t="s">
        <v>5898</v>
      </c>
      <c r="E62" s="102" t="s">
        <v>5899</v>
      </c>
      <c r="F62" s="103">
        <v>0.105</v>
      </c>
      <c r="G62" s="50" t="str">
        <f>IFERROR(VLOOKUP("PS 4 x 4",STOCK!$B$2:$Q$3692,3,FALSE),"SIN STOCK")</f>
        <v>SIN STOCK</v>
      </c>
    </row>
    <row r="63" ht="15.75" customHeight="1">
      <c r="A63" s="47" t="s">
        <v>5706</v>
      </c>
      <c r="B63" s="48" t="s">
        <v>5900</v>
      </c>
      <c r="C63" s="73" t="s">
        <v>5901</v>
      </c>
      <c r="D63" s="105" t="s">
        <v>5902</v>
      </c>
      <c r="E63" s="105" t="s">
        <v>5903</v>
      </c>
      <c r="F63" s="311">
        <v>0.105</v>
      </c>
      <c r="G63" s="50" t="str">
        <f>IFERROR(VLOOKUP("PB4x4PROUSB",STOCK!$B$2:$Q$3692,3,FALSE),"SIN STOCK")</f>
        <v>SIN STOCK</v>
      </c>
    </row>
    <row r="64" ht="15.75" customHeight="1">
      <c r="A64" s="41" t="s">
        <v>5706</v>
      </c>
      <c r="B64" s="42" t="s">
        <v>5904</v>
      </c>
      <c r="C64" s="72" t="s">
        <v>5905</v>
      </c>
      <c r="D64" s="102" t="s">
        <v>5906</v>
      </c>
      <c r="E64" s="102" t="s">
        <v>5907</v>
      </c>
      <c r="F64" s="103">
        <v>0.105</v>
      </c>
      <c r="G64" s="50" t="str">
        <f>IFERROR(VLOOKUP("SP4x4PROUSB",STOCK!$B$2:$Q$3692,3,FALSE),"SIN STOCK")</f>
        <v>SIN STOCK</v>
      </c>
    </row>
    <row r="65" ht="15.75" customHeight="1">
      <c r="A65" s="47" t="s">
        <v>5706</v>
      </c>
      <c r="B65" s="48" t="s">
        <v>5908</v>
      </c>
      <c r="C65" s="73" t="s">
        <v>5909</v>
      </c>
      <c r="D65" s="105" t="s">
        <v>5910</v>
      </c>
      <c r="E65" s="105" t="s">
        <v>5911</v>
      </c>
      <c r="F65" s="311">
        <v>0.105</v>
      </c>
      <c r="G65" s="50" t="str">
        <f>IFERROR(VLOOKUP("PS4x4PROUSB",STOCK!$B$2:$Q$3692,3,FALSE),"SIN STOCK")</f>
        <v>SIN STOCK</v>
      </c>
    </row>
    <row r="66" ht="15.75" customHeight="1">
      <c r="A66" s="41" t="s">
        <v>5706</v>
      </c>
      <c r="B66" s="41" t="s">
        <v>5912</v>
      </c>
      <c r="C66" s="72" t="s">
        <v>5913</v>
      </c>
      <c r="D66" s="102" t="s">
        <v>5910</v>
      </c>
      <c r="E66" s="102" t="s">
        <v>5911</v>
      </c>
      <c r="F66" s="103">
        <v>0.105</v>
      </c>
      <c r="G66" s="50" t="str">
        <f>IFERROR(VLOOKUP("PS8-II -110v only",STOCK!$B$2:$Q$3692,3,FALSE),"SIN STOCK")</f>
        <v>SIN STOCK</v>
      </c>
    </row>
    <row r="67" ht="15.75" customHeight="1">
      <c r="A67" s="47" t="s">
        <v>5706</v>
      </c>
      <c r="B67" s="47" t="s">
        <v>5914</v>
      </c>
      <c r="C67" s="73" t="s">
        <v>5915</v>
      </c>
      <c r="D67" s="105" t="s">
        <v>5916</v>
      </c>
      <c r="E67" s="105" t="s">
        <v>5917</v>
      </c>
      <c r="F67" s="311">
        <v>0.105</v>
      </c>
      <c r="G67" s="50" t="str">
        <f>IFERROR(VLOOKUP("PDS8U - 110v Only",STOCK!$B$2:$Q$3692,3,FALSE),"SIN STOCK")</f>
        <v>SIN STOCK</v>
      </c>
    </row>
    <row r="68" ht="15.75" customHeight="1">
      <c r="A68" s="41" t="s">
        <v>5706</v>
      </c>
      <c r="B68" s="42" t="s">
        <v>5918</v>
      </c>
      <c r="C68" s="72" t="s">
        <v>5919</v>
      </c>
      <c r="D68" s="102" t="s">
        <v>5920</v>
      </c>
      <c r="E68" s="102" t="s">
        <v>5921</v>
      </c>
      <c r="F68" s="103">
        <v>0.105</v>
      </c>
      <c r="G68" s="50" t="str">
        <f>IFERROR(VLOOKUP("IS0-8U",STOCK!$B$2:$Q$3692,3,FALSE),"SIN STOCK")</f>
        <v>SIN STOCK</v>
      </c>
    </row>
    <row r="69" ht="15.75" customHeight="1">
      <c r="A69" s="29" t="s">
        <v>5922</v>
      </c>
      <c r="B69" s="30"/>
      <c r="C69" s="30"/>
      <c r="D69" s="55"/>
      <c r="E69" s="55"/>
      <c r="F69" s="32"/>
      <c r="G69" s="30"/>
    </row>
    <row r="70" ht="15.75" customHeight="1">
      <c r="A70" s="41" t="s">
        <v>5706</v>
      </c>
      <c r="B70" s="42" t="s">
        <v>5923</v>
      </c>
      <c r="C70" s="72" t="s">
        <v>5924</v>
      </c>
      <c r="D70" s="102" t="s">
        <v>5925</v>
      </c>
      <c r="E70" s="102" t="s">
        <v>5926</v>
      </c>
      <c r="F70" s="103">
        <v>0.105</v>
      </c>
      <c r="G70" s="50" t="str">
        <f>IFERROR(VLOOKUP("MX225",STOCK!$B$2:$Q$3692,3,FALSE),"SIN STOCK")</f>
        <v>Mayor a 5</v>
      </c>
    </row>
    <row r="71" ht="15.75" customHeight="1">
      <c r="A71" s="47" t="s">
        <v>5706</v>
      </c>
      <c r="B71" s="48" t="s">
        <v>5927</v>
      </c>
      <c r="C71" s="73" t="s">
        <v>5928</v>
      </c>
      <c r="D71" s="105" t="s">
        <v>5929</v>
      </c>
      <c r="E71" s="105" t="s">
        <v>5855</v>
      </c>
      <c r="F71" s="311">
        <v>0.105</v>
      </c>
      <c r="G71" s="50" t="str">
        <f>IFERROR(VLOOKUP("MX524",STOCK!$B$2:$Q$3692,3,FALSE),"SIN STOCK")</f>
        <v>SIN STOCK</v>
      </c>
    </row>
    <row r="72" ht="15.75" customHeight="1">
      <c r="A72" s="41" t="s">
        <v>5706</v>
      </c>
      <c r="B72" s="42" t="s">
        <v>5930</v>
      </c>
      <c r="C72" s="72" t="s">
        <v>5931</v>
      </c>
      <c r="D72" s="102" t="s">
        <v>5735</v>
      </c>
      <c r="E72" s="102" t="s">
        <v>5736</v>
      </c>
      <c r="F72" s="103">
        <v>0.105</v>
      </c>
      <c r="G72" s="50" t="str">
        <f>IFERROR(VLOOKUP("MX622",STOCK!$B$2:$Q$3692,3,FALSE),"SIN STOCK")</f>
        <v>SIN STOCK</v>
      </c>
    </row>
    <row r="73" ht="15.75" customHeight="1">
      <c r="A73" s="47" t="s">
        <v>5706</v>
      </c>
      <c r="B73" s="47" t="s">
        <v>5932</v>
      </c>
      <c r="C73" s="73" t="s">
        <v>5933</v>
      </c>
      <c r="D73" s="105" t="s">
        <v>5925</v>
      </c>
      <c r="E73" s="105" t="s">
        <v>5926</v>
      </c>
      <c r="F73" s="311">
        <v>0.105</v>
      </c>
      <c r="G73" s="50" t="str">
        <f>IFERROR(VLOOKUP("MX622BT",STOCK!$B$2:$Q$3692,3,FALSE),"SIN STOCK")</f>
        <v>Mayor a 5</v>
      </c>
    </row>
    <row r="74" ht="15.75" customHeight="1">
      <c r="A74" s="41" t="s">
        <v>5706</v>
      </c>
      <c r="B74" s="42" t="s">
        <v>5934</v>
      </c>
      <c r="C74" s="72" t="s">
        <v>5935</v>
      </c>
      <c r="D74" s="102" t="s">
        <v>5735</v>
      </c>
      <c r="E74" s="102" t="s">
        <v>5736</v>
      </c>
      <c r="F74" s="103">
        <v>0.105</v>
      </c>
      <c r="G74" s="50" t="str">
        <f>IFERROR(VLOOKUP("MX624",STOCK!$B$2:$Q$3692,3,FALSE),"SIN STOCK")</f>
        <v>SIN STOCK</v>
      </c>
    </row>
    <row r="75" ht="15.75" customHeight="1">
      <c r="A75" s="47" t="s">
        <v>5706</v>
      </c>
      <c r="B75" s="48" t="s">
        <v>5936</v>
      </c>
      <c r="C75" s="73" t="s">
        <v>5937</v>
      </c>
      <c r="D75" s="105" t="s">
        <v>5743</v>
      </c>
      <c r="E75" s="105" t="s">
        <v>5744</v>
      </c>
      <c r="F75" s="311">
        <v>0.105</v>
      </c>
      <c r="G75" s="50" t="str">
        <f>IFERROR(VLOOKUP("MX821S",STOCK!$B$2:$Q$3692,3,FALSE),"SIN STOCK")</f>
        <v>SIN STOCK</v>
      </c>
    </row>
    <row r="76" ht="15.75" customHeight="1">
      <c r="A76" s="41" t="s">
        <v>5706</v>
      </c>
      <c r="B76" s="42" t="s">
        <v>5938</v>
      </c>
      <c r="C76" s="72" t="s">
        <v>5939</v>
      </c>
      <c r="D76" s="102" t="s">
        <v>5940</v>
      </c>
      <c r="E76" s="102" t="s">
        <v>5941</v>
      </c>
      <c r="F76" s="103">
        <v>0.105</v>
      </c>
      <c r="G76" s="50" t="str">
        <f>IFERROR(VLOOKUP("MX822",STOCK!$B$2:$Q$3692,3,FALSE),"SIN STOCK")</f>
        <v>SIN STOCK</v>
      </c>
    </row>
    <row r="77" ht="15.75" customHeight="1">
      <c r="A77" s="47" t="s">
        <v>5706</v>
      </c>
      <c r="B77" s="48" t="s">
        <v>5942</v>
      </c>
      <c r="C77" s="73" t="s">
        <v>5943</v>
      </c>
      <c r="D77" s="105" t="s">
        <v>5944</v>
      </c>
      <c r="E77" s="105" t="s">
        <v>5945</v>
      </c>
      <c r="F77" s="311">
        <v>0.105</v>
      </c>
      <c r="G77" s="50" t="str">
        <f>IFERROR(VLOOKUP("MacroMix",STOCK!$B$2:$Q$3692,3,FALSE),"SIN STOCK")</f>
        <v>SIN STOCK</v>
      </c>
    </row>
    <row r="78" ht="15.75" customHeight="1">
      <c r="A78" s="41" t="s">
        <v>5706</v>
      </c>
      <c r="B78" s="42" t="s">
        <v>5946</v>
      </c>
      <c r="C78" s="72" t="s">
        <v>5947</v>
      </c>
      <c r="D78" s="102" t="s">
        <v>5948</v>
      </c>
      <c r="E78" s="102" t="s">
        <v>5949</v>
      </c>
      <c r="F78" s="103">
        <v>0.105</v>
      </c>
      <c r="G78" s="50" t="str">
        <f>IFERROR(VLOOKUP("PowerMix III",STOCK!$B$2:$Q$3692,3,FALSE),"SIN STOCK")</f>
        <v>Menor a 5</v>
      </c>
    </row>
    <row r="79" ht="15.75" customHeight="1">
      <c r="A79" s="47" t="s">
        <v>5706</v>
      </c>
      <c r="B79" s="48" t="s">
        <v>5950</v>
      </c>
      <c r="C79" s="73" t="s">
        <v>5951</v>
      </c>
      <c r="D79" s="105" t="s">
        <v>5916</v>
      </c>
      <c r="E79" s="105" t="s">
        <v>5917</v>
      </c>
      <c r="F79" s="311">
        <v>0.105</v>
      </c>
      <c r="G79" s="50" t="str">
        <f>IFERROR(VLOOKUP("PROMIX",STOCK!$B$2:$Q$3692,3,FALSE),"SIN STOCK")</f>
        <v>Mayor a 5</v>
      </c>
    </row>
    <row r="80" ht="15.75" customHeight="1">
      <c r="A80" s="41" t="s">
        <v>5706</v>
      </c>
      <c r="B80" s="42" t="s">
        <v>5952</v>
      </c>
      <c r="C80" s="72" t="s">
        <v>5953</v>
      </c>
      <c r="D80" s="102" t="s">
        <v>5954</v>
      </c>
      <c r="E80" s="102" t="s">
        <v>5955</v>
      </c>
      <c r="F80" s="103">
        <v>0.105</v>
      </c>
      <c r="G80" s="50" t="str">
        <f>IFERROR(VLOOKUP("SLA4",STOCK!$B$2:$Q$3692,3,FALSE),"SIN STOCK")</f>
        <v>SIN STOCK</v>
      </c>
    </row>
    <row r="81" ht="15.75" customHeight="1">
      <c r="A81" s="29" t="s">
        <v>5956</v>
      </c>
      <c r="B81" s="30"/>
      <c r="C81" s="30"/>
      <c r="D81" s="55"/>
      <c r="E81" s="55"/>
      <c r="F81" s="32"/>
      <c r="G81" s="30"/>
    </row>
    <row r="82" ht="15.75" customHeight="1">
      <c r="A82" s="41" t="s">
        <v>5706</v>
      </c>
      <c r="B82" s="42" t="s">
        <v>5957</v>
      </c>
      <c r="C82" s="72" t="s">
        <v>5958</v>
      </c>
      <c r="D82" s="102" t="s">
        <v>5959</v>
      </c>
      <c r="E82" s="102" t="s">
        <v>5960</v>
      </c>
      <c r="F82" s="103">
        <v>0.105</v>
      </c>
      <c r="G82" s="50" t="str">
        <f>IFERROR(VLOOKUP("AVDirect",STOCK!$B$2:$Q$3692,3,FALSE),"SIN STOCK")</f>
        <v>SIN STOCK</v>
      </c>
    </row>
    <row r="83" ht="15.75" customHeight="1">
      <c r="A83" s="47" t="s">
        <v>5706</v>
      </c>
      <c r="B83" s="48" t="s">
        <v>5961</v>
      </c>
      <c r="C83" s="73" t="s">
        <v>5962</v>
      </c>
      <c r="D83" s="105" t="s">
        <v>5762</v>
      </c>
      <c r="E83" s="105" t="s">
        <v>5763</v>
      </c>
      <c r="F83" s="311">
        <v>0.105</v>
      </c>
      <c r="G83" s="50" t="str">
        <f>IFERROR(VLOOKUP("PDB",STOCK!$B$2:$Q$3692,3,FALSE),"SIN STOCK")</f>
        <v>SIN STOCK</v>
      </c>
    </row>
    <row r="84" ht="15.75" customHeight="1">
      <c r="A84" s="41" t="s">
        <v>5706</v>
      </c>
      <c r="B84" s="42" t="s">
        <v>5963</v>
      </c>
      <c r="C84" s="72" t="s">
        <v>5964</v>
      </c>
      <c r="D84" s="102" t="s">
        <v>5767</v>
      </c>
      <c r="E84" s="102" t="s">
        <v>5768</v>
      </c>
      <c r="F84" s="103">
        <v>0.105</v>
      </c>
      <c r="G84" s="50" t="str">
        <f>IFERROR(VLOOKUP("PDB4",STOCK!$B$2:$Q$3692,3,FALSE),"SIN STOCK")</f>
        <v>SIN STOCK</v>
      </c>
    </row>
    <row r="85" ht="15.75" customHeight="1">
      <c r="A85" s="47" t="s">
        <v>5706</v>
      </c>
      <c r="B85" s="48" t="s">
        <v>5965</v>
      </c>
      <c r="C85" s="73" t="s">
        <v>5966</v>
      </c>
      <c r="D85" s="105" t="s">
        <v>5799</v>
      </c>
      <c r="E85" s="105" t="s">
        <v>5800</v>
      </c>
      <c r="F85" s="311">
        <v>0.105</v>
      </c>
      <c r="G85" s="50" t="str">
        <f>IFERROR(VLOOKUP("dADB",STOCK!$B$2:$Q$3692,3,FALSE),"SIN STOCK")</f>
        <v>SIN STOCK</v>
      </c>
    </row>
    <row r="86" ht="15.75" customHeight="1">
      <c r="A86" s="41" t="s">
        <v>5706</v>
      </c>
      <c r="B86" s="42" t="s">
        <v>5967</v>
      </c>
      <c r="C86" s="72" t="s">
        <v>5968</v>
      </c>
      <c r="D86" s="102" t="s">
        <v>5776</v>
      </c>
      <c r="E86" s="102" t="s">
        <v>5777</v>
      </c>
      <c r="F86" s="103">
        <v>0.105</v>
      </c>
      <c r="G86" s="50" t="str">
        <f>IFERROR(VLOOKUP("dPDB",STOCK!$B$2:$Q$3692,3,FALSE),"SIN STOCK")</f>
        <v>SIN STOCK</v>
      </c>
    </row>
    <row r="87" ht="15.75" customHeight="1">
      <c r="A87" s="47" t="s">
        <v>5706</v>
      </c>
      <c r="B87" s="48" t="s">
        <v>5969</v>
      </c>
      <c r="C87" s="73" t="s">
        <v>5970</v>
      </c>
      <c r="D87" s="105" t="s">
        <v>5971</v>
      </c>
      <c r="E87" s="105" t="s">
        <v>5972</v>
      </c>
      <c r="F87" s="311">
        <v>0.105</v>
      </c>
      <c r="G87" s="39" t="str">
        <f>IFERROR(VLOOKUP("XDIRECT",STOCK!$B$2:$Q$3692,3,FALSE),"SIN STOCK")</f>
        <v>Mayor a 5</v>
      </c>
    </row>
    <row r="88" ht="15.75" customHeight="1">
      <c r="A88" s="41" t="s">
        <v>5706</v>
      </c>
      <c r="B88" s="42" t="s">
        <v>5973</v>
      </c>
      <c r="C88" s="72" t="s">
        <v>5974</v>
      </c>
      <c r="D88" s="102" t="s">
        <v>5975</v>
      </c>
      <c r="E88" s="102" t="s">
        <v>5976</v>
      </c>
      <c r="F88" s="103">
        <v>0.105</v>
      </c>
      <c r="G88" s="50" t="str">
        <f>IFERROR(VLOOKUP("ZDIRECT",STOCK!$B$2:$Q$3692,3,FALSE),"SIN STOCK")</f>
        <v>Mayor a 5</v>
      </c>
    </row>
    <row r="89" ht="15.75" customHeight="1">
      <c r="A89" s="47" t="s">
        <v>5706</v>
      </c>
      <c r="B89" s="48" t="s">
        <v>5977</v>
      </c>
      <c r="C89" s="73" t="s">
        <v>5978</v>
      </c>
      <c r="D89" s="105" t="s">
        <v>5954</v>
      </c>
      <c r="E89" s="105" t="s">
        <v>5955</v>
      </c>
      <c r="F89" s="311">
        <v>0.105</v>
      </c>
      <c r="G89" s="53" t="str">
        <f>IFERROR(VLOOKUP("DUALXDIRECT",STOCK!$B$2:$Q$3692,3,FALSE),"SIN STOCK")</f>
        <v>Mayor a 5</v>
      </c>
    </row>
    <row r="90" ht="15.75" customHeight="1">
      <c r="A90" s="41" t="s">
        <v>5706</v>
      </c>
      <c r="B90" s="42" t="s">
        <v>5979</v>
      </c>
      <c r="C90" s="72" t="s">
        <v>5980</v>
      </c>
      <c r="D90" s="102" t="s">
        <v>5981</v>
      </c>
      <c r="E90" s="102" t="s">
        <v>5982</v>
      </c>
      <c r="F90" s="103">
        <v>0.105</v>
      </c>
      <c r="G90" s="50" t="str">
        <f>IFERROR(VLOOKUP("DUALZDIRECT",STOCK!$B$2:$Q$3692,3,FALSE),"SIN STOCK")</f>
        <v>SIN STOCK</v>
      </c>
    </row>
    <row r="91" ht="15.75" customHeight="1">
      <c r="A91" s="47" t="s">
        <v>5706</v>
      </c>
      <c r="B91" s="48" t="s">
        <v>5983</v>
      </c>
      <c r="C91" s="73" t="s">
        <v>5984</v>
      </c>
      <c r="D91" s="105" t="s">
        <v>5944</v>
      </c>
      <c r="E91" s="105" t="s">
        <v>5945</v>
      </c>
      <c r="F91" s="311">
        <v>0.105</v>
      </c>
      <c r="G91" s="50" t="str">
        <f>IFERROR(VLOOKUP("DualRDB",STOCK!$B$2:$Q$3692,3,FALSE),"SIN STOCK")</f>
        <v>SIN STOCK</v>
      </c>
    </row>
    <row r="92" ht="15.75" customHeight="1">
      <c r="A92" s="29" t="s">
        <v>5985</v>
      </c>
      <c r="B92" s="30"/>
      <c r="C92" s="30"/>
      <c r="D92" s="55"/>
      <c r="E92" s="55"/>
      <c r="F92" s="32"/>
      <c r="G92" s="30"/>
    </row>
    <row r="93" ht="15.75" customHeight="1">
      <c r="A93" s="41" t="s">
        <v>5706</v>
      </c>
      <c r="B93" s="42" t="s">
        <v>5986</v>
      </c>
      <c r="C93" s="72" t="s">
        <v>5987</v>
      </c>
      <c r="D93" s="102" t="s">
        <v>5721</v>
      </c>
      <c r="E93" s="102" t="s">
        <v>5722</v>
      </c>
      <c r="F93" s="103">
        <v>0.105</v>
      </c>
      <c r="G93" s="50" t="str">
        <f>IFERROR(VLOOKUP("P16",STOCK!$B$2:$Q$3692,3,FALSE),"SIN STOCK")</f>
        <v>SIN STOCK</v>
      </c>
    </row>
    <row r="94" ht="15.75" customHeight="1">
      <c r="A94" s="47" t="s">
        <v>5706</v>
      </c>
      <c r="B94" s="48" t="s">
        <v>5988</v>
      </c>
      <c r="C94" s="73" t="s">
        <v>5989</v>
      </c>
      <c r="D94" s="105" t="s">
        <v>5771</v>
      </c>
      <c r="E94" s="105" t="s">
        <v>5772</v>
      </c>
      <c r="F94" s="311">
        <v>0.105</v>
      </c>
      <c r="G94" s="50" t="str">
        <f>IFERROR(VLOOKUP("P48",STOCK!$B$2:$Q$3692,3,FALSE),"SIN STOCK")</f>
        <v>SIN STOCK</v>
      </c>
    </row>
    <row r="95" ht="15.75" customHeight="1">
      <c r="A95" s="41" t="s">
        <v>5706</v>
      </c>
      <c r="B95" s="42" t="s">
        <v>5990</v>
      </c>
      <c r="C95" s="72" t="s">
        <v>5991</v>
      </c>
      <c r="D95" s="102" t="s">
        <v>5992</v>
      </c>
      <c r="E95" s="102" t="s">
        <v>5993</v>
      </c>
      <c r="F95" s="103">
        <v>0.105</v>
      </c>
      <c r="G95" s="50" t="str">
        <f>IFERROR(VLOOKUP("ARTS8",STOCK!$B$2:$Q$3692,3,FALSE),"SIN STOCK")</f>
        <v>SIN STOCK</v>
      </c>
    </row>
    <row r="96" ht="15.75" customHeight="1">
      <c r="A96" s="47" t="s">
        <v>5706</v>
      </c>
      <c r="B96" s="48" t="s">
        <v>5994</v>
      </c>
      <c r="C96" s="73" t="s">
        <v>5995</v>
      </c>
      <c r="D96" s="105" t="s">
        <v>5996</v>
      </c>
      <c r="E96" s="105" t="s">
        <v>5997</v>
      </c>
      <c r="F96" s="311">
        <v>0.105</v>
      </c>
      <c r="G96" s="50" t="str">
        <f>IFERROR(VLOOKUP("ARTS8-3WAY",STOCK!$B$2:$Q$3692,3,FALSE),"SIN STOCK")</f>
        <v>Mayor a 5</v>
      </c>
    </row>
    <row r="97" ht="15.75" customHeight="1">
      <c r="A97" s="41" t="s">
        <v>5706</v>
      </c>
      <c r="B97" s="42" t="s">
        <v>5998</v>
      </c>
      <c r="C97" s="72" t="s">
        <v>5999</v>
      </c>
      <c r="D97" s="102" t="s">
        <v>6000</v>
      </c>
      <c r="E97" s="102" t="s">
        <v>6001</v>
      </c>
      <c r="F97" s="103">
        <v>0.105</v>
      </c>
      <c r="G97" s="50" t="str">
        <f>IFERROR(VLOOKUP("ProSplit",STOCK!$B$2:$Q$3692,3,FALSE),"SIN STOCK")</f>
        <v>SIN STOCK</v>
      </c>
    </row>
    <row r="98" ht="15.75" customHeight="1">
      <c r="A98" s="47" t="s">
        <v>5706</v>
      </c>
      <c r="B98" s="48" t="s">
        <v>6002</v>
      </c>
      <c r="C98" s="73" t="s">
        <v>6003</v>
      </c>
      <c r="D98" s="105" t="s">
        <v>6004</v>
      </c>
      <c r="E98" s="105" t="s">
        <v>6005</v>
      </c>
      <c r="F98" s="311">
        <v>0.105</v>
      </c>
      <c r="G98" s="50" t="str">
        <f>IFERROR(VLOOKUP("SPLITCOMPRO",STOCK!$B$2:$Q$3692,3,FALSE),"SIN STOCK")</f>
        <v>SIN STOCK</v>
      </c>
    </row>
    <row r="99" ht="15.75" customHeight="1">
      <c r="A99" s="41" t="s">
        <v>5706</v>
      </c>
      <c r="B99" s="42" t="s">
        <v>6006</v>
      </c>
      <c r="C99" s="72" t="s">
        <v>6007</v>
      </c>
      <c r="D99" s="102" t="s">
        <v>5971</v>
      </c>
      <c r="E99" s="102" t="s">
        <v>5972</v>
      </c>
      <c r="F99" s="103">
        <v>0.105</v>
      </c>
      <c r="G99" s="50" t="str">
        <f>IFERROR(VLOOKUP("TPatch",STOCK!$B$2:$Q$3692,3,FALSE),"SIN STOCK")</f>
        <v>SIN STOCK</v>
      </c>
    </row>
    <row r="100" ht="15.75" customHeight="1">
      <c r="A100" s="47" t="s">
        <v>5706</v>
      </c>
      <c r="B100" s="48" t="s">
        <v>6008</v>
      </c>
      <c r="C100" s="73" t="s">
        <v>6009</v>
      </c>
      <c r="D100" s="105" t="s">
        <v>6010</v>
      </c>
      <c r="E100" s="105" t="s">
        <v>6011</v>
      </c>
      <c r="F100" s="311">
        <v>0.105</v>
      </c>
      <c r="G100" s="50" t="str">
        <f>IFERROR(VLOOKUP("XPatch",STOCK!$B$2:$Q$3692,3,FALSE),"SIN STOCK")</f>
        <v>SIN STOCK</v>
      </c>
    </row>
    <row r="101" ht="15.75" customHeight="1">
      <c r="A101" s="29" t="s">
        <v>6012</v>
      </c>
      <c r="B101" s="30"/>
      <c r="C101" s="30"/>
      <c r="D101" s="55"/>
      <c r="E101" s="55"/>
      <c r="F101" s="32"/>
      <c r="G101" s="30"/>
    </row>
    <row r="102" ht="15.75" customHeight="1">
      <c r="A102" s="41" t="s">
        <v>5706</v>
      </c>
      <c r="B102" s="42" t="s">
        <v>6013</v>
      </c>
      <c r="C102" s="72" t="s">
        <v>6014</v>
      </c>
      <c r="D102" s="102" t="s">
        <v>5971</v>
      </c>
      <c r="E102" s="102" t="s">
        <v>5972</v>
      </c>
      <c r="F102" s="103">
        <v>0.105</v>
      </c>
      <c r="G102" s="39" t="str">
        <f>IFERROR(VLOOKUP("COOLSWITCH",STOCK!$B$2:$Q$3692,3,FALSE),"SIN STOCK")</f>
        <v>Mayor a 5</v>
      </c>
    </row>
    <row r="103" ht="15.75" customHeight="1">
      <c r="A103" s="47" t="s">
        <v>5706</v>
      </c>
      <c r="B103" s="48" t="s">
        <v>6015</v>
      </c>
      <c r="C103" s="73" t="s">
        <v>6016</v>
      </c>
      <c r="D103" s="105" t="s">
        <v>5799</v>
      </c>
      <c r="E103" s="105" t="s">
        <v>5800</v>
      </c>
      <c r="F103" s="311">
        <v>0.105</v>
      </c>
      <c r="G103" s="50" t="str">
        <f>IFERROR(VLOOKUP("COOLSWITCHPro",STOCK!$B$2:$Q$3692,3,FALSE),"SIN STOCK")</f>
        <v>SIN STOCK</v>
      </c>
    </row>
    <row r="104" ht="15.75" customHeight="1">
      <c r="A104" s="41" t="s">
        <v>5706</v>
      </c>
      <c r="B104" s="42" t="s">
        <v>6017</v>
      </c>
      <c r="C104" s="72" t="s">
        <v>6018</v>
      </c>
      <c r="D104" s="102" t="s">
        <v>6019</v>
      </c>
      <c r="E104" s="102" t="s">
        <v>6020</v>
      </c>
      <c r="F104" s="103">
        <v>0.105</v>
      </c>
      <c r="G104" s="50" t="str">
        <f>IFERROR(VLOOKUP("LOOPSWITCH",STOCK!$B$2:$Q$3692,3,FALSE),"SIN STOCK")</f>
        <v>SIN STOCK</v>
      </c>
    </row>
    <row r="105" ht="15.75" customHeight="1">
      <c r="A105" s="47" t="s">
        <v>5706</v>
      </c>
      <c r="B105" s="48" t="s">
        <v>6021</v>
      </c>
      <c r="C105" s="73" t="s">
        <v>6022</v>
      </c>
      <c r="D105" s="105" t="s">
        <v>6019</v>
      </c>
      <c r="E105" s="105" t="s">
        <v>6020</v>
      </c>
      <c r="F105" s="311">
        <v>0.105</v>
      </c>
      <c r="G105" s="50" t="str">
        <f>IFERROR(VLOOKUP("LSWITCH",STOCK!$B$2:$Q$3692,3,FALSE),"SIN STOCK")</f>
        <v>SIN STOCK</v>
      </c>
    </row>
    <row r="106" ht="15.75" customHeight="1">
      <c r="A106" s="41" t="s">
        <v>5706</v>
      </c>
      <c r="B106" s="42" t="s">
        <v>6023</v>
      </c>
      <c r="C106" s="72" t="s">
        <v>6024</v>
      </c>
      <c r="D106" s="102" t="s">
        <v>6019</v>
      </c>
      <c r="E106" s="102" t="s">
        <v>6020</v>
      </c>
      <c r="F106" s="103">
        <v>0.105</v>
      </c>
      <c r="G106" s="50" t="str">
        <f>IFERROR(VLOOKUP("Patchin",STOCK!$B$2:$Q$3692,3,FALSE),"SIN STOCK")</f>
        <v>SIN STOCK</v>
      </c>
    </row>
    <row r="107" ht="15.75" customHeight="1">
      <c r="A107" s="29" t="s">
        <v>6025</v>
      </c>
      <c r="B107" s="30"/>
      <c r="C107" s="30"/>
      <c r="D107" s="55"/>
      <c r="E107" s="55"/>
      <c r="F107" s="32"/>
      <c r="G107" s="30"/>
    </row>
    <row r="108" ht="15.75" customHeight="1">
      <c r="A108" s="41" t="s">
        <v>5706</v>
      </c>
      <c r="B108" s="42" t="s">
        <v>6026</v>
      </c>
      <c r="C108" s="72" t="s">
        <v>6027</v>
      </c>
      <c r="D108" s="102" t="s">
        <v>5799</v>
      </c>
      <c r="E108" s="102" t="s">
        <v>5800</v>
      </c>
      <c r="F108" s="103">
        <v>0.105</v>
      </c>
      <c r="G108" s="50" t="str">
        <f>IFERROR(VLOOKUP("CLEANBOXPRO",STOCK!$B$2:$Q$3692,3,FALSE),"SIN STOCK")</f>
        <v>SIN STOCK</v>
      </c>
    </row>
    <row r="109" ht="15.75" customHeight="1">
      <c r="A109" s="47" t="s">
        <v>5706</v>
      </c>
      <c r="B109" s="48" t="s">
        <v>6028</v>
      </c>
      <c r="C109" s="73" t="s">
        <v>6029</v>
      </c>
      <c r="D109" s="105" t="s">
        <v>5776</v>
      </c>
      <c r="E109" s="105" t="s">
        <v>5777</v>
      </c>
      <c r="F109" s="311">
        <v>0.105</v>
      </c>
      <c r="G109" s="50" t="str">
        <f>IFERROR(VLOOKUP("CLEANBOXPRO II",STOCK!$B$2:$Q$3692,3,FALSE),"SIN STOCK")</f>
        <v>SIN STOCK</v>
      </c>
    </row>
    <row r="110" ht="15.75" customHeight="1">
      <c r="A110" s="41" t="s">
        <v>5706</v>
      </c>
      <c r="B110" s="42" t="s">
        <v>6030</v>
      </c>
      <c r="C110" s="72" t="s">
        <v>6031</v>
      </c>
      <c r="D110" s="102" t="s">
        <v>5959</v>
      </c>
      <c r="E110" s="102" t="s">
        <v>5960</v>
      </c>
      <c r="F110" s="103">
        <v>0.105</v>
      </c>
      <c r="G110" s="50" t="str">
        <f>IFERROR(VLOOKUP("DTI",STOCK!$B$2:$Q$3692,3,FALSE),"SIN STOCK")</f>
        <v>SIN STOCK</v>
      </c>
    </row>
    <row r="111" ht="15.75" customHeight="1">
      <c r="A111" s="47" t="s">
        <v>5706</v>
      </c>
      <c r="B111" s="48" t="s">
        <v>6032</v>
      </c>
      <c r="C111" s="73" t="s">
        <v>6033</v>
      </c>
      <c r="D111" s="105" t="s">
        <v>5739</v>
      </c>
      <c r="E111" s="105" t="s">
        <v>5740</v>
      </c>
      <c r="F111" s="311">
        <v>0.105</v>
      </c>
      <c r="G111" s="50" t="str">
        <f>IFERROR(VLOOKUP("SyncGen",STOCK!$B$2:$Q$3692,3,FALSE),"SIN STOCK")</f>
        <v>Mayor a 5</v>
      </c>
    </row>
    <row r="112" ht="15.75" customHeight="1">
      <c r="A112" s="41" t="s">
        <v>5706</v>
      </c>
      <c r="B112" s="42" t="s">
        <v>6034</v>
      </c>
      <c r="C112" s="72" t="s">
        <v>6035</v>
      </c>
      <c r="D112" s="102" t="s">
        <v>5818</v>
      </c>
      <c r="E112" s="102" t="s">
        <v>5819</v>
      </c>
      <c r="F112" s="103">
        <v>0.105</v>
      </c>
      <c r="G112" s="50" t="str">
        <f>IFERROR(VLOOKUP("ARTT8",STOCK!$B$2:$Q$3692,3,FALSE),"SIN STOCK")</f>
        <v>SIN STOCK</v>
      </c>
    </row>
    <row r="113" ht="15.75" customHeight="1">
      <c r="A113" s="29" t="s">
        <v>6036</v>
      </c>
      <c r="B113" s="30"/>
      <c r="C113" s="30"/>
      <c r="D113" s="153"/>
      <c r="E113" s="153"/>
      <c r="F113" s="32"/>
      <c r="G113" s="30"/>
    </row>
    <row r="114" ht="15.75" customHeight="1">
      <c r="A114" s="41" t="s">
        <v>5706</v>
      </c>
      <c r="B114" s="42" t="s">
        <v>6037</v>
      </c>
      <c r="C114" s="72" t="s">
        <v>6038</v>
      </c>
      <c r="D114" s="102" t="s">
        <v>6039</v>
      </c>
      <c r="E114" s="102" t="s">
        <v>6040</v>
      </c>
      <c r="F114" s="45">
        <v>0.21</v>
      </c>
      <c r="G114" s="39" t="str">
        <f>IFERROR(VLOOKUP("AR 5",STOCK!$B$2:$Q$3692,3,FALSE),"SIN STOCK")</f>
        <v>SIN STOCK</v>
      </c>
    </row>
    <row r="115" ht="15.75" customHeight="1">
      <c r="A115" s="47" t="s">
        <v>5706</v>
      </c>
      <c r="B115" s="48" t="s">
        <v>6041</v>
      </c>
      <c r="C115" s="73" t="s">
        <v>6042</v>
      </c>
      <c r="D115" s="105">
        <v>203998.0</v>
      </c>
      <c r="E115" s="105">
        <v>168594.0</v>
      </c>
      <c r="F115" s="106">
        <v>0.21</v>
      </c>
      <c r="G115" s="39" t="str">
        <f>IFERROR(VLOOKUP("C1",STOCK!$B$2:$Q$3692,3,FALSE),"SIN STOCK")</f>
        <v>Mayor a 5</v>
      </c>
    </row>
    <row r="116" ht="15.75" customHeight="1">
      <c r="A116" s="41" t="s">
        <v>5706</v>
      </c>
      <c r="B116" s="42" t="s">
        <v>6043</v>
      </c>
      <c r="C116" s="72" t="s">
        <v>6044</v>
      </c>
      <c r="D116" s="102">
        <v>203998.0</v>
      </c>
      <c r="E116" s="102">
        <v>168594.0</v>
      </c>
      <c r="F116" s="45">
        <v>0.21</v>
      </c>
      <c r="G116" s="39" t="str">
        <f>IFERROR(VLOOKUP("C1USB",STOCK!$B$2:$Q$3692,3,FALSE),"SIN STOCK")</f>
        <v>Mayor a 5</v>
      </c>
    </row>
    <row r="117" ht="15.75" customHeight="1">
      <c r="A117" s="47" t="s">
        <v>5706</v>
      </c>
      <c r="B117" s="48" t="s">
        <v>6045</v>
      </c>
      <c r="C117" s="73" t="s">
        <v>6046</v>
      </c>
      <c r="D117" s="105">
        <v>263998.8</v>
      </c>
      <c r="E117" s="105">
        <v>218180.0</v>
      </c>
      <c r="F117" s="106">
        <v>0.21</v>
      </c>
      <c r="G117" s="39" t="str">
        <f>IFERROR(VLOOKUP("C2",STOCK!$B$2:$Q$3692,3,FALSE),"SIN STOCK")</f>
        <v>Mayor a 5</v>
      </c>
    </row>
    <row r="118" ht="15.75" customHeight="1">
      <c r="A118" s="41" t="s">
        <v>5706</v>
      </c>
      <c r="B118" s="42" t="s">
        <v>6047</v>
      </c>
      <c r="C118" s="72" t="s">
        <v>6048</v>
      </c>
      <c r="D118" s="102">
        <v>299998.8</v>
      </c>
      <c r="E118" s="102">
        <v>247932.89</v>
      </c>
      <c r="F118" s="45">
        <v>0.21</v>
      </c>
      <c r="G118" s="39" t="str">
        <f>IFERROR(VLOOKUP("C3",STOCK!$B$2:$Q$3692,3,FALSE),"SIN STOCK")</f>
        <v>Menor a 5</v>
      </c>
    </row>
    <row r="119" ht="15.75" customHeight="1">
      <c r="A119" s="47" t="s">
        <v>5706</v>
      </c>
      <c r="B119" s="48" t="s">
        <v>6049</v>
      </c>
      <c r="C119" s="73" t="s">
        <v>6050</v>
      </c>
      <c r="D119" s="105">
        <v>276000.0</v>
      </c>
      <c r="E119" s="105">
        <v>228099.17</v>
      </c>
      <c r="F119" s="106">
        <v>0.21</v>
      </c>
      <c r="G119" s="53" t="str">
        <f>IFERROR(VLOOKUP("D7",STOCK!$B$2:$Q$3692,3,FALSE),"SIN STOCK")</f>
        <v>Menor a 5</v>
      </c>
    </row>
    <row r="120" ht="15.75" customHeight="1">
      <c r="A120" s="41" t="s">
        <v>5706</v>
      </c>
      <c r="B120" s="42" t="s">
        <v>6051</v>
      </c>
      <c r="C120" s="72" t="s">
        <v>6052</v>
      </c>
      <c r="D120" s="102">
        <v>132000.0</v>
      </c>
      <c r="E120" s="102">
        <v>109090.91</v>
      </c>
      <c r="F120" s="45">
        <v>0.21</v>
      </c>
      <c r="G120" s="39" t="str">
        <f>IFERROR(VLOOKUP("M-ONEU",STOCK!$B$2:$Q$3692,3,FALSE),"SIN STOCK")</f>
        <v>Mayor a 5</v>
      </c>
    </row>
    <row r="121" ht="15.75" customHeight="1">
      <c r="A121" s="47" t="s">
        <v>5706</v>
      </c>
      <c r="B121" s="48" t="s">
        <v>6053</v>
      </c>
      <c r="C121" s="73" t="s">
        <v>6054</v>
      </c>
      <c r="D121" s="105" t="s">
        <v>6055</v>
      </c>
      <c r="E121" s="105" t="s">
        <v>5736</v>
      </c>
      <c r="F121" s="106">
        <v>0.21</v>
      </c>
      <c r="G121" s="50" t="str">
        <f>IFERROR(VLOOKUP("M-SIXSTEREO",STOCK!$B$2:$Q$3692,3,FALSE),"SIN STOCK")</f>
        <v>SIN STOCK</v>
      </c>
    </row>
    <row r="122" ht="15.75" customHeight="1">
      <c r="A122" s="41" t="s">
        <v>5706</v>
      </c>
      <c r="B122" s="42" t="s">
        <v>6056</v>
      </c>
      <c r="C122" s="72" t="s">
        <v>6057</v>
      </c>
      <c r="D122" s="102" t="s">
        <v>6058</v>
      </c>
      <c r="E122" s="102" t="s">
        <v>6059</v>
      </c>
      <c r="F122" s="45">
        <v>0.21</v>
      </c>
      <c r="G122" s="53" t="str">
        <f>IFERROR(VLOOKUP("T4CE",STOCK!$B$2:$Q$3692,3,FALSE),"SIN STOCK")</f>
        <v>SIN STOCK</v>
      </c>
    </row>
    <row r="123" ht="15.75" customHeight="1">
      <c r="A123" s="47" t="s">
        <v>5706</v>
      </c>
      <c r="B123" s="48" t="s">
        <v>6060</v>
      </c>
      <c r="C123" s="73" t="s">
        <v>6061</v>
      </c>
      <c r="D123" s="105" t="s">
        <v>6062</v>
      </c>
      <c r="E123" s="105" t="s">
        <v>6063</v>
      </c>
      <c r="F123" s="311">
        <v>0.105</v>
      </c>
      <c r="G123" s="53" t="str">
        <f>IFERROR(VLOOKUP("ARTT8",STOCK!$B$2:$Q$3692,3,FALSE),"SIN STOCK")</f>
        <v>SIN STOCK</v>
      </c>
    </row>
    <row r="124" ht="15.75" customHeight="1">
      <c r="A124" s="41" t="s">
        <v>5706</v>
      </c>
      <c r="B124" s="42" t="s">
        <v>6064</v>
      </c>
      <c r="C124" s="72" t="s">
        <v>6065</v>
      </c>
      <c r="D124" s="102" t="s">
        <v>6000</v>
      </c>
      <c r="E124" s="102" t="s">
        <v>6001</v>
      </c>
      <c r="F124" s="103">
        <v>0.105</v>
      </c>
      <c r="G124" s="50" t="str">
        <f>IFERROR(VLOOKUP("PHANTOM-I",STOCK!$B$2:$Q$3692,3,FALSE),"SIN STOCK")</f>
        <v>SIN STOCK</v>
      </c>
    </row>
    <row r="125" ht="15.75" customHeight="1">
      <c r="A125" s="47" t="s">
        <v>5706</v>
      </c>
      <c r="B125" s="48" t="s">
        <v>6066</v>
      </c>
      <c r="C125" s="75"/>
      <c r="D125" s="105" t="s">
        <v>6067</v>
      </c>
      <c r="E125" s="105" t="s">
        <v>6068</v>
      </c>
      <c r="F125" s="311">
        <v>0.105</v>
      </c>
      <c r="G125" s="50" t="str">
        <f>IFERROR(VLOOKUP("PHANTOM-I",STOCK!$B$2:$Q$3692,3,FALSE),"SIN STOCK")</f>
        <v>SIN STOCK</v>
      </c>
    </row>
    <row r="126" ht="15.75" customHeight="1">
      <c r="A126" s="41" t="s">
        <v>5706</v>
      </c>
      <c r="B126" s="42" t="s">
        <v>6069</v>
      </c>
      <c r="C126" s="72" t="s">
        <v>6070</v>
      </c>
      <c r="D126" s="102" t="s">
        <v>5799</v>
      </c>
      <c r="E126" s="102" t="s">
        <v>5800</v>
      </c>
      <c r="F126" s="103">
        <v>0.105</v>
      </c>
      <c r="G126" s="50" t="str">
        <f>IFERROR(VLOOKUP("PHANTOM-II-PRO",STOCK!$B$2:$Q$3692,3,FALSE),"SIN STOCK")</f>
        <v>SIN STOCK</v>
      </c>
    </row>
    <row r="127" ht="15.75" customHeight="1">
      <c r="A127" s="41"/>
      <c r="B127" s="42"/>
      <c r="C127" s="72"/>
      <c r="D127" s="102" t="s">
        <v>6071</v>
      </c>
      <c r="E127" s="102" t="s">
        <v>5907</v>
      </c>
      <c r="F127" s="103">
        <v>0.21</v>
      </c>
      <c r="G127" s="50"/>
    </row>
    <row r="128" ht="15.75" customHeight="1">
      <c r="A128" s="41"/>
      <c r="B128" s="42"/>
      <c r="C128" s="72"/>
      <c r="D128" s="102" t="s">
        <v>2095</v>
      </c>
      <c r="E128" s="236"/>
      <c r="F128" s="312"/>
      <c r="G128" s="50"/>
    </row>
    <row r="129" ht="15.75" customHeight="1">
      <c r="A129" s="41"/>
      <c r="B129" s="42"/>
      <c r="C129" s="72"/>
      <c r="D129" s="236"/>
      <c r="E129" s="236"/>
      <c r="F129" s="312"/>
      <c r="G129" s="50"/>
    </row>
    <row r="130" ht="15.75" customHeight="1">
      <c r="A130" s="41"/>
      <c r="B130" s="42"/>
      <c r="C130" s="72"/>
      <c r="D130" s="236"/>
      <c r="E130" s="236"/>
      <c r="F130" s="312"/>
      <c r="G130" s="50"/>
    </row>
    <row r="131" ht="15.75" customHeight="1">
      <c r="A131" s="41"/>
      <c r="B131" s="42"/>
      <c r="C131" s="72"/>
      <c r="D131" s="236"/>
      <c r="E131" s="236"/>
      <c r="F131" s="312"/>
      <c r="G131" s="50"/>
    </row>
    <row r="132" ht="15.75" customHeight="1">
      <c r="A132" s="41"/>
      <c r="B132" s="42"/>
      <c r="C132" s="72"/>
      <c r="D132" s="236"/>
      <c r="E132" s="236"/>
      <c r="F132" s="312"/>
      <c r="G132" s="50"/>
    </row>
    <row r="133" ht="15.75" customHeight="1">
      <c r="A133" s="41"/>
      <c r="B133" s="42"/>
      <c r="C133" s="72"/>
      <c r="D133" s="236"/>
      <c r="E133" s="236"/>
      <c r="F133" s="312"/>
      <c r="G133" s="50"/>
    </row>
    <row r="134" ht="15.75" customHeight="1">
      <c r="A134" s="41"/>
      <c r="B134" s="42"/>
      <c r="C134" s="72"/>
      <c r="D134" s="236"/>
      <c r="E134" s="236"/>
      <c r="F134" s="312"/>
      <c r="G134" s="50"/>
    </row>
    <row r="135" ht="15.75" customHeight="1">
      <c r="A135" s="41"/>
      <c r="B135" s="42"/>
      <c r="C135" s="72"/>
      <c r="D135" s="236"/>
      <c r="E135" s="236"/>
      <c r="F135" s="312"/>
      <c r="G135" s="50"/>
    </row>
    <row r="136" ht="15.75" customHeight="1">
      <c r="A136" s="41"/>
      <c r="B136" s="42"/>
      <c r="C136" s="72"/>
      <c r="D136" s="236"/>
      <c r="E136" s="236"/>
      <c r="F136" s="312"/>
      <c r="G136" s="50"/>
    </row>
    <row r="137" ht="15.75" customHeight="1">
      <c r="A137" s="41"/>
      <c r="B137" s="42"/>
      <c r="C137" s="72"/>
      <c r="D137" s="236"/>
      <c r="E137" s="236"/>
      <c r="F137" s="312"/>
      <c r="G137" s="50"/>
    </row>
    <row r="138" ht="15.75" customHeight="1">
      <c r="A138" s="41"/>
      <c r="B138" s="42"/>
      <c r="C138" s="72"/>
      <c r="D138" s="236"/>
      <c r="E138" s="236"/>
      <c r="F138" s="312"/>
      <c r="G138" s="50"/>
    </row>
    <row r="139" ht="15.75" customHeight="1">
      <c r="A139" s="41"/>
      <c r="B139" s="42"/>
      <c r="C139" s="72"/>
      <c r="D139" s="236"/>
      <c r="E139" s="236"/>
      <c r="F139" s="312"/>
      <c r="G139" s="50"/>
    </row>
    <row r="140" ht="15.75" customHeight="1">
      <c r="A140" s="41"/>
      <c r="B140" s="42"/>
      <c r="C140" s="72"/>
      <c r="D140" s="236"/>
      <c r="E140" s="236"/>
      <c r="F140" s="312"/>
      <c r="G140" s="50"/>
    </row>
    <row r="141" ht="15.75" customHeight="1">
      <c r="A141" s="41"/>
      <c r="B141" s="42"/>
      <c r="C141" s="72"/>
      <c r="D141" s="236"/>
      <c r="E141" s="236"/>
      <c r="F141" s="312"/>
      <c r="G141" s="50"/>
    </row>
    <row r="142" ht="15.75" customHeight="1">
      <c r="A142" s="41"/>
      <c r="B142" s="42"/>
      <c r="C142" s="72"/>
      <c r="D142" s="236"/>
      <c r="E142" s="236"/>
      <c r="F142" s="312"/>
      <c r="G142" s="50"/>
    </row>
    <row r="143" ht="15.75" customHeight="1">
      <c r="A143" s="41"/>
      <c r="B143" s="42"/>
      <c r="C143" s="72"/>
      <c r="D143" s="236"/>
      <c r="E143" s="236"/>
      <c r="F143" s="312"/>
      <c r="G143" s="50"/>
    </row>
    <row r="144" ht="15.75" customHeight="1">
      <c r="A144" s="41"/>
      <c r="B144" s="42"/>
      <c r="C144" s="72"/>
      <c r="D144" s="236"/>
      <c r="E144" s="236"/>
      <c r="F144" s="312"/>
      <c r="G144" s="50"/>
    </row>
    <row r="145" ht="15.75" customHeight="1">
      <c r="A145" s="41"/>
      <c r="B145" s="42"/>
      <c r="C145" s="72"/>
      <c r="D145" s="236"/>
      <c r="E145" s="236"/>
      <c r="F145" s="312"/>
      <c r="G145" s="50"/>
    </row>
    <row r="146" ht="15.75" customHeight="1">
      <c r="A146" s="41"/>
      <c r="B146" s="42"/>
      <c r="C146" s="72"/>
      <c r="D146" s="236"/>
      <c r="E146" s="236"/>
      <c r="F146" s="312"/>
      <c r="G146" s="50"/>
    </row>
    <row r="147" ht="15.75" customHeight="1">
      <c r="A147" s="41"/>
      <c r="B147" s="42"/>
      <c r="C147" s="72"/>
      <c r="D147" s="236"/>
      <c r="E147" s="236"/>
      <c r="F147" s="312"/>
      <c r="G147" s="50"/>
    </row>
    <row r="148" ht="15.75" customHeight="1">
      <c r="A148" s="41"/>
      <c r="B148" s="42"/>
      <c r="C148" s="72"/>
      <c r="D148" s="236"/>
      <c r="E148" s="236"/>
      <c r="F148" s="312"/>
      <c r="G148" s="50"/>
    </row>
    <row r="149" ht="15.75" customHeight="1">
      <c r="A149" s="41"/>
      <c r="B149" s="42"/>
      <c r="C149" s="72"/>
      <c r="D149" s="236"/>
      <c r="E149" s="236"/>
      <c r="F149" s="312"/>
      <c r="G149" s="50"/>
    </row>
    <row r="150" ht="15.75" customHeight="1">
      <c r="A150" s="41"/>
      <c r="B150" s="42"/>
      <c r="C150" s="72"/>
      <c r="D150" s="236"/>
      <c r="E150" s="236"/>
      <c r="F150" s="312"/>
      <c r="G150" s="50"/>
    </row>
    <row r="151" ht="15.75" customHeight="1">
      <c r="A151" s="41"/>
      <c r="B151" s="42"/>
      <c r="C151" s="72"/>
      <c r="D151" s="236"/>
      <c r="E151" s="236"/>
      <c r="F151" s="312"/>
      <c r="G151" s="50"/>
    </row>
    <row r="152" ht="15.75" customHeight="1">
      <c r="A152" s="41"/>
      <c r="B152" s="42"/>
      <c r="C152" s="72"/>
      <c r="D152" s="236"/>
      <c r="E152" s="236"/>
      <c r="F152" s="312"/>
      <c r="G152" s="50"/>
    </row>
    <row r="153" ht="15.75" customHeight="1">
      <c r="A153" s="41"/>
      <c r="B153" s="42"/>
      <c r="C153" s="72"/>
      <c r="D153" s="236"/>
      <c r="E153" s="236"/>
      <c r="F153" s="312"/>
      <c r="G153" s="50"/>
    </row>
    <row r="154" ht="15.75" customHeight="1">
      <c r="A154" s="41"/>
      <c r="B154" s="42"/>
      <c r="C154" s="72"/>
      <c r="D154" s="236"/>
      <c r="E154" s="236"/>
      <c r="F154" s="312"/>
      <c r="G154" s="50"/>
    </row>
    <row r="155" ht="15.75" customHeight="1">
      <c r="A155" s="41"/>
      <c r="B155" s="42"/>
      <c r="C155" s="72"/>
      <c r="D155" s="236"/>
      <c r="E155" s="236"/>
      <c r="F155" s="312"/>
      <c r="G155" s="50"/>
    </row>
    <row r="156" ht="15.75" customHeight="1">
      <c r="A156" s="41"/>
      <c r="B156" s="42"/>
      <c r="C156" s="72"/>
      <c r="D156" s="236"/>
      <c r="E156" s="236"/>
      <c r="F156" s="312"/>
      <c r="G156" s="50"/>
    </row>
    <row r="157" ht="15.75" customHeight="1">
      <c r="A157" s="41"/>
      <c r="B157" s="42"/>
      <c r="C157" s="72"/>
      <c r="D157" s="236"/>
      <c r="E157" s="236"/>
      <c r="F157" s="312"/>
      <c r="G157" s="50"/>
    </row>
    <row r="158" ht="15.75" customHeight="1">
      <c r="A158" s="41"/>
      <c r="B158" s="42"/>
      <c r="C158" s="72"/>
      <c r="D158" s="236"/>
      <c r="E158" s="236"/>
      <c r="F158" s="312"/>
      <c r="G158" s="50"/>
    </row>
    <row r="159" ht="15.75" customHeight="1">
      <c r="A159" s="41"/>
      <c r="B159" s="42"/>
      <c r="C159" s="72"/>
      <c r="D159" s="236"/>
      <c r="E159" s="236"/>
      <c r="F159" s="312"/>
      <c r="G159" s="50"/>
    </row>
    <row r="160" ht="15.75" customHeight="1">
      <c r="A160" s="41"/>
      <c r="B160" s="42"/>
      <c r="C160" s="72"/>
      <c r="D160" s="236"/>
      <c r="E160" s="236"/>
      <c r="F160" s="312"/>
      <c r="G160" s="50"/>
    </row>
    <row r="161" ht="15.75" customHeight="1">
      <c r="A161" s="41"/>
      <c r="B161" s="42"/>
      <c r="C161" s="72"/>
      <c r="D161" s="236"/>
      <c r="E161" s="236"/>
      <c r="F161" s="312"/>
      <c r="G161" s="50"/>
    </row>
    <row r="162" ht="15.75" customHeight="1">
      <c r="A162" s="41"/>
      <c r="B162" s="42"/>
      <c r="C162" s="72"/>
      <c r="D162" s="236"/>
      <c r="E162" s="236"/>
      <c r="F162" s="312"/>
      <c r="G162" s="50"/>
    </row>
    <row r="163" ht="15.75" customHeight="1">
      <c r="A163" s="41"/>
      <c r="B163" s="42"/>
      <c r="C163" s="72"/>
      <c r="D163" s="236"/>
      <c r="E163" s="236"/>
      <c r="F163" s="312"/>
      <c r="G163" s="50"/>
    </row>
    <row r="164" ht="15.75" customHeight="1">
      <c r="A164" s="41"/>
      <c r="B164" s="42"/>
      <c r="C164" s="72"/>
      <c r="D164" s="236"/>
      <c r="E164" s="236"/>
      <c r="F164" s="312"/>
      <c r="G164" s="50"/>
    </row>
    <row r="165" ht="15.75" customHeight="1">
      <c r="A165" s="41"/>
      <c r="B165" s="42"/>
      <c r="C165" s="72"/>
      <c r="D165" s="236"/>
      <c r="E165" s="236"/>
      <c r="F165" s="312"/>
      <c r="G165" s="50"/>
    </row>
    <row r="166" ht="15.75" customHeight="1">
      <c r="A166" s="41"/>
      <c r="B166" s="42"/>
      <c r="C166" s="72"/>
      <c r="D166" s="236"/>
      <c r="E166" s="236"/>
      <c r="F166" s="312"/>
      <c r="G166" s="50"/>
    </row>
    <row r="167" ht="15.75" customHeight="1">
      <c r="A167" s="41"/>
      <c r="B167" s="42"/>
      <c r="C167" s="72"/>
      <c r="D167" s="236"/>
      <c r="E167" s="236"/>
      <c r="F167" s="312"/>
      <c r="G167" s="50"/>
    </row>
    <row r="168" ht="15.75" customHeight="1">
      <c r="A168" s="41"/>
      <c r="B168" s="42"/>
      <c r="C168" s="72"/>
      <c r="D168" s="236"/>
      <c r="E168" s="236"/>
      <c r="F168" s="312"/>
      <c r="G168" s="50"/>
    </row>
    <row r="169" ht="15.75" customHeight="1">
      <c r="A169" s="41"/>
      <c r="B169" s="42"/>
      <c r="C169" s="72"/>
      <c r="D169" s="236"/>
      <c r="E169" s="236"/>
      <c r="F169" s="312"/>
      <c r="G169" s="50"/>
    </row>
    <row r="170" ht="15.75" customHeight="1">
      <c r="A170" s="41"/>
      <c r="B170" s="42"/>
      <c r="C170" s="72"/>
      <c r="D170" s="236"/>
      <c r="E170" s="236"/>
      <c r="F170" s="312"/>
      <c r="G170" s="50"/>
    </row>
    <row r="171" ht="15.75" customHeight="1">
      <c r="A171" s="41"/>
      <c r="B171" s="42"/>
      <c r="C171" s="72"/>
      <c r="D171" s="236"/>
      <c r="E171" s="236"/>
      <c r="F171" s="312"/>
      <c r="G171" s="50"/>
    </row>
    <row r="172" ht="15.75" customHeight="1">
      <c r="A172" s="41"/>
      <c r="B172" s="42"/>
      <c r="C172" s="72"/>
      <c r="D172" s="236"/>
      <c r="E172" s="236"/>
      <c r="F172" s="312"/>
      <c r="G172" s="50"/>
    </row>
    <row r="173" ht="15.75" customHeight="1">
      <c r="A173" s="41"/>
      <c r="B173" s="42"/>
      <c r="C173" s="72"/>
      <c r="D173" s="236"/>
      <c r="E173" s="236"/>
      <c r="F173" s="312"/>
      <c r="G173" s="50"/>
    </row>
    <row r="174" ht="15.75" customHeight="1">
      <c r="A174" s="41"/>
      <c r="B174" s="42"/>
      <c r="C174" s="72"/>
      <c r="D174" s="236"/>
      <c r="E174" s="236"/>
      <c r="F174" s="312"/>
      <c r="G174" s="50"/>
    </row>
    <row r="175" ht="15.75" customHeight="1">
      <c r="A175" s="41"/>
      <c r="B175" s="42"/>
      <c r="C175" s="72"/>
      <c r="D175" s="236"/>
      <c r="E175" s="236"/>
      <c r="F175" s="312"/>
      <c r="G175" s="50"/>
    </row>
    <row r="176" ht="15.75" customHeight="1">
      <c r="A176" s="41"/>
      <c r="B176" s="42"/>
      <c r="C176" s="72"/>
      <c r="D176" s="236"/>
      <c r="E176" s="236"/>
      <c r="F176" s="312"/>
      <c r="G176" s="50"/>
    </row>
    <row r="177" ht="15.75" customHeight="1">
      <c r="A177" s="41"/>
      <c r="B177" s="42"/>
      <c r="C177" s="72"/>
      <c r="D177" s="236"/>
      <c r="E177" s="236"/>
      <c r="F177" s="312"/>
      <c r="G177" s="50"/>
    </row>
    <row r="178" ht="15.75" customHeight="1">
      <c r="A178" s="41"/>
      <c r="B178" s="42"/>
      <c r="C178" s="72"/>
      <c r="D178" s="236"/>
      <c r="E178" s="236"/>
      <c r="F178" s="312"/>
      <c r="G178" s="50"/>
    </row>
    <row r="179" ht="15.75" customHeight="1">
      <c r="A179" s="41"/>
      <c r="B179" s="42"/>
      <c r="C179" s="72"/>
      <c r="D179" s="236"/>
      <c r="E179" s="236"/>
      <c r="F179" s="312"/>
      <c r="G179" s="50"/>
    </row>
    <row r="180" ht="15.75" customHeight="1">
      <c r="A180" s="41"/>
      <c r="B180" s="42"/>
      <c r="C180" s="72"/>
      <c r="D180" s="236"/>
      <c r="E180" s="236"/>
      <c r="F180" s="312"/>
      <c r="G180" s="50"/>
    </row>
    <row r="181" ht="15.75" customHeight="1">
      <c r="A181" s="41"/>
      <c r="B181" s="42"/>
      <c r="C181" s="72"/>
      <c r="D181" s="236"/>
      <c r="E181" s="236"/>
      <c r="F181" s="312"/>
      <c r="G181" s="50"/>
    </row>
    <row r="182" ht="15.75" customHeight="1">
      <c r="A182" s="41"/>
      <c r="B182" s="42"/>
      <c r="C182" s="72"/>
      <c r="D182" s="236"/>
      <c r="E182" s="236"/>
      <c r="F182" s="312"/>
      <c r="G182" s="50"/>
    </row>
    <row r="183" ht="15.75" customHeight="1">
      <c r="A183" s="41"/>
      <c r="B183" s="42"/>
      <c r="C183" s="72"/>
      <c r="D183" s="236"/>
      <c r="E183" s="236"/>
      <c r="F183" s="312"/>
      <c r="G183" s="50"/>
    </row>
    <row r="184" ht="15.75" customHeight="1">
      <c r="A184" s="41"/>
      <c r="B184" s="42"/>
      <c r="C184" s="72"/>
      <c r="D184" s="236"/>
      <c r="E184" s="236"/>
      <c r="F184" s="312"/>
      <c r="G184" s="50"/>
    </row>
    <row r="185" ht="15.75" customHeight="1">
      <c r="A185" s="41"/>
      <c r="B185" s="42"/>
      <c r="C185" s="72"/>
      <c r="D185" s="236"/>
      <c r="E185" s="236"/>
      <c r="F185" s="312"/>
      <c r="G185" s="50"/>
    </row>
    <row r="186" ht="15.75" customHeight="1">
      <c r="A186" s="41"/>
      <c r="B186" s="42"/>
      <c r="C186" s="72"/>
      <c r="D186" s="236"/>
      <c r="E186" s="236"/>
      <c r="F186" s="312"/>
      <c r="G186" s="50"/>
    </row>
    <row r="187" ht="15.75" customHeight="1">
      <c r="A187" s="41"/>
      <c r="B187" s="42"/>
      <c r="C187" s="72"/>
      <c r="D187" s="236"/>
      <c r="E187" s="236"/>
      <c r="F187" s="312"/>
      <c r="G187" s="50"/>
    </row>
    <row r="188" ht="15.75" customHeight="1">
      <c r="A188" s="41"/>
      <c r="B188" s="42"/>
      <c r="C188" s="72"/>
      <c r="D188" s="236"/>
      <c r="E188" s="236"/>
      <c r="F188" s="312"/>
      <c r="G188" s="50"/>
    </row>
    <row r="189" ht="15.75" customHeight="1">
      <c r="A189" s="41"/>
      <c r="B189" s="42"/>
      <c r="C189" s="72"/>
      <c r="D189" s="236"/>
      <c r="E189" s="236"/>
      <c r="F189" s="312"/>
      <c r="G189" s="50"/>
    </row>
    <row r="190" ht="15.75" customHeight="1">
      <c r="A190" s="41"/>
      <c r="B190" s="42"/>
      <c r="C190" s="72"/>
      <c r="D190" s="236"/>
      <c r="E190" s="236"/>
      <c r="F190" s="312"/>
      <c r="G190" s="50"/>
    </row>
    <row r="191" ht="15.75" customHeight="1">
      <c r="A191" s="41"/>
      <c r="B191" s="42"/>
      <c r="C191" s="72"/>
      <c r="D191" s="236"/>
      <c r="E191" s="236"/>
      <c r="F191" s="312"/>
      <c r="G191" s="50"/>
    </row>
    <row r="192" ht="15.75" customHeight="1">
      <c r="A192" s="41"/>
      <c r="B192" s="42"/>
      <c r="C192" s="72"/>
      <c r="D192" s="236"/>
      <c r="E192" s="236"/>
      <c r="F192" s="312"/>
      <c r="G192" s="50"/>
    </row>
    <row r="193" ht="15.75" customHeight="1">
      <c r="A193" s="41"/>
      <c r="B193" s="42"/>
      <c r="C193" s="72"/>
      <c r="D193" s="236"/>
      <c r="E193" s="236"/>
      <c r="F193" s="312"/>
      <c r="G193" s="50"/>
    </row>
    <row r="194" ht="15.75" customHeight="1">
      <c r="A194" s="41"/>
      <c r="B194" s="42"/>
      <c r="C194" s="72"/>
      <c r="D194" s="236"/>
      <c r="E194" s="236"/>
      <c r="F194" s="312"/>
      <c r="G194" s="50"/>
    </row>
    <row r="195" ht="15.75" customHeight="1">
      <c r="A195" s="41"/>
      <c r="B195" s="42"/>
      <c r="C195" s="72"/>
      <c r="D195" s="236"/>
      <c r="E195" s="236"/>
      <c r="F195" s="312"/>
      <c r="G195" s="50"/>
    </row>
    <row r="196" ht="15.75" customHeight="1">
      <c r="A196" s="41"/>
      <c r="B196" s="42"/>
      <c r="C196" s="72"/>
      <c r="D196" s="236"/>
      <c r="E196" s="236"/>
      <c r="F196" s="312"/>
      <c r="G196" s="50"/>
    </row>
    <row r="197" ht="15.75" customHeight="1">
      <c r="A197" s="41"/>
      <c r="B197" s="42"/>
      <c r="C197" s="72"/>
      <c r="D197" s="236"/>
      <c r="E197" s="236"/>
      <c r="F197" s="312"/>
      <c r="G197" s="50"/>
    </row>
    <row r="198" ht="15.75" customHeight="1">
      <c r="A198" s="41"/>
      <c r="B198" s="42"/>
      <c r="C198" s="72"/>
      <c r="D198" s="236"/>
      <c r="E198" s="236"/>
      <c r="F198" s="312"/>
      <c r="G198" s="50"/>
    </row>
    <row r="199" ht="15.75" customHeight="1">
      <c r="A199" s="41"/>
      <c r="B199" s="42"/>
      <c r="C199" s="72"/>
      <c r="D199" s="236"/>
      <c r="E199" s="236"/>
      <c r="F199" s="312"/>
      <c r="G199" s="50"/>
    </row>
    <row r="200" ht="15.75" customHeight="1">
      <c r="A200" s="41"/>
      <c r="B200" s="42"/>
      <c r="C200" s="72"/>
      <c r="D200" s="236"/>
      <c r="E200" s="236"/>
      <c r="F200" s="312"/>
      <c r="G200" s="50"/>
    </row>
    <row r="201" ht="15.75" customHeight="1">
      <c r="A201" s="41"/>
      <c r="B201" s="42"/>
      <c r="C201" s="72"/>
      <c r="D201" s="236"/>
      <c r="E201" s="236"/>
      <c r="F201" s="312"/>
      <c r="G201" s="50"/>
    </row>
    <row r="202" ht="15.75" customHeight="1">
      <c r="A202" s="41"/>
      <c r="B202" s="42"/>
      <c r="C202" s="72"/>
      <c r="D202" s="236"/>
      <c r="E202" s="236"/>
      <c r="F202" s="312"/>
      <c r="G202" s="50"/>
    </row>
    <row r="203" ht="15.75" customHeight="1">
      <c r="A203" s="41"/>
      <c r="B203" s="42"/>
      <c r="C203" s="72"/>
      <c r="D203" s="236"/>
      <c r="E203" s="236"/>
      <c r="F203" s="312"/>
      <c r="G203" s="50"/>
    </row>
    <row r="204" ht="15.75" customHeight="1">
      <c r="A204" s="41"/>
      <c r="B204" s="42"/>
      <c r="C204" s="72"/>
      <c r="D204" s="236"/>
      <c r="E204" s="236"/>
      <c r="F204" s="312"/>
      <c r="G204" s="50"/>
    </row>
    <row r="205" ht="15.75" customHeight="1">
      <c r="A205" s="41"/>
      <c r="B205" s="42"/>
      <c r="C205" s="72"/>
      <c r="D205" s="236"/>
      <c r="E205" s="236"/>
      <c r="F205" s="312"/>
      <c r="G205" s="50"/>
    </row>
    <row r="206" ht="15.75" customHeight="1">
      <c r="A206" s="41"/>
      <c r="B206" s="42"/>
      <c r="C206" s="72"/>
      <c r="D206" s="236"/>
      <c r="E206" s="236"/>
      <c r="F206" s="312"/>
      <c r="G206" s="50"/>
    </row>
    <row r="207" ht="15.75" customHeight="1">
      <c r="A207" s="41"/>
      <c r="B207" s="42"/>
      <c r="C207" s="72"/>
      <c r="D207" s="236"/>
      <c r="E207" s="236"/>
      <c r="F207" s="312"/>
      <c r="G207" s="50"/>
    </row>
    <row r="208" ht="15.75" customHeight="1">
      <c r="A208" s="41"/>
      <c r="B208" s="42"/>
      <c r="C208" s="72"/>
      <c r="D208" s="236"/>
      <c r="E208" s="236"/>
      <c r="F208" s="312"/>
      <c r="G208" s="50"/>
    </row>
    <row r="209" ht="15.75" customHeight="1">
      <c r="A209" s="41"/>
      <c r="B209" s="42"/>
      <c r="C209" s="72"/>
      <c r="D209" s="236"/>
      <c r="E209" s="236"/>
      <c r="F209" s="312"/>
      <c r="G209" s="50"/>
    </row>
    <row r="210" ht="15.75" customHeight="1">
      <c r="A210" s="41"/>
      <c r="B210" s="42"/>
      <c r="C210" s="72"/>
      <c r="D210" s="236"/>
      <c r="E210" s="236"/>
      <c r="F210" s="312"/>
      <c r="G210" s="50"/>
    </row>
    <row r="211" ht="15.75" customHeight="1">
      <c r="A211" s="41"/>
      <c r="B211" s="42"/>
      <c r="C211" s="72"/>
      <c r="D211" s="236"/>
      <c r="E211" s="236"/>
      <c r="F211" s="312"/>
      <c r="G211" s="50"/>
    </row>
    <row r="212" ht="15.75" customHeight="1">
      <c r="A212" s="41"/>
      <c r="B212" s="42"/>
      <c r="C212" s="72"/>
      <c r="D212" s="236"/>
      <c r="E212" s="236"/>
      <c r="F212" s="312"/>
      <c r="G212" s="50"/>
    </row>
    <row r="213" ht="15.75" customHeight="1">
      <c r="A213" s="41"/>
      <c r="B213" s="42"/>
      <c r="C213" s="72"/>
      <c r="D213" s="236"/>
      <c r="E213" s="236"/>
      <c r="F213" s="312"/>
      <c r="G213" s="50"/>
    </row>
    <row r="214" ht="15.75" customHeight="1">
      <c r="A214" s="41"/>
      <c r="B214" s="42"/>
      <c r="C214" s="72"/>
      <c r="D214" s="236"/>
      <c r="E214" s="236"/>
      <c r="F214" s="312"/>
      <c r="G214" s="50"/>
    </row>
    <row r="215" ht="15.75" customHeight="1">
      <c r="A215" s="41"/>
      <c r="B215" s="42"/>
      <c r="C215" s="72"/>
      <c r="D215" s="236"/>
      <c r="E215" s="236"/>
      <c r="F215" s="312"/>
      <c r="G215" s="50"/>
    </row>
    <row r="216" ht="15.75" customHeight="1">
      <c r="A216" s="41"/>
      <c r="B216" s="42"/>
      <c r="C216" s="72"/>
      <c r="D216" s="236"/>
      <c r="E216" s="236"/>
      <c r="F216" s="312"/>
      <c r="G216" s="50"/>
    </row>
    <row r="217" ht="15.75" customHeight="1">
      <c r="A217" s="41"/>
      <c r="B217" s="42"/>
      <c r="C217" s="72"/>
      <c r="D217" s="236"/>
      <c r="E217" s="236"/>
      <c r="F217" s="312"/>
      <c r="G217" s="50"/>
    </row>
    <row r="218" ht="15.75" customHeight="1">
      <c r="A218" s="41"/>
      <c r="B218" s="42"/>
      <c r="C218" s="72"/>
      <c r="D218" s="236"/>
      <c r="E218" s="236"/>
      <c r="F218" s="312"/>
      <c r="G218" s="50"/>
    </row>
    <row r="219" ht="15.75" customHeight="1">
      <c r="A219" s="41"/>
      <c r="B219" s="42"/>
      <c r="C219" s="72"/>
      <c r="D219" s="236"/>
      <c r="E219" s="236"/>
      <c r="F219" s="312"/>
      <c r="G219" s="50"/>
    </row>
    <row r="220" ht="15.75" customHeight="1">
      <c r="A220" s="41"/>
      <c r="B220" s="42"/>
      <c r="C220" s="72"/>
      <c r="D220" s="236"/>
      <c r="E220" s="236"/>
      <c r="F220" s="312"/>
      <c r="G220" s="50"/>
    </row>
    <row r="221" ht="15.75" customHeight="1">
      <c r="A221" s="41"/>
      <c r="B221" s="42"/>
      <c r="C221" s="72"/>
      <c r="D221" s="236"/>
      <c r="E221" s="236"/>
      <c r="F221" s="312"/>
      <c r="G221" s="50"/>
    </row>
    <row r="222" ht="15.75" customHeight="1">
      <c r="A222" s="41"/>
      <c r="B222" s="42"/>
      <c r="C222" s="72"/>
      <c r="D222" s="236"/>
      <c r="E222" s="236"/>
      <c r="F222" s="312"/>
      <c r="G222" s="50"/>
    </row>
    <row r="223" ht="15.75" customHeight="1">
      <c r="A223" s="41"/>
      <c r="B223" s="42"/>
      <c r="C223" s="72"/>
      <c r="D223" s="236"/>
      <c r="E223" s="236"/>
      <c r="F223" s="312"/>
      <c r="G223" s="50"/>
    </row>
    <row r="224" ht="15.75" customHeight="1">
      <c r="A224" s="41"/>
      <c r="B224" s="42"/>
      <c r="C224" s="72"/>
      <c r="D224" s="236"/>
      <c r="E224" s="236"/>
      <c r="F224" s="312"/>
      <c r="G224" s="50"/>
    </row>
    <row r="225" ht="15.75" customHeight="1">
      <c r="A225" s="41"/>
      <c r="B225" s="42"/>
      <c r="C225" s="72"/>
      <c r="D225" s="236"/>
      <c r="E225" s="236"/>
      <c r="F225" s="312"/>
      <c r="G225" s="50"/>
    </row>
    <row r="226" ht="15.75" customHeight="1">
      <c r="A226" s="41"/>
      <c r="B226" s="42"/>
      <c r="C226" s="72"/>
      <c r="D226" s="236"/>
      <c r="E226" s="236"/>
      <c r="F226" s="312"/>
      <c r="G226" s="50"/>
    </row>
    <row r="227" ht="15.75" customHeight="1">
      <c r="A227" s="41"/>
      <c r="B227" s="42"/>
      <c r="C227" s="72"/>
      <c r="D227" s="236"/>
      <c r="E227" s="236"/>
      <c r="F227" s="312"/>
      <c r="G227" s="50"/>
    </row>
    <row r="228" ht="15.75" customHeight="1">
      <c r="A228" s="41"/>
      <c r="B228" s="42"/>
      <c r="C228" s="72"/>
      <c r="D228" s="236"/>
      <c r="E228" s="236"/>
      <c r="F228" s="312"/>
      <c r="G228" s="50"/>
    </row>
    <row r="229" ht="15.75" customHeight="1">
      <c r="A229" s="41"/>
      <c r="B229" s="42"/>
      <c r="C229" s="72"/>
      <c r="D229" s="236"/>
      <c r="E229" s="236"/>
      <c r="F229" s="312"/>
      <c r="G229" s="50"/>
    </row>
    <row r="230" ht="15.75" customHeight="1">
      <c r="A230" s="41"/>
      <c r="B230" s="42"/>
      <c r="C230" s="72"/>
      <c r="D230" s="236"/>
      <c r="E230" s="236"/>
      <c r="F230" s="312"/>
      <c r="G230" s="50"/>
    </row>
    <row r="231" ht="15.75" customHeight="1">
      <c r="A231" s="41"/>
      <c r="B231" s="42"/>
      <c r="C231" s="72"/>
      <c r="D231" s="236"/>
      <c r="E231" s="236"/>
      <c r="F231" s="312"/>
      <c r="G231" s="50"/>
    </row>
    <row r="232" ht="15.75" customHeight="1">
      <c r="A232" s="41"/>
      <c r="B232" s="42"/>
      <c r="C232" s="72"/>
      <c r="D232" s="236"/>
      <c r="E232" s="236"/>
      <c r="F232" s="312"/>
      <c r="G232" s="50"/>
    </row>
    <row r="233" ht="15.75" customHeight="1">
      <c r="A233" s="41"/>
      <c r="B233" s="42"/>
      <c r="C233" s="72"/>
      <c r="D233" s="236"/>
      <c r="E233" s="236"/>
      <c r="F233" s="312"/>
      <c r="G233" s="50"/>
    </row>
    <row r="234" ht="15.75" customHeight="1">
      <c r="A234" s="41"/>
      <c r="B234" s="42"/>
      <c r="C234" s="72"/>
      <c r="D234" s="236"/>
      <c r="E234" s="236"/>
      <c r="F234" s="312"/>
      <c r="G234" s="50"/>
    </row>
    <row r="235" ht="15.75" customHeight="1">
      <c r="A235" s="41"/>
      <c r="B235" s="42"/>
      <c r="C235" s="72"/>
      <c r="D235" s="236"/>
      <c r="E235" s="236"/>
      <c r="F235" s="312"/>
      <c r="G235" s="50"/>
    </row>
    <row r="236" ht="15.75" customHeight="1">
      <c r="A236" s="41"/>
      <c r="B236" s="42"/>
      <c r="C236" s="72"/>
      <c r="D236" s="236"/>
      <c r="E236" s="236"/>
      <c r="F236" s="312"/>
      <c r="G236" s="50"/>
    </row>
    <row r="237" ht="15.75" customHeight="1">
      <c r="A237" s="41"/>
      <c r="B237" s="42"/>
      <c r="C237" s="72"/>
      <c r="D237" s="236"/>
      <c r="E237" s="236"/>
      <c r="F237" s="312"/>
      <c r="G237" s="50"/>
    </row>
    <row r="238" ht="15.75" customHeight="1">
      <c r="A238" s="41"/>
      <c r="B238" s="42"/>
      <c r="C238" s="72"/>
      <c r="D238" s="236"/>
      <c r="E238" s="236"/>
      <c r="F238" s="312"/>
      <c r="G238" s="50"/>
    </row>
    <row r="239" ht="15.75" customHeight="1">
      <c r="A239" s="41"/>
      <c r="B239" s="42"/>
      <c r="C239" s="72"/>
      <c r="D239" s="236"/>
      <c r="E239" s="236"/>
      <c r="F239" s="312"/>
      <c r="G239" s="50"/>
    </row>
    <row r="240" ht="15.75" customHeight="1">
      <c r="A240" s="41"/>
      <c r="B240" s="42"/>
      <c r="C240" s="72"/>
      <c r="D240" s="236"/>
      <c r="E240" s="236"/>
      <c r="F240" s="312"/>
      <c r="G240" s="50"/>
    </row>
    <row r="241" ht="15.75" customHeight="1">
      <c r="A241" s="41"/>
      <c r="B241" s="42"/>
      <c r="C241" s="72"/>
      <c r="D241" s="236"/>
      <c r="E241" s="236"/>
      <c r="F241" s="312"/>
      <c r="G241" s="50"/>
    </row>
    <row r="242" ht="15.75" customHeight="1">
      <c r="A242" s="41"/>
      <c r="B242" s="42"/>
      <c r="C242" s="72"/>
      <c r="D242" s="236"/>
      <c r="E242" s="236"/>
      <c r="F242" s="312"/>
      <c r="G242" s="50"/>
    </row>
    <row r="243" ht="15.75" customHeight="1">
      <c r="A243" s="41"/>
      <c r="B243" s="42"/>
      <c r="C243" s="72"/>
      <c r="D243" s="236"/>
      <c r="E243" s="236"/>
      <c r="F243" s="312"/>
      <c r="G243" s="50"/>
    </row>
    <row r="244" ht="15.75" customHeight="1">
      <c r="A244" s="41"/>
      <c r="B244" s="42"/>
      <c r="C244" s="72"/>
      <c r="D244" s="236"/>
      <c r="E244" s="236"/>
      <c r="F244" s="312"/>
      <c r="G244" s="50"/>
    </row>
    <row r="245" ht="15.75" customHeight="1">
      <c r="A245" s="41"/>
      <c r="B245" s="42"/>
      <c r="C245" s="72"/>
      <c r="D245" s="236"/>
      <c r="E245" s="236"/>
      <c r="F245" s="312"/>
      <c r="G245" s="50"/>
    </row>
    <row r="246" ht="15.75" customHeight="1">
      <c r="A246" s="41"/>
      <c r="B246" s="42"/>
      <c r="C246" s="72"/>
      <c r="D246" s="236"/>
      <c r="E246" s="236"/>
      <c r="F246" s="312"/>
      <c r="G246" s="50"/>
    </row>
    <row r="247" ht="15.75" customHeight="1">
      <c r="A247" s="41"/>
      <c r="B247" s="42"/>
      <c r="C247" s="72"/>
      <c r="D247" s="236"/>
      <c r="E247" s="236"/>
      <c r="F247" s="312"/>
      <c r="G247" s="50"/>
    </row>
    <row r="248" ht="15.75" customHeight="1">
      <c r="A248" s="41"/>
      <c r="B248" s="42"/>
      <c r="C248" s="72"/>
      <c r="D248" s="236"/>
      <c r="E248" s="236"/>
      <c r="F248" s="312"/>
      <c r="G248" s="50"/>
    </row>
    <row r="249" ht="15.75" customHeight="1">
      <c r="A249" s="41"/>
      <c r="B249" s="42"/>
      <c r="C249" s="72"/>
      <c r="D249" s="236"/>
      <c r="E249" s="236"/>
      <c r="F249" s="312"/>
      <c r="G249" s="50"/>
    </row>
    <row r="250" ht="15.75" customHeight="1">
      <c r="A250" s="41"/>
      <c r="B250" s="42"/>
      <c r="C250" s="72"/>
      <c r="D250" s="236"/>
      <c r="E250" s="236"/>
      <c r="F250" s="312"/>
      <c r="G250" s="50"/>
    </row>
    <row r="251" ht="15.75" customHeight="1">
      <c r="A251" s="41"/>
      <c r="B251" s="42"/>
      <c r="C251" s="72"/>
      <c r="D251" s="236"/>
      <c r="E251" s="236"/>
      <c r="F251" s="312"/>
      <c r="G251" s="50"/>
    </row>
    <row r="252" ht="15.75" customHeight="1">
      <c r="A252" s="41"/>
      <c r="B252" s="42"/>
      <c r="C252" s="72"/>
      <c r="D252" s="236"/>
      <c r="E252" s="236"/>
      <c r="F252" s="312"/>
      <c r="G252" s="50"/>
    </row>
    <row r="253" ht="15.75" customHeight="1">
      <c r="A253" s="41"/>
      <c r="B253" s="42"/>
      <c r="C253" s="72"/>
      <c r="D253" s="236"/>
      <c r="E253" s="236"/>
      <c r="F253" s="312"/>
      <c r="G253" s="50"/>
    </row>
    <row r="254" ht="15.75" customHeight="1">
      <c r="A254" s="41"/>
      <c r="B254" s="42"/>
      <c r="C254" s="72"/>
      <c r="D254" s="236"/>
      <c r="E254" s="236"/>
      <c r="F254" s="312"/>
      <c r="G254" s="50"/>
    </row>
    <row r="255" ht="15.75" customHeight="1">
      <c r="A255" s="41"/>
      <c r="B255" s="42"/>
      <c r="C255" s="72"/>
      <c r="D255" s="236"/>
      <c r="E255" s="236"/>
      <c r="F255" s="312"/>
      <c r="G255" s="50"/>
    </row>
    <row r="256" ht="15.75" customHeight="1">
      <c r="A256" s="41"/>
      <c r="B256" s="42"/>
      <c r="C256" s="72"/>
      <c r="D256" s="236"/>
      <c r="E256" s="236"/>
      <c r="F256" s="312"/>
      <c r="G256" s="50"/>
    </row>
    <row r="257" ht="15.75" customHeight="1">
      <c r="A257" s="41"/>
      <c r="B257" s="42"/>
      <c r="C257" s="72"/>
      <c r="D257" s="236"/>
      <c r="E257" s="236"/>
      <c r="F257" s="312"/>
      <c r="G257" s="50"/>
    </row>
    <row r="258" ht="15.75" customHeight="1">
      <c r="A258" s="41"/>
      <c r="B258" s="42"/>
      <c r="C258" s="72"/>
      <c r="D258" s="236"/>
      <c r="E258" s="236"/>
      <c r="F258" s="312"/>
      <c r="G258" s="50"/>
    </row>
    <row r="259" ht="15.75" customHeight="1">
      <c r="A259" s="41"/>
      <c r="B259" s="42"/>
      <c r="C259" s="72"/>
      <c r="D259" s="236"/>
      <c r="E259" s="236"/>
      <c r="F259" s="312"/>
      <c r="G259" s="50"/>
    </row>
    <row r="260" ht="15.75" customHeight="1">
      <c r="A260" s="41"/>
      <c r="B260" s="42"/>
      <c r="C260" s="72"/>
      <c r="D260" s="236"/>
      <c r="E260" s="236"/>
      <c r="F260" s="312"/>
      <c r="G260" s="50"/>
    </row>
    <row r="261" ht="15.75" customHeight="1">
      <c r="A261" s="41"/>
      <c r="B261" s="42"/>
      <c r="C261" s="72"/>
      <c r="D261" s="236"/>
      <c r="E261" s="236"/>
      <c r="F261" s="312"/>
      <c r="G261" s="50"/>
    </row>
    <row r="262" ht="15.75" customHeight="1">
      <c r="A262" s="41"/>
      <c r="B262" s="42"/>
      <c r="C262" s="72"/>
      <c r="D262" s="236"/>
      <c r="E262" s="236"/>
      <c r="F262" s="312"/>
      <c r="G262" s="50"/>
    </row>
    <row r="263" ht="15.75" customHeight="1">
      <c r="A263" s="41"/>
      <c r="B263" s="42"/>
      <c r="C263" s="72"/>
      <c r="D263" s="236"/>
      <c r="E263" s="236"/>
      <c r="F263" s="312"/>
      <c r="G263" s="50"/>
    </row>
    <row r="264" ht="15.75" customHeight="1">
      <c r="A264" s="41"/>
      <c r="B264" s="42"/>
      <c r="C264" s="72"/>
      <c r="D264" s="236"/>
      <c r="E264" s="236"/>
      <c r="F264" s="312"/>
      <c r="G264" s="50"/>
    </row>
    <row r="265" ht="15.75" customHeight="1">
      <c r="A265" s="41"/>
      <c r="B265" s="42"/>
      <c r="C265" s="72"/>
      <c r="D265" s="236"/>
      <c r="E265" s="236"/>
      <c r="F265" s="312"/>
      <c r="G265" s="50"/>
    </row>
    <row r="266" ht="15.75" customHeight="1">
      <c r="A266" s="41"/>
      <c r="B266" s="42"/>
      <c r="C266" s="72"/>
      <c r="D266" s="236"/>
      <c r="E266" s="236"/>
      <c r="F266" s="312"/>
      <c r="G266" s="50"/>
    </row>
    <row r="267" ht="15.75" customHeight="1">
      <c r="A267" s="41"/>
      <c r="B267" s="42"/>
      <c r="C267" s="72"/>
      <c r="D267" s="236"/>
      <c r="E267" s="236"/>
      <c r="F267" s="312"/>
      <c r="G267" s="50"/>
    </row>
    <row r="268" ht="15.75" customHeight="1">
      <c r="A268" s="41"/>
      <c r="B268" s="42"/>
      <c r="C268" s="72"/>
      <c r="D268" s="236"/>
      <c r="E268" s="236"/>
      <c r="F268" s="312"/>
      <c r="G268" s="50"/>
    </row>
    <row r="269" ht="15.75" customHeight="1">
      <c r="A269" s="41"/>
      <c r="B269" s="42"/>
      <c r="C269" s="72"/>
      <c r="D269" s="236"/>
      <c r="E269" s="236"/>
      <c r="F269" s="312"/>
      <c r="G269" s="50"/>
    </row>
    <row r="270" ht="15.75" customHeight="1">
      <c r="A270" s="41"/>
      <c r="B270" s="42"/>
      <c r="C270" s="72"/>
      <c r="D270" s="236"/>
      <c r="E270" s="236"/>
      <c r="F270" s="312"/>
      <c r="G270" s="50"/>
    </row>
    <row r="271" ht="15.75" customHeight="1">
      <c r="A271" s="41"/>
      <c r="B271" s="42"/>
      <c r="C271" s="72"/>
      <c r="D271" s="236"/>
      <c r="E271" s="236"/>
      <c r="F271" s="312"/>
      <c r="G271" s="50"/>
    </row>
    <row r="272" ht="15.75" customHeight="1">
      <c r="A272" s="41"/>
      <c r="B272" s="42"/>
      <c r="C272" s="72"/>
      <c r="D272" s="236"/>
      <c r="E272" s="236"/>
      <c r="F272" s="312"/>
      <c r="G272" s="50"/>
    </row>
    <row r="273" ht="15.75" customHeight="1">
      <c r="A273" s="41"/>
      <c r="B273" s="42"/>
      <c r="C273" s="72"/>
      <c r="D273" s="236"/>
      <c r="E273" s="236"/>
      <c r="F273" s="312"/>
      <c r="G273" s="50"/>
    </row>
    <row r="274" ht="15.75" customHeight="1">
      <c r="A274" s="41"/>
      <c r="B274" s="42"/>
      <c r="C274" s="72"/>
      <c r="D274" s="236"/>
      <c r="E274" s="236"/>
      <c r="F274" s="312"/>
      <c r="G274" s="50"/>
    </row>
    <row r="275" ht="15.75" customHeight="1">
      <c r="A275" s="41"/>
      <c r="B275" s="42"/>
      <c r="C275" s="72"/>
      <c r="D275" s="236"/>
      <c r="E275" s="236"/>
      <c r="F275" s="312"/>
      <c r="G275" s="50"/>
    </row>
    <row r="276" ht="15.75" customHeight="1">
      <c r="A276" s="41"/>
      <c r="B276" s="42"/>
      <c r="C276" s="72"/>
      <c r="D276" s="236"/>
      <c r="E276" s="236"/>
      <c r="F276" s="312"/>
      <c r="G276" s="50"/>
    </row>
    <row r="277" ht="15.75" customHeight="1">
      <c r="A277" s="41"/>
      <c r="B277" s="42"/>
      <c r="C277" s="72"/>
      <c r="D277" s="236"/>
      <c r="E277" s="236"/>
      <c r="F277" s="312"/>
      <c r="G277" s="50"/>
    </row>
    <row r="278" ht="15.75" customHeight="1">
      <c r="A278" s="41"/>
      <c r="B278" s="42"/>
      <c r="C278" s="72"/>
      <c r="D278" s="236"/>
      <c r="E278" s="236"/>
      <c r="F278" s="312"/>
      <c r="G278" s="50"/>
    </row>
    <row r="279" ht="15.75" customHeight="1">
      <c r="A279" s="41"/>
      <c r="B279" s="42"/>
      <c r="C279" s="72"/>
      <c r="D279" s="236"/>
      <c r="E279" s="236"/>
      <c r="F279" s="312"/>
      <c r="G279" s="50"/>
    </row>
    <row r="280" ht="15.75" customHeight="1">
      <c r="A280" s="41"/>
      <c r="B280" s="42"/>
      <c r="C280" s="72"/>
      <c r="D280" s="236"/>
      <c r="E280" s="236"/>
      <c r="F280" s="312"/>
      <c r="G280" s="50"/>
    </row>
    <row r="281" ht="15.75" customHeight="1">
      <c r="A281" s="41"/>
      <c r="B281" s="42"/>
      <c r="C281" s="72"/>
      <c r="D281" s="236"/>
      <c r="E281" s="236"/>
      <c r="F281" s="312"/>
      <c r="G281" s="50"/>
    </row>
    <row r="282" ht="15.75" customHeight="1">
      <c r="A282" s="41"/>
      <c r="B282" s="42"/>
      <c r="C282" s="72"/>
      <c r="D282" s="236"/>
      <c r="E282" s="236"/>
      <c r="F282" s="312"/>
      <c r="G282" s="50"/>
    </row>
    <row r="283" ht="15.75" customHeight="1">
      <c r="A283" s="41"/>
      <c r="B283" s="42"/>
      <c r="C283" s="72"/>
      <c r="D283" s="236"/>
      <c r="E283" s="236"/>
      <c r="F283" s="312"/>
      <c r="G283" s="50"/>
    </row>
    <row r="284" ht="15.75" customHeight="1">
      <c r="A284" s="41"/>
      <c r="B284" s="42"/>
      <c r="C284" s="72"/>
      <c r="D284" s="236"/>
      <c r="E284" s="236"/>
      <c r="F284" s="312"/>
      <c r="G284" s="50"/>
    </row>
    <row r="285" ht="15.75" customHeight="1">
      <c r="A285" s="41"/>
      <c r="B285" s="42"/>
      <c r="C285" s="72"/>
      <c r="D285" s="236"/>
      <c r="E285" s="236"/>
      <c r="F285" s="312"/>
      <c r="G285" s="50"/>
    </row>
    <row r="286" ht="15.75" customHeight="1">
      <c r="A286" s="41"/>
      <c r="B286" s="42"/>
      <c r="C286" s="72"/>
      <c r="D286" s="236"/>
      <c r="E286" s="236"/>
      <c r="F286" s="312"/>
      <c r="G286" s="50"/>
    </row>
    <row r="287" ht="15.75" customHeight="1">
      <c r="A287" s="41"/>
      <c r="B287" s="42"/>
      <c r="C287" s="72"/>
      <c r="D287" s="236"/>
      <c r="E287" s="236"/>
      <c r="F287" s="312"/>
      <c r="G287" s="50"/>
    </row>
    <row r="288" ht="15.75" customHeight="1">
      <c r="A288" s="41"/>
      <c r="B288" s="42"/>
      <c r="C288" s="72"/>
      <c r="D288" s="236"/>
      <c r="E288" s="236"/>
      <c r="F288" s="312"/>
      <c r="G288" s="50"/>
    </row>
    <row r="289" ht="15.75" customHeight="1">
      <c r="A289" s="41"/>
      <c r="B289" s="42"/>
      <c r="C289" s="72"/>
      <c r="D289" s="236"/>
      <c r="E289" s="236"/>
      <c r="F289" s="312"/>
      <c r="G289" s="50"/>
    </row>
    <row r="290" ht="15.75" customHeight="1">
      <c r="A290" s="41"/>
      <c r="B290" s="42"/>
      <c r="C290" s="72"/>
      <c r="D290" s="236"/>
      <c r="E290" s="236"/>
      <c r="F290" s="312"/>
      <c r="G290" s="50"/>
    </row>
    <row r="291" ht="15.75" customHeight="1">
      <c r="A291" s="41"/>
      <c r="B291" s="42"/>
      <c r="C291" s="72"/>
      <c r="D291" s="236"/>
      <c r="E291" s="236"/>
      <c r="F291" s="312"/>
      <c r="G291" s="50"/>
    </row>
    <row r="292" ht="15.75" customHeight="1">
      <c r="A292" s="41"/>
      <c r="B292" s="42"/>
      <c r="C292" s="72"/>
      <c r="D292" s="236"/>
      <c r="E292" s="236"/>
      <c r="F292" s="312"/>
      <c r="G292" s="50"/>
    </row>
    <row r="293" ht="15.75" customHeight="1">
      <c r="A293" s="41"/>
      <c r="B293" s="42"/>
      <c r="C293" s="72"/>
      <c r="D293" s="236"/>
      <c r="E293" s="236"/>
      <c r="F293" s="312"/>
      <c r="G293" s="50"/>
    </row>
    <row r="294" ht="15.75" customHeight="1">
      <c r="A294" s="41"/>
      <c r="B294" s="42"/>
      <c r="C294" s="72"/>
      <c r="D294" s="236"/>
      <c r="E294" s="236"/>
      <c r="F294" s="312"/>
      <c r="G294" s="50"/>
    </row>
    <row r="295" ht="15.75" customHeight="1">
      <c r="A295" s="41"/>
      <c r="B295" s="42"/>
      <c r="C295" s="72"/>
      <c r="D295" s="236"/>
      <c r="E295" s="236"/>
      <c r="F295" s="312"/>
      <c r="G295" s="50"/>
    </row>
    <row r="296" ht="15.75" customHeight="1">
      <c r="A296" s="41"/>
      <c r="B296" s="42"/>
      <c r="C296" s="72"/>
      <c r="D296" s="236"/>
      <c r="E296" s="236"/>
      <c r="F296" s="312"/>
      <c r="G296" s="50"/>
    </row>
    <row r="297" ht="15.75" customHeight="1">
      <c r="A297" s="41"/>
      <c r="B297" s="42"/>
      <c r="C297" s="72"/>
      <c r="D297" s="236"/>
      <c r="E297" s="236"/>
      <c r="F297" s="312"/>
      <c r="G297" s="50"/>
    </row>
    <row r="298" ht="15.75" customHeight="1">
      <c r="A298" s="41"/>
      <c r="B298" s="42"/>
      <c r="C298" s="72"/>
      <c r="D298" s="236"/>
      <c r="E298" s="236"/>
      <c r="F298" s="312"/>
      <c r="G298" s="50"/>
    </row>
    <row r="299" ht="15.75" customHeight="1">
      <c r="A299" s="41"/>
      <c r="B299" s="42"/>
      <c r="C299" s="72"/>
      <c r="D299" s="236"/>
      <c r="E299" s="236"/>
      <c r="F299" s="312"/>
      <c r="G299" s="50"/>
    </row>
    <row r="300" ht="15.75" customHeight="1">
      <c r="A300" s="41"/>
      <c r="B300" s="42"/>
      <c r="C300" s="72"/>
      <c r="D300" s="236"/>
      <c r="E300" s="236"/>
      <c r="F300" s="312"/>
      <c r="G300" s="50"/>
    </row>
    <row r="301" ht="15.75" customHeight="1">
      <c r="A301" s="41"/>
      <c r="B301" s="42"/>
      <c r="C301" s="72"/>
      <c r="D301" s="236"/>
      <c r="E301" s="236"/>
      <c r="F301" s="312"/>
      <c r="G301" s="50"/>
    </row>
    <row r="302" ht="15.75" customHeight="1">
      <c r="A302" s="41"/>
      <c r="B302" s="42"/>
      <c r="C302" s="72"/>
      <c r="D302" s="236"/>
      <c r="E302" s="236"/>
      <c r="F302" s="312"/>
      <c r="G302" s="50"/>
    </row>
    <row r="303" ht="15.75" customHeight="1">
      <c r="A303" s="41"/>
      <c r="B303" s="42"/>
      <c r="C303" s="72"/>
      <c r="D303" s="236"/>
      <c r="E303" s="236"/>
      <c r="F303" s="312"/>
      <c r="G303" s="50"/>
    </row>
    <row r="304" ht="15.75" customHeight="1">
      <c r="A304" s="41"/>
      <c r="B304" s="42"/>
      <c r="C304" s="72"/>
      <c r="D304" s="236"/>
      <c r="E304" s="236"/>
      <c r="F304" s="312"/>
      <c r="G304" s="50"/>
    </row>
    <row r="305" ht="15.75" customHeight="1">
      <c r="A305" s="41"/>
      <c r="B305" s="42"/>
      <c r="C305" s="72"/>
      <c r="D305" s="236"/>
      <c r="E305" s="236"/>
      <c r="F305" s="312"/>
      <c r="G305" s="50"/>
    </row>
    <row r="306" ht="15.75" customHeight="1">
      <c r="A306" s="41"/>
      <c r="B306" s="42"/>
      <c r="C306" s="72"/>
      <c r="D306" s="236"/>
      <c r="E306" s="236"/>
      <c r="F306" s="312"/>
      <c r="G306" s="50"/>
    </row>
    <row r="307" ht="15.75" customHeight="1">
      <c r="A307" s="41"/>
      <c r="B307" s="42"/>
      <c r="C307" s="72"/>
      <c r="D307" s="236"/>
      <c r="E307" s="236"/>
      <c r="F307" s="312"/>
      <c r="G307" s="50"/>
    </row>
    <row r="308" ht="15.75" customHeight="1">
      <c r="A308" s="41"/>
      <c r="B308" s="42"/>
      <c r="C308" s="72"/>
      <c r="D308" s="236"/>
      <c r="E308" s="236"/>
      <c r="F308" s="312"/>
      <c r="G308" s="50"/>
    </row>
    <row r="309" ht="15.75" customHeight="1">
      <c r="A309" s="41"/>
      <c r="B309" s="42"/>
      <c r="C309" s="72"/>
      <c r="D309" s="236"/>
      <c r="E309" s="236"/>
      <c r="F309" s="312"/>
      <c r="G309" s="50"/>
    </row>
    <row r="310" ht="15.75" customHeight="1">
      <c r="A310" s="41"/>
      <c r="B310" s="42"/>
      <c r="C310" s="72"/>
      <c r="D310" s="236"/>
      <c r="E310" s="236"/>
      <c r="F310" s="312"/>
      <c r="G310" s="50"/>
    </row>
    <row r="311" ht="15.75" customHeight="1">
      <c r="A311" s="41"/>
      <c r="B311" s="42"/>
      <c r="C311" s="72"/>
      <c r="D311" s="236"/>
      <c r="E311" s="236"/>
      <c r="F311" s="312"/>
      <c r="G311" s="50"/>
    </row>
    <row r="312" ht="15.75" customHeight="1">
      <c r="A312" s="41"/>
      <c r="B312" s="42"/>
      <c r="C312" s="72"/>
      <c r="D312" s="236"/>
      <c r="E312" s="236"/>
      <c r="F312" s="312"/>
      <c r="G312" s="50"/>
    </row>
    <row r="313" ht="15.75" customHeight="1">
      <c r="A313" s="41"/>
      <c r="B313" s="42"/>
      <c r="C313" s="72"/>
      <c r="D313" s="236"/>
      <c r="E313" s="236"/>
      <c r="F313" s="312"/>
      <c r="G313" s="50"/>
    </row>
    <row r="314" ht="15.75" customHeight="1">
      <c r="A314" s="41"/>
      <c r="B314" s="42"/>
      <c r="C314" s="72"/>
      <c r="D314" s="236"/>
      <c r="E314" s="236"/>
      <c r="F314" s="312"/>
      <c r="G314" s="50"/>
    </row>
    <row r="315" ht="15.75" customHeight="1">
      <c r="A315" s="41"/>
      <c r="B315" s="42"/>
      <c r="C315" s="72"/>
      <c r="D315" s="236"/>
      <c r="E315" s="236"/>
      <c r="F315" s="312"/>
      <c r="G315" s="50"/>
    </row>
    <row r="316" ht="15.75" customHeight="1">
      <c r="A316" s="41"/>
      <c r="B316" s="42"/>
      <c r="C316" s="72"/>
      <c r="D316" s="236"/>
      <c r="E316" s="236"/>
      <c r="F316" s="312"/>
      <c r="G316" s="50"/>
    </row>
    <row r="317" ht="15.75" customHeight="1">
      <c r="A317" s="41"/>
      <c r="B317" s="42"/>
      <c r="C317" s="72"/>
      <c r="D317" s="236"/>
      <c r="E317" s="236"/>
      <c r="F317" s="312"/>
      <c r="G317" s="50"/>
    </row>
    <row r="318" ht="15.75" customHeight="1">
      <c r="A318" s="41"/>
      <c r="B318" s="42"/>
      <c r="C318" s="72"/>
      <c r="D318" s="236"/>
      <c r="E318" s="236"/>
      <c r="F318" s="312"/>
      <c r="G318" s="50"/>
    </row>
    <row r="319" ht="15.75" customHeight="1">
      <c r="A319" s="41"/>
      <c r="B319" s="42"/>
      <c r="C319" s="72"/>
      <c r="D319" s="236"/>
      <c r="E319" s="236"/>
      <c r="F319" s="312"/>
      <c r="G319" s="50"/>
    </row>
    <row r="320" ht="15.75" customHeight="1">
      <c r="A320" s="41"/>
      <c r="B320" s="42"/>
      <c r="C320" s="72"/>
      <c r="D320" s="236"/>
      <c r="E320" s="236"/>
      <c r="F320" s="312"/>
      <c r="G320" s="50"/>
    </row>
    <row r="321" ht="15.75" customHeight="1">
      <c r="A321" s="41"/>
      <c r="B321" s="42"/>
      <c r="C321" s="72"/>
      <c r="D321" s="236"/>
      <c r="E321" s="236"/>
      <c r="F321" s="312"/>
      <c r="G321" s="50"/>
    </row>
    <row r="322" ht="15.75" customHeight="1">
      <c r="A322" s="41"/>
      <c r="B322" s="42"/>
      <c r="C322" s="72"/>
      <c r="D322" s="236"/>
      <c r="E322" s="236"/>
      <c r="F322" s="312"/>
      <c r="G322" s="50"/>
    </row>
    <row r="323" ht="15.75" customHeight="1">
      <c r="A323" s="41"/>
      <c r="B323" s="42"/>
      <c r="C323" s="72"/>
      <c r="D323" s="236"/>
      <c r="E323" s="236"/>
      <c r="F323" s="312"/>
      <c r="G323" s="50"/>
    </row>
    <row r="324" ht="15.75" customHeight="1">
      <c r="A324" s="41"/>
      <c r="B324" s="42"/>
      <c r="C324" s="72"/>
      <c r="D324" s="236"/>
      <c r="E324" s="236"/>
      <c r="F324" s="312"/>
      <c r="G324" s="50"/>
    </row>
    <row r="325" ht="15.75" customHeight="1">
      <c r="A325" s="41"/>
      <c r="B325" s="42"/>
      <c r="C325" s="72"/>
      <c r="D325" s="236"/>
      <c r="E325" s="236"/>
      <c r="F325" s="312"/>
      <c r="G325" s="50"/>
    </row>
    <row r="326" ht="15.75" customHeight="1">
      <c r="A326" s="41"/>
      <c r="B326" s="42"/>
      <c r="C326" s="72"/>
      <c r="D326" s="236"/>
      <c r="E326" s="236"/>
      <c r="F326" s="312"/>
      <c r="G326" s="50"/>
    </row>
    <row r="327" ht="15.75" customHeight="1">
      <c r="A327" s="41"/>
      <c r="B327" s="42"/>
      <c r="C327" s="72"/>
      <c r="D327" s="236"/>
      <c r="E327" s="236"/>
      <c r="F327" s="312"/>
      <c r="G327" s="50"/>
    </row>
    <row r="328" ht="15.75" customHeight="1">
      <c r="A328" s="41"/>
      <c r="B328" s="42"/>
      <c r="C328" s="72"/>
      <c r="D328" s="236"/>
      <c r="E328" s="236"/>
      <c r="F328" s="312"/>
      <c r="G328" s="50"/>
    </row>
    <row r="329" ht="15.75" customHeight="1">
      <c r="A329" s="41"/>
      <c r="B329" s="42"/>
      <c r="C329" s="72"/>
      <c r="D329" s="236"/>
      <c r="E329" s="236"/>
      <c r="F329" s="312"/>
      <c r="G329" s="50"/>
    </row>
    <row r="330" ht="15.75" customHeight="1">
      <c r="A330" s="41"/>
      <c r="B330" s="42"/>
      <c r="C330" s="72"/>
      <c r="D330" s="236"/>
      <c r="E330" s="236"/>
      <c r="F330" s="312"/>
      <c r="G330" s="50"/>
    </row>
    <row r="331" ht="15.75" customHeight="1">
      <c r="A331" s="41"/>
      <c r="B331" s="42"/>
      <c r="C331" s="72"/>
      <c r="D331" s="236"/>
      <c r="E331" s="236"/>
      <c r="F331" s="312"/>
      <c r="G331" s="50"/>
    </row>
    <row r="332" ht="15.75" customHeight="1">
      <c r="A332" s="41"/>
      <c r="B332" s="42"/>
      <c r="C332" s="72"/>
      <c r="D332" s="236"/>
      <c r="E332" s="236"/>
      <c r="F332" s="312"/>
      <c r="G332" s="50"/>
    </row>
    <row r="333" ht="15.75" customHeight="1">
      <c r="A333" s="41"/>
      <c r="B333" s="42"/>
      <c r="C333" s="72"/>
      <c r="D333" s="236"/>
      <c r="E333" s="236"/>
      <c r="F333" s="312"/>
      <c r="G333" s="50"/>
    </row>
    <row r="334" ht="15.75" customHeight="1">
      <c r="A334" s="41"/>
      <c r="B334" s="42"/>
      <c r="C334" s="72"/>
      <c r="D334" s="236"/>
      <c r="E334" s="236"/>
      <c r="F334" s="312"/>
      <c r="G334" s="50"/>
    </row>
    <row r="335" ht="15.75" customHeight="1">
      <c r="A335" s="41"/>
      <c r="B335" s="42"/>
      <c r="C335" s="72"/>
      <c r="D335" s="236"/>
      <c r="E335" s="236"/>
      <c r="F335" s="312"/>
      <c r="G335" s="50"/>
    </row>
    <row r="336" ht="15.75" customHeight="1">
      <c r="A336" s="41"/>
      <c r="B336" s="42"/>
      <c r="C336" s="72"/>
      <c r="D336" s="236"/>
      <c r="E336" s="236"/>
      <c r="F336" s="312"/>
      <c r="G336" s="50"/>
    </row>
    <row r="337" ht="15.75" customHeight="1">
      <c r="A337" s="41"/>
      <c r="B337" s="42"/>
      <c r="C337" s="72"/>
      <c r="D337" s="236"/>
      <c r="E337" s="236"/>
      <c r="F337" s="312"/>
      <c r="G337" s="50"/>
    </row>
    <row r="338" ht="15.75" customHeight="1">
      <c r="A338" s="41"/>
      <c r="B338" s="42"/>
      <c r="C338" s="72"/>
      <c r="D338" s="236"/>
      <c r="E338" s="236"/>
      <c r="F338" s="312"/>
      <c r="G338" s="50"/>
    </row>
    <row r="339" ht="15.75" customHeight="1">
      <c r="A339" s="41"/>
      <c r="B339" s="42"/>
      <c r="C339" s="72"/>
      <c r="D339" s="236"/>
      <c r="E339" s="236"/>
      <c r="F339" s="312"/>
      <c r="G339" s="50"/>
    </row>
    <row r="340" ht="15.75" customHeight="1">
      <c r="A340" s="41"/>
      <c r="B340" s="42"/>
      <c r="C340" s="72"/>
      <c r="D340" s="236"/>
      <c r="E340" s="236"/>
      <c r="F340" s="312"/>
      <c r="G340" s="50"/>
    </row>
    <row r="341" ht="15.75" customHeight="1">
      <c r="A341" s="41"/>
      <c r="B341" s="42"/>
      <c r="C341" s="72"/>
      <c r="D341" s="236"/>
      <c r="E341" s="236"/>
      <c r="F341" s="312"/>
      <c r="G341" s="50"/>
    </row>
    <row r="342" ht="15.75" customHeight="1">
      <c r="A342" s="41"/>
      <c r="B342" s="42"/>
      <c r="C342" s="72"/>
      <c r="D342" s="236"/>
      <c r="E342" s="236"/>
      <c r="F342" s="312"/>
      <c r="G342" s="50"/>
    </row>
    <row r="343" ht="15.75" customHeight="1">
      <c r="A343" s="41"/>
      <c r="B343" s="42"/>
      <c r="C343" s="72"/>
      <c r="D343" s="236"/>
      <c r="E343" s="236"/>
      <c r="F343" s="312"/>
      <c r="G343" s="50"/>
    </row>
    <row r="344" ht="15.75" customHeight="1">
      <c r="A344" s="41"/>
      <c r="B344" s="42"/>
      <c r="C344" s="72"/>
      <c r="D344" s="236"/>
      <c r="E344" s="236"/>
      <c r="F344" s="312"/>
      <c r="G344" s="50"/>
    </row>
    <row r="345" ht="15.75" customHeight="1">
      <c r="A345" s="41"/>
      <c r="B345" s="42"/>
      <c r="C345" s="72"/>
      <c r="D345" s="236"/>
      <c r="E345" s="236"/>
      <c r="F345" s="312"/>
      <c r="G345" s="50"/>
    </row>
    <row r="346" ht="15.75" customHeight="1">
      <c r="A346" s="41"/>
      <c r="B346" s="42"/>
      <c r="C346" s="72"/>
      <c r="D346" s="236"/>
      <c r="E346" s="236"/>
      <c r="F346" s="312"/>
      <c r="G346" s="50"/>
    </row>
    <row r="347" ht="15.75" customHeight="1">
      <c r="A347" s="41"/>
      <c r="B347" s="42"/>
      <c r="C347" s="72"/>
      <c r="D347" s="236"/>
      <c r="E347" s="236"/>
      <c r="F347" s="312"/>
      <c r="G347" s="50"/>
    </row>
    <row r="348" ht="15.75" customHeight="1">
      <c r="A348" s="41"/>
      <c r="B348" s="42"/>
      <c r="C348" s="72"/>
      <c r="D348" s="236"/>
      <c r="E348" s="236"/>
      <c r="F348" s="312"/>
      <c r="G348" s="50"/>
    </row>
    <row r="349" ht="15.75" customHeight="1">
      <c r="A349" s="41"/>
      <c r="B349" s="42"/>
      <c r="C349" s="72"/>
      <c r="D349" s="236"/>
      <c r="E349" s="236"/>
      <c r="F349" s="312"/>
      <c r="G349" s="50"/>
    </row>
    <row r="350" ht="15.75" customHeight="1">
      <c r="A350" s="41"/>
      <c r="B350" s="42"/>
      <c r="C350" s="72"/>
      <c r="D350" s="236"/>
      <c r="E350" s="236"/>
      <c r="F350" s="312"/>
      <c r="G350" s="50"/>
    </row>
    <row r="351" ht="15.75" customHeight="1">
      <c r="A351" s="41"/>
      <c r="B351" s="42"/>
      <c r="C351" s="72"/>
      <c r="D351" s="236"/>
      <c r="E351" s="236"/>
      <c r="F351" s="312"/>
      <c r="G351" s="50"/>
    </row>
    <row r="352" ht="15.75" customHeight="1">
      <c r="A352" s="41"/>
      <c r="B352" s="42"/>
      <c r="C352" s="72"/>
      <c r="D352" s="236"/>
      <c r="E352" s="236"/>
      <c r="F352" s="312"/>
      <c r="G352" s="50"/>
    </row>
    <row r="353" ht="15.75" customHeight="1">
      <c r="A353" s="41"/>
      <c r="B353" s="42"/>
      <c r="C353" s="72"/>
      <c r="D353" s="236"/>
      <c r="E353" s="236"/>
      <c r="F353" s="312"/>
      <c r="G353" s="50"/>
    </row>
    <row r="354" ht="15.75" customHeight="1">
      <c r="A354" s="41"/>
      <c r="B354" s="42"/>
      <c r="C354" s="72"/>
      <c r="D354" s="236"/>
      <c r="E354" s="236"/>
      <c r="F354" s="312"/>
      <c r="G354" s="50"/>
    </row>
    <row r="355" ht="15.75" customHeight="1">
      <c r="A355" s="41"/>
      <c r="B355" s="42"/>
      <c r="C355" s="72"/>
      <c r="D355" s="236"/>
      <c r="E355" s="236"/>
      <c r="F355" s="312"/>
      <c r="G355" s="50"/>
    </row>
    <row r="356" ht="15.75" customHeight="1">
      <c r="A356" s="41"/>
      <c r="B356" s="42"/>
      <c r="C356" s="72"/>
      <c r="D356" s="236"/>
      <c r="E356" s="236"/>
      <c r="F356" s="312"/>
      <c r="G356" s="50"/>
    </row>
    <row r="357" ht="15.75" customHeight="1">
      <c r="A357" s="41"/>
      <c r="B357" s="42"/>
      <c r="C357" s="72"/>
      <c r="D357" s="236"/>
      <c r="E357" s="236"/>
      <c r="F357" s="312"/>
      <c r="G357" s="50"/>
    </row>
    <row r="358" ht="15.75" customHeight="1">
      <c r="A358" s="41"/>
      <c r="B358" s="42"/>
      <c r="C358" s="72"/>
      <c r="D358" s="236"/>
      <c r="E358" s="236"/>
      <c r="F358" s="312"/>
      <c r="G358" s="50"/>
    </row>
    <row r="359" ht="15.75" customHeight="1">
      <c r="A359" s="41"/>
      <c r="B359" s="42"/>
      <c r="C359" s="72"/>
      <c r="D359" s="236"/>
      <c r="E359" s="236"/>
      <c r="F359" s="312"/>
      <c r="G359" s="50"/>
    </row>
    <row r="360" ht="15.75" customHeight="1">
      <c r="A360" s="41"/>
      <c r="B360" s="42"/>
      <c r="C360" s="72"/>
      <c r="D360" s="236"/>
      <c r="E360" s="236"/>
      <c r="F360" s="312"/>
      <c r="G360" s="50"/>
    </row>
    <row r="361" ht="15.75" customHeight="1">
      <c r="A361" s="41"/>
      <c r="B361" s="42"/>
      <c r="C361" s="72"/>
      <c r="D361" s="236"/>
      <c r="E361" s="236"/>
      <c r="F361" s="312"/>
      <c r="G361" s="50"/>
    </row>
    <row r="362" ht="15.75" customHeight="1">
      <c r="A362" s="41"/>
      <c r="B362" s="42"/>
      <c r="C362" s="72"/>
      <c r="D362" s="236"/>
      <c r="E362" s="236"/>
      <c r="F362" s="312"/>
      <c r="G362" s="50"/>
    </row>
    <row r="363" ht="15.75" customHeight="1">
      <c r="A363" s="41"/>
      <c r="B363" s="42"/>
      <c r="C363" s="72"/>
      <c r="D363" s="236"/>
      <c r="E363" s="236"/>
      <c r="F363" s="312"/>
      <c r="G363" s="50"/>
    </row>
    <row r="364" ht="15.75" customHeight="1">
      <c r="A364" s="41"/>
      <c r="B364" s="42"/>
      <c r="C364" s="72"/>
      <c r="D364" s="236"/>
      <c r="E364" s="236"/>
      <c r="F364" s="312"/>
      <c r="G364" s="50"/>
    </row>
    <row r="365" ht="15.75" customHeight="1">
      <c r="A365" s="41"/>
      <c r="B365" s="42"/>
      <c r="C365" s="72"/>
      <c r="D365" s="236"/>
      <c r="E365" s="236"/>
      <c r="F365" s="312"/>
      <c r="G365" s="50"/>
    </row>
    <row r="366" ht="15.75" customHeight="1">
      <c r="A366" s="41"/>
      <c r="B366" s="42"/>
      <c r="C366" s="72"/>
      <c r="D366" s="236"/>
      <c r="E366" s="236"/>
      <c r="F366" s="312"/>
      <c r="G366" s="50"/>
    </row>
    <row r="367" ht="15.75" customHeight="1">
      <c r="A367" s="41"/>
      <c r="B367" s="42"/>
      <c r="C367" s="72"/>
      <c r="D367" s="236"/>
      <c r="E367" s="236"/>
      <c r="F367" s="312"/>
      <c r="G367" s="50"/>
    </row>
    <row r="368" ht="15.75" customHeight="1">
      <c r="A368" s="41"/>
      <c r="B368" s="42"/>
      <c r="C368" s="72"/>
      <c r="D368" s="236"/>
      <c r="E368" s="236"/>
      <c r="F368" s="312"/>
      <c r="G368" s="50"/>
    </row>
    <row r="369" ht="15.75" customHeight="1">
      <c r="A369" s="41"/>
      <c r="B369" s="42"/>
      <c r="C369" s="72"/>
      <c r="D369" s="236"/>
      <c r="E369" s="236"/>
      <c r="F369" s="312"/>
      <c r="G369" s="50"/>
    </row>
    <row r="370" ht="15.75" customHeight="1">
      <c r="A370" s="41"/>
      <c r="B370" s="42"/>
      <c r="C370" s="72"/>
      <c r="D370" s="236"/>
      <c r="E370" s="236"/>
      <c r="F370" s="312"/>
      <c r="G370" s="50"/>
    </row>
    <row r="371" ht="15.75" customHeight="1">
      <c r="A371" s="41"/>
      <c r="B371" s="42"/>
      <c r="C371" s="72"/>
      <c r="D371" s="236"/>
      <c r="E371" s="236"/>
      <c r="F371" s="312"/>
      <c r="G371" s="50"/>
    </row>
    <row r="372" ht="15.75" customHeight="1">
      <c r="A372" s="41"/>
      <c r="B372" s="42"/>
      <c r="C372" s="72"/>
      <c r="D372" s="236"/>
      <c r="E372" s="236"/>
      <c r="F372" s="312"/>
      <c r="G372" s="50"/>
    </row>
    <row r="373" ht="15.75" customHeight="1">
      <c r="A373" s="41"/>
      <c r="B373" s="42"/>
      <c r="C373" s="72"/>
      <c r="D373" s="236"/>
      <c r="E373" s="236"/>
      <c r="F373" s="312"/>
      <c r="G373" s="50"/>
    </row>
    <row r="374" ht="15.75" customHeight="1">
      <c r="A374" s="41"/>
      <c r="B374" s="42"/>
      <c r="C374" s="72"/>
      <c r="D374" s="236"/>
      <c r="E374" s="236"/>
      <c r="F374" s="312"/>
      <c r="G374" s="50"/>
    </row>
    <row r="375" ht="15.75" customHeight="1">
      <c r="A375" s="41"/>
      <c r="B375" s="42"/>
      <c r="C375" s="72"/>
      <c r="D375" s="236"/>
      <c r="E375" s="236"/>
      <c r="F375" s="312"/>
      <c r="G375" s="50"/>
    </row>
    <row r="376" ht="15.75" customHeight="1">
      <c r="A376" s="41"/>
      <c r="B376" s="42"/>
      <c r="C376" s="72"/>
      <c r="D376" s="236"/>
      <c r="E376" s="236"/>
      <c r="F376" s="312"/>
      <c r="G376" s="50"/>
    </row>
    <row r="377" ht="15.75" customHeight="1">
      <c r="A377" s="41"/>
      <c r="B377" s="42"/>
      <c r="C377" s="72"/>
      <c r="D377" s="236"/>
      <c r="E377" s="236"/>
      <c r="F377" s="312"/>
      <c r="G377" s="50"/>
    </row>
    <row r="378" ht="15.75" customHeight="1">
      <c r="A378" s="41"/>
      <c r="B378" s="42"/>
      <c r="C378" s="72"/>
      <c r="D378" s="236"/>
      <c r="E378" s="236"/>
      <c r="F378" s="312"/>
      <c r="G378" s="50"/>
    </row>
    <row r="379" ht="15.75" customHeight="1">
      <c r="A379" s="41"/>
      <c r="B379" s="42"/>
      <c r="C379" s="72"/>
      <c r="D379" s="236"/>
      <c r="E379" s="236"/>
      <c r="F379" s="312"/>
      <c r="G379" s="50"/>
    </row>
    <row r="380" ht="15.75" customHeight="1">
      <c r="A380" s="41"/>
      <c r="B380" s="42"/>
      <c r="C380" s="72"/>
      <c r="D380" s="236"/>
      <c r="E380" s="236"/>
      <c r="F380" s="312"/>
      <c r="G380" s="50"/>
    </row>
    <row r="381" ht="15.75" customHeight="1">
      <c r="A381" s="41"/>
      <c r="B381" s="42"/>
      <c r="C381" s="72"/>
      <c r="D381" s="236"/>
      <c r="E381" s="236"/>
      <c r="F381" s="312"/>
      <c r="G381" s="50"/>
    </row>
    <row r="382" ht="15.75" customHeight="1">
      <c r="A382" s="41"/>
      <c r="B382" s="42"/>
      <c r="C382" s="72"/>
      <c r="D382" s="236"/>
      <c r="E382" s="236"/>
      <c r="F382" s="312"/>
      <c r="G382" s="50"/>
    </row>
    <row r="383" ht="15.75" customHeight="1">
      <c r="A383" s="41"/>
      <c r="B383" s="42"/>
      <c r="C383" s="72"/>
      <c r="D383" s="236"/>
      <c r="E383" s="236"/>
      <c r="F383" s="312"/>
      <c r="G383" s="50"/>
    </row>
    <row r="384" ht="15.75" customHeight="1">
      <c r="A384" s="41"/>
      <c r="B384" s="42"/>
      <c r="C384" s="72"/>
      <c r="D384" s="236"/>
      <c r="E384" s="236"/>
      <c r="F384" s="312"/>
      <c r="G384" s="50"/>
    </row>
    <row r="385" ht="15.75" customHeight="1">
      <c r="A385" s="41"/>
      <c r="B385" s="42"/>
      <c r="C385" s="72"/>
      <c r="D385" s="236"/>
      <c r="E385" s="236"/>
      <c r="F385" s="312"/>
      <c r="G385" s="50"/>
    </row>
    <row r="386" ht="15.75" customHeight="1">
      <c r="A386" s="41"/>
      <c r="B386" s="42"/>
      <c r="C386" s="72"/>
      <c r="D386" s="236"/>
      <c r="E386" s="236"/>
      <c r="F386" s="312"/>
      <c r="G386" s="50"/>
    </row>
    <row r="387" ht="15.75" customHeight="1">
      <c r="A387" s="41"/>
      <c r="B387" s="42"/>
      <c r="C387" s="72"/>
      <c r="D387" s="236"/>
      <c r="E387" s="236"/>
      <c r="F387" s="312"/>
      <c r="G387" s="50"/>
    </row>
    <row r="388" ht="15.75" customHeight="1">
      <c r="A388" s="41"/>
      <c r="B388" s="42"/>
      <c r="C388" s="72"/>
      <c r="D388" s="236"/>
      <c r="E388" s="236"/>
      <c r="F388" s="312"/>
      <c r="G388" s="50"/>
    </row>
    <row r="389" ht="15.75" customHeight="1">
      <c r="A389" s="41"/>
      <c r="B389" s="42"/>
      <c r="C389" s="72"/>
      <c r="D389" s="236"/>
      <c r="E389" s="236"/>
      <c r="F389" s="312"/>
      <c r="G389" s="50"/>
    </row>
    <row r="390" ht="15.75" customHeight="1">
      <c r="A390" s="41"/>
      <c r="B390" s="42"/>
      <c r="C390" s="72"/>
      <c r="D390" s="236"/>
      <c r="E390" s="236"/>
      <c r="F390" s="312"/>
      <c r="G390" s="50"/>
    </row>
    <row r="391" ht="15.75" customHeight="1">
      <c r="A391" s="41"/>
      <c r="B391" s="42"/>
      <c r="C391" s="72"/>
      <c r="D391" s="236"/>
      <c r="E391" s="236"/>
      <c r="F391" s="312"/>
      <c r="G391" s="50"/>
    </row>
    <row r="392" ht="15.75" customHeight="1">
      <c r="A392" s="41"/>
      <c r="B392" s="42"/>
      <c r="C392" s="72"/>
      <c r="D392" s="236"/>
      <c r="E392" s="236"/>
      <c r="F392" s="312"/>
      <c r="G392" s="50"/>
    </row>
    <row r="393" ht="15.75" customHeight="1">
      <c r="A393" s="41"/>
      <c r="B393" s="42"/>
      <c r="C393" s="72"/>
      <c r="D393" s="236"/>
      <c r="E393" s="236"/>
      <c r="F393" s="312"/>
      <c r="G393" s="50"/>
    </row>
    <row r="394" ht="15.75" customHeight="1">
      <c r="A394" s="41"/>
      <c r="B394" s="42"/>
      <c r="C394" s="72"/>
      <c r="D394" s="236"/>
      <c r="E394" s="236"/>
      <c r="F394" s="312"/>
      <c r="G394" s="50"/>
    </row>
    <row r="395" ht="15.75" customHeight="1">
      <c r="A395" s="41"/>
      <c r="B395" s="42"/>
      <c r="C395" s="72"/>
      <c r="D395" s="236"/>
      <c r="E395" s="236"/>
      <c r="F395" s="312"/>
      <c r="G395" s="50"/>
    </row>
    <row r="396" ht="15.75" customHeight="1">
      <c r="A396" s="41"/>
      <c r="B396" s="42"/>
      <c r="C396" s="72"/>
      <c r="D396" s="236"/>
      <c r="E396" s="236"/>
      <c r="F396" s="312"/>
      <c r="G396" s="50"/>
    </row>
    <row r="397" ht="15.75" customHeight="1">
      <c r="A397" s="41"/>
      <c r="B397" s="42"/>
      <c r="C397" s="72"/>
      <c r="D397" s="236"/>
      <c r="E397" s="236"/>
      <c r="F397" s="312"/>
      <c r="G397" s="50"/>
    </row>
    <row r="398" ht="15.75" customHeight="1">
      <c r="A398" s="41"/>
      <c r="B398" s="42"/>
      <c r="C398" s="72"/>
      <c r="D398" s="236"/>
      <c r="E398" s="236"/>
      <c r="F398" s="312"/>
      <c r="G398" s="50"/>
    </row>
    <row r="399" ht="15.75" customHeight="1">
      <c r="A399" s="41"/>
      <c r="B399" s="42"/>
      <c r="C399" s="72"/>
      <c r="D399" s="236"/>
      <c r="E399" s="236"/>
      <c r="F399" s="312"/>
      <c r="G399" s="50"/>
    </row>
    <row r="400" ht="15.75" customHeight="1">
      <c r="A400" s="41"/>
      <c r="B400" s="42"/>
      <c r="C400" s="72"/>
      <c r="D400" s="236"/>
      <c r="E400" s="236"/>
      <c r="F400" s="312"/>
      <c r="G400" s="50"/>
    </row>
    <row r="401" ht="15.75" customHeight="1">
      <c r="A401" s="41"/>
      <c r="B401" s="42"/>
      <c r="C401" s="72"/>
      <c r="D401" s="236"/>
      <c r="E401" s="236"/>
      <c r="F401" s="312"/>
      <c r="G401" s="50"/>
    </row>
    <row r="402" ht="15.75" customHeight="1">
      <c r="A402" s="41"/>
      <c r="B402" s="42"/>
      <c r="C402" s="72"/>
      <c r="D402" s="236"/>
      <c r="E402" s="236"/>
      <c r="F402" s="312"/>
      <c r="G402" s="50"/>
    </row>
    <row r="403" ht="15.75" customHeight="1">
      <c r="A403" s="41"/>
      <c r="B403" s="42"/>
      <c r="C403" s="72"/>
      <c r="D403" s="236"/>
      <c r="E403" s="236"/>
      <c r="F403" s="312"/>
      <c r="G403" s="50"/>
    </row>
    <row r="404" ht="15.75" customHeight="1">
      <c r="A404" s="41"/>
      <c r="B404" s="42"/>
      <c r="C404" s="72"/>
      <c r="D404" s="236"/>
      <c r="E404" s="236"/>
      <c r="F404" s="312"/>
      <c r="G404" s="50"/>
    </row>
    <row r="405" ht="15.75" customHeight="1">
      <c r="A405" s="41"/>
      <c r="B405" s="42"/>
      <c r="C405" s="72"/>
      <c r="D405" s="236"/>
      <c r="E405" s="236"/>
      <c r="F405" s="312"/>
      <c r="G405" s="50"/>
    </row>
    <row r="406" ht="15.75" customHeight="1">
      <c r="A406" s="41"/>
      <c r="B406" s="42"/>
      <c r="C406" s="72"/>
      <c r="D406" s="236"/>
      <c r="E406" s="236"/>
      <c r="F406" s="312"/>
      <c r="G406" s="50"/>
    </row>
    <row r="407" ht="15.75" customHeight="1">
      <c r="A407" s="41"/>
      <c r="B407" s="42"/>
      <c r="C407" s="72"/>
      <c r="D407" s="236"/>
      <c r="E407" s="236"/>
      <c r="F407" s="312"/>
      <c r="G407" s="50"/>
    </row>
    <row r="408" ht="15.75" customHeight="1">
      <c r="A408" s="41"/>
      <c r="B408" s="42"/>
      <c r="C408" s="72"/>
      <c r="D408" s="236"/>
      <c r="E408" s="236"/>
      <c r="F408" s="312"/>
      <c r="G408" s="50"/>
    </row>
    <row r="409" ht="15.75" customHeight="1">
      <c r="A409" s="41"/>
      <c r="B409" s="42"/>
      <c r="C409" s="72"/>
      <c r="D409" s="236"/>
      <c r="E409" s="236"/>
      <c r="F409" s="312"/>
      <c r="G409" s="50"/>
    </row>
    <row r="410" ht="15.75" customHeight="1">
      <c r="A410" s="41"/>
      <c r="B410" s="42"/>
      <c r="C410" s="72"/>
      <c r="D410" s="236"/>
      <c r="E410" s="236"/>
      <c r="F410" s="312"/>
      <c r="G410" s="50"/>
    </row>
    <row r="411" ht="15.75" customHeight="1">
      <c r="A411" s="41"/>
      <c r="B411" s="42"/>
      <c r="C411" s="72"/>
      <c r="D411" s="236"/>
      <c r="E411" s="236"/>
      <c r="F411" s="312"/>
      <c r="G411" s="50"/>
    </row>
    <row r="412" ht="15.75" customHeight="1">
      <c r="A412" s="41"/>
      <c r="B412" s="42"/>
      <c r="C412" s="72"/>
      <c r="D412" s="236"/>
      <c r="E412" s="236"/>
      <c r="F412" s="312"/>
      <c r="G412" s="50"/>
    </row>
    <row r="413" ht="15.75" customHeight="1">
      <c r="A413" s="41"/>
      <c r="B413" s="42"/>
      <c r="C413" s="72"/>
      <c r="D413" s="236"/>
      <c r="E413" s="236"/>
      <c r="F413" s="312"/>
      <c r="G413" s="50"/>
    </row>
    <row r="414" ht="15.75" customHeight="1">
      <c r="A414" s="41"/>
      <c r="B414" s="42"/>
      <c r="C414" s="72"/>
      <c r="D414" s="236"/>
      <c r="E414" s="236"/>
      <c r="F414" s="312"/>
      <c r="G414" s="50"/>
    </row>
    <row r="415" ht="15.75" customHeight="1">
      <c r="A415" s="41"/>
      <c r="B415" s="42"/>
      <c r="C415" s="72"/>
      <c r="D415" s="236"/>
      <c r="E415" s="236"/>
      <c r="F415" s="312"/>
      <c r="G415" s="50"/>
    </row>
    <row r="416" ht="15.75" customHeight="1">
      <c r="A416" s="41"/>
      <c r="B416" s="42"/>
      <c r="C416" s="72"/>
      <c r="D416" s="236"/>
      <c r="E416" s="236"/>
      <c r="F416" s="312"/>
      <c r="G416" s="50"/>
    </row>
    <row r="417" ht="15.75" customHeight="1">
      <c r="A417" s="41"/>
      <c r="B417" s="42"/>
      <c r="C417" s="72"/>
      <c r="D417" s="236"/>
      <c r="E417" s="236"/>
      <c r="F417" s="312"/>
      <c r="G417" s="50"/>
    </row>
    <row r="418" ht="15.75" customHeight="1">
      <c r="A418" s="41"/>
      <c r="B418" s="42"/>
      <c r="C418" s="72"/>
      <c r="D418" s="236"/>
      <c r="E418" s="236"/>
      <c r="F418" s="312"/>
      <c r="G418" s="50"/>
    </row>
    <row r="419" ht="15.75" customHeight="1">
      <c r="A419" s="41"/>
      <c r="B419" s="42"/>
      <c r="C419" s="72"/>
      <c r="D419" s="236"/>
      <c r="E419" s="236"/>
      <c r="F419" s="312"/>
      <c r="G419" s="50"/>
    </row>
    <row r="420" ht="15.75" customHeight="1">
      <c r="A420" s="41"/>
      <c r="B420" s="42"/>
      <c r="C420" s="72"/>
      <c r="D420" s="236"/>
      <c r="E420" s="236"/>
      <c r="F420" s="312"/>
      <c r="G420" s="50"/>
    </row>
    <row r="421" ht="15.75" customHeight="1">
      <c r="A421" s="41"/>
      <c r="B421" s="42"/>
      <c r="C421" s="72"/>
      <c r="D421" s="236"/>
      <c r="E421" s="236"/>
      <c r="F421" s="312"/>
      <c r="G421" s="50"/>
    </row>
    <row r="422" ht="15.75" customHeight="1">
      <c r="A422" s="41"/>
      <c r="B422" s="42"/>
      <c r="C422" s="72"/>
      <c r="D422" s="236"/>
      <c r="E422" s="236"/>
      <c r="F422" s="312"/>
      <c r="G422" s="50"/>
    </row>
    <row r="423" ht="15.75" customHeight="1">
      <c r="A423" s="41"/>
      <c r="B423" s="42"/>
      <c r="C423" s="72"/>
      <c r="D423" s="236"/>
      <c r="E423" s="236"/>
      <c r="F423" s="312"/>
      <c r="G423" s="50"/>
    </row>
    <row r="424" ht="15.75" customHeight="1">
      <c r="A424" s="41"/>
      <c r="B424" s="42"/>
      <c r="C424" s="72"/>
      <c r="D424" s="236"/>
      <c r="E424" s="236"/>
      <c r="F424" s="312"/>
      <c r="G424" s="50"/>
    </row>
    <row r="425" ht="15.75" customHeight="1">
      <c r="A425" s="41"/>
      <c r="B425" s="42"/>
      <c r="C425" s="72"/>
      <c r="D425" s="236"/>
      <c r="E425" s="236"/>
      <c r="F425" s="312"/>
      <c r="G425" s="50"/>
    </row>
    <row r="426" ht="15.75" customHeight="1">
      <c r="A426" s="41"/>
      <c r="B426" s="42"/>
      <c r="C426" s="72"/>
      <c r="D426" s="236"/>
      <c r="E426" s="236"/>
      <c r="F426" s="312"/>
      <c r="G426" s="50"/>
    </row>
    <row r="427" ht="15.75" customHeight="1">
      <c r="A427" s="41"/>
      <c r="B427" s="42"/>
      <c r="C427" s="72"/>
      <c r="D427" s="236"/>
      <c r="E427" s="236"/>
      <c r="F427" s="312"/>
      <c r="G427" s="50"/>
    </row>
    <row r="428" ht="15.75" customHeight="1">
      <c r="A428" s="41"/>
      <c r="B428" s="42"/>
      <c r="C428" s="72"/>
      <c r="D428" s="236"/>
      <c r="E428" s="236"/>
      <c r="F428" s="312"/>
      <c r="G428" s="50"/>
    </row>
    <row r="429" ht="15.75" customHeight="1">
      <c r="A429" s="41"/>
      <c r="B429" s="42"/>
      <c r="C429" s="72"/>
      <c r="D429" s="236"/>
      <c r="E429" s="236"/>
      <c r="F429" s="312"/>
      <c r="G429" s="50"/>
    </row>
    <row r="430" ht="15.75" customHeight="1">
      <c r="A430" s="41"/>
      <c r="B430" s="42"/>
      <c r="C430" s="72"/>
      <c r="D430" s="236"/>
      <c r="E430" s="236"/>
      <c r="F430" s="312"/>
      <c r="G430" s="50"/>
    </row>
    <row r="431" ht="15.75" customHeight="1">
      <c r="A431" s="41"/>
      <c r="B431" s="42"/>
      <c r="C431" s="72"/>
      <c r="D431" s="236"/>
      <c r="E431" s="236"/>
      <c r="F431" s="312"/>
      <c r="G431" s="50"/>
    </row>
    <row r="432" ht="15.75" customHeight="1">
      <c r="A432" s="41"/>
      <c r="B432" s="42"/>
      <c r="C432" s="72"/>
      <c r="D432" s="236"/>
      <c r="E432" s="236"/>
      <c r="F432" s="312"/>
      <c r="G432" s="50"/>
    </row>
    <row r="433" ht="15.75" customHeight="1">
      <c r="A433" s="41"/>
      <c r="B433" s="42"/>
      <c r="C433" s="72"/>
      <c r="D433" s="236"/>
      <c r="E433" s="236"/>
      <c r="F433" s="312"/>
      <c r="G433" s="50"/>
    </row>
    <row r="434" ht="15.75" customHeight="1">
      <c r="A434" s="41"/>
      <c r="B434" s="42"/>
      <c r="C434" s="72"/>
      <c r="D434" s="236"/>
      <c r="E434" s="236"/>
      <c r="F434" s="312"/>
      <c r="G434" s="50"/>
    </row>
    <row r="435" ht="15.75" customHeight="1">
      <c r="A435" s="41"/>
      <c r="B435" s="42"/>
      <c r="C435" s="72"/>
      <c r="D435" s="236"/>
      <c r="E435" s="236"/>
      <c r="F435" s="312"/>
      <c r="G435" s="50"/>
    </row>
    <row r="436" ht="15.75" customHeight="1">
      <c r="A436" s="41"/>
      <c r="B436" s="42"/>
      <c r="C436" s="72"/>
      <c r="D436" s="236"/>
      <c r="E436" s="236"/>
      <c r="F436" s="312"/>
      <c r="G436" s="50"/>
    </row>
    <row r="437" ht="15.75" customHeight="1">
      <c r="A437" s="41"/>
      <c r="B437" s="42"/>
      <c r="C437" s="72"/>
      <c r="D437" s="236"/>
      <c r="E437" s="236"/>
      <c r="F437" s="312"/>
      <c r="G437" s="50"/>
    </row>
    <row r="438" ht="15.75" customHeight="1">
      <c r="A438" s="41"/>
      <c r="B438" s="42"/>
      <c r="C438" s="72"/>
      <c r="D438" s="236"/>
      <c r="E438" s="236"/>
      <c r="F438" s="312"/>
      <c r="G438" s="50"/>
    </row>
    <row r="439" ht="15.75" customHeight="1">
      <c r="A439" s="41"/>
      <c r="B439" s="42"/>
      <c r="C439" s="72"/>
      <c r="D439" s="236"/>
      <c r="E439" s="236"/>
      <c r="F439" s="312"/>
      <c r="G439" s="50"/>
    </row>
    <row r="440" ht="15.75" customHeight="1">
      <c r="A440" s="41"/>
      <c r="B440" s="42"/>
      <c r="C440" s="72"/>
      <c r="D440" s="236"/>
      <c r="E440" s="236"/>
      <c r="F440" s="312"/>
      <c r="G440" s="50"/>
    </row>
    <row r="441" ht="15.75" customHeight="1">
      <c r="A441" s="41"/>
      <c r="B441" s="42"/>
      <c r="C441" s="72"/>
      <c r="D441" s="236"/>
      <c r="E441" s="236"/>
      <c r="F441" s="312"/>
      <c r="G441" s="50"/>
    </row>
    <row r="442" ht="15.75" customHeight="1">
      <c r="A442" s="41"/>
      <c r="B442" s="42"/>
      <c r="C442" s="72"/>
      <c r="D442" s="236"/>
      <c r="E442" s="236"/>
      <c r="F442" s="312"/>
      <c r="G442" s="50"/>
    </row>
    <row r="443" ht="15.75" customHeight="1">
      <c r="A443" s="41"/>
      <c r="B443" s="42"/>
      <c r="C443" s="72"/>
      <c r="D443" s="236"/>
      <c r="E443" s="236"/>
      <c r="F443" s="312"/>
      <c r="G443" s="50"/>
    </row>
    <row r="444" ht="15.75" customHeight="1">
      <c r="A444" s="41"/>
      <c r="B444" s="42"/>
      <c r="C444" s="72"/>
      <c r="D444" s="236"/>
      <c r="E444" s="236"/>
      <c r="F444" s="312"/>
      <c r="G444" s="50"/>
    </row>
    <row r="445" ht="15.75" customHeight="1">
      <c r="A445" s="41"/>
      <c r="B445" s="42"/>
      <c r="C445" s="72"/>
      <c r="D445" s="236"/>
      <c r="E445" s="236"/>
      <c r="F445" s="312"/>
      <c r="G445" s="50"/>
    </row>
    <row r="446" ht="15.75" customHeight="1">
      <c r="A446" s="41"/>
      <c r="B446" s="42"/>
      <c r="C446" s="72"/>
      <c r="D446" s="236"/>
      <c r="E446" s="236"/>
      <c r="F446" s="312"/>
      <c r="G446" s="50"/>
    </row>
    <row r="447" ht="15.75" customHeight="1">
      <c r="A447" s="41"/>
      <c r="B447" s="42"/>
      <c r="C447" s="72"/>
      <c r="D447" s="236"/>
      <c r="E447" s="236"/>
      <c r="F447" s="312"/>
      <c r="G447" s="50"/>
    </row>
    <row r="448" ht="15.75" customHeight="1">
      <c r="A448" s="41"/>
      <c r="B448" s="42"/>
      <c r="C448" s="72"/>
      <c r="D448" s="236"/>
      <c r="E448" s="236"/>
      <c r="F448" s="312"/>
      <c r="G448" s="50"/>
    </row>
    <row r="449" ht="15.75" customHeight="1">
      <c r="A449" s="41"/>
      <c r="B449" s="42"/>
      <c r="C449" s="72"/>
      <c r="D449" s="236"/>
      <c r="E449" s="236"/>
      <c r="F449" s="312"/>
      <c r="G449" s="50"/>
    </row>
    <row r="450" ht="15.75" customHeight="1">
      <c r="A450" s="41"/>
      <c r="B450" s="42"/>
      <c r="C450" s="72"/>
      <c r="D450" s="236"/>
      <c r="E450" s="236"/>
      <c r="F450" s="312"/>
      <c r="G450" s="50"/>
    </row>
    <row r="451" ht="15.75" customHeight="1">
      <c r="A451" s="41"/>
      <c r="B451" s="42"/>
      <c r="C451" s="72"/>
      <c r="D451" s="236"/>
      <c r="E451" s="236"/>
      <c r="F451" s="312"/>
      <c r="G451" s="50"/>
    </row>
    <row r="452" ht="15.75" customHeight="1">
      <c r="A452" s="41"/>
      <c r="B452" s="42"/>
      <c r="C452" s="72"/>
      <c r="D452" s="236"/>
      <c r="E452" s="236"/>
      <c r="F452" s="312"/>
      <c r="G452" s="50"/>
    </row>
    <row r="453" ht="15.75" customHeight="1">
      <c r="A453" s="41"/>
      <c r="B453" s="42"/>
      <c r="C453" s="72"/>
      <c r="D453" s="236"/>
      <c r="E453" s="236"/>
      <c r="F453" s="312"/>
      <c r="G453" s="50"/>
    </row>
    <row r="454" ht="15.75" customHeight="1">
      <c r="A454" s="41"/>
      <c r="B454" s="42"/>
      <c r="C454" s="72"/>
      <c r="D454" s="236"/>
      <c r="E454" s="236"/>
      <c r="F454" s="312"/>
      <c r="G454" s="50"/>
    </row>
    <row r="455" ht="15.75" customHeight="1">
      <c r="A455" s="41"/>
      <c r="B455" s="42"/>
      <c r="C455" s="72"/>
      <c r="D455" s="236"/>
      <c r="E455" s="236"/>
      <c r="F455" s="312"/>
      <c r="G455" s="50"/>
    </row>
    <row r="456" ht="15.75" customHeight="1">
      <c r="A456" s="41"/>
      <c r="B456" s="42"/>
      <c r="C456" s="72"/>
      <c r="D456" s="236"/>
      <c r="E456" s="236"/>
      <c r="F456" s="312"/>
      <c r="G456" s="50"/>
    </row>
    <row r="457" ht="15.75" customHeight="1">
      <c r="A457" s="41"/>
      <c r="B457" s="42"/>
      <c r="C457" s="72"/>
      <c r="D457" s="236"/>
      <c r="E457" s="236"/>
      <c r="F457" s="312"/>
      <c r="G457" s="50"/>
    </row>
    <row r="458" ht="15.75" customHeight="1">
      <c r="A458" s="41"/>
      <c r="B458" s="42"/>
      <c r="C458" s="72"/>
      <c r="D458" s="236"/>
      <c r="E458" s="236"/>
      <c r="F458" s="312"/>
      <c r="G458" s="50"/>
    </row>
    <row r="459" ht="15.75" customHeight="1">
      <c r="A459" s="41"/>
      <c r="B459" s="42"/>
      <c r="C459" s="72"/>
      <c r="D459" s="236"/>
      <c r="E459" s="236"/>
      <c r="F459" s="312"/>
      <c r="G459" s="50"/>
    </row>
    <row r="460" ht="15.75" customHeight="1">
      <c r="A460" s="41"/>
      <c r="B460" s="42"/>
      <c r="C460" s="72"/>
      <c r="D460" s="236"/>
      <c r="E460" s="236"/>
      <c r="F460" s="312"/>
      <c r="G460" s="50"/>
    </row>
    <row r="461" ht="15.75" customHeight="1">
      <c r="A461" s="41"/>
      <c r="B461" s="42"/>
      <c r="C461" s="72"/>
      <c r="D461" s="236"/>
      <c r="E461" s="236"/>
      <c r="F461" s="312"/>
      <c r="G461" s="50"/>
    </row>
    <row r="462" ht="15.75" customHeight="1">
      <c r="A462" s="41"/>
      <c r="B462" s="42"/>
      <c r="C462" s="72"/>
      <c r="D462" s="236"/>
      <c r="E462" s="236"/>
      <c r="F462" s="312"/>
      <c r="G462" s="50"/>
    </row>
    <row r="463" ht="15.75" customHeight="1">
      <c r="A463" s="41"/>
      <c r="B463" s="42"/>
      <c r="C463" s="72"/>
      <c r="D463" s="236"/>
      <c r="E463" s="236"/>
      <c r="F463" s="312"/>
      <c r="G463" s="50"/>
    </row>
    <row r="464" ht="15.75" customHeight="1">
      <c r="A464" s="41"/>
      <c r="B464" s="42"/>
      <c r="C464" s="72"/>
      <c r="D464" s="236"/>
      <c r="E464" s="236"/>
      <c r="F464" s="312"/>
      <c r="G464" s="50"/>
    </row>
    <row r="465" ht="15.75" customHeight="1">
      <c r="A465" s="41"/>
      <c r="B465" s="42"/>
      <c r="C465" s="72"/>
      <c r="D465" s="236"/>
      <c r="E465" s="236"/>
      <c r="F465" s="312"/>
      <c r="G465" s="50"/>
    </row>
    <row r="466" ht="15.75" customHeight="1">
      <c r="A466" s="41"/>
      <c r="B466" s="42"/>
      <c r="C466" s="72"/>
      <c r="D466" s="236"/>
      <c r="E466" s="236"/>
      <c r="F466" s="312"/>
      <c r="G466" s="50"/>
    </row>
    <row r="467" ht="15.75" customHeight="1">
      <c r="A467" s="41"/>
      <c r="B467" s="42"/>
      <c r="C467" s="72"/>
      <c r="D467" s="236"/>
      <c r="E467" s="236"/>
      <c r="F467" s="312"/>
      <c r="G467" s="50"/>
    </row>
    <row r="468" ht="15.75" customHeight="1">
      <c r="A468" s="41"/>
      <c r="B468" s="42"/>
      <c r="C468" s="72"/>
      <c r="D468" s="236"/>
      <c r="E468" s="236"/>
      <c r="F468" s="312"/>
      <c r="G468" s="50"/>
    </row>
    <row r="469" ht="15.75" customHeight="1">
      <c r="A469" s="41"/>
      <c r="B469" s="42"/>
      <c r="C469" s="72"/>
      <c r="D469" s="236"/>
      <c r="E469" s="236"/>
      <c r="F469" s="312"/>
      <c r="G469" s="50"/>
    </row>
    <row r="470" ht="15.75" customHeight="1">
      <c r="A470" s="41"/>
      <c r="B470" s="42"/>
      <c r="C470" s="72"/>
      <c r="D470" s="236"/>
      <c r="E470" s="236"/>
      <c r="F470" s="312"/>
      <c r="G470" s="50"/>
    </row>
    <row r="471" ht="15.75" customHeight="1">
      <c r="A471" s="41"/>
      <c r="B471" s="42"/>
      <c r="C471" s="72"/>
      <c r="D471" s="236"/>
      <c r="E471" s="236"/>
      <c r="F471" s="312"/>
      <c r="G471" s="50"/>
    </row>
    <row r="472" ht="15.75" customHeight="1">
      <c r="A472" s="41"/>
      <c r="B472" s="42"/>
      <c r="C472" s="72"/>
      <c r="D472" s="236"/>
      <c r="E472" s="236"/>
      <c r="F472" s="312"/>
      <c r="G472" s="50"/>
    </row>
    <row r="473" ht="15.75" customHeight="1">
      <c r="A473" s="41"/>
      <c r="B473" s="42"/>
      <c r="C473" s="72"/>
      <c r="D473" s="236"/>
      <c r="E473" s="236"/>
      <c r="F473" s="312"/>
      <c r="G473" s="50"/>
    </row>
    <row r="474" ht="15.75" customHeight="1">
      <c r="A474" s="41"/>
      <c r="B474" s="42"/>
      <c r="C474" s="72"/>
      <c r="D474" s="236"/>
      <c r="E474" s="236"/>
      <c r="F474" s="312"/>
      <c r="G474" s="50"/>
    </row>
    <row r="475" ht="15.75" customHeight="1">
      <c r="A475" s="41"/>
      <c r="B475" s="42"/>
      <c r="C475" s="72"/>
      <c r="D475" s="236"/>
      <c r="E475" s="236"/>
      <c r="F475" s="312"/>
      <c r="G475" s="50"/>
    </row>
    <row r="476" ht="15.75" customHeight="1">
      <c r="A476" s="41"/>
      <c r="B476" s="42"/>
      <c r="C476" s="72"/>
      <c r="D476" s="236"/>
      <c r="E476" s="236"/>
      <c r="F476" s="312"/>
      <c r="G476" s="50"/>
    </row>
    <row r="477" ht="15.75" customHeight="1">
      <c r="A477" s="41"/>
      <c r="B477" s="42"/>
      <c r="C477" s="72"/>
      <c r="D477" s="236"/>
      <c r="E477" s="236"/>
      <c r="F477" s="312"/>
      <c r="G477" s="50"/>
    </row>
    <row r="478" ht="15.75" customHeight="1">
      <c r="A478" s="41"/>
      <c r="B478" s="42"/>
      <c r="C478" s="72"/>
      <c r="D478" s="236"/>
      <c r="E478" s="236"/>
      <c r="F478" s="312"/>
      <c r="G478" s="50"/>
    </row>
    <row r="479" ht="15.75" customHeight="1">
      <c r="A479" s="41"/>
      <c r="B479" s="42"/>
      <c r="C479" s="72"/>
      <c r="D479" s="236"/>
      <c r="E479" s="236"/>
      <c r="F479" s="312"/>
      <c r="G479" s="50"/>
    </row>
    <row r="480" ht="15.75" customHeight="1">
      <c r="A480" s="41"/>
      <c r="B480" s="42"/>
      <c r="C480" s="72"/>
      <c r="D480" s="236"/>
      <c r="E480" s="236"/>
      <c r="F480" s="312"/>
      <c r="G480" s="50"/>
    </row>
    <row r="481" ht="15.75" customHeight="1">
      <c r="A481" s="41"/>
      <c r="B481" s="42"/>
      <c r="C481" s="72"/>
      <c r="D481" s="236"/>
      <c r="E481" s="236"/>
      <c r="F481" s="312"/>
      <c r="G481" s="50"/>
    </row>
    <row r="482" ht="15.75" customHeight="1">
      <c r="A482" s="41"/>
      <c r="B482" s="42"/>
      <c r="C482" s="72"/>
      <c r="D482" s="236"/>
      <c r="E482" s="236"/>
      <c r="F482" s="312"/>
      <c r="G482" s="50"/>
    </row>
    <row r="483" ht="15.75" customHeight="1">
      <c r="A483" s="41"/>
      <c r="B483" s="42"/>
      <c r="C483" s="72"/>
      <c r="D483" s="236"/>
      <c r="E483" s="236"/>
      <c r="F483" s="312"/>
      <c r="G483" s="50"/>
    </row>
    <row r="484" ht="15.75" customHeight="1">
      <c r="A484" s="41"/>
      <c r="B484" s="42"/>
      <c r="C484" s="72"/>
      <c r="D484" s="236"/>
      <c r="E484" s="236"/>
      <c r="F484" s="312"/>
      <c r="G484" s="50"/>
    </row>
    <row r="485" ht="15.75" customHeight="1">
      <c r="A485" s="41"/>
      <c r="B485" s="42"/>
      <c r="C485" s="72"/>
      <c r="D485" s="236"/>
      <c r="E485" s="236"/>
      <c r="F485" s="312"/>
      <c r="G485" s="50"/>
    </row>
    <row r="486" ht="15.75" customHeight="1">
      <c r="A486" s="41"/>
      <c r="B486" s="42"/>
      <c r="C486" s="72"/>
      <c r="D486" s="236"/>
      <c r="E486" s="236"/>
      <c r="F486" s="312"/>
      <c r="G486" s="50"/>
    </row>
    <row r="487" ht="15.75" customHeight="1">
      <c r="A487" s="41"/>
      <c r="B487" s="42"/>
      <c r="C487" s="72"/>
      <c r="D487" s="236"/>
      <c r="E487" s="236"/>
      <c r="F487" s="312"/>
      <c r="G487" s="50"/>
    </row>
    <row r="488" ht="15.75" customHeight="1">
      <c r="A488" s="41"/>
      <c r="B488" s="42"/>
      <c r="C488" s="72"/>
      <c r="D488" s="236"/>
      <c r="E488" s="236"/>
      <c r="F488" s="312"/>
      <c r="G488" s="50"/>
    </row>
    <row r="489" ht="15.75" customHeight="1">
      <c r="A489" s="41"/>
      <c r="B489" s="42"/>
      <c r="C489" s="72"/>
      <c r="D489" s="236"/>
      <c r="E489" s="236"/>
      <c r="F489" s="312"/>
      <c r="G489" s="50"/>
    </row>
    <row r="490" ht="15.75" customHeight="1">
      <c r="A490" s="41"/>
      <c r="B490" s="42"/>
      <c r="C490" s="72"/>
      <c r="D490" s="236"/>
      <c r="E490" s="236"/>
      <c r="F490" s="312"/>
      <c r="G490" s="50"/>
    </row>
    <row r="491" ht="15.75" customHeight="1">
      <c r="A491" s="41"/>
      <c r="B491" s="42"/>
      <c r="C491" s="72"/>
      <c r="D491" s="236"/>
      <c r="E491" s="236"/>
      <c r="F491" s="312"/>
      <c r="G491" s="50"/>
    </row>
    <row r="492" ht="15.75" customHeight="1">
      <c r="A492" s="41"/>
      <c r="B492" s="42"/>
      <c r="C492" s="72"/>
      <c r="D492" s="236"/>
      <c r="E492" s="236"/>
      <c r="F492" s="312"/>
      <c r="G492" s="50"/>
    </row>
    <row r="493" ht="15.75" customHeight="1">
      <c r="A493" s="41"/>
      <c r="B493" s="42"/>
      <c r="C493" s="72"/>
      <c r="D493" s="236"/>
      <c r="E493" s="236"/>
      <c r="F493" s="312"/>
      <c r="G493" s="50"/>
    </row>
    <row r="494" ht="15.75" customHeight="1">
      <c r="A494" s="41"/>
      <c r="B494" s="42"/>
      <c r="C494" s="72"/>
      <c r="D494" s="236"/>
      <c r="E494" s="236"/>
      <c r="F494" s="312"/>
      <c r="G494" s="50"/>
    </row>
    <row r="495" ht="15.75" customHeight="1">
      <c r="A495" s="41"/>
      <c r="B495" s="42"/>
      <c r="C495" s="72"/>
      <c r="D495" s="236"/>
      <c r="E495" s="236"/>
      <c r="F495" s="312"/>
      <c r="G495" s="50"/>
    </row>
    <row r="496" ht="15.75" customHeight="1">
      <c r="A496" s="41"/>
      <c r="B496" s="42"/>
      <c r="C496" s="72"/>
      <c r="D496" s="236"/>
      <c r="E496" s="236"/>
      <c r="F496" s="312"/>
      <c r="G496" s="50"/>
    </row>
    <row r="497" ht="15.75" customHeight="1">
      <c r="A497" s="41"/>
      <c r="B497" s="42"/>
      <c r="C497" s="72"/>
      <c r="D497" s="236"/>
      <c r="E497" s="236"/>
      <c r="F497" s="312"/>
      <c r="G497" s="50"/>
    </row>
    <row r="498" ht="15.75" customHeight="1">
      <c r="A498" s="41"/>
      <c r="B498" s="42"/>
      <c r="C498" s="72"/>
      <c r="D498" s="236"/>
      <c r="E498" s="236"/>
      <c r="F498" s="312"/>
      <c r="G498" s="50"/>
    </row>
    <row r="499" ht="15.75" customHeight="1">
      <c r="A499" s="41"/>
      <c r="B499" s="42"/>
      <c r="C499" s="72"/>
      <c r="D499" s="236"/>
      <c r="E499" s="236"/>
      <c r="F499" s="312"/>
      <c r="G499" s="50"/>
    </row>
    <row r="500" ht="15.75" customHeight="1">
      <c r="A500" s="41"/>
      <c r="B500" s="42"/>
      <c r="C500" s="72"/>
      <c r="D500" s="236"/>
      <c r="E500" s="236"/>
      <c r="F500" s="312"/>
      <c r="G500" s="50"/>
    </row>
    <row r="501" ht="15.75" customHeight="1">
      <c r="A501" s="41"/>
      <c r="B501" s="42"/>
      <c r="C501" s="72"/>
      <c r="D501" s="236"/>
      <c r="E501" s="236"/>
      <c r="F501" s="312"/>
      <c r="G501" s="50"/>
    </row>
    <row r="502" ht="15.75" customHeight="1">
      <c r="A502" s="41"/>
      <c r="B502" s="42"/>
      <c r="C502" s="72"/>
      <c r="D502" s="236"/>
      <c r="E502" s="236"/>
      <c r="F502" s="312"/>
      <c r="G502" s="50"/>
    </row>
    <row r="503" ht="15.75" customHeight="1">
      <c r="A503" s="41"/>
      <c r="B503" s="42"/>
      <c r="C503" s="72"/>
      <c r="D503" s="236"/>
      <c r="E503" s="236"/>
      <c r="F503" s="312"/>
      <c r="G503" s="50"/>
    </row>
    <row r="504" ht="15.75" customHeight="1">
      <c r="A504" s="41"/>
      <c r="B504" s="42"/>
      <c r="C504" s="72"/>
      <c r="D504" s="236"/>
      <c r="E504" s="236"/>
      <c r="F504" s="312"/>
      <c r="G504" s="50"/>
    </row>
    <row r="505" ht="15.75" customHeight="1">
      <c r="A505" s="41"/>
      <c r="B505" s="42"/>
      <c r="C505" s="72"/>
      <c r="D505" s="236"/>
      <c r="E505" s="236"/>
      <c r="F505" s="312"/>
      <c r="G505" s="50"/>
    </row>
    <row r="506" ht="15.75" customHeight="1">
      <c r="A506" s="41"/>
      <c r="B506" s="42"/>
      <c r="C506" s="72"/>
      <c r="D506" s="236"/>
      <c r="E506" s="236"/>
      <c r="F506" s="312"/>
      <c r="G506" s="50"/>
    </row>
    <row r="507" ht="15.75" customHeight="1">
      <c r="A507" s="41"/>
      <c r="B507" s="42"/>
      <c r="C507" s="72"/>
      <c r="D507" s="236"/>
      <c r="E507" s="236"/>
      <c r="F507" s="312"/>
      <c r="G507" s="50"/>
    </row>
    <row r="508" ht="15.75" customHeight="1">
      <c r="A508" s="41"/>
      <c r="B508" s="42"/>
      <c r="C508" s="72"/>
      <c r="D508" s="236"/>
      <c r="E508" s="236"/>
      <c r="F508" s="312"/>
      <c r="G508" s="50"/>
    </row>
    <row r="509" ht="15.75" customHeight="1">
      <c r="A509" s="41"/>
      <c r="B509" s="42"/>
      <c r="C509" s="72"/>
      <c r="D509" s="236"/>
      <c r="E509" s="236"/>
      <c r="F509" s="312"/>
      <c r="G509" s="50"/>
    </row>
    <row r="510" ht="15.75" customHeight="1">
      <c r="A510" s="41"/>
      <c r="B510" s="42"/>
      <c r="C510" s="72"/>
      <c r="D510" s="236"/>
      <c r="E510" s="236"/>
      <c r="F510" s="312"/>
      <c r="G510" s="50"/>
    </row>
    <row r="511" ht="15.75" customHeight="1">
      <c r="A511" s="41"/>
      <c r="B511" s="42"/>
      <c r="C511" s="72"/>
      <c r="D511" s="236"/>
      <c r="E511" s="236"/>
      <c r="F511" s="312"/>
      <c r="G511" s="50"/>
    </row>
    <row r="512" ht="15.75" customHeight="1">
      <c r="A512" s="41"/>
      <c r="B512" s="42"/>
      <c r="C512" s="72"/>
      <c r="D512" s="236"/>
      <c r="E512" s="236"/>
      <c r="F512" s="312"/>
      <c r="G512" s="50"/>
    </row>
    <row r="513" ht="15.75" customHeight="1">
      <c r="A513" s="41"/>
      <c r="B513" s="42"/>
      <c r="C513" s="72"/>
      <c r="D513" s="236"/>
      <c r="E513" s="236"/>
      <c r="F513" s="312"/>
      <c r="G513" s="50"/>
    </row>
    <row r="514" ht="15.75" customHeight="1">
      <c r="A514" s="41"/>
      <c r="B514" s="42"/>
      <c r="C514" s="72"/>
      <c r="D514" s="236"/>
      <c r="E514" s="236"/>
      <c r="F514" s="312"/>
      <c r="G514" s="50"/>
    </row>
    <row r="515" ht="15.75" customHeight="1">
      <c r="A515" s="41"/>
      <c r="B515" s="42"/>
      <c r="C515" s="72"/>
      <c r="D515" s="236"/>
      <c r="E515" s="236"/>
      <c r="F515" s="312"/>
      <c r="G515" s="50"/>
    </row>
    <row r="516" ht="15.75" customHeight="1">
      <c r="A516" s="41"/>
      <c r="B516" s="42"/>
      <c r="C516" s="72"/>
      <c r="D516" s="236"/>
      <c r="E516" s="236"/>
      <c r="F516" s="312"/>
      <c r="G516" s="50"/>
    </row>
    <row r="517" ht="15.75" customHeight="1">
      <c r="A517" s="41"/>
      <c r="B517" s="42"/>
      <c r="C517" s="72"/>
      <c r="D517" s="236"/>
      <c r="E517" s="236"/>
      <c r="F517" s="312"/>
      <c r="G517" s="50"/>
    </row>
    <row r="518" ht="15.75" customHeight="1">
      <c r="A518" s="41"/>
      <c r="B518" s="42"/>
      <c r="C518" s="72"/>
      <c r="D518" s="236"/>
      <c r="E518" s="236"/>
      <c r="F518" s="312"/>
      <c r="G518" s="50"/>
    </row>
    <row r="519" ht="15.75" customHeight="1">
      <c r="A519" s="41"/>
      <c r="B519" s="42"/>
      <c r="C519" s="72"/>
      <c r="D519" s="236"/>
      <c r="E519" s="236"/>
      <c r="F519" s="312"/>
      <c r="G519" s="50"/>
    </row>
    <row r="520" ht="15.75" customHeight="1">
      <c r="A520" s="41"/>
      <c r="B520" s="42"/>
      <c r="C520" s="72"/>
      <c r="D520" s="236"/>
      <c r="E520" s="236"/>
      <c r="F520" s="312"/>
      <c r="G520" s="50"/>
    </row>
    <row r="521" ht="15.75" customHeight="1">
      <c r="A521" s="41"/>
      <c r="B521" s="42"/>
      <c r="C521" s="72"/>
      <c r="D521" s="236"/>
      <c r="E521" s="236"/>
      <c r="F521" s="312"/>
      <c r="G521" s="50"/>
    </row>
    <row r="522" ht="15.75" customHeight="1">
      <c r="A522" s="41"/>
      <c r="B522" s="42"/>
      <c r="C522" s="72"/>
      <c r="D522" s="236"/>
      <c r="E522" s="236"/>
      <c r="F522" s="312"/>
      <c r="G522" s="50"/>
    </row>
    <row r="523" ht="15.75" customHeight="1">
      <c r="A523" s="41"/>
      <c r="B523" s="42"/>
      <c r="C523" s="72"/>
      <c r="D523" s="236"/>
      <c r="E523" s="236"/>
      <c r="F523" s="312"/>
      <c r="G523" s="50"/>
    </row>
    <row r="524" ht="15.75" customHeight="1">
      <c r="A524" s="41"/>
      <c r="B524" s="42"/>
      <c r="C524" s="72"/>
      <c r="D524" s="236"/>
      <c r="E524" s="236"/>
      <c r="F524" s="312"/>
      <c r="G524" s="50"/>
    </row>
    <row r="525" ht="15.75" customHeight="1">
      <c r="A525" s="41"/>
      <c r="B525" s="42"/>
      <c r="C525" s="72"/>
      <c r="D525" s="236"/>
      <c r="E525" s="236"/>
      <c r="F525" s="312"/>
      <c r="G525" s="50"/>
    </row>
    <row r="526" ht="15.75" customHeight="1">
      <c r="A526" s="41"/>
      <c r="B526" s="42"/>
      <c r="C526" s="72"/>
      <c r="D526" s="236"/>
      <c r="E526" s="236"/>
      <c r="F526" s="312"/>
      <c r="G526" s="50"/>
    </row>
    <row r="527" ht="15.75" customHeight="1">
      <c r="A527" s="41"/>
      <c r="B527" s="42"/>
      <c r="C527" s="72"/>
      <c r="D527" s="236"/>
      <c r="E527" s="236"/>
      <c r="F527" s="312"/>
      <c r="G527" s="50"/>
    </row>
    <row r="528" ht="15.75" customHeight="1">
      <c r="A528" s="41"/>
      <c r="B528" s="42"/>
      <c r="C528" s="72"/>
      <c r="D528" s="236"/>
      <c r="E528" s="236"/>
      <c r="F528" s="312"/>
      <c r="G528" s="50"/>
    </row>
    <row r="529" ht="15.75" customHeight="1">
      <c r="A529" s="41"/>
      <c r="B529" s="42"/>
      <c r="C529" s="72"/>
      <c r="D529" s="236"/>
      <c r="E529" s="236"/>
      <c r="F529" s="312"/>
      <c r="G529" s="50"/>
    </row>
    <row r="530" ht="15.75" customHeight="1">
      <c r="A530" s="41"/>
      <c r="B530" s="42"/>
      <c r="C530" s="72"/>
      <c r="D530" s="236"/>
      <c r="E530" s="236"/>
      <c r="F530" s="312"/>
      <c r="G530" s="50"/>
    </row>
    <row r="531" ht="15.75" customHeight="1">
      <c r="A531" s="41"/>
      <c r="B531" s="42"/>
      <c r="C531" s="72"/>
      <c r="D531" s="236"/>
      <c r="E531" s="236"/>
      <c r="F531" s="312"/>
      <c r="G531" s="50"/>
    </row>
    <row r="532" ht="15.75" customHeight="1">
      <c r="A532" s="41"/>
      <c r="B532" s="42"/>
      <c r="C532" s="72"/>
      <c r="D532" s="236"/>
      <c r="E532" s="236"/>
      <c r="F532" s="312"/>
      <c r="G532" s="50"/>
    </row>
    <row r="533" ht="15.75" customHeight="1">
      <c r="A533" s="41"/>
      <c r="B533" s="42"/>
      <c r="C533" s="72"/>
      <c r="D533" s="236"/>
      <c r="E533" s="236"/>
      <c r="F533" s="312"/>
      <c r="G533" s="50"/>
    </row>
    <row r="534" ht="15.75" customHeight="1">
      <c r="A534" s="41"/>
      <c r="B534" s="42"/>
      <c r="C534" s="72"/>
      <c r="D534" s="236"/>
      <c r="E534" s="236"/>
      <c r="F534" s="312"/>
      <c r="G534" s="50"/>
    </row>
    <row r="535" ht="15.75" customHeight="1">
      <c r="A535" s="41"/>
      <c r="B535" s="42"/>
      <c r="C535" s="72"/>
      <c r="D535" s="236"/>
      <c r="E535" s="236"/>
      <c r="F535" s="312"/>
      <c r="G535" s="50"/>
    </row>
    <row r="536" ht="15.75" customHeight="1">
      <c r="A536" s="41"/>
      <c r="B536" s="42"/>
      <c r="C536" s="72"/>
      <c r="D536" s="236"/>
      <c r="E536" s="236"/>
      <c r="F536" s="312"/>
      <c r="G536" s="50"/>
    </row>
    <row r="537" ht="15.75" customHeight="1">
      <c r="A537" s="41"/>
      <c r="B537" s="42"/>
      <c r="C537" s="72"/>
      <c r="D537" s="236"/>
      <c r="E537" s="236"/>
      <c r="F537" s="312"/>
      <c r="G537" s="50"/>
    </row>
    <row r="538" ht="15.75" customHeight="1">
      <c r="A538" s="41"/>
      <c r="B538" s="42"/>
      <c r="C538" s="72"/>
      <c r="D538" s="236"/>
      <c r="E538" s="236"/>
      <c r="F538" s="312"/>
      <c r="G538" s="50"/>
    </row>
    <row r="539" ht="15.75" customHeight="1">
      <c r="A539" s="41"/>
      <c r="B539" s="42"/>
      <c r="C539" s="72"/>
      <c r="D539" s="236"/>
      <c r="E539" s="236"/>
      <c r="F539" s="312"/>
      <c r="G539" s="50"/>
    </row>
    <row r="540" ht="15.75" customHeight="1">
      <c r="A540" s="41"/>
      <c r="B540" s="42"/>
      <c r="C540" s="72"/>
      <c r="D540" s="236"/>
      <c r="E540" s="236"/>
      <c r="F540" s="312"/>
      <c r="G540" s="50"/>
    </row>
    <row r="541" ht="15.75" customHeight="1">
      <c r="A541" s="41"/>
      <c r="B541" s="42"/>
      <c r="C541" s="72"/>
      <c r="D541" s="236"/>
      <c r="E541" s="236"/>
      <c r="F541" s="312"/>
      <c r="G541" s="50"/>
    </row>
    <row r="542" ht="15.75" customHeight="1">
      <c r="A542" s="41"/>
      <c r="B542" s="42"/>
      <c r="C542" s="72"/>
      <c r="D542" s="236"/>
      <c r="E542" s="236"/>
      <c r="F542" s="312"/>
      <c r="G542" s="50"/>
    </row>
    <row r="543" ht="15.75" customHeight="1">
      <c r="A543" s="41"/>
      <c r="B543" s="42"/>
      <c r="C543" s="72"/>
      <c r="D543" s="236"/>
      <c r="E543" s="236"/>
      <c r="F543" s="312"/>
      <c r="G543" s="50"/>
    </row>
    <row r="544" ht="15.75" customHeight="1">
      <c r="A544" s="41"/>
      <c r="B544" s="42"/>
      <c r="C544" s="72"/>
      <c r="D544" s="236"/>
      <c r="E544" s="236"/>
      <c r="F544" s="312"/>
      <c r="G544" s="50"/>
    </row>
    <row r="545" ht="15.75" customHeight="1">
      <c r="A545" s="41"/>
      <c r="B545" s="42"/>
      <c r="C545" s="72"/>
      <c r="D545" s="236"/>
      <c r="E545" s="236"/>
      <c r="F545" s="312"/>
      <c r="G545" s="50"/>
    </row>
    <row r="546" ht="15.75" customHeight="1">
      <c r="A546" s="41"/>
      <c r="B546" s="42"/>
      <c r="C546" s="72"/>
      <c r="D546" s="236"/>
      <c r="E546" s="236"/>
      <c r="F546" s="312"/>
      <c r="G546" s="50"/>
    </row>
    <row r="547" ht="15.75" customHeight="1">
      <c r="A547" s="41"/>
      <c r="B547" s="42"/>
      <c r="C547" s="72"/>
      <c r="D547" s="236"/>
      <c r="E547" s="236"/>
      <c r="F547" s="312"/>
      <c r="G547" s="50"/>
    </row>
    <row r="548" ht="15.75" customHeight="1">
      <c r="A548" s="41"/>
      <c r="B548" s="42"/>
      <c r="C548" s="72"/>
      <c r="D548" s="236"/>
      <c r="E548" s="236"/>
      <c r="F548" s="312"/>
      <c r="G548" s="50"/>
    </row>
    <row r="549" ht="15.75" customHeight="1">
      <c r="A549" s="41"/>
      <c r="B549" s="42"/>
      <c r="C549" s="72"/>
      <c r="D549" s="236"/>
      <c r="E549" s="236"/>
      <c r="F549" s="312"/>
      <c r="G549" s="50"/>
    </row>
    <row r="550" ht="15.75" customHeight="1">
      <c r="A550" s="41"/>
      <c r="B550" s="42"/>
      <c r="C550" s="72"/>
      <c r="D550" s="236"/>
      <c r="E550" s="236"/>
      <c r="F550" s="312"/>
      <c r="G550" s="50"/>
    </row>
    <row r="551" ht="15.75" customHeight="1">
      <c r="A551" s="41"/>
      <c r="B551" s="42"/>
      <c r="C551" s="72"/>
      <c r="D551" s="236"/>
      <c r="E551" s="236"/>
      <c r="F551" s="312"/>
      <c r="G551" s="50"/>
    </row>
    <row r="552" ht="15.75" customHeight="1">
      <c r="A552" s="41"/>
      <c r="B552" s="42"/>
      <c r="C552" s="72"/>
      <c r="D552" s="236"/>
      <c r="E552" s="236"/>
      <c r="F552" s="312"/>
      <c r="G552" s="50"/>
    </row>
    <row r="553" ht="15.75" customHeight="1">
      <c r="A553" s="41"/>
      <c r="B553" s="42"/>
      <c r="C553" s="72"/>
      <c r="D553" s="236"/>
      <c r="E553" s="236"/>
      <c r="F553" s="312"/>
      <c r="G553" s="50"/>
    </row>
    <row r="554" ht="15.75" customHeight="1">
      <c r="A554" s="41"/>
      <c r="B554" s="42"/>
      <c r="C554" s="72"/>
      <c r="D554" s="236"/>
      <c r="E554" s="236"/>
      <c r="F554" s="312"/>
      <c r="G554" s="50"/>
    </row>
    <row r="555" ht="15.75" customHeight="1">
      <c r="A555" s="41"/>
      <c r="B555" s="42"/>
      <c r="C555" s="72"/>
      <c r="D555" s="236"/>
      <c r="E555" s="236"/>
      <c r="F555" s="312"/>
      <c r="G555" s="50"/>
    </row>
    <row r="556" ht="15.75" customHeight="1">
      <c r="A556" s="41"/>
      <c r="B556" s="42"/>
      <c r="C556" s="72"/>
      <c r="D556" s="236"/>
      <c r="E556" s="236"/>
      <c r="F556" s="312"/>
      <c r="G556" s="50"/>
    </row>
    <row r="557" ht="15.75" customHeight="1">
      <c r="A557" s="41"/>
      <c r="B557" s="42"/>
      <c r="C557" s="72"/>
      <c r="D557" s="236"/>
      <c r="E557" s="236"/>
      <c r="F557" s="312"/>
      <c r="G557" s="50"/>
    </row>
    <row r="558" ht="15.75" customHeight="1">
      <c r="A558" s="41"/>
      <c r="B558" s="42"/>
      <c r="C558" s="72"/>
      <c r="D558" s="236"/>
      <c r="E558" s="236"/>
      <c r="F558" s="312"/>
      <c r="G558" s="50"/>
    </row>
    <row r="559" ht="15.75" customHeight="1">
      <c r="A559" s="41"/>
      <c r="B559" s="42"/>
      <c r="C559" s="72"/>
      <c r="D559" s="236"/>
      <c r="E559" s="236"/>
      <c r="F559" s="312"/>
      <c r="G559" s="50"/>
    </row>
    <row r="560" ht="15.75" customHeight="1">
      <c r="A560" s="41"/>
      <c r="B560" s="42"/>
      <c r="C560" s="72"/>
      <c r="D560" s="236"/>
      <c r="E560" s="236"/>
      <c r="F560" s="312"/>
      <c r="G560" s="50"/>
    </row>
    <row r="561" ht="15.75" customHeight="1">
      <c r="A561" s="41"/>
      <c r="B561" s="42"/>
      <c r="C561" s="72"/>
      <c r="D561" s="236"/>
      <c r="E561" s="236"/>
      <c r="F561" s="312"/>
      <c r="G561" s="50"/>
    </row>
    <row r="562" ht="15.75" customHeight="1">
      <c r="A562" s="41"/>
      <c r="B562" s="42"/>
      <c r="C562" s="72"/>
      <c r="D562" s="236"/>
      <c r="E562" s="236"/>
      <c r="F562" s="312"/>
      <c r="G562" s="50"/>
    </row>
    <row r="563" ht="15.75" customHeight="1">
      <c r="A563" s="41"/>
      <c r="B563" s="42"/>
      <c r="C563" s="72"/>
      <c r="D563" s="236"/>
      <c r="E563" s="236"/>
      <c r="F563" s="312"/>
      <c r="G563" s="50"/>
    </row>
    <row r="564" ht="15.75" customHeight="1">
      <c r="A564" s="41"/>
      <c r="B564" s="42"/>
      <c r="C564" s="72"/>
      <c r="D564" s="236"/>
      <c r="E564" s="236"/>
      <c r="F564" s="312"/>
      <c r="G564" s="50"/>
    </row>
    <row r="565" ht="15.75" customHeight="1">
      <c r="A565" s="41"/>
      <c r="B565" s="42"/>
      <c r="C565" s="72"/>
      <c r="D565" s="236"/>
      <c r="E565" s="236"/>
      <c r="F565" s="312"/>
      <c r="G565" s="50"/>
    </row>
    <row r="566" ht="15.75" customHeight="1">
      <c r="A566" s="41"/>
      <c r="B566" s="42"/>
      <c r="C566" s="72"/>
      <c r="D566" s="236"/>
      <c r="E566" s="236"/>
      <c r="F566" s="312"/>
      <c r="G566" s="50"/>
    </row>
    <row r="567" ht="15.75" customHeight="1">
      <c r="A567" s="41"/>
      <c r="B567" s="42"/>
      <c r="C567" s="72"/>
      <c r="D567" s="236"/>
      <c r="E567" s="236"/>
      <c r="F567" s="312"/>
      <c r="G567" s="50"/>
    </row>
    <row r="568" ht="15.75" customHeight="1">
      <c r="A568" s="41"/>
      <c r="B568" s="42"/>
      <c r="C568" s="72"/>
      <c r="D568" s="236"/>
      <c r="E568" s="236"/>
      <c r="F568" s="312"/>
      <c r="G568" s="50"/>
    </row>
    <row r="569" ht="15.75" customHeight="1">
      <c r="A569" s="41"/>
      <c r="B569" s="42"/>
      <c r="C569" s="72"/>
      <c r="D569" s="236"/>
      <c r="E569" s="236"/>
      <c r="F569" s="312"/>
      <c r="G569" s="50"/>
    </row>
    <row r="570" ht="15.75" customHeight="1">
      <c r="A570" s="41"/>
      <c r="B570" s="42"/>
      <c r="C570" s="72"/>
      <c r="D570" s="236"/>
      <c r="E570" s="236"/>
      <c r="F570" s="312"/>
      <c r="G570" s="50"/>
    </row>
    <row r="571" ht="15.75" customHeight="1">
      <c r="A571" s="41"/>
      <c r="B571" s="42"/>
      <c r="C571" s="72"/>
      <c r="D571" s="236"/>
      <c r="E571" s="236"/>
      <c r="F571" s="312"/>
      <c r="G571" s="50"/>
    </row>
    <row r="572" ht="15.75" customHeight="1">
      <c r="A572" s="41"/>
      <c r="B572" s="42"/>
      <c r="C572" s="72"/>
      <c r="D572" s="236"/>
      <c r="E572" s="236"/>
      <c r="F572" s="312"/>
      <c r="G572" s="50"/>
    </row>
    <row r="573" ht="15.75" customHeight="1">
      <c r="A573" s="41"/>
      <c r="B573" s="42"/>
      <c r="C573" s="72"/>
      <c r="D573" s="236"/>
      <c r="E573" s="236"/>
      <c r="F573" s="312"/>
      <c r="G573" s="50"/>
    </row>
    <row r="574" ht="15.75" customHeight="1">
      <c r="A574" s="41"/>
      <c r="B574" s="42"/>
      <c r="C574" s="72"/>
      <c r="D574" s="236"/>
      <c r="E574" s="236"/>
      <c r="F574" s="312"/>
      <c r="G574" s="50"/>
    </row>
    <row r="575" ht="15.75" customHeight="1">
      <c r="A575" s="41"/>
      <c r="B575" s="42"/>
      <c r="C575" s="72"/>
      <c r="D575" s="236"/>
      <c r="E575" s="236"/>
      <c r="F575" s="312"/>
      <c r="G575" s="50"/>
    </row>
    <row r="576" ht="15.75" customHeight="1">
      <c r="A576" s="41"/>
      <c r="B576" s="42"/>
      <c r="C576" s="72"/>
      <c r="D576" s="236"/>
      <c r="E576" s="236"/>
      <c r="F576" s="312"/>
      <c r="G576" s="50"/>
    </row>
    <row r="577" ht="15.75" customHeight="1">
      <c r="A577" s="41"/>
      <c r="B577" s="42"/>
      <c r="C577" s="72"/>
      <c r="D577" s="236"/>
      <c r="E577" s="236"/>
      <c r="F577" s="312"/>
      <c r="G577" s="50"/>
    </row>
    <row r="578" ht="15.75" customHeight="1">
      <c r="A578" s="41"/>
      <c r="B578" s="42"/>
      <c r="C578" s="72"/>
      <c r="D578" s="236"/>
      <c r="E578" s="236"/>
      <c r="F578" s="312"/>
      <c r="G578" s="50"/>
    </row>
    <row r="579" ht="15.75" customHeight="1">
      <c r="A579" s="41"/>
      <c r="B579" s="42"/>
      <c r="C579" s="72"/>
      <c r="D579" s="236"/>
      <c r="E579" s="236"/>
      <c r="F579" s="312"/>
      <c r="G579" s="50"/>
    </row>
    <row r="580" ht="15.75" customHeight="1">
      <c r="A580" s="41"/>
      <c r="B580" s="42"/>
      <c r="C580" s="72"/>
      <c r="D580" s="236"/>
      <c r="E580" s="236"/>
      <c r="F580" s="312"/>
      <c r="G580" s="50"/>
    </row>
    <row r="581" ht="15.75" customHeight="1">
      <c r="A581" s="41"/>
      <c r="B581" s="42"/>
      <c r="C581" s="72"/>
      <c r="D581" s="236"/>
      <c r="E581" s="236"/>
      <c r="F581" s="312"/>
      <c r="G581" s="50"/>
    </row>
    <row r="582" ht="15.75" customHeight="1">
      <c r="A582" s="41"/>
      <c r="B582" s="42"/>
      <c r="C582" s="72"/>
      <c r="D582" s="236"/>
      <c r="E582" s="236"/>
      <c r="F582" s="312"/>
      <c r="G582" s="50"/>
    </row>
    <row r="583" ht="15.75" customHeight="1">
      <c r="A583" s="41"/>
      <c r="B583" s="42"/>
      <c r="C583" s="72"/>
      <c r="D583" s="236"/>
      <c r="E583" s="236"/>
      <c r="F583" s="312"/>
      <c r="G583" s="50"/>
    </row>
    <row r="584" ht="15.75" customHeight="1">
      <c r="A584" s="41"/>
      <c r="B584" s="42"/>
      <c r="C584" s="72"/>
      <c r="D584" s="236"/>
      <c r="E584" s="236"/>
      <c r="F584" s="312"/>
      <c r="G584" s="50"/>
    </row>
    <row r="585" ht="15.75" customHeight="1">
      <c r="A585" s="41"/>
      <c r="B585" s="42"/>
      <c r="C585" s="72"/>
      <c r="D585" s="236"/>
      <c r="E585" s="236"/>
      <c r="F585" s="312"/>
      <c r="G585" s="50"/>
    </row>
    <row r="586" ht="15.75" customHeight="1">
      <c r="A586" s="41"/>
      <c r="B586" s="42"/>
      <c r="C586" s="72"/>
      <c r="D586" s="236"/>
      <c r="E586" s="236"/>
      <c r="F586" s="312"/>
      <c r="G586" s="50"/>
    </row>
    <row r="587" ht="15.75" customHeight="1">
      <c r="A587" s="41"/>
      <c r="B587" s="42"/>
      <c r="C587" s="72"/>
      <c r="D587" s="236"/>
      <c r="E587" s="236"/>
      <c r="F587" s="312"/>
      <c r="G587" s="50"/>
    </row>
    <row r="588" ht="15.75" customHeight="1">
      <c r="A588" s="41"/>
      <c r="B588" s="42"/>
      <c r="C588" s="72"/>
      <c r="D588" s="236"/>
      <c r="E588" s="236"/>
      <c r="F588" s="312"/>
      <c r="G588" s="50"/>
    </row>
    <row r="589" ht="15.75" customHeight="1">
      <c r="A589" s="41"/>
      <c r="B589" s="42"/>
      <c r="C589" s="72"/>
      <c r="D589" s="236"/>
      <c r="E589" s="236"/>
      <c r="F589" s="312"/>
      <c r="G589" s="50"/>
    </row>
    <row r="590" ht="15.75" customHeight="1">
      <c r="A590" s="41"/>
      <c r="B590" s="42"/>
      <c r="C590" s="72"/>
      <c r="D590" s="236"/>
      <c r="E590" s="236"/>
      <c r="F590" s="312"/>
      <c r="G590" s="50"/>
    </row>
    <row r="591" ht="15.75" customHeight="1">
      <c r="A591" s="41"/>
      <c r="B591" s="42"/>
      <c r="C591" s="72"/>
      <c r="D591" s="236"/>
      <c r="E591" s="236"/>
      <c r="F591" s="312"/>
      <c r="G591" s="50"/>
    </row>
    <row r="592" ht="15.75" customHeight="1">
      <c r="A592" s="41"/>
      <c r="B592" s="42"/>
      <c r="C592" s="72"/>
      <c r="D592" s="236"/>
      <c r="E592" s="236"/>
      <c r="F592" s="312"/>
      <c r="G592" s="50"/>
    </row>
    <row r="593" ht="15.75" customHeight="1">
      <c r="A593" s="41"/>
      <c r="B593" s="42"/>
      <c r="C593" s="72"/>
      <c r="D593" s="236"/>
      <c r="E593" s="236"/>
      <c r="F593" s="312"/>
      <c r="G593" s="50"/>
    </row>
    <row r="594" ht="15.75" customHeight="1">
      <c r="A594" s="41"/>
      <c r="B594" s="42"/>
      <c r="C594" s="72"/>
      <c r="D594" s="236"/>
      <c r="E594" s="236"/>
      <c r="F594" s="312"/>
      <c r="G594" s="50"/>
    </row>
    <row r="595" ht="15.75" customHeight="1">
      <c r="A595" s="41"/>
      <c r="B595" s="42"/>
      <c r="C595" s="72"/>
      <c r="D595" s="236"/>
      <c r="E595" s="236"/>
      <c r="F595" s="312"/>
      <c r="G595" s="50"/>
    </row>
    <row r="596" ht="15.75" customHeight="1">
      <c r="A596" s="41"/>
      <c r="B596" s="42"/>
      <c r="C596" s="72"/>
      <c r="D596" s="236"/>
      <c r="E596" s="236"/>
      <c r="F596" s="312"/>
      <c r="G596" s="50"/>
    </row>
    <row r="597" ht="15.75" customHeight="1">
      <c r="A597" s="41"/>
      <c r="B597" s="42"/>
      <c r="C597" s="72"/>
      <c r="D597" s="236"/>
      <c r="E597" s="236"/>
      <c r="F597" s="312"/>
      <c r="G597" s="50"/>
    </row>
    <row r="598" ht="15.75" customHeight="1">
      <c r="A598" s="41"/>
      <c r="B598" s="42"/>
      <c r="C598" s="72"/>
      <c r="D598" s="236"/>
      <c r="E598" s="236"/>
      <c r="F598" s="312"/>
      <c r="G598" s="50"/>
    </row>
    <row r="599" ht="15.75" customHeight="1">
      <c r="A599" s="41"/>
      <c r="B599" s="42"/>
      <c r="C599" s="72"/>
      <c r="D599" s="236"/>
      <c r="E599" s="236"/>
      <c r="F599" s="312"/>
      <c r="G599" s="50"/>
    </row>
    <row r="600" ht="15.75" customHeight="1">
      <c r="A600" s="41"/>
      <c r="B600" s="42"/>
      <c r="C600" s="72"/>
      <c r="D600" s="236"/>
      <c r="E600" s="236"/>
      <c r="F600" s="312"/>
      <c r="G600" s="50"/>
    </row>
    <row r="601" ht="15.75" customHeight="1">
      <c r="A601" s="41"/>
      <c r="B601" s="42"/>
      <c r="C601" s="72"/>
      <c r="D601" s="236"/>
      <c r="E601" s="236"/>
      <c r="F601" s="312"/>
      <c r="G601" s="50"/>
    </row>
    <row r="602" ht="15.75" customHeight="1">
      <c r="A602" s="41"/>
      <c r="B602" s="42"/>
      <c r="C602" s="72"/>
      <c r="D602" s="236"/>
      <c r="E602" s="236"/>
      <c r="F602" s="312"/>
      <c r="G602" s="50"/>
    </row>
    <row r="603" ht="15.75" customHeight="1">
      <c r="A603" s="41"/>
      <c r="B603" s="42"/>
      <c r="C603" s="72"/>
      <c r="D603" s="236"/>
      <c r="E603" s="236"/>
      <c r="F603" s="312"/>
      <c r="G603" s="50"/>
    </row>
    <row r="604" ht="15.75" customHeight="1">
      <c r="A604" s="41"/>
      <c r="B604" s="42"/>
      <c r="C604" s="72"/>
      <c r="D604" s="236"/>
      <c r="E604" s="236"/>
      <c r="F604" s="312"/>
      <c r="G604" s="50"/>
    </row>
    <row r="605" ht="15.75" customHeight="1">
      <c r="A605" s="41"/>
      <c r="B605" s="42"/>
      <c r="C605" s="72"/>
      <c r="D605" s="236"/>
      <c r="E605" s="236"/>
      <c r="F605" s="312"/>
      <c r="G605" s="50"/>
    </row>
    <row r="606" ht="15.75" customHeight="1">
      <c r="A606" s="41"/>
      <c r="B606" s="42"/>
      <c r="C606" s="72"/>
      <c r="D606" s="236"/>
      <c r="E606" s="236"/>
      <c r="F606" s="312"/>
      <c r="G606" s="50"/>
    </row>
    <row r="607" ht="15.75" customHeight="1">
      <c r="A607" s="41"/>
      <c r="B607" s="42"/>
      <c r="C607" s="72"/>
      <c r="D607" s="236"/>
      <c r="E607" s="236"/>
      <c r="F607" s="312"/>
      <c r="G607" s="50"/>
    </row>
    <row r="608" ht="15.75" customHeight="1">
      <c r="A608" s="41"/>
      <c r="B608" s="42"/>
      <c r="C608" s="72"/>
      <c r="D608" s="236"/>
      <c r="E608" s="236"/>
      <c r="F608" s="312"/>
      <c r="G608" s="50"/>
    </row>
    <row r="609" ht="15.75" customHeight="1">
      <c r="A609" s="41"/>
      <c r="B609" s="42"/>
      <c r="C609" s="72"/>
      <c r="D609" s="236"/>
      <c r="E609" s="236"/>
      <c r="F609" s="312"/>
      <c r="G609" s="50"/>
    </row>
    <row r="610" ht="15.75" customHeight="1">
      <c r="A610" s="41"/>
      <c r="B610" s="42"/>
      <c r="C610" s="72"/>
      <c r="D610" s="236"/>
      <c r="E610" s="236"/>
      <c r="F610" s="312"/>
      <c r="G610" s="50"/>
    </row>
    <row r="611" ht="15.75" customHeight="1">
      <c r="A611" s="41"/>
      <c r="B611" s="42"/>
      <c r="C611" s="72"/>
      <c r="D611" s="236"/>
      <c r="E611" s="236"/>
      <c r="F611" s="312"/>
      <c r="G611" s="50"/>
    </row>
    <row r="612" ht="15.75" customHeight="1">
      <c r="A612" s="41"/>
      <c r="B612" s="42"/>
      <c r="C612" s="72"/>
      <c r="D612" s="236"/>
      <c r="E612" s="236"/>
      <c r="F612" s="312"/>
      <c r="G612" s="50"/>
    </row>
    <row r="613" ht="15.75" customHeight="1">
      <c r="A613" s="41"/>
      <c r="B613" s="42"/>
      <c r="C613" s="72"/>
      <c r="D613" s="236"/>
      <c r="E613" s="236"/>
      <c r="F613" s="312"/>
      <c r="G613" s="50"/>
    </row>
    <row r="614" ht="15.75" customHeight="1">
      <c r="A614" s="41"/>
      <c r="B614" s="42"/>
      <c r="C614" s="72"/>
      <c r="D614" s="236"/>
      <c r="E614" s="236"/>
      <c r="F614" s="312"/>
      <c r="G614" s="50"/>
    </row>
    <row r="615" ht="15.75" customHeight="1">
      <c r="A615" s="41"/>
      <c r="B615" s="42"/>
      <c r="C615" s="72"/>
      <c r="D615" s="236"/>
      <c r="E615" s="236"/>
      <c r="F615" s="312"/>
      <c r="G615" s="50"/>
    </row>
    <row r="616" ht="15.75" customHeight="1">
      <c r="A616" s="41"/>
      <c r="B616" s="42"/>
      <c r="C616" s="72"/>
      <c r="D616" s="236"/>
      <c r="E616" s="236"/>
      <c r="F616" s="312"/>
      <c r="G616" s="50"/>
    </row>
    <row r="617" ht="15.75" customHeight="1">
      <c r="A617" s="41"/>
      <c r="B617" s="42"/>
      <c r="C617" s="72"/>
      <c r="D617" s="236"/>
      <c r="E617" s="236"/>
      <c r="F617" s="312"/>
      <c r="G617" s="50"/>
    </row>
    <row r="618" ht="15.75" customHeight="1">
      <c r="A618" s="41"/>
      <c r="B618" s="42"/>
      <c r="C618" s="72"/>
      <c r="D618" s="236"/>
      <c r="E618" s="236"/>
      <c r="F618" s="312"/>
      <c r="G618" s="50"/>
    </row>
    <row r="619" ht="15.75" customHeight="1">
      <c r="A619" s="41"/>
      <c r="B619" s="42"/>
      <c r="C619" s="72"/>
      <c r="D619" s="236"/>
      <c r="E619" s="236"/>
      <c r="F619" s="312"/>
      <c r="G619" s="50"/>
    </row>
    <row r="620" ht="15.75" customHeight="1">
      <c r="A620" s="41"/>
      <c r="B620" s="42"/>
      <c r="C620" s="72"/>
      <c r="D620" s="236"/>
      <c r="E620" s="236"/>
      <c r="F620" s="312"/>
      <c r="G620" s="50"/>
    </row>
    <row r="621" ht="15.75" customHeight="1">
      <c r="A621" s="41"/>
      <c r="B621" s="42"/>
      <c r="C621" s="72"/>
      <c r="D621" s="236"/>
      <c r="E621" s="236"/>
      <c r="F621" s="312"/>
      <c r="G621" s="50"/>
    </row>
    <row r="622" ht="15.75" customHeight="1">
      <c r="A622" s="41"/>
      <c r="B622" s="42"/>
      <c r="C622" s="72"/>
      <c r="D622" s="236"/>
      <c r="E622" s="236"/>
      <c r="F622" s="312"/>
      <c r="G622" s="50"/>
    </row>
    <row r="623" ht="15.75" customHeight="1">
      <c r="A623" s="41"/>
      <c r="B623" s="42"/>
      <c r="C623" s="72"/>
      <c r="D623" s="236"/>
      <c r="E623" s="236"/>
      <c r="F623" s="312"/>
      <c r="G623" s="50"/>
    </row>
    <row r="624" ht="15.75" customHeight="1">
      <c r="A624" s="41"/>
      <c r="B624" s="42"/>
      <c r="C624" s="72"/>
      <c r="D624" s="236"/>
      <c r="E624" s="236"/>
      <c r="F624" s="312"/>
      <c r="G624" s="50"/>
    </row>
    <row r="625" ht="15.75" customHeight="1">
      <c r="A625" s="41"/>
      <c r="B625" s="42"/>
      <c r="C625" s="72"/>
      <c r="D625" s="236"/>
      <c r="E625" s="236"/>
      <c r="F625" s="312"/>
      <c r="G625" s="50"/>
    </row>
    <row r="626" ht="15.75" customHeight="1">
      <c r="A626" s="41"/>
      <c r="B626" s="42"/>
      <c r="C626" s="72"/>
      <c r="D626" s="236"/>
      <c r="E626" s="236"/>
      <c r="F626" s="312"/>
      <c r="G626" s="50"/>
    </row>
    <row r="627" ht="15.75" customHeight="1">
      <c r="A627" s="41"/>
      <c r="B627" s="42"/>
      <c r="C627" s="72"/>
      <c r="D627" s="236"/>
      <c r="E627" s="236"/>
      <c r="F627" s="312"/>
      <c r="G627" s="50"/>
    </row>
    <row r="628" ht="15.75" customHeight="1">
      <c r="A628" s="41"/>
      <c r="B628" s="42"/>
      <c r="C628" s="72"/>
      <c r="D628" s="236"/>
      <c r="E628" s="236"/>
      <c r="F628" s="312"/>
      <c r="G628" s="50"/>
    </row>
    <row r="629" ht="15.75" customHeight="1">
      <c r="A629" s="41"/>
      <c r="B629" s="42"/>
      <c r="C629" s="72"/>
      <c r="D629" s="236"/>
      <c r="E629" s="236"/>
      <c r="F629" s="312"/>
      <c r="G629" s="50"/>
    </row>
    <row r="630" ht="15.75" customHeight="1">
      <c r="A630" s="41"/>
      <c r="B630" s="42"/>
      <c r="C630" s="72"/>
      <c r="D630" s="236"/>
      <c r="E630" s="236"/>
      <c r="F630" s="312"/>
      <c r="G630" s="50"/>
    </row>
    <row r="631" ht="15.75" customHeight="1">
      <c r="A631" s="41"/>
      <c r="B631" s="42"/>
      <c r="C631" s="72"/>
      <c r="D631" s="236"/>
      <c r="E631" s="236"/>
      <c r="F631" s="312"/>
      <c r="G631" s="50"/>
    </row>
    <row r="632" ht="15.75" customHeight="1">
      <c r="A632" s="41"/>
      <c r="B632" s="42"/>
      <c r="C632" s="72"/>
      <c r="D632" s="236"/>
      <c r="E632" s="236"/>
      <c r="F632" s="312"/>
      <c r="G632" s="50"/>
    </row>
    <row r="633" ht="15.75" customHeight="1">
      <c r="A633" s="41"/>
      <c r="B633" s="42"/>
      <c r="C633" s="72"/>
      <c r="D633" s="236"/>
      <c r="E633" s="236"/>
      <c r="F633" s="312"/>
      <c r="G633" s="50"/>
    </row>
    <row r="634" ht="15.75" customHeight="1">
      <c r="A634" s="41"/>
      <c r="B634" s="42"/>
      <c r="C634" s="72"/>
      <c r="D634" s="236"/>
      <c r="E634" s="236"/>
      <c r="F634" s="312"/>
      <c r="G634" s="50"/>
    </row>
    <row r="635" ht="15.75" customHeight="1">
      <c r="A635" s="41"/>
      <c r="B635" s="42"/>
      <c r="C635" s="72"/>
      <c r="D635" s="236"/>
      <c r="E635" s="236"/>
      <c r="F635" s="312"/>
      <c r="G635" s="50"/>
    </row>
    <row r="636" ht="15.75" customHeight="1">
      <c r="A636" s="41"/>
      <c r="B636" s="42"/>
      <c r="C636" s="72"/>
      <c r="D636" s="236"/>
      <c r="E636" s="236"/>
      <c r="F636" s="312"/>
      <c r="G636" s="50"/>
    </row>
    <row r="637" ht="15.75" customHeight="1">
      <c r="A637" s="41"/>
      <c r="B637" s="42"/>
      <c r="C637" s="72"/>
      <c r="D637" s="236"/>
      <c r="E637" s="236"/>
      <c r="F637" s="312"/>
      <c r="G637" s="50"/>
    </row>
    <row r="638" ht="15.75" customHeight="1">
      <c r="A638" s="41"/>
      <c r="B638" s="42"/>
      <c r="C638" s="72"/>
      <c r="D638" s="236"/>
      <c r="E638" s="236"/>
      <c r="F638" s="312"/>
      <c r="G638" s="50"/>
    </row>
    <row r="639" ht="15.75" customHeight="1">
      <c r="A639" s="41"/>
      <c r="B639" s="42"/>
      <c r="C639" s="72"/>
      <c r="D639" s="236"/>
      <c r="E639" s="236"/>
      <c r="F639" s="312"/>
      <c r="G639" s="50"/>
    </row>
    <row r="640" ht="15.75" customHeight="1">
      <c r="A640" s="41"/>
      <c r="B640" s="42"/>
      <c r="C640" s="72"/>
      <c r="D640" s="236"/>
      <c r="E640" s="236"/>
      <c r="F640" s="312"/>
      <c r="G640" s="50"/>
    </row>
    <row r="641" ht="15.75" customHeight="1">
      <c r="A641" s="41"/>
      <c r="B641" s="42"/>
      <c r="C641" s="72"/>
      <c r="D641" s="236"/>
      <c r="E641" s="236"/>
      <c r="F641" s="312"/>
      <c r="G641" s="50"/>
    </row>
    <row r="642" ht="15.75" customHeight="1">
      <c r="A642" s="41"/>
      <c r="B642" s="42"/>
      <c r="C642" s="72"/>
      <c r="D642" s="236"/>
      <c r="E642" s="236"/>
      <c r="F642" s="312"/>
      <c r="G642" s="50"/>
    </row>
    <row r="643" ht="15.75" customHeight="1">
      <c r="A643" s="41"/>
      <c r="B643" s="42"/>
      <c r="C643" s="72"/>
      <c r="D643" s="236"/>
      <c r="E643" s="236"/>
      <c r="F643" s="312"/>
      <c r="G643" s="50"/>
    </row>
    <row r="644" ht="15.75" customHeight="1">
      <c r="A644" s="41"/>
      <c r="B644" s="42"/>
      <c r="C644" s="72"/>
      <c r="D644" s="236"/>
      <c r="E644" s="236"/>
      <c r="F644" s="312"/>
      <c r="G644" s="50"/>
    </row>
    <row r="645" ht="15.75" customHeight="1">
      <c r="A645" s="41"/>
      <c r="B645" s="42"/>
      <c r="C645" s="72"/>
      <c r="D645" s="236"/>
      <c r="E645" s="236"/>
      <c r="F645" s="312"/>
      <c r="G645" s="50"/>
    </row>
    <row r="646" ht="15.75" customHeight="1">
      <c r="A646" s="41"/>
      <c r="B646" s="42"/>
      <c r="C646" s="72"/>
      <c r="D646" s="236"/>
      <c r="E646" s="236"/>
      <c r="F646" s="312"/>
      <c r="G646" s="50"/>
    </row>
    <row r="647" ht="15.75" customHeight="1">
      <c r="A647" s="41"/>
      <c r="B647" s="42"/>
      <c r="C647" s="72"/>
      <c r="D647" s="236"/>
      <c r="E647" s="236"/>
      <c r="F647" s="312"/>
      <c r="G647" s="50"/>
    </row>
    <row r="648" ht="15.75" customHeight="1">
      <c r="A648" s="41"/>
      <c r="B648" s="42"/>
      <c r="C648" s="72"/>
      <c r="D648" s="236"/>
      <c r="E648" s="236"/>
      <c r="F648" s="312"/>
      <c r="G648" s="50"/>
    </row>
    <row r="649" ht="15.75" customHeight="1">
      <c r="A649" s="41"/>
      <c r="B649" s="42"/>
      <c r="C649" s="72"/>
      <c r="D649" s="236"/>
      <c r="E649" s="236"/>
      <c r="F649" s="312"/>
      <c r="G649" s="50"/>
    </row>
    <row r="650" ht="15.75" customHeight="1">
      <c r="A650" s="41"/>
      <c r="B650" s="42"/>
      <c r="C650" s="72"/>
      <c r="D650" s="236"/>
      <c r="E650" s="236"/>
      <c r="F650" s="312"/>
      <c r="G650" s="50"/>
    </row>
    <row r="651" ht="15.75" customHeight="1">
      <c r="A651" s="41"/>
      <c r="B651" s="42"/>
      <c r="C651" s="72"/>
      <c r="D651" s="236"/>
      <c r="E651" s="236"/>
      <c r="F651" s="312"/>
      <c r="G651" s="50"/>
    </row>
    <row r="652" ht="15.75" customHeight="1">
      <c r="A652" s="41"/>
      <c r="B652" s="42"/>
      <c r="C652" s="72"/>
      <c r="D652" s="236"/>
      <c r="E652" s="236"/>
      <c r="F652" s="312"/>
      <c r="G652" s="50"/>
    </row>
    <row r="653" ht="15.75" customHeight="1">
      <c r="A653" s="41"/>
      <c r="B653" s="42"/>
      <c r="C653" s="72"/>
      <c r="D653" s="236"/>
      <c r="E653" s="236"/>
      <c r="F653" s="312"/>
      <c r="G653" s="50"/>
    </row>
    <row r="654" ht="15.75" customHeight="1">
      <c r="A654" s="41"/>
      <c r="B654" s="42"/>
      <c r="C654" s="72"/>
      <c r="D654" s="236"/>
      <c r="E654" s="236"/>
      <c r="F654" s="312"/>
      <c r="G654" s="50"/>
    </row>
    <row r="655" ht="15.75" customHeight="1">
      <c r="A655" s="41"/>
      <c r="B655" s="42"/>
      <c r="C655" s="72"/>
      <c r="D655" s="236"/>
      <c r="E655" s="236"/>
      <c r="F655" s="312"/>
      <c r="G655" s="50"/>
    </row>
    <row r="656" ht="15.75" customHeight="1">
      <c r="A656" s="41"/>
      <c r="B656" s="42"/>
      <c r="C656" s="72"/>
      <c r="D656" s="236"/>
      <c r="E656" s="236"/>
      <c r="F656" s="312"/>
      <c r="G656" s="50"/>
    </row>
    <row r="657" ht="15.75" customHeight="1">
      <c r="A657" s="41"/>
      <c r="B657" s="42"/>
      <c r="C657" s="72"/>
      <c r="D657" s="236"/>
      <c r="E657" s="236"/>
      <c r="F657" s="312"/>
      <c r="G657" s="50"/>
    </row>
    <row r="658" ht="15.75" customHeight="1">
      <c r="A658" s="41"/>
      <c r="B658" s="42"/>
      <c r="C658" s="72"/>
      <c r="D658" s="236"/>
      <c r="E658" s="236"/>
      <c r="F658" s="312"/>
      <c r="G658" s="50"/>
    </row>
    <row r="659" ht="15.75" customHeight="1">
      <c r="A659" s="41"/>
      <c r="B659" s="42"/>
      <c r="C659" s="72"/>
      <c r="D659" s="236"/>
      <c r="E659" s="236"/>
      <c r="F659" s="312"/>
      <c r="G659" s="50"/>
    </row>
    <row r="660" ht="15.75" customHeight="1">
      <c r="A660" s="41"/>
      <c r="B660" s="42"/>
      <c r="C660" s="72"/>
      <c r="D660" s="236"/>
      <c r="E660" s="236"/>
      <c r="F660" s="312"/>
      <c r="G660" s="50"/>
    </row>
    <row r="661" ht="15.75" customHeight="1">
      <c r="A661" s="41"/>
      <c r="B661" s="42"/>
      <c r="C661" s="72"/>
      <c r="D661" s="236"/>
      <c r="E661" s="236"/>
      <c r="F661" s="312"/>
      <c r="G661" s="50"/>
    </row>
    <row r="662" ht="15.75" customHeight="1">
      <c r="A662" s="41"/>
      <c r="B662" s="42"/>
      <c r="C662" s="72"/>
      <c r="D662" s="236"/>
      <c r="E662" s="236"/>
      <c r="F662" s="312"/>
      <c r="G662" s="50"/>
    </row>
    <row r="663" ht="15.75" customHeight="1">
      <c r="A663" s="41"/>
      <c r="B663" s="42"/>
      <c r="C663" s="72"/>
      <c r="D663" s="236"/>
      <c r="E663" s="236"/>
      <c r="F663" s="312"/>
      <c r="G663" s="50"/>
    </row>
    <row r="664" ht="15.75" customHeight="1">
      <c r="A664" s="41"/>
      <c r="B664" s="42"/>
      <c r="C664" s="72"/>
      <c r="D664" s="236"/>
      <c r="E664" s="236"/>
      <c r="F664" s="312"/>
      <c r="G664" s="50"/>
    </row>
    <row r="665" ht="15.75" customHeight="1">
      <c r="A665" s="41"/>
      <c r="B665" s="42"/>
      <c r="C665" s="72"/>
      <c r="D665" s="236"/>
      <c r="E665" s="236"/>
      <c r="F665" s="312"/>
      <c r="G665" s="50"/>
    </row>
    <row r="666" ht="15.75" customHeight="1">
      <c r="A666" s="41"/>
      <c r="B666" s="42"/>
      <c r="C666" s="72"/>
      <c r="D666" s="236"/>
      <c r="E666" s="236"/>
      <c r="F666" s="312"/>
      <c r="G666" s="50"/>
    </row>
    <row r="667" ht="15.75" customHeight="1">
      <c r="A667" s="41"/>
      <c r="B667" s="42"/>
      <c r="C667" s="72"/>
      <c r="D667" s="236"/>
      <c r="E667" s="236"/>
      <c r="F667" s="312"/>
      <c r="G667" s="50"/>
    </row>
    <row r="668" ht="15.75" customHeight="1">
      <c r="A668" s="41"/>
      <c r="B668" s="42"/>
      <c r="C668" s="72"/>
      <c r="D668" s="236"/>
      <c r="E668" s="236"/>
      <c r="F668" s="312"/>
      <c r="G668" s="50"/>
    </row>
    <row r="669" ht="15.75" customHeight="1">
      <c r="A669" s="41"/>
      <c r="B669" s="42"/>
      <c r="C669" s="72"/>
      <c r="D669" s="236"/>
      <c r="E669" s="236"/>
      <c r="F669" s="312"/>
      <c r="G669" s="50"/>
    </row>
    <row r="670" ht="15.75" customHeight="1">
      <c r="A670" s="41"/>
      <c r="B670" s="42"/>
      <c r="C670" s="72"/>
      <c r="D670" s="236"/>
      <c r="E670" s="236"/>
      <c r="F670" s="312"/>
      <c r="G670" s="50"/>
    </row>
    <row r="671" ht="15.75" customHeight="1">
      <c r="A671" s="41"/>
      <c r="B671" s="42"/>
      <c r="C671" s="72"/>
      <c r="D671" s="236"/>
      <c r="E671" s="236"/>
      <c r="F671" s="312"/>
      <c r="G671" s="50"/>
    </row>
    <row r="672" ht="15.75" customHeight="1">
      <c r="A672" s="41"/>
      <c r="B672" s="42"/>
      <c r="C672" s="72"/>
      <c r="D672" s="236"/>
      <c r="E672" s="236"/>
      <c r="F672" s="312"/>
      <c r="G672" s="50"/>
    </row>
    <row r="673" ht="15.75" customHeight="1">
      <c r="A673" s="41"/>
      <c r="B673" s="42"/>
      <c r="C673" s="72"/>
      <c r="D673" s="236"/>
      <c r="E673" s="236"/>
      <c r="F673" s="312"/>
      <c r="G673" s="50"/>
    </row>
    <row r="674" ht="15.75" customHeight="1">
      <c r="A674" s="41"/>
      <c r="B674" s="42"/>
      <c r="C674" s="72"/>
      <c r="D674" s="236"/>
      <c r="E674" s="236"/>
      <c r="F674" s="312"/>
      <c r="G674" s="50"/>
    </row>
    <row r="675" ht="15.75" customHeight="1">
      <c r="A675" s="41"/>
      <c r="B675" s="42"/>
      <c r="C675" s="72"/>
      <c r="D675" s="236"/>
      <c r="E675" s="236"/>
      <c r="F675" s="312"/>
      <c r="G675" s="50"/>
    </row>
    <row r="676" ht="15.75" customHeight="1">
      <c r="A676" s="41"/>
      <c r="B676" s="42"/>
      <c r="C676" s="72"/>
      <c r="D676" s="236"/>
      <c r="E676" s="236"/>
      <c r="F676" s="312"/>
      <c r="G676" s="50"/>
    </row>
    <row r="677" ht="15.75" customHeight="1">
      <c r="A677" s="41"/>
      <c r="B677" s="42"/>
      <c r="C677" s="72"/>
      <c r="D677" s="236"/>
      <c r="E677" s="236"/>
      <c r="F677" s="312"/>
      <c r="G677" s="50"/>
    </row>
    <row r="678" ht="15.75" customHeight="1">
      <c r="A678" s="41"/>
      <c r="B678" s="42"/>
      <c r="C678" s="72"/>
      <c r="D678" s="236"/>
      <c r="E678" s="236"/>
      <c r="F678" s="312"/>
      <c r="G678" s="50"/>
    </row>
    <row r="679" ht="15.75" customHeight="1">
      <c r="A679" s="41"/>
      <c r="B679" s="42"/>
      <c r="C679" s="72"/>
      <c r="D679" s="236"/>
      <c r="E679" s="236"/>
      <c r="F679" s="312"/>
      <c r="G679" s="50"/>
    </row>
    <row r="680" ht="15.75" customHeight="1">
      <c r="A680" s="41"/>
      <c r="B680" s="42"/>
      <c r="C680" s="72"/>
      <c r="D680" s="236"/>
      <c r="E680" s="236"/>
      <c r="F680" s="312"/>
      <c r="G680" s="50"/>
    </row>
    <row r="681" ht="15.75" customHeight="1">
      <c r="A681" s="41"/>
      <c r="B681" s="42"/>
      <c r="C681" s="72"/>
      <c r="D681" s="236"/>
      <c r="E681" s="236"/>
      <c r="F681" s="312"/>
      <c r="G681" s="50"/>
    </row>
    <row r="682" ht="15.75" customHeight="1">
      <c r="A682" s="41"/>
      <c r="B682" s="42"/>
      <c r="C682" s="72"/>
      <c r="D682" s="236"/>
      <c r="E682" s="236"/>
      <c r="F682" s="312"/>
      <c r="G682" s="50"/>
    </row>
    <row r="683" ht="15.75" customHeight="1">
      <c r="A683" s="41"/>
      <c r="B683" s="42"/>
      <c r="C683" s="72"/>
      <c r="D683" s="236"/>
      <c r="E683" s="236"/>
      <c r="F683" s="312"/>
      <c r="G683" s="50"/>
    </row>
    <row r="684" ht="15.75" customHeight="1">
      <c r="A684" s="41"/>
      <c r="B684" s="42"/>
      <c r="C684" s="72"/>
      <c r="D684" s="236"/>
      <c r="E684" s="236"/>
      <c r="F684" s="312"/>
      <c r="G684" s="50"/>
    </row>
    <row r="685" ht="15.75" customHeight="1">
      <c r="A685" s="41"/>
      <c r="B685" s="42"/>
      <c r="C685" s="72"/>
      <c r="D685" s="236"/>
      <c r="E685" s="236"/>
      <c r="F685" s="312"/>
      <c r="G685" s="50"/>
    </row>
    <row r="686" ht="15.75" customHeight="1">
      <c r="A686" s="41"/>
      <c r="B686" s="42"/>
      <c r="C686" s="72"/>
      <c r="D686" s="236"/>
      <c r="E686" s="236"/>
      <c r="F686" s="312"/>
      <c r="G686" s="50"/>
    </row>
    <row r="687" ht="15.75" customHeight="1">
      <c r="A687" s="41"/>
      <c r="B687" s="42"/>
      <c r="C687" s="72"/>
      <c r="D687" s="236"/>
      <c r="E687" s="236"/>
      <c r="F687" s="312"/>
      <c r="G687" s="50"/>
    </row>
    <row r="688" ht="15.75" customHeight="1">
      <c r="A688" s="41"/>
      <c r="B688" s="42"/>
      <c r="C688" s="72"/>
      <c r="D688" s="236"/>
      <c r="E688" s="236"/>
      <c r="F688" s="312"/>
      <c r="G688" s="50"/>
    </row>
    <row r="689" ht="15.75" customHeight="1">
      <c r="A689" s="41"/>
      <c r="B689" s="42"/>
      <c r="C689" s="72"/>
      <c r="D689" s="236"/>
      <c r="E689" s="236"/>
      <c r="F689" s="312"/>
      <c r="G689" s="50"/>
    </row>
    <row r="690" ht="15.75" customHeight="1">
      <c r="A690" s="41"/>
      <c r="B690" s="42"/>
      <c r="C690" s="72"/>
      <c r="D690" s="236"/>
      <c r="E690" s="236"/>
      <c r="F690" s="312"/>
      <c r="G690" s="50"/>
    </row>
    <row r="691" ht="15.75" customHeight="1">
      <c r="A691" s="41"/>
      <c r="B691" s="42"/>
      <c r="C691" s="72"/>
      <c r="D691" s="236"/>
      <c r="E691" s="236"/>
      <c r="F691" s="312"/>
      <c r="G691" s="50"/>
    </row>
    <row r="692" ht="15.75" customHeight="1">
      <c r="A692" s="41"/>
      <c r="B692" s="42"/>
      <c r="C692" s="72"/>
      <c r="D692" s="236"/>
      <c r="E692" s="236"/>
      <c r="F692" s="312"/>
      <c r="G692" s="50"/>
    </row>
    <row r="693" ht="15.75" customHeight="1">
      <c r="A693" s="41"/>
      <c r="B693" s="42"/>
      <c r="C693" s="72"/>
      <c r="D693" s="236"/>
      <c r="E693" s="236"/>
      <c r="F693" s="312"/>
      <c r="G693" s="50"/>
    </row>
    <row r="694" ht="15.75" customHeight="1">
      <c r="A694" s="41"/>
      <c r="B694" s="42"/>
      <c r="C694" s="72"/>
      <c r="D694" s="236"/>
      <c r="E694" s="236"/>
      <c r="F694" s="312"/>
      <c r="G694" s="50"/>
    </row>
    <row r="695" ht="15.75" customHeight="1">
      <c r="A695" s="41"/>
      <c r="B695" s="42"/>
      <c r="C695" s="72"/>
      <c r="D695" s="236"/>
      <c r="E695" s="236"/>
      <c r="F695" s="312"/>
      <c r="G695" s="50"/>
    </row>
    <row r="696" ht="15.75" customHeight="1">
      <c r="A696" s="41"/>
      <c r="B696" s="42"/>
      <c r="C696" s="72"/>
      <c r="D696" s="236"/>
      <c r="E696" s="236"/>
      <c r="F696" s="312"/>
      <c r="G696" s="50"/>
    </row>
    <row r="697" ht="15.75" customHeight="1">
      <c r="A697" s="41"/>
      <c r="B697" s="42"/>
      <c r="C697" s="72"/>
      <c r="D697" s="236"/>
      <c r="E697" s="236"/>
      <c r="F697" s="312"/>
      <c r="G697" s="50"/>
    </row>
    <row r="698" ht="15.75" customHeight="1">
      <c r="A698" s="41"/>
      <c r="B698" s="42"/>
      <c r="C698" s="72"/>
      <c r="D698" s="236"/>
      <c r="E698" s="236"/>
      <c r="F698" s="312"/>
      <c r="G698" s="50"/>
    </row>
    <row r="699" ht="15.75" customHeight="1">
      <c r="A699" s="41"/>
      <c r="B699" s="42"/>
      <c r="C699" s="72"/>
      <c r="D699" s="236"/>
      <c r="E699" s="236"/>
      <c r="F699" s="312"/>
      <c r="G699" s="50"/>
    </row>
    <row r="700" ht="15.75" customHeight="1">
      <c r="A700" s="41"/>
      <c r="B700" s="42"/>
      <c r="C700" s="72"/>
      <c r="D700" s="236"/>
      <c r="E700" s="236"/>
      <c r="F700" s="312"/>
      <c r="G700" s="50"/>
    </row>
    <row r="701" ht="15.75" customHeight="1">
      <c r="A701" s="41"/>
      <c r="B701" s="42"/>
      <c r="C701" s="72"/>
      <c r="D701" s="236"/>
      <c r="E701" s="236"/>
      <c r="F701" s="312"/>
      <c r="G701" s="50"/>
    </row>
    <row r="702" ht="15.75" customHeight="1">
      <c r="A702" s="41"/>
      <c r="B702" s="42"/>
      <c r="C702" s="72"/>
      <c r="D702" s="236"/>
      <c r="E702" s="236"/>
      <c r="F702" s="312"/>
      <c r="G702" s="50"/>
    </row>
    <row r="703" ht="15.75" customHeight="1">
      <c r="A703" s="41"/>
      <c r="B703" s="42"/>
      <c r="C703" s="72"/>
      <c r="D703" s="236"/>
      <c r="E703" s="236"/>
      <c r="F703" s="312"/>
      <c r="G703" s="50"/>
    </row>
    <row r="704" ht="15.75" customHeight="1">
      <c r="A704" s="41"/>
      <c r="B704" s="42"/>
      <c r="C704" s="72"/>
      <c r="D704" s="236"/>
      <c r="E704" s="236"/>
      <c r="F704" s="312"/>
      <c r="G704" s="50"/>
    </row>
    <row r="705" ht="15.75" customHeight="1">
      <c r="A705" s="41"/>
      <c r="B705" s="42"/>
      <c r="C705" s="72"/>
      <c r="D705" s="236"/>
      <c r="E705" s="236"/>
      <c r="F705" s="312"/>
      <c r="G705" s="50"/>
    </row>
    <row r="706" ht="15.75" customHeight="1">
      <c r="A706" s="41"/>
      <c r="B706" s="42"/>
      <c r="C706" s="72"/>
      <c r="D706" s="236"/>
      <c r="E706" s="236"/>
      <c r="F706" s="312"/>
      <c r="G706" s="50"/>
    </row>
    <row r="707" ht="15.75" customHeight="1">
      <c r="A707" s="41"/>
      <c r="B707" s="42"/>
      <c r="C707" s="72"/>
      <c r="D707" s="236"/>
      <c r="E707" s="236"/>
      <c r="F707" s="312"/>
      <c r="G707" s="50"/>
    </row>
    <row r="708" ht="15.75" customHeight="1">
      <c r="A708" s="41"/>
      <c r="B708" s="42"/>
      <c r="C708" s="72"/>
      <c r="D708" s="236"/>
      <c r="E708" s="236"/>
      <c r="F708" s="312"/>
      <c r="G708" s="50"/>
    </row>
    <row r="709" ht="15.75" customHeight="1">
      <c r="A709" s="41"/>
      <c r="B709" s="42"/>
      <c r="C709" s="72"/>
      <c r="D709" s="236"/>
      <c r="E709" s="236"/>
      <c r="F709" s="312"/>
      <c r="G709" s="50"/>
    </row>
    <row r="710" ht="15.75" customHeight="1">
      <c r="A710" s="41"/>
      <c r="B710" s="42"/>
      <c r="C710" s="72"/>
      <c r="D710" s="236"/>
      <c r="E710" s="236"/>
      <c r="F710" s="312"/>
      <c r="G710" s="50"/>
    </row>
    <row r="711" ht="15.75" customHeight="1">
      <c r="A711" s="41"/>
      <c r="B711" s="42"/>
      <c r="C711" s="72"/>
      <c r="D711" s="236"/>
      <c r="E711" s="236"/>
      <c r="F711" s="312"/>
      <c r="G711" s="50"/>
    </row>
    <row r="712" ht="15.75" customHeight="1">
      <c r="A712" s="41"/>
      <c r="B712" s="42"/>
      <c r="C712" s="72"/>
      <c r="D712" s="236"/>
      <c r="E712" s="236"/>
      <c r="F712" s="312"/>
      <c r="G712" s="50"/>
    </row>
    <row r="713" ht="15.75" customHeight="1">
      <c r="A713" s="41"/>
      <c r="B713" s="42"/>
      <c r="C713" s="72"/>
      <c r="D713" s="236"/>
      <c r="E713" s="236"/>
      <c r="F713" s="312"/>
      <c r="G713" s="50"/>
    </row>
    <row r="714" ht="15.75" customHeight="1">
      <c r="A714" s="41"/>
      <c r="B714" s="42"/>
      <c r="C714" s="72"/>
      <c r="D714" s="236"/>
      <c r="E714" s="236"/>
      <c r="F714" s="312"/>
      <c r="G714" s="50"/>
    </row>
    <row r="715" ht="15.75" customHeight="1">
      <c r="A715" s="41"/>
      <c r="B715" s="42"/>
      <c r="C715" s="72"/>
      <c r="D715" s="236"/>
      <c r="E715" s="236"/>
      <c r="F715" s="312"/>
      <c r="G715" s="50"/>
    </row>
    <row r="716" ht="15.75" customHeight="1">
      <c r="A716" s="41"/>
      <c r="B716" s="42"/>
      <c r="C716" s="72"/>
      <c r="D716" s="236"/>
      <c r="E716" s="236"/>
      <c r="F716" s="312"/>
      <c r="G716" s="50"/>
    </row>
    <row r="717" ht="15.75" customHeight="1">
      <c r="A717" s="41"/>
      <c r="B717" s="42"/>
      <c r="C717" s="72"/>
      <c r="D717" s="236"/>
      <c r="E717" s="236"/>
      <c r="F717" s="312"/>
      <c r="G717" s="50"/>
    </row>
    <row r="718" ht="15.75" customHeight="1">
      <c r="A718" s="41"/>
      <c r="B718" s="42"/>
      <c r="C718" s="72"/>
      <c r="D718" s="236"/>
      <c r="E718" s="236"/>
      <c r="F718" s="312"/>
      <c r="G718" s="50"/>
    </row>
    <row r="719" ht="15.75" customHeight="1">
      <c r="A719" s="41"/>
      <c r="B719" s="42"/>
      <c r="C719" s="72"/>
      <c r="D719" s="236"/>
      <c r="E719" s="236"/>
      <c r="F719" s="312"/>
      <c r="G719" s="50"/>
    </row>
    <row r="720" ht="15.75" customHeight="1">
      <c r="A720" s="41"/>
      <c r="B720" s="42"/>
      <c r="C720" s="72"/>
      <c r="D720" s="236"/>
      <c r="E720" s="236"/>
      <c r="F720" s="312"/>
      <c r="G720" s="50"/>
    </row>
    <row r="721" ht="15.75" customHeight="1">
      <c r="A721" s="41"/>
      <c r="B721" s="42"/>
      <c r="C721" s="72"/>
      <c r="D721" s="236"/>
      <c r="E721" s="236"/>
      <c r="F721" s="312"/>
      <c r="G721" s="50"/>
    </row>
    <row r="722" ht="15.75" customHeight="1">
      <c r="A722" s="41"/>
      <c r="B722" s="42"/>
      <c r="C722" s="72"/>
      <c r="D722" s="236"/>
      <c r="E722" s="236"/>
      <c r="F722" s="312"/>
      <c r="G722" s="50"/>
    </row>
    <row r="723" ht="15.75" customHeight="1">
      <c r="A723" s="41"/>
      <c r="B723" s="42"/>
      <c r="C723" s="72"/>
      <c r="D723" s="236"/>
      <c r="E723" s="236"/>
      <c r="F723" s="312"/>
      <c r="G723" s="50"/>
    </row>
    <row r="724" ht="15.75" customHeight="1">
      <c r="A724" s="41"/>
      <c r="B724" s="42"/>
      <c r="C724" s="72"/>
      <c r="D724" s="236"/>
      <c r="E724" s="236"/>
      <c r="F724" s="312"/>
      <c r="G724" s="50"/>
    </row>
    <row r="725" ht="15.75" customHeight="1">
      <c r="A725" s="41"/>
      <c r="B725" s="42"/>
      <c r="C725" s="72"/>
      <c r="D725" s="236"/>
      <c r="E725" s="236"/>
      <c r="F725" s="312"/>
      <c r="G725" s="50"/>
    </row>
    <row r="726" ht="15.75" customHeight="1">
      <c r="A726" s="41"/>
      <c r="B726" s="42"/>
      <c r="C726" s="72"/>
      <c r="D726" s="236"/>
      <c r="E726" s="236"/>
      <c r="F726" s="312"/>
      <c r="G726" s="50"/>
    </row>
    <row r="727" ht="15.75" customHeight="1">
      <c r="A727" s="41"/>
      <c r="B727" s="42"/>
      <c r="C727" s="72"/>
      <c r="D727" s="236"/>
      <c r="E727" s="236"/>
      <c r="F727" s="312"/>
      <c r="G727" s="50"/>
    </row>
    <row r="728" ht="15.75" customHeight="1">
      <c r="A728" s="41"/>
      <c r="B728" s="42"/>
      <c r="C728" s="72"/>
      <c r="D728" s="236"/>
      <c r="E728" s="236"/>
      <c r="F728" s="312"/>
      <c r="G728" s="50"/>
    </row>
    <row r="729" ht="15.75" customHeight="1">
      <c r="A729" s="41"/>
      <c r="B729" s="42"/>
      <c r="C729" s="72"/>
      <c r="D729" s="236"/>
      <c r="E729" s="236"/>
      <c r="F729" s="312"/>
      <c r="G729" s="50"/>
    </row>
    <row r="730" ht="15.75" customHeight="1">
      <c r="A730" s="41"/>
      <c r="B730" s="42"/>
      <c r="C730" s="72"/>
      <c r="D730" s="236"/>
      <c r="E730" s="236"/>
      <c r="F730" s="312"/>
      <c r="G730" s="50"/>
    </row>
    <row r="731" ht="15.75" customHeight="1">
      <c r="A731" s="41"/>
      <c r="B731" s="42"/>
      <c r="C731" s="72"/>
      <c r="D731" s="236"/>
      <c r="E731" s="236"/>
      <c r="F731" s="312"/>
      <c r="G731" s="50"/>
    </row>
    <row r="732" ht="15.75" customHeight="1">
      <c r="A732" s="41"/>
      <c r="B732" s="42"/>
      <c r="C732" s="72"/>
      <c r="D732" s="236"/>
      <c r="E732" s="236"/>
      <c r="F732" s="312"/>
      <c r="G732" s="50"/>
    </row>
    <row r="733" ht="15.75" customHeight="1">
      <c r="A733" s="41"/>
      <c r="B733" s="42"/>
      <c r="C733" s="72"/>
      <c r="D733" s="236"/>
      <c r="E733" s="236"/>
      <c r="F733" s="312"/>
      <c r="G733" s="50"/>
    </row>
    <row r="734" ht="15.75" customHeight="1">
      <c r="A734" s="41"/>
      <c r="B734" s="42"/>
      <c r="C734" s="72"/>
      <c r="D734" s="236"/>
      <c r="E734" s="236"/>
      <c r="F734" s="312"/>
      <c r="G734" s="50"/>
    </row>
    <row r="735" ht="15.75" customHeight="1">
      <c r="A735" s="41"/>
      <c r="B735" s="42"/>
      <c r="C735" s="72"/>
      <c r="D735" s="236"/>
      <c r="E735" s="236"/>
      <c r="F735" s="312"/>
      <c r="G735" s="50"/>
    </row>
    <row r="736" ht="15.75" customHeight="1">
      <c r="A736" s="41"/>
      <c r="B736" s="42"/>
      <c r="C736" s="72"/>
      <c r="D736" s="236"/>
      <c r="E736" s="236"/>
      <c r="F736" s="312"/>
      <c r="G736" s="50"/>
    </row>
    <row r="737" ht="15.75" customHeight="1">
      <c r="A737" s="41"/>
      <c r="B737" s="42"/>
      <c r="C737" s="72"/>
      <c r="D737" s="236"/>
      <c r="E737" s="236"/>
      <c r="F737" s="312"/>
      <c r="G737" s="50"/>
    </row>
    <row r="738" ht="15.75" customHeight="1">
      <c r="A738" s="41"/>
      <c r="B738" s="42"/>
      <c r="C738" s="72"/>
      <c r="D738" s="236"/>
      <c r="E738" s="236"/>
      <c r="F738" s="312"/>
      <c r="G738" s="50"/>
    </row>
    <row r="739" ht="15.75" customHeight="1">
      <c r="A739" s="41"/>
      <c r="B739" s="42"/>
      <c r="C739" s="72"/>
      <c r="D739" s="236"/>
      <c r="E739" s="236"/>
      <c r="F739" s="312"/>
      <c r="G739" s="50"/>
    </row>
    <row r="740" ht="15.75" customHeight="1">
      <c r="A740" s="41"/>
      <c r="B740" s="42"/>
      <c r="C740" s="72"/>
      <c r="D740" s="236"/>
      <c r="E740" s="236"/>
      <c r="F740" s="312"/>
      <c r="G740" s="50"/>
    </row>
    <row r="741" ht="15.75" customHeight="1">
      <c r="A741" s="41"/>
      <c r="B741" s="42"/>
      <c r="C741" s="72"/>
      <c r="D741" s="236"/>
      <c r="E741" s="236"/>
      <c r="F741" s="312"/>
      <c r="G741" s="50"/>
    </row>
    <row r="742" ht="15.75" customHeight="1">
      <c r="A742" s="41"/>
      <c r="B742" s="42"/>
      <c r="C742" s="72"/>
      <c r="D742" s="236"/>
      <c r="E742" s="236"/>
      <c r="F742" s="312"/>
      <c r="G742" s="50"/>
    </row>
    <row r="743" ht="15.75" customHeight="1">
      <c r="A743" s="41"/>
      <c r="B743" s="42"/>
      <c r="C743" s="72"/>
      <c r="D743" s="236"/>
      <c r="E743" s="236"/>
      <c r="F743" s="312"/>
      <c r="G743" s="50"/>
    </row>
    <row r="744" ht="15.75" customHeight="1">
      <c r="A744" s="41"/>
      <c r="B744" s="42"/>
      <c r="C744" s="72"/>
      <c r="D744" s="236"/>
      <c r="E744" s="236"/>
      <c r="F744" s="312"/>
      <c r="G744" s="50"/>
    </row>
    <row r="745" ht="15.75" customHeight="1">
      <c r="A745" s="41"/>
      <c r="B745" s="42"/>
      <c r="C745" s="72"/>
      <c r="D745" s="236"/>
      <c r="E745" s="236"/>
      <c r="F745" s="312"/>
      <c r="G745" s="50"/>
    </row>
    <row r="746" ht="15.75" customHeight="1">
      <c r="A746" s="41"/>
      <c r="B746" s="42"/>
      <c r="C746" s="72"/>
      <c r="D746" s="236"/>
      <c r="E746" s="236"/>
      <c r="F746" s="312"/>
      <c r="G746" s="50"/>
    </row>
    <row r="747" ht="15.75" customHeight="1">
      <c r="A747" s="41"/>
      <c r="B747" s="42"/>
      <c r="C747" s="72"/>
      <c r="D747" s="236"/>
      <c r="E747" s="236"/>
      <c r="F747" s="312"/>
      <c r="G747" s="50"/>
    </row>
    <row r="748" ht="15.75" customHeight="1">
      <c r="A748" s="41"/>
      <c r="B748" s="42"/>
      <c r="C748" s="72"/>
      <c r="D748" s="236"/>
      <c r="E748" s="236"/>
      <c r="F748" s="312"/>
      <c r="G748" s="50"/>
    </row>
    <row r="749" ht="15.75" customHeight="1">
      <c r="A749" s="41"/>
      <c r="B749" s="42"/>
      <c r="C749" s="72"/>
      <c r="D749" s="236"/>
      <c r="E749" s="236"/>
      <c r="F749" s="312"/>
      <c r="G749" s="50"/>
    </row>
    <row r="750" ht="15.75" customHeight="1">
      <c r="A750" s="41"/>
      <c r="B750" s="42"/>
      <c r="C750" s="72"/>
      <c r="D750" s="236"/>
      <c r="E750" s="236"/>
      <c r="F750" s="312"/>
      <c r="G750" s="50"/>
    </row>
    <row r="751" ht="15.75" customHeight="1">
      <c r="A751" s="41"/>
      <c r="B751" s="42"/>
      <c r="C751" s="72"/>
      <c r="D751" s="236"/>
      <c r="E751" s="236"/>
      <c r="F751" s="312"/>
      <c r="G751" s="50"/>
    </row>
    <row r="752" ht="15.75" customHeight="1">
      <c r="A752" s="41"/>
      <c r="B752" s="42"/>
      <c r="C752" s="72"/>
      <c r="D752" s="236"/>
      <c r="E752" s="236"/>
      <c r="F752" s="312"/>
      <c r="G752" s="50"/>
    </row>
    <row r="753" ht="15.75" customHeight="1">
      <c r="A753" s="41"/>
      <c r="B753" s="42"/>
      <c r="C753" s="72"/>
      <c r="D753" s="236"/>
      <c r="E753" s="236"/>
      <c r="F753" s="312"/>
      <c r="G753" s="50"/>
    </row>
    <row r="754" ht="15.75" customHeight="1">
      <c r="A754" s="41"/>
      <c r="B754" s="42"/>
      <c r="C754" s="72"/>
      <c r="D754" s="236"/>
      <c r="E754" s="236"/>
      <c r="F754" s="312"/>
      <c r="G754" s="50"/>
    </row>
    <row r="755" ht="15.75" customHeight="1">
      <c r="A755" s="41"/>
      <c r="B755" s="42"/>
      <c r="C755" s="72"/>
      <c r="D755" s="236"/>
      <c r="E755" s="236"/>
      <c r="F755" s="312"/>
      <c r="G755" s="50"/>
    </row>
    <row r="756" ht="15.75" customHeight="1">
      <c r="A756" s="41"/>
      <c r="B756" s="42"/>
      <c r="C756" s="72"/>
      <c r="D756" s="236"/>
      <c r="E756" s="236"/>
      <c r="F756" s="312"/>
      <c r="G756" s="50"/>
    </row>
    <row r="757" ht="15.75" customHeight="1">
      <c r="A757" s="41"/>
      <c r="B757" s="42"/>
      <c r="C757" s="72"/>
      <c r="D757" s="236"/>
      <c r="E757" s="236"/>
      <c r="F757" s="312"/>
      <c r="G757" s="50"/>
    </row>
    <row r="758" ht="15.75" customHeight="1">
      <c r="A758" s="41"/>
      <c r="B758" s="42"/>
      <c r="C758" s="72"/>
      <c r="D758" s="236"/>
      <c r="E758" s="236"/>
      <c r="F758" s="312"/>
      <c r="G758" s="50"/>
    </row>
    <row r="759" ht="15.75" customHeight="1">
      <c r="A759" s="41"/>
      <c r="B759" s="42"/>
      <c r="C759" s="72"/>
      <c r="D759" s="236"/>
      <c r="E759" s="236"/>
      <c r="F759" s="312"/>
      <c r="G759" s="50"/>
    </row>
    <row r="760" ht="15.75" customHeight="1">
      <c r="A760" s="41"/>
      <c r="B760" s="42"/>
      <c r="C760" s="72"/>
      <c r="D760" s="236"/>
      <c r="E760" s="236"/>
      <c r="F760" s="312"/>
      <c r="G760" s="50"/>
    </row>
    <row r="761" ht="15.75" customHeight="1">
      <c r="A761" s="41"/>
      <c r="B761" s="42"/>
      <c r="C761" s="72"/>
      <c r="D761" s="236"/>
      <c r="E761" s="236"/>
      <c r="F761" s="312"/>
      <c r="G761" s="50"/>
    </row>
    <row r="762" ht="15.75" customHeight="1">
      <c r="A762" s="41"/>
      <c r="B762" s="42"/>
      <c r="C762" s="72"/>
      <c r="D762" s="236"/>
      <c r="E762" s="236"/>
      <c r="F762" s="312"/>
      <c r="G762" s="50"/>
    </row>
    <row r="763" ht="15.75" customHeight="1">
      <c r="A763" s="41"/>
      <c r="B763" s="42"/>
      <c r="C763" s="72"/>
      <c r="D763" s="236"/>
      <c r="E763" s="236"/>
      <c r="F763" s="312"/>
      <c r="G763" s="50"/>
    </row>
    <row r="764" ht="15.75" customHeight="1">
      <c r="A764" s="41"/>
      <c r="B764" s="42"/>
      <c r="C764" s="72"/>
      <c r="D764" s="236"/>
      <c r="E764" s="236"/>
      <c r="F764" s="312"/>
      <c r="G764" s="50"/>
    </row>
    <row r="765" ht="15.75" customHeight="1">
      <c r="A765" s="41"/>
      <c r="B765" s="42"/>
      <c r="C765" s="72"/>
      <c r="D765" s="236"/>
      <c r="E765" s="236"/>
      <c r="F765" s="312"/>
      <c r="G765" s="50"/>
    </row>
    <row r="766" ht="15.75" customHeight="1">
      <c r="A766" s="41"/>
      <c r="B766" s="42"/>
      <c r="C766" s="72"/>
      <c r="D766" s="236"/>
      <c r="E766" s="236"/>
      <c r="F766" s="312"/>
      <c r="G766" s="50"/>
    </row>
    <row r="767" ht="15.75" customHeight="1">
      <c r="A767" s="41"/>
      <c r="B767" s="42"/>
      <c r="C767" s="72"/>
      <c r="D767" s="236"/>
      <c r="E767" s="236"/>
      <c r="F767" s="312"/>
      <c r="G767" s="50"/>
    </row>
    <row r="768" ht="15.75" customHeight="1">
      <c r="A768" s="41"/>
      <c r="B768" s="42"/>
      <c r="C768" s="72"/>
      <c r="D768" s="236"/>
      <c r="E768" s="236"/>
      <c r="F768" s="312"/>
      <c r="G768" s="50"/>
    </row>
    <row r="769" ht="15.75" customHeight="1">
      <c r="A769" s="41"/>
      <c r="B769" s="42"/>
      <c r="C769" s="72"/>
      <c r="D769" s="236"/>
      <c r="E769" s="236"/>
      <c r="F769" s="312"/>
      <c r="G769" s="50"/>
    </row>
    <row r="770" ht="15.75" customHeight="1">
      <c r="A770" s="41"/>
      <c r="B770" s="42"/>
      <c r="C770" s="72"/>
      <c r="D770" s="236"/>
      <c r="E770" s="236"/>
      <c r="F770" s="312"/>
      <c r="G770" s="50"/>
    </row>
    <row r="771" ht="15.75" customHeight="1">
      <c r="A771" s="41"/>
      <c r="B771" s="42"/>
      <c r="C771" s="72"/>
      <c r="D771" s="236"/>
      <c r="E771" s="236"/>
      <c r="F771" s="312"/>
      <c r="G771" s="50"/>
    </row>
    <row r="772" ht="15.75" customHeight="1">
      <c r="A772" s="41"/>
      <c r="B772" s="42"/>
      <c r="C772" s="72"/>
      <c r="D772" s="236"/>
      <c r="E772" s="236"/>
      <c r="F772" s="312"/>
      <c r="G772" s="50"/>
    </row>
    <row r="773" ht="15.75" customHeight="1">
      <c r="A773" s="41"/>
      <c r="B773" s="42"/>
      <c r="C773" s="72"/>
      <c r="D773" s="236"/>
      <c r="E773" s="236"/>
      <c r="F773" s="312"/>
      <c r="G773" s="50"/>
    </row>
    <row r="774" ht="15.75" customHeight="1">
      <c r="A774" s="41"/>
      <c r="B774" s="42"/>
      <c r="C774" s="72"/>
      <c r="D774" s="236"/>
      <c r="E774" s="236"/>
      <c r="F774" s="312"/>
      <c r="G774" s="50"/>
    </row>
    <row r="775" ht="15.75" customHeight="1">
      <c r="A775" s="41"/>
      <c r="B775" s="42"/>
      <c r="C775" s="72"/>
      <c r="D775" s="236"/>
      <c r="E775" s="236"/>
      <c r="F775" s="312"/>
      <c r="G775" s="50"/>
    </row>
    <row r="776" ht="15.75" customHeight="1">
      <c r="A776" s="41"/>
      <c r="B776" s="42"/>
      <c r="C776" s="72"/>
      <c r="D776" s="236"/>
      <c r="E776" s="236"/>
      <c r="F776" s="312"/>
      <c r="G776" s="50"/>
    </row>
    <row r="777" ht="15.75" customHeight="1">
      <c r="A777" s="41"/>
      <c r="B777" s="42"/>
      <c r="C777" s="72"/>
      <c r="D777" s="236"/>
      <c r="E777" s="236"/>
      <c r="F777" s="312"/>
      <c r="G777" s="50"/>
    </row>
    <row r="778" ht="15.75" customHeight="1">
      <c r="A778" s="41"/>
      <c r="B778" s="42"/>
      <c r="C778" s="72"/>
      <c r="D778" s="236"/>
      <c r="E778" s="236"/>
      <c r="F778" s="312"/>
      <c r="G778" s="50"/>
    </row>
    <row r="779" ht="15.75" customHeight="1">
      <c r="A779" s="41"/>
      <c r="B779" s="42"/>
      <c r="C779" s="72"/>
      <c r="D779" s="236"/>
      <c r="E779" s="236"/>
      <c r="F779" s="312"/>
      <c r="G779" s="50"/>
    </row>
    <row r="780" ht="15.75" customHeight="1">
      <c r="A780" s="41"/>
      <c r="B780" s="42"/>
      <c r="C780" s="72"/>
      <c r="D780" s="236"/>
      <c r="E780" s="236"/>
      <c r="F780" s="312"/>
      <c r="G780" s="50"/>
    </row>
    <row r="781" ht="15.75" customHeight="1">
      <c r="A781" s="41"/>
      <c r="B781" s="42"/>
      <c r="C781" s="72"/>
      <c r="D781" s="236"/>
      <c r="E781" s="236"/>
      <c r="F781" s="312"/>
      <c r="G781" s="50"/>
    </row>
    <row r="782" ht="15.75" customHeight="1">
      <c r="A782" s="41"/>
      <c r="B782" s="42"/>
      <c r="C782" s="72"/>
      <c r="D782" s="236"/>
      <c r="E782" s="236"/>
      <c r="F782" s="312"/>
      <c r="G782" s="50"/>
    </row>
    <row r="783" ht="15.75" customHeight="1">
      <c r="A783" s="41"/>
      <c r="B783" s="42"/>
      <c r="C783" s="72"/>
      <c r="D783" s="236"/>
      <c r="E783" s="236"/>
      <c r="F783" s="312"/>
      <c r="G783" s="50"/>
    </row>
    <row r="784" ht="15.75" customHeight="1">
      <c r="A784" s="41"/>
      <c r="B784" s="42"/>
      <c r="C784" s="72"/>
      <c r="D784" s="236"/>
      <c r="E784" s="236"/>
      <c r="F784" s="312"/>
      <c r="G784" s="50"/>
    </row>
    <row r="785" ht="15.75" customHeight="1">
      <c r="A785" s="41"/>
      <c r="B785" s="42"/>
      <c r="C785" s="72"/>
      <c r="D785" s="236"/>
      <c r="E785" s="236"/>
      <c r="F785" s="312"/>
      <c r="G785" s="50"/>
    </row>
    <row r="786" ht="15.75" customHeight="1">
      <c r="A786" s="41"/>
      <c r="B786" s="42"/>
      <c r="C786" s="72"/>
      <c r="D786" s="236"/>
      <c r="E786" s="236"/>
      <c r="F786" s="312"/>
      <c r="G786" s="50"/>
    </row>
    <row r="787" ht="15.75" customHeight="1">
      <c r="A787" s="41"/>
      <c r="B787" s="42"/>
      <c r="C787" s="72"/>
      <c r="D787" s="236"/>
      <c r="E787" s="236"/>
      <c r="F787" s="312"/>
      <c r="G787" s="50"/>
    </row>
    <row r="788" ht="15.75" customHeight="1">
      <c r="A788" s="41"/>
      <c r="B788" s="42"/>
      <c r="C788" s="72"/>
      <c r="D788" s="236"/>
      <c r="E788" s="236"/>
      <c r="F788" s="312"/>
      <c r="G788" s="50"/>
    </row>
    <row r="789" ht="15.75" customHeight="1">
      <c r="A789" s="41"/>
      <c r="B789" s="42"/>
      <c r="C789" s="72"/>
      <c r="D789" s="236"/>
      <c r="E789" s="236"/>
      <c r="F789" s="312"/>
      <c r="G789" s="50"/>
    </row>
    <row r="790" ht="15.75" customHeight="1">
      <c r="A790" s="41"/>
      <c r="B790" s="42"/>
      <c r="C790" s="72"/>
      <c r="D790" s="236"/>
      <c r="E790" s="236"/>
      <c r="F790" s="312"/>
      <c r="G790" s="50"/>
    </row>
    <row r="791" ht="15.75" customHeight="1">
      <c r="A791" s="41"/>
      <c r="B791" s="42"/>
      <c r="C791" s="72"/>
      <c r="D791" s="236"/>
      <c r="E791" s="236"/>
      <c r="F791" s="312"/>
      <c r="G791" s="50"/>
    </row>
    <row r="792" ht="15.75" customHeight="1">
      <c r="A792" s="41"/>
      <c r="B792" s="42"/>
      <c r="C792" s="72"/>
      <c r="D792" s="236"/>
      <c r="E792" s="236"/>
      <c r="F792" s="312"/>
      <c r="G792" s="50"/>
    </row>
    <row r="793" ht="15.75" customHeight="1">
      <c r="A793" s="41"/>
      <c r="B793" s="42"/>
      <c r="C793" s="72"/>
      <c r="D793" s="236"/>
      <c r="E793" s="236"/>
      <c r="F793" s="312"/>
      <c r="G793" s="50"/>
    </row>
    <row r="794" ht="15.75" customHeight="1">
      <c r="A794" s="41"/>
      <c r="B794" s="42"/>
      <c r="C794" s="72"/>
      <c r="D794" s="236"/>
      <c r="E794" s="236"/>
      <c r="F794" s="312"/>
      <c r="G794" s="50"/>
    </row>
    <row r="795" ht="15.75" customHeight="1">
      <c r="A795" s="41"/>
      <c r="B795" s="42"/>
      <c r="C795" s="72"/>
      <c r="D795" s="236"/>
      <c r="E795" s="236"/>
      <c r="F795" s="312"/>
      <c r="G795" s="50"/>
    </row>
    <row r="796" ht="15.75" customHeight="1">
      <c r="A796" s="41"/>
      <c r="B796" s="42"/>
      <c r="C796" s="72"/>
      <c r="D796" s="236"/>
      <c r="E796" s="236"/>
      <c r="F796" s="312"/>
      <c r="G796" s="50"/>
    </row>
    <row r="797" ht="15.75" customHeight="1">
      <c r="A797" s="41"/>
      <c r="B797" s="42"/>
      <c r="C797" s="72"/>
      <c r="D797" s="236"/>
      <c r="E797" s="236"/>
      <c r="F797" s="312"/>
      <c r="G797" s="50"/>
    </row>
    <row r="798" ht="15.75" customHeight="1">
      <c r="A798" s="41"/>
      <c r="B798" s="42"/>
      <c r="C798" s="72"/>
      <c r="D798" s="236"/>
      <c r="E798" s="236"/>
      <c r="F798" s="312"/>
      <c r="G798" s="50"/>
    </row>
    <row r="799" ht="15.75" customHeight="1">
      <c r="A799" s="41"/>
      <c r="B799" s="42"/>
      <c r="C799" s="72"/>
      <c r="D799" s="236"/>
      <c r="E799" s="236"/>
      <c r="F799" s="312"/>
      <c r="G799" s="50"/>
    </row>
    <row r="800" ht="15.75" customHeight="1">
      <c r="A800" s="41"/>
      <c r="B800" s="42"/>
      <c r="C800" s="72"/>
      <c r="D800" s="236"/>
      <c r="E800" s="236"/>
      <c r="F800" s="312"/>
      <c r="G800" s="50"/>
    </row>
    <row r="801" ht="15.75" customHeight="1">
      <c r="A801" s="41"/>
      <c r="B801" s="42"/>
      <c r="C801" s="72"/>
      <c r="D801" s="236"/>
      <c r="E801" s="236"/>
      <c r="F801" s="312"/>
      <c r="G801" s="50"/>
    </row>
    <row r="802" ht="15.75" customHeight="1">
      <c r="A802" s="41"/>
      <c r="B802" s="42"/>
      <c r="C802" s="72"/>
      <c r="D802" s="236"/>
      <c r="E802" s="236"/>
      <c r="F802" s="312"/>
      <c r="G802" s="50"/>
    </row>
    <row r="803" ht="15.75" customHeight="1">
      <c r="A803" s="41"/>
      <c r="B803" s="42"/>
      <c r="C803" s="72"/>
      <c r="D803" s="236"/>
      <c r="E803" s="236"/>
      <c r="F803" s="312"/>
      <c r="G803" s="50"/>
    </row>
    <row r="804" ht="15.75" customHeight="1">
      <c r="A804" s="41"/>
      <c r="B804" s="42"/>
      <c r="C804" s="72"/>
      <c r="D804" s="236"/>
      <c r="E804" s="236"/>
      <c r="F804" s="312"/>
      <c r="G804" s="50"/>
    </row>
    <row r="805" ht="15.75" customHeight="1">
      <c r="A805" s="41"/>
      <c r="B805" s="42"/>
      <c r="C805" s="72"/>
      <c r="D805" s="236"/>
      <c r="E805" s="236"/>
      <c r="F805" s="312"/>
      <c r="G805" s="50"/>
    </row>
    <row r="806" ht="15.75" customHeight="1">
      <c r="A806" s="41"/>
      <c r="B806" s="42"/>
      <c r="C806" s="72"/>
      <c r="D806" s="236"/>
      <c r="E806" s="236"/>
      <c r="F806" s="312"/>
      <c r="G806" s="50"/>
    </row>
    <row r="807" ht="15.75" customHeight="1">
      <c r="A807" s="41"/>
      <c r="B807" s="42"/>
      <c r="C807" s="72"/>
      <c r="D807" s="236"/>
      <c r="E807" s="236"/>
      <c r="F807" s="312"/>
      <c r="G807" s="50"/>
    </row>
    <row r="808" ht="15.75" customHeight="1">
      <c r="A808" s="41"/>
      <c r="B808" s="42"/>
      <c r="C808" s="72"/>
      <c r="D808" s="236"/>
      <c r="E808" s="236"/>
      <c r="F808" s="312"/>
      <c r="G808" s="50"/>
    </row>
    <row r="809" ht="15.75" customHeight="1">
      <c r="A809" s="41"/>
      <c r="B809" s="42"/>
      <c r="C809" s="72"/>
      <c r="D809" s="236"/>
      <c r="E809" s="236"/>
      <c r="F809" s="312"/>
      <c r="G809" s="50"/>
    </row>
    <row r="810" ht="15.75" customHeight="1">
      <c r="A810" s="41"/>
      <c r="B810" s="42"/>
      <c r="C810" s="72"/>
      <c r="D810" s="236"/>
      <c r="E810" s="236"/>
      <c r="F810" s="312"/>
      <c r="G810" s="50"/>
    </row>
    <row r="811" ht="15.75" customHeight="1">
      <c r="A811" s="41"/>
      <c r="B811" s="42"/>
      <c r="C811" s="72"/>
      <c r="D811" s="236"/>
      <c r="E811" s="236"/>
      <c r="F811" s="312"/>
      <c r="G811" s="50"/>
    </row>
    <row r="812" ht="15.75" customHeight="1">
      <c r="A812" s="41"/>
      <c r="B812" s="42"/>
      <c r="C812" s="72"/>
      <c r="D812" s="236"/>
      <c r="E812" s="236"/>
      <c r="F812" s="312"/>
      <c r="G812" s="50"/>
    </row>
    <row r="813" ht="15.75" customHeight="1">
      <c r="A813" s="41"/>
      <c r="B813" s="42"/>
      <c r="C813" s="72"/>
      <c r="D813" s="236"/>
      <c r="E813" s="236"/>
      <c r="F813" s="312"/>
      <c r="G813" s="50"/>
    </row>
    <row r="814" ht="15.75" customHeight="1">
      <c r="A814" s="41"/>
      <c r="B814" s="42"/>
      <c r="C814" s="72"/>
      <c r="D814" s="236"/>
      <c r="E814" s="236"/>
      <c r="F814" s="312"/>
      <c r="G814" s="50"/>
    </row>
    <row r="815" ht="15.75" customHeight="1">
      <c r="A815" s="41"/>
      <c r="B815" s="42"/>
      <c r="C815" s="72"/>
      <c r="D815" s="236"/>
      <c r="E815" s="236"/>
      <c r="F815" s="312"/>
      <c r="G815" s="50"/>
    </row>
    <row r="816" ht="15.75" customHeight="1">
      <c r="A816" s="41"/>
      <c r="B816" s="42"/>
      <c r="C816" s="72"/>
      <c r="D816" s="236"/>
      <c r="E816" s="236"/>
      <c r="F816" s="312"/>
      <c r="G816" s="50"/>
    </row>
    <row r="817" ht="15.75" customHeight="1">
      <c r="A817" s="41"/>
      <c r="B817" s="42"/>
      <c r="C817" s="72"/>
      <c r="D817" s="236"/>
      <c r="E817" s="236"/>
      <c r="F817" s="312"/>
      <c r="G817" s="50"/>
    </row>
    <row r="818" ht="15.75" customHeight="1">
      <c r="A818" s="41"/>
      <c r="B818" s="42"/>
      <c r="C818" s="72"/>
      <c r="D818" s="236"/>
      <c r="E818" s="236"/>
      <c r="F818" s="312"/>
      <c r="G818" s="50"/>
    </row>
    <row r="819" ht="15.75" customHeight="1">
      <c r="A819" s="41"/>
      <c r="B819" s="42"/>
      <c r="C819" s="72"/>
      <c r="D819" s="236"/>
      <c r="E819" s="236"/>
      <c r="F819" s="312"/>
      <c r="G819" s="50"/>
    </row>
    <row r="820" ht="15.75" customHeight="1">
      <c r="A820" s="41"/>
      <c r="B820" s="42"/>
      <c r="C820" s="72"/>
      <c r="D820" s="236"/>
      <c r="E820" s="236"/>
      <c r="F820" s="312"/>
      <c r="G820" s="50"/>
    </row>
    <row r="821" ht="15.75" customHeight="1">
      <c r="A821" s="41"/>
      <c r="B821" s="42"/>
      <c r="C821" s="72"/>
      <c r="D821" s="236"/>
      <c r="E821" s="236"/>
      <c r="F821" s="312"/>
      <c r="G821" s="50"/>
    </row>
    <row r="822" ht="15.75" customHeight="1">
      <c r="A822" s="41"/>
      <c r="B822" s="42"/>
      <c r="C822" s="72"/>
      <c r="D822" s="236"/>
      <c r="E822" s="236"/>
      <c r="F822" s="312"/>
      <c r="G822" s="50"/>
    </row>
    <row r="823" ht="15.75" customHeight="1">
      <c r="A823" s="41"/>
      <c r="B823" s="42"/>
      <c r="C823" s="72"/>
      <c r="D823" s="236"/>
      <c r="E823" s="236"/>
      <c r="F823" s="312"/>
      <c r="G823" s="50"/>
    </row>
    <row r="824" ht="15.75" customHeight="1">
      <c r="A824" s="41"/>
      <c r="B824" s="42"/>
      <c r="C824" s="72"/>
      <c r="D824" s="236"/>
      <c r="E824" s="236"/>
      <c r="F824" s="312"/>
      <c r="G824" s="50"/>
    </row>
    <row r="825" ht="15.75" customHeight="1">
      <c r="A825" s="41"/>
      <c r="B825" s="42"/>
      <c r="C825" s="72"/>
      <c r="D825" s="236"/>
      <c r="E825" s="236"/>
      <c r="F825" s="312"/>
      <c r="G825" s="50"/>
    </row>
    <row r="826" ht="15.75" customHeight="1">
      <c r="A826" s="41"/>
      <c r="B826" s="42"/>
      <c r="C826" s="72"/>
      <c r="D826" s="236"/>
      <c r="E826" s="236"/>
      <c r="F826" s="312"/>
      <c r="G826" s="50"/>
    </row>
    <row r="827" ht="15.75" customHeight="1">
      <c r="A827" s="41"/>
      <c r="B827" s="42"/>
      <c r="C827" s="72"/>
      <c r="D827" s="236"/>
      <c r="E827" s="236"/>
      <c r="F827" s="312"/>
      <c r="G827" s="50"/>
    </row>
    <row r="828" ht="15.75" customHeight="1">
      <c r="A828" s="41"/>
      <c r="B828" s="42"/>
      <c r="C828" s="72"/>
      <c r="D828" s="236"/>
      <c r="E828" s="236"/>
      <c r="F828" s="312"/>
      <c r="G828" s="50"/>
    </row>
    <row r="829" ht="15.75" customHeight="1">
      <c r="A829" s="41"/>
      <c r="B829" s="42"/>
      <c r="C829" s="72"/>
      <c r="D829" s="236"/>
      <c r="E829" s="236"/>
      <c r="F829" s="312"/>
      <c r="G829" s="50"/>
    </row>
    <row r="830" ht="15.75" customHeight="1">
      <c r="A830" s="41"/>
      <c r="B830" s="42"/>
      <c r="C830" s="72"/>
      <c r="D830" s="236"/>
      <c r="E830" s="236"/>
      <c r="F830" s="312"/>
      <c r="G830" s="50"/>
    </row>
    <row r="831" ht="15.75" customHeight="1">
      <c r="A831" s="41"/>
      <c r="B831" s="42"/>
      <c r="C831" s="72"/>
      <c r="D831" s="236"/>
      <c r="E831" s="236"/>
      <c r="F831" s="312"/>
      <c r="G831" s="50"/>
    </row>
    <row r="832" ht="15.75" customHeight="1">
      <c r="A832" s="41"/>
      <c r="B832" s="42"/>
      <c r="C832" s="72"/>
      <c r="D832" s="236"/>
      <c r="E832" s="236"/>
      <c r="F832" s="312"/>
      <c r="G832" s="50"/>
    </row>
    <row r="833" ht="15.75" customHeight="1">
      <c r="A833" s="41"/>
      <c r="B833" s="42"/>
      <c r="C833" s="72"/>
      <c r="D833" s="236"/>
      <c r="E833" s="236"/>
      <c r="F833" s="312"/>
      <c r="G833" s="50"/>
    </row>
    <row r="834" ht="15.75" customHeight="1">
      <c r="A834" s="41"/>
      <c r="B834" s="42"/>
      <c r="C834" s="72"/>
      <c r="D834" s="236"/>
      <c r="E834" s="236"/>
      <c r="F834" s="312"/>
      <c r="G834" s="50"/>
    </row>
    <row r="835" ht="15.75" customHeight="1">
      <c r="A835" s="41"/>
      <c r="B835" s="42"/>
      <c r="C835" s="72"/>
      <c r="D835" s="236"/>
      <c r="E835" s="236"/>
      <c r="F835" s="312"/>
      <c r="G835" s="50"/>
    </row>
    <row r="836" ht="15.75" customHeight="1">
      <c r="A836" s="41"/>
      <c r="B836" s="42"/>
      <c r="C836" s="72"/>
      <c r="D836" s="236"/>
      <c r="E836" s="236"/>
      <c r="F836" s="312"/>
      <c r="G836" s="50"/>
    </row>
    <row r="837" ht="15.75" customHeight="1">
      <c r="A837" s="41"/>
      <c r="B837" s="42"/>
      <c r="C837" s="72"/>
      <c r="D837" s="236"/>
      <c r="E837" s="236"/>
      <c r="F837" s="312"/>
      <c r="G837" s="50"/>
    </row>
    <row r="838" ht="15.75" customHeight="1">
      <c r="A838" s="41"/>
      <c r="B838" s="42"/>
      <c r="C838" s="72"/>
      <c r="D838" s="236"/>
      <c r="E838" s="236"/>
      <c r="F838" s="312"/>
      <c r="G838" s="50"/>
    </row>
    <row r="839" ht="15.75" customHeight="1">
      <c r="A839" s="41"/>
      <c r="B839" s="42"/>
      <c r="C839" s="72"/>
      <c r="D839" s="236"/>
      <c r="E839" s="236"/>
      <c r="F839" s="312"/>
      <c r="G839" s="50"/>
    </row>
    <row r="840" ht="15.75" customHeight="1">
      <c r="A840" s="41"/>
      <c r="B840" s="42"/>
      <c r="C840" s="72"/>
      <c r="D840" s="236"/>
      <c r="E840" s="236"/>
      <c r="F840" s="312"/>
      <c r="G840" s="50"/>
    </row>
    <row r="841" ht="15.75" customHeight="1">
      <c r="A841" s="41"/>
      <c r="B841" s="42"/>
      <c r="C841" s="72"/>
      <c r="D841" s="236"/>
      <c r="E841" s="236"/>
      <c r="F841" s="312"/>
      <c r="G841" s="50"/>
    </row>
    <row r="842" ht="15.75" customHeight="1">
      <c r="A842" s="41"/>
      <c r="B842" s="42"/>
      <c r="C842" s="72"/>
      <c r="D842" s="236"/>
      <c r="E842" s="236"/>
      <c r="F842" s="312"/>
      <c r="G842" s="50"/>
    </row>
    <row r="843" ht="15.75" customHeight="1">
      <c r="A843" s="41"/>
      <c r="B843" s="42"/>
      <c r="C843" s="72"/>
      <c r="D843" s="236"/>
      <c r="E843" s="236"/>
      <c r="F843" s="312"/>
      <c r="G843" s="50"/>
    </row>
    <row r="844" ht="15.75" customHeight="1">
      <c r="A844" s="41"/>
      <c r="B844" s="42"/>
      <c r="C844" s="72"/>
      <c r="D844" s="236"/>
      <c r="E844" s="236"/>
      <c r="F844" s="312"/>
      <c r="G844" s="50"/>
    </row>
    <row r="845" ht="15.75" customHeight="1">
      <c r="A845" s="41"/>
      <c r="B845" s="42"/>
      <c r="C845" s="72"/>
      <c r="D845" s="236"/>
      <c r="E845" s="236"/>
      <c r="F845" s="312"/>
      <c r="G845" s="50"/>
    </row>
    <row r="846" ht="15.75" customHeight="1">
      <c r="A846" s="41"/>
      <c r="B846" s="42"/>
      <c r="C846" s="72"/>
      <c r="D846" s="236"/>
      <c r="E846" s="236"/>
      <c r="F846" s="312"/>
      <c r="G846" s="50"/>
    </row>
    <row r="847" ht="15.75" customHeight="1">
      <c r="A847" s="41"/>
      <c r="B847" s="42"/>
      <c r="C847" s="72"/>
      <c r="D847" s="236"/>
      <c r="E847" s="236"/>
      <c r="F847" s="312"/>
      <c r="G847" s="50"/>
    </row>
    <row r="848" ht="15.75" customHeight="1">
      <c r="A848" s="41"/>
      <c r="B848" s="42"/>
      <c r="C848" s="72"/>
      <c r="D848" s="236"/>
      <c r="E848" s="236"/>
      <c r="F848" s="312"/>
      <c r="G848" s="50"/>
    </row>
    <row r="849" ht="15.75" customHeight="1">
      <c r="A849" s="41"/>
      <c r="B849" s="42"/>
      <c r="C849" s="72"/>
      <c r="D849" s="236"/>
      <c r="E849" s="236"/>
      <c r="F849" s="312"/>
      <c r="G849" s="50"/>
    </row>
    <row r="850" ht="15.75" customHeight="1">
      <c r="A850" s="41"/>
      <c r="B850" s="42"/>
      <c r="C850" s="72"/>
      <c r="D850" s="236"/>
      <c r="E850" s="236"/>
      <c r="F850" s="312"/>
      <c r="G850" s="50"/>
    </row>
    <row r="851" ht="15.75" customHeight="1">
      <c r="A851" s="41"/>
      <c r="B851" s="42"/>
      <c r="C851" s="72"/>
      <c r="D851" s="236"/>
      <c r="E851" s="236"/>
      <c r="F851" s="312"/>
      <c r="G851" s="50"/>
    </row>
    <row r="852" ht="15.75" customHeight="1">
      <c r="A852" s="41"/>
      <c r="B852" s="42"/>
      <c r="C852" s="72"/>
      <c r="D852" s="236"/>
      <c r="E852" s="236"/>
      <c r="F852" s="312"/>
      <c r="G852" s="50"/>
    </row>
    <row r="853" ht="15.75" customHeight="1">
      <c r="A853" s="41"/>
      <c r="B853" s="42"/>
      <c r="C853" s="72"/>
      <c r="D853" s="236"/>
      <c r="E853" s="236"/>
      <c r="F853" s="312"/>
      <c r="G853" s="50"/>
    </row>
    <row r="854" ht="15.75" customHeight="1">
      <c r="A854" s="41"/>
      <c r="B854" s="42"/>
      <c r="C854" s="72"/>
      <c r="D854" s="236"/>
      <c r="E854" s="236"/>
      <c r="F854" s="312"/>
      <c r="G854" s="50"/>
    </row>
    <row r="855" ht="15.75" customHeight="1">
      <c r="A855" s="41"/>
      <c r="B855" s="42"/>
      <c r="C855" s="72"/>
      <c r="D855" s="236"/>
      <c r="E855" s="236"/>
      <c r="F855" s="312"/>
      <c r="G855" s="50"/>
    </row>
    <row r="856" ht="15.75" customHeight="1">
      <c r="A856" s="41"/>
      <c r="B856" s="42"/>
      <c r="C856" s="72"/>
      <c r="D856" s="236"/>
      <c r="E856" s="236"/>
      <c r="F856" s="312"/>
      <c r="G856" s="50"/>
    </row>
    <row r="857" ht="15.75" customHeight="1">
      <c r="A857" s="41"/>
      <c r="B857" s="42"/>
      <c r="C857" s="72"/>
      <c r="D857" s="236"/>
      <c r="E857" s="236"/>
      <c r="F857" s="312"/>
      <c r="G857" s="50"/>
    </row>
    <row r="858" ht="15.75" customHeight="1">
      <c r="A858" s="41"/>
      <c r="B858" s="42"/>
      <c r="C858" s="72"/>
      <c r="D858" s="236"/>
      <c r="E858" s="236"/>
      <c r="F858" s="312"/>
      <c r="G858" s="50"/>
    </row>
    <row r="859" ht="15.75" customHeight="1">
      <c r="A859" s="41"/>
      <c r="B859" s="42"/>
      <c r="C859" s="72"/>
      <c r="D859" s="236"/>
      <c r="E859" s="236"/>
      <c r="F859" s="312"/>
      <c r="G859" s="50"/>
    </row>
    <row r="860" ht="15.75" customHeight="1">
      <c r="A860" s="41"/>
      <c r="B860" s="42"/>
      <c r="C860" s="72"/>
      <c r="D860" s="236"/>
      <c r="E860" s="236"/>
      <c r="F860" s="312"/>
      <c r="G860" s="50"/>
    </row>
    <row r="861" ht="15.75" customHeight="1">
      <c r="A861" s="41"/>
      <c r="B861" s="42"/>
      <c r="C861" s="72"/>
      <c r="D861" s="236"/>
      <c r="E861" s="236"/>
      <c r="F861" s="312"/>
      <c r="G861" s="50"/>
    </row>
    <row r="862" ht="15.75" customHeight="1">
      <c r="A862" s="41"/>
      <c r="B862" s="42"/>
      <c r="C862" s="72"/>
      <c r="D862" s="236"/>
      <c r="E862" s="236"/>
      <c r="F862" s="312"/>
      <c r="G862" s="50"/>
    </row>
    <row r="863" ht="15.75" customHeight="1">
      <c r="A863" s="41"/>
      <c r="B863" s="42"/>
      <c r="C863" s="72"/>
      <c r="D863" s="236"/>
      <c r="E863" s="236"/>
      <c r="F863" s="312"/>
      <c r="G863" s="50"/>
    </row>
    <row r="864" ht="15.75" customHeight="1">
      <c r="A864" s="41"/>
      <c r="B864" s="42"/>
      <c r="C864" s="72"/>
      <c r="D864" s="236"/>
      <c r="E864" s="236"/>
      <c r="F864" s="312"/>
      <c r="G864" s="50"/>
    </row>
    <row r="865" ht="15.75" customHeight="1">
      <c r="A865" s="41"/>
      <c r="B865" s="42"/>
      <c r="C865" s="72"/>
      <c r="D865" s="236"/>
      <c r="E865" s="236"/>
      <c r="F865" s="312"/>
      <c r="G865" s="50"/>
    </row>
    <row r="866" ht="15.75" customHeight="1">
      <c r="A866" s="41"/>
      <c r="B866" s="42"/>
      <c r="C866" s="72"/>
      <c r="D866" s="236"/>
      <c r="E866" s="236"/>
      <c r="F866" s="312"/>
      <c r="G866" s="50"/>
    </row>
    <row r="867" ht="15.75" customHeight="1">
      <c r="A867" s="41"/>
      <c r="B867" s="42"/>
      <c r="C867" s="72"/>
      <c r="D867" s="236"/>
      <c r="E867" s="236"/>
      <c r="F867" s="312"/>
      <c r="G867" s="50"/>
    </row>
    <row r="868" ht="15.75" customHeight="1">
      <c r="A868" s="41"/>
      <c r="B868" s="42"/>
      <c r="C868" s="72"/>
      <c r="D868" s="236"/>
      <c r="E868" s="236"/>
      <c r="F868" s="312"/>
      <c r="G868" s="50"/>
    </row>
    <row r="869" ht="15.75" customHeight="1">
      <c r="A869" s="41"/>
      <c r="B869" s="42"/>
      <c r="C869" s="72"/>
      <c r="D869" s="236"/>
      <c r="E869" s="236"/>
      <c r="F869" s="312"/>
      <c r="G869" s="50"/>
    </row>
    <row r="870" ht="15.75" customHeight="1">
      <c r="A870" s="41"/>
      <c r="B870" s="42"/>
      <c r="C870" s="72"/>
      <c r="D870" s="236"/>
      <c r="E870" s="236"/>
      <c r="F870" s="312"/>
      <c r="G870" s="50"/>
    </row>
    <row r="871" ht="15.75" customHeight="1">
      <c r="A871" s="41"/>
      <c r="B871" s="42"/>
      <c r="C871" s="72"/>
      <c r="D871" s="236"/>
      <c r="E871" s="236"/>
      <c r="F871" s="312"/>
      <c r="G871" s="50"/>
    </row>
    <row r="872" ht="15.75" customHeight="1">
      <c r="A872" s="41"/>
      <c r="B872" s="42"/>
      <c r="C872" s="72"/>
      <c r="D872" s="236"/>
      <c r="E872" s="236"/>
      <c r="F872" s="312"/>
      <c r="G872" s="50"/>
    </row>
    <row r="873" ht="15.75" customHeight="1">
      <c r="A873" s="41"/>
      <c r="B873" s="42"/>
      <c r="C873" s="72"/>
      <c r="D873" s="236"/>
      <c r="E873" s="236"/>
      <c r="F873" s="312"/>
      <c r="G873" s="50"/>
    </row>
    <row r="874" ht="15.75" customHeight="1">
      <c r="A874" s="41"/>
      <c r="B874" s="42"/>
      <c r="C874" s="72"/>
      <c r="D874" s="236"/>
      <c r="E874" s="236"/>
      <c r="F874" s="312"/>
      <c r="G874" s="50"/>
    </row>
    <row r="875" ht="15.75" customHeight="1">
      <c r="A875" s="41"/>
      <c r="B875" s="42"/>
      <c r="C875" s="72"/>
      <c r="D875" s="236"/>
      <c r="E875" s="236"/>
      <c r="F875" s="312"/>
      <c r="G875" s="50"/>
    </row>
    <row r="876" ht="15.75" customHeight="1">
      <c r="A876" s="41"/>
      <c r="B876" s="42"/>
      <c r="C876" s="72"/>
      <c r="D876" s="236"/>
      <c r="E876" s="236"/>
      <c r="F876" s="312"/>
      <c r="G876" s="50"/>
    </row>
    <row r="877" ht="15.75" customHeight="1">
      <c r="A877" s="41"/>
      <c r="B877" s="42"/>
      <c r="C877" s="72"/>
      <c r="D877" s="236"/>
      <c r="E877" s="236"/>
      <c r="F877" s="312"/>
      <c r="G877" s="50"/>
    </row>
    <row r="878" ht="15.75" customHeight="1">
      <c r="A878" s="41"/>
      <c r="B878" s="42"/>
      <c r="C878" s="72"/>
      <c r="D878" s="236"/>
      <c r="E878" s="236"/>
      <c r="F878" s="312"/>
      <c r="G878" s="50"/>
    </row>
    <row r="879" ht="15.75" customHeight="1">
      <c r="A879" s="41"/>
      <c r="B879" s="42"/>
      <c r="C879" s="72"/>
      <c r="D879" s="236"/>
      <c r="E879" s="236"/>
      <c r="F879" s="312"/>
      <c r="G879" s="50"/>
    </row>
    <row r="880" ht="15.75" customHeight="1">
      <c r="A880" s="41"/>
      <c r="B880" s="42"/>
      <c r="C880" s="72"/>
      <c r="D880" s="236"/>
      <c r="E880" s="236"/>
      <c r="F880" s="312"/>
      <c r="G880" s="50"/>
    </row>
    <row r="881" ht="15.75" customHeight="1">
      <c r="A881" s="41"/>
      <c r="B881" s="42"/>
      <c r="C881" s="72"/>
      <c r="D881" s="236"/>
      <c r="E881" s="236"/>
      <c r="F881" s="312"/>
      <c r="G881" s="50"/>
    </row>
    <row r="882" ht="15.75" customHeight="1">
      <c r="A882" s="41"/>
      <c r="B882" s="42"/>
      <c r="C882" s="72"/>
      <c r="D882" s="236"/>
      <c r="E882" s="236"/>
      <c r="F882" s="312"/>
      <c r="G882" s="50"/>
    </row>
    <row r="883" ht="15.75" customHeight="1">
      <c r="A883" s="41"/>
      <c r="B883" s="42"/>
      <c r="C883" s="72"/>
      <c r="D883" s="236"/>
      <c r="E883" s="236"/>
      <c r="F883" s="312"/>
      <c r="G883" s="50"/>
    </row>
    <row r="884" ht="15.75" customHeight="1">
      <c r="A884" s="41"/>
      <c r="B884" s="42"/>
      <c r="C884" s="72"/>
      <c r="D884" s="236"/>
      <c r="E884" s="236"/>
      <c r="F884" s="312"/>
      <c r="G884" s="50"/>
    </row>
    <row r="885" ht="15.75" customHeight="1">
      <c r="A885" s="41"/>
      <c r="B885" s="42"/>
      <c r="C885" s="72"/>
      <c r="D885" s="236"/>
      <c r="E885" s="236"/>
      <c r="F885" s="312"/>
      <c r="G885" s="50"/>
    </row>
    <row r="886" ht="15.75" customHeight="1">
      <c r="A886" s="41"/>
      <c r="B886" s="42"/>
      <c r="C886" s="72"/>
      <c r="D886" s="236"/>
      <c r="E886" s="236"/>
      <c r="F886" s="312"/>
      <c r="G886" s="50"/>
    </row>
    <row r="887" ht="15.75" customHeight="1">
      <c r="A887" s="41"/>
      <c r="B887" s="42"/>
      <c r="C887" s="72"/>
      <c r="D887" s="236"/>
      <c r="E887" s="236"/>
      <c r="F887" s="312"/>
      <c r="G887" s="50"/>
    </row>
    <row r="888" ht="15.75" customHeight="1">
      <c r="A888" s="41"/>
      <c r="B888" s="42"/>
      <c r="C888" s="72"/>
      <c r="D888" s="236"/>
      <c r="E888" s="236"/>
      <c r="F888" s="312"/>
      <c r="G888" s="50"/>
    </row>
    <row r="889" ht="15.75" customHeight="1">
      <c r="A889" s="41"/>
      <c r="B889" s="42"/>
      <c r="C889" s="72"/>
      <c r="D889" s="236"/>
      <c r="E889" s="236"/>
      <c r="F889" s="312"/>
      <c r="G889" s="50"/>
    </row>
    <row r="890" ht="15.75" customHeight="1">
      <c r="A890" s="41"/>
      <c r="B890" s="42"/>
      <c r="C890" s="72"/>
      <c r="D890" s="236"/>
      <c r="E890" s="236"/>
      <c r="F890" s="312"/>
      <c r="G890" s="50"/>
    </row>
    <row r="891" ht="15.75" customHeight="1">
      <c r="A891" s="41"/>
      <c r="B891" s="42"/>
      <c r="C891" s="72"/>
      <c r="D891" s="236"/>
      <c r="E891" s="236"/>
      <c r="F891" s="312"/>
      <c r="G891" s="50"/>
    </row>
    <row r="892" ht="15.75" customHeight="1">
      <c r="A892" s="41"/>
      <c r="B892" s="42"/>
      <c r="C892" s="72"/>
      <c r="D892" s="236"/>
      <c r="E892" s="236"/>
      <c r="F892" s="312"/>
      <c r="G892" s="50"/>
    </row>
    <row r="893" ht="15.75" customHeight="1">
      <c r="A893" s="41"/>
      <c r="B893" s="42"/>
      <c r="C893" s="72"/>
      <c r="D893" s="236"/>
      <c r="E893" s="236"/>
      <c r="F893" s="312"/>
      <c r="G893" s="50"/>
    </row>
    <row r="894" ht="15.75" customHeight="1">
      <c r="A894" s="41"/>
      <c r="B894" s="42"/>
      <c r="C894" s="72"/>
      <c r="D894" s="236"/>
      <c r="E894" s="236"/>
      <c r="F894" s="312"/>
      <c r="G894" s="50"/>
    </row>
    <row r="895" ht="15.75" customHeight="1">
      <c r="A895" s="41"/>
      <c r="B895" s="42"/>
      <c r="C895" s="72"/>
      <c r="D895" s="236"/>
      <c r="E895" s="236"/>
      <c r="F895" s="312"/>
      <c r="G895" s="50"/>
    </row>
    <row r="896" ht="15.75" customHeight="1">
      <c r="A896" s="41"/>
      <c r="B896" s="42"/>
      <c r="C896" s="72"/>
      <c r="D896" s="236"/>
      <c r="E896" s="236"/>
      <c r="F896" s="312"/>
      <c r="G896" s="50"/>
    </row>
    <row r="897" ht="15.75" customHeight="1">
      <c r="A897" s="41"/>
      <c r="B897" s="42"/>
      <c r="C897" s="72"/>
      <c r="D897" s="236"/>
      <c r="E897" s="236"/>
      <c r="F897" s="312"/>
      <c r="G897" s="50"/>
    </row>
    <row r="898" ht="15.75" customHeight="1">
      <c r="A898" s="41"/>
      <c r="B898" s="42"/>
      <c r="C898" s="72"/>
      <c r="D898" s="236"/>
      <c r="E898" s="236"/>
      <c r="F898" s="312"/>
      <c r="G898" s="50"/>
    </row>
    <row r="899" ht="15.75" customHeight="1">
      <c r="A899" s="41"/>
      <c r="B899" s="42"/>
      <c r="C899" s="72"/>
      <c r="D899" s="236"/>
      <c r="E899" s="236"/>
      <c r="F899" s="312"/>
      <c r="G899" s="50"/>
    </row>
    <row r="900" ht="15.75" customHeight="1">
      <c r="A900" s="41"/>
      <c r="B900" s="42"/>
      <c r="C900" s="72"/>
      <c r="D900" s="236"/>
      <c r="E900" s="236"/>
      <c r="F900" s="312"/>
      <c r="G900" s="50"/>
    </row>
    <row r="901" ht="15.75" customHeight="1">
      <c r="A901" s="41"/>
      <c r="B901" s="42"/>
      <c r="C901" s="72"/>
      <c r="D901" s="236"/>
      <c r="E901" s="236"/>
      <c r="F901" s="312"/>
      <c r="G901" s="50"/>
    </row>
    <row r="902" ht="15.75" customHeight="1">
      <c r="A902" s="41"/>
      <c r="B902" s="42"/>
      <c r="C902" s="72"/>
      <c r="D902" s="236"/>
      <c r="E902" s="236"/>
      <c r="F902" s="312"/>
      <c r="G902" s="50"/>
    </row>
    <row r="903" ht="15.75" customHeight="1">
      <c r="A903" s="41"/>
      <c r="B903" s="42"/>
      <c r="C903" s="72"/>
      <c r="D903" s="236"/>
      <c r="E903" s="236"/>
      <c r="F903" s="312"/>
      <c r="G903" s="50"/>
    </row>
    <row r="904" ht="15.75" customHeight="1">
      <c r="A904" s="41"/>
      <c r="B904" s="42"/>
      <c r="C904" s="72"/>
      <c r="D904" s="236"/>
      <c r="E904" s="236"/>
      <c r="F904" s="312"/>
      <c r="G904" s="50"/>
    </row>
    <row r="905" ht="15.75" customHeight="1">
      <c r="A905" s="41"/>
      <c r="B905" s="42"/>
      <c r="C905" s="72"/>
      <c r="D905" s="236"/>
      <c r="E905" s="236"/>
      <c r="F905" s="312"/>
      <c r="G905" s="50"/>
    </row>
    <row r="906" ht="15.75" customHeight="1">
      <c r="A906" s="41"/>
      <c r="B906" s="42"/>
      <c r="C906" s="72"/>
      <c r="D906" s="236"/>
      <c r="E906" s="236"/>
      <c r="F906" s="312"/>
      <c r="G906" s="50"/>
    </row>
    <row r="907" ht="15.75" customHeight="1">
      <c r="A907" s="41"/>
      <c r="B907" s="42"/>
      <c r="C907" s="72"/>
      <c r="D907" s="236"/>
      <c r="E907" s="236"/>
      <c r="F907" s="312"/>
      <c r="G907" s="50"/>
    </row>
    <row r="908" ht="15.75" customHeight="1">
      <c r="A908" s="41"/>
      <c r="B908" s="42"/>
      <c r="C908" s="72"/>
      <c r="D908" s="236"/>
      <c r="E908" s="236"/>
      <c r="F908" s="312"/>
      <c r="G908" s="50"/>
    </row>
    <row r="909" ht="15.75" customHeight="1">
      <c r="A909" s="41"/>
      <c r="B909" s="42"/>
      <c r="C909" s="72"/>
      <c r="D909" s="236"/>
      <c r="E909" s="236"/>
      <c r="F909" s="312"/>
      <c r="G909" s="50"/>
    </row>
    <row r="910" ht="15.75" customHeight="1">
      <c r="A910" s="41"/>
      <c r="B910" s="42"/>
      <c r="C910" s="72"/>
      <c r="D910" s="236"/>
      <c r="E910" s="236"/>
      <c r="F910" s="312"/>
      <c r="G910" s="50"/>
    </row>
    <row r="911" ht="15.75" customHeight="1">
      <c r="A911" s="41"/>
      <c r="B911" s="42"/>
      <c r="C911" s="72"/>
      <c r="D911" s="236"/>
      <c r="E911" s="236"/>
      <c r="F911" s="312"/>
      <c r="G911" s="50"/>
    </row>
    <row r="912" ht="15.75" customHeight="1">
      <c r="A912" s="41"/>
      <c r="B912" s="42"/>
      <c r="C912" s="72"/>
      <c r="D912" s="236"/>
      <c r="E912" s="236"/>
      <c r="F912" s="312"/>
      <c r="G912" s="50"/>
    </row>
    <row r="913" ht="15.75" customHeight="1">
      <c r="A913" s="41"/>
      <c r="B913" s="42"/>
      <c r="C913" s="72"/>
      <c r="D913" s="236"/>
      <c r="E913" s="236"/>
      <c r="F913" s="312"/>
      <c r="G913" s="50"/>
    </row>
    <row r="914" ht="15.75" customHeight="1">
      <c r="A914" s="41"/>
      <c r="B914" s="42"/>
      <c r="C914" s="72"/>
      <c r="D914" s="236"/>
      <c r="E914" s="236"/>
      <c r="F914" s="312"/>
      <c r="G914" s="50"/>
    </row>
    <row r="915" ht="15.75" customHeight="1">
      <c r="A915" s="41"/>
      <c r="B915" s="42"/>
      <c r="C915" s="72"/>
      <c r="D915" s="236"/>
      <c r="E915" s="236"/>
      <c r="F915" s="312"/>
      <c r="G915" s="50"/>
    </row>
    <row r="916" ht="15.75" customHeight="1">
      <c r="A916" s="41"/>
      <c r="B916" s="42"/>
      <c r="C916" s="72"/>
      <c r="D916" s="236"/>
      <c r="E916" s="236"/>
      <c r="F916" s="312"/>
      <c r="G916" s="50"/>
    </row>
    <row r="917" ht="15.75" customHeight="1">
      <c r="A917" s="41"/>
      <c r="B917" s="42"/>
      <c r="C917" s="72"/>
      <c r="D917" s="236"/>
      <c r="E917" s="236"/>
      <c r="F917" s="312"/>
      <c r="G917" s="50"/>
    </row>
    <row r="918" ht="15.75" customHeight="1">
      <c r="A918" s="41"/>
      <c r="B918" s="42"/>
      <c r="C918" s="72"/>
      <c r="D918" s="236"/>
      <c r="E918" s="236"/>
      <c r="F918" s="312"/>
      <c r="G918" s="50"/>
    </row>
    <row r="919" ht="15.75" customHeight="1">
      <c r="A919" s="41"/>
      <c r="B919" s="42"/>
      <c r="C919" s="72"/>
      <c r="D919" s="236"/>
      <c r="E919" s="236"/>
      <c r="F919" s="312"/>
      <c r="G919" s="50"/>
    </row>
    <row r="920" ht="15.75" customHeight="1">
      <c r="A920" s="41"/>
      <c r="B920" s="42"/>
      <c r="C920" s="72"/>
      <c r="D920" s="236"/>
      <c r="E920" s="236"/>
      <c r="F920" s="312"/>
      <c r="G920" s="50"/>
    </row>
    <row r="921" ht="15.75" customHeight="1">
      <c r="A921" s="41"/>
      <c r="B921" s="42"/>
      <c r="C921" s="72"/>
      <c r="D921" s="236"/>
      <c r="E921" s="236"/>
      <c r="F921" s="312"/>
      <c r="G921" s="50"/>
    </row>
    <row r="922" ht="15.75" customHeight="1">
      <c r="A922" s="41"/>
      <c r="B922" s="42"/>
      <c r="C922" s="72"/>
      <c r="D922" s="236"/>
      <c r="E922" s="236"/>
      <c r="F922" s="312"/>
      <c r="G922" s="50"/>
    </row>
    <row r="923" ht="15.75" customHeight="1">
      <c r="A923" s="41"/>
      <c r="B923" s="42"/>
      <c r="C923" s="72"/>
      <c r="D923" s="236"/>
      <c r="E923" s="236"/>
      <c r="F923" s="312"/>
      <c r="G923" s="50"/>
    </row>
    <row r="924" ht="15.75" customHeight="1">
      <c r="A924" s="41"/>
      <c r="B924" s="42"/>
      <c r="C924" s="72"/>
      <c r="D924" s="236"/>
      <c r="E924" s="236"/>
      <c r="F924" s="312"/>
      <c r="G924" s="50"/>
    </row>
    <row r="925" ht="15.75" customHeight="1">
      <c r="A925" s="41"/>
      <c r="B925" s="42"/>
      <c r="C925" s="72"/>
      <c r="D925" s="236"/>
      <c r="E925" s="236"/>
      <c r="F925" s="312"/>
      <c r="G925" s="50"/>
    </row>
    <row r="926" ht="15.75" customHeight="1">
      <c r="A926" s="41"/>
      <c r="B926" s="42"/>
      <c r="C926" s="72"/>
      <c r="D926" s="236"/>
      <c r="E926" s="236"/>
      <c r="F926" s="312"/>
      <c r="G926" s="50"/>
    </row>
    <row r="927" ht="15.75" customHeight="1">
      <c r="A927" s="41"/>
      <c r="B927" s="42"/>
      <c r="C927" s="72"/>
      <c r="D927" s="236"/>
      <c r="E927" s="236"/>
      <c r="F927" s="312"/>
      <c r="G927" s="50"/>
    </row>
    <row r="928" ht="15.75" customHeight="1">
      <c r="A928" s="41"/>
      <c r="B928" s="42"/>
      <c r="C928" s="72"/>
      <c r="D928" s="236"/>
      <c r="E928" s="236"/>
      <c r="F928" s="312"/>
      <c r="G928" s="50"/>
    </row>
    <row r="929" ht="15.75" customHeight="1">
      <c r="A929" s="41"/>
      <c r="B929" s="42"/>
      <c r="C929" s="72"/>
      <c r="D929" s="236"/>
      <c r="E929" s="236"/>
      <c r="F929" s="312"/>
      <c r="G929" s="50"/>
    </row>
    <row r="930" ht="15.75" customHeight="1">
      <c r="A930" s="41"/>
      <c r="B930" s="42"/>
      <c r="C930" s="72"/>
      <c r="D930" s="236"/>
      <c r="E930" s="236"/>
      <c r="F930" s="312"/>
      <c r="G930" s="50"/>
    </row>
    <row r="931" ht="15.75" customHeight="1">
      <c r="A931" s="41"/>
      <c r="B931" s="42"/>
      <c r="C931" s="72"/>
      <c r="D931" s="236"/>
      <c r="E931" s="236"/>
      <c r="F931" s="312"/>
      <c r="G931" s="50"/>
    </row>
    <row r="932" ht="15.75" customHeight="1">
      <c r="A932" s="41"/>
      <c r="B932" s="42"/>
      <c r="C932" s="72"/>
      <c r="D932" s="236"/>
      <c r="E932" s="236"/>
      <c r="F932" s="312"/>
      <c r="G932" s="50"/>
    </row>
    <row r="933" ht="15.75" customHeight="1">
      <c r="A933" s="41"/>
      <c r="B933" s="42"/>
      <c r="C933" s="72"/>
      <c r="D933" s="236"/>
      <c r="E933" s="236"/>
      <c r="F933" s="312"/>
      <c r="G933" s="50"/>
    </row>
    <row r="934" ht="15.75" customHeight="1">
      <c r="A934" s="41"/>
      <c r="B934" s="42"/>
      <c r="C934" s="72"/>
      <c r="D934" s="236"/>
      <c r="E934" s="236"/>
      <c r="F934" s="312"/>
      <c r="G934" s="50"/>
    </row>
    <row r="935" ht="15.75" customHeight="1">
      <c r="A935" s="41"/>
      <c r="B935" s="42"/>
      <c r="C935" s="72"/>
      <c r="D935" s="236"/>
      <c r="E935" s="236"/>
      <c r="F935" s="312"/>
      <c r="G935" s="50"/>
    </row>
    <row r="936" ht="15.75" customHeight="1">
      <c r="A936" s="41"/>
      <c r="B936" s="42"/>
      <c r="C936" s="72"/>
      <c r="D936" s="236"/>
      <c r="E936" s="236"/>
      <c r="F936" s="312"/>
      <c r="G936" s="50"/>
    </row>
    <row r="937" ht="15.75" customHeight="1">
      <c r="A937" s="41"/>
      <c r="B937" s="42"/>
      <c r="C937" s="72"/>
      <c r="D937" s="236"/>
      <c r="E937" s="236"/>
      <c r="F937" s="312"/>
      <c r="G937" s="50"/>
    </row>
    <row r="938" ht="15.75" customHeight="1">
      <c r="A938" s="41"/>
      <c r="B938" s="42"/>
      <c r="C938" s="72"/>
      <c r="D938" s="236"/>
      <c r="E938" s="236"/>
      <c r="F938" s="312"/>
      <c r="G938" s="50"/>
    </row>
    <row r="939" ht="15.75" customHeight="1">
      <c r="A939" s="41"/>
      <c r="B939" s="42"/>
      <c r="C939" s="72"/>
      <c r="D939" s="236"/>
      <c r="E939" s="236"/>
      <c r="F939" s="312"/>
      <c r="G939" s="50"/>
    </row>
    <row r="940" ht="15.75" customHeight="1">
      <c r="A940" s="41"/>
      <c r="B940" s="42"/>
      <c r="C940" s="72"/>
      <c r="D940" s="236"/>
      <c r="E940" s="236"/>
      <c r="F940" s="312"/>
      <c r="G940" s="50"/>
    </row>
    <row r="941" ht="15.75" customHeight="1">
      <c r="A941" s="41"/>
      <c r="B941" s="42"/>
      <c r="C941" s="72"/>
      <c r="D941" s="236"/>
      <c r="E941" s="236"/>
      <c r="F941" s="312"/>
      <c r="G941" s="50"/>
    </row>
    <row r="942" ht="15.75" customHeight="1">
      <c r="A942" s="41"/>
      <c r="B942" s="42"/>
      <c r="C942" s="72"/>
      <c r="D942" s="236"/>
      <c r="E942" s="236"/>
      <c r="F942" s="312"/>
      <c r="G942" s="50"/>
    </row>
    <row r="943" ht="15.75" customHeight="1">
      <c r="A943" s="41"/>
      <c r="B943" s="42"/>
      <c r="C943" s="72"/>
      <c r="D943" s="236"/>
      <c r="E943" s="236"/>
      <c r="F943" s="312"/>
      <c r="G943" s="50"/>
    </row>
    <row r="944" ht="15.75" customHeight="1">
      <c r="A944" s="41"/>
      <c r="B944" s="42"/>
      <c r="C944" s="72"/>
      <c r="D944" s="236"/>
      <c r="E944" s="236"/>
      <c r="F944" s="312"/>
      <c r="G944" s="50"/>
    </row>
    <row r="945" ht="15.75" customHeight="1">
      <c r="A945" s="41"/>
      <c r="B945" s="42"/>
      <c r="C945" s="72"/>
      <c r="D945" s="236"/>
      <c r="E945" s="236"/>
      <c r="F945" s="312"/>
      <c r="G945" s="50"/>
    </row>
    <row r="946" ht="15.75" customHeight="1">
      <c r="A946" s="41"/>
      <c r="B946" s="42"/>
      <c r="C946" s="72"/>
      <c r="D946" s="236"/>
      <c r="E946" s="236"/>
      <c r="F946" s="312"/>
      <c r="G946" s="50"/>
    </row>
    <row r="947" ht="15.75" customHeight="1">
      <c r="A947" s="41"/>
      <c r="B947" s="42"/>
      <c r="C947" s="72"/>
      <c r="D947" s="236"/>
      <c r="E947" s="236"/>
      <c r="F947" s="312"/>
      <c r="G947" s="50"/>
    </row>
    <row r="948" ht="15.75" customHeight="1">
      <c r="A948" s="41"/>
      <c r="B948" s="42"/>
      <c r="C948" s="72"/>
      <c r="D948" s="236"/>
      <c r="E948" s="236"/>
      <c r="F948" s="312"/>
      <c r="G948" s="50"/>
    </row>
    <row r="949" ht="15.75" customHeight="1">
      <c r="A949" s="41"/>
      <c r="B949" s="42"/>
      <c r="C949" s="72"/>
      <c r="D949" s="236"/>
      <c r="E949" s="236"/>
      <c r="F949" s="312"/>
      <c r="G949" s="50"/>
    </row>
    <row r="950" ht="15.75" customHeight="1">
      <c r="A950" s="41"/>
      <c r="B950" s="42"/>
      <c r="C950" s="72"/>
      <c r="D950" s="236"/>
      <c r="E950" s="236"/>
      <c r="F950" s="312"/>
      <c r="G950" s="50"/>
    </row>
    <row r="951" ht="15.75" customHeight="1">
      <c r="A951" s="41"/>
      <c r="B951" s="42"/>
      <c r="C951" s="72"/>
      <c r="D951" s="236"/>
      <c r="E951" s="236"/>
      <c r="F951" s="312"/>
      <c r="G951" s="50"/>
    </row>
    <row r="952" ht="15.75" customHeight="1">
      <c r="A952" s="41"/>
      <c r="B952" s="42"/>
      <c r="C952" s="72"/>
      <c r="D952" s="236"/>
      <c r="E952" s="236"/>
      <c r="F952" s="312"/>
      <c r="G952" s="50"/>
    </row>
    <row r="953" ht="15.75" customHeight="1">
      <c r="A953" s="41"/>
      <c r="B953" s="42"/>
      <c r="C953" s="72"/>
      <c r="D953" s="236"/>
      <c r="E953" s="236"/>
      <c r="F953" s="312"/>
      <c r="G953" s="50"/>
    </row>
    <row r="954" ht="15.75" customHeight="1">
      <c r="A954" s="41"/>
      <c r="B954" s="42"/>
      <c r="C954" s="72"/>
      <c r="D954" s="236"/>
      <c r="E954" s="236"/>
      <c r="F954" s="312"/>
      <c r="G954" s="50"/>
    </row>
    <row r="955" ht="15.75" customHeight="1">
      <c r="A955" s="41"/>
      <c r="B955" s="42"/>
      <c r="C955" s="72"/>
      <c r="D955" s="236"/>
      <c r="E955" s="236"/>
      <c r="F955" s="312"/>
      <c r="G955" s="50"/>
    </row>
    <row r="956" ht="15.75" customHeight="1">
      <c r="A956" s="41"/>
      <c r="B956" s="42"/>
      <c r="C956" s="72"/>
      <c r="D956" s="236"/>
      <c r="E956" s="236"/>
      <c r="F956" s="312"/>
      <c r="G956" s="50"/>
    </row>
    <row r="957" ht="15.75" customHeight="1">
      <c r="A957" s="41"/>
      <c r="B957" s="42"/>
      <c r="C957" s="72"/>
      <c r="D957" s="236"/>
      <c r="E957" s="236"/>
      <c r="F957" s="312"/>
      <c r="G957" s="50"/>
    </row>
    <row r="958" ht="15.75" customHeight="1">
      <c r="A958" s="41"/>
      <c r="B958" s="42"/>
      <c r="C958" s="72"/>
      <c r="D958" s="236"/>
      <c r="E958" s="236"/>
      <c r="F958" s="312"/>
      <c r="G958" s="50"/>
    </row>
    <row r="959" ht="15.75" customHeight="1">
      <c r="A959" s="41"/>
      <c r="B959" s="42"/>
      <c r="C959" s="72"/>
      <c r="D959" s="236"/>
      <c r="E959" s="236"/>
      <c r="F959" s="312"/>
      <c r="G959" s="50"/>
    </row>
    <row r="960" ht="15.75" customHeight="1">
      <c r="A960" s="41"/>
      <c r="B960" s="42"/>
      <c r="C960" s="72"/>
      <c r="D960" s="236"/>
      <c r="E960" s="236"/>
      <c r="F960" s="312"/>
      <c r="G960" s="50"/>
    </row>
    <row r="961" ht="15.75" customHeight="1">
      <c r="A961" s="41"/>
      <c r="B961" s="42"/>
      <c r="C961" s="72"/>
      <c r="D961" s="236"/>
      <c r="E961" s="236"/>
      <c r="F961" s="312"/>
      <c r="G961" s="50"/>
    </row>
    <row r="962" ht="15.75" customHeight="1">
      <c r="A962" s="41"/>
      <c r="B962" s="42"/>
      <c r="C962" s="72"/>
      <c r="D962" s="236"/>
      <c r="E962" s="236"/>
      <c r="F962" s="312"/>
      <c r="G962" s="50"/>
    </row>
    <row r="963" ht="15.75" customHeight="1">
      <c r="A963" s="41"/>
      <c r="B963" s="42"/>
      <c r="C963" s="72"/>
      <c r="D963" s="236"/>
      <c r="E963" s="236"/>
      <c r="F963" s="312"/>
      <c r="G963" s="50"/>
    </row>
    <row r="964" ht="15.75" customHeight="1">
      <c r="A964" s="41"/>
      <c r="B964" s="42"/>
      <c r="C964" s="72"/>
      <c r="D964" s="236"/>
      <c r="E964" s="236"/>
      <c r="F964" s="312"/>
      <c r="G964" s="50"/>
    </row>
    <row r="965" ht="15.75" customHeight="1">
      <c r="A965" s="41"/>
      <c r="B965" s="42"/>
      <c r="C965" s="72"/>
      <c r="D965" s="236"/>
      <c r="E965" s="236"/>
      <c r="F965" s="312"/>
      <c r="G965" s="50"/>
    </row>
    <row r="966" ht="15.75" customHeight="1">
      <c r="A966" s="41"/>
      <c r="B966" s="42"/>
      <c r="C966" s="72"/>
      <c r="D966" s="236"/>
      <c r="E966" s="236"/>
      <c r="F966" s="312"/>
      <c r="G966" s="50"/>
    </row>
    <row r="967" ht="15.75" customHeight="1">
      <c r="A967" s="41"/>
      <c r="B967" s="42"/>
      <c r="C967" s="72"/>
      <c r="D967" s="236"/>
      <c r="E967" s="236"/>
      <c r="F967" s="312"/>
      <c r="G967" s="50"/>
    </row>
    <row r="968" ht="15.75" customHeight="1">
      <c r="A968" s="41"/>
      <c r="B968" s="42"/>
      <c r="C968" s="72"/>
      <c r="D968" s="236"/>
      <c r="E968" s="236"/>
      <c r="F968" s="312"/>
      <c r="G968" s="50"/>
    </row>
    <row r="969" ht="15.75" customHeight="1">
      <c r="A969" s="41"/>
      <c r="B969" s="42"/>
      <c r="C969" s="72"/>
      <c r="D969" s="236"/>
      <c r="E969" s="236"/>
      <c r="F969" s="312"/>
      <c r="G969" s="50"/>
    </row>
    <row r="970" ht="15.75" customHeight="1">
      <c r="A970" s="41"/>
      <c r="B970" s="42"/>
      <c r="C970" s="72"/>
      <c r="D970" s="236"/>
      <c r="E970" s="236"/>
      <c r="F970" s="312"/>
      <c r="G970" s="50"/>
    </row>
    <row r="971" ht="15.75" customHeight="1">
      <c r="A971" s="41"/>
      <c r="B971" s="42"/>
      <c r="C971" s="72"/>
      <c r="D971" s="236"/>
      <c r="E971" s="236"/>
      <c r="F971" s="312"/>
      <c r="G971" s="50"/>
    </row>
    <row r="972" ht="15.75" customHeight="1">
      <c r="A972" s="41"/>
      <c r="B972" s="42"/>
      <c r="C972" s="72"/>
      <c r="D972" s="236"/>
      <c r="E972" s="236"/>
      <c r="F972" s="312"/>
      <c r="G972" s="50"/>
    </row>
    <row r="973" ht="15.75" customHeight="1">
      <c r="A973" s="41"/>
      <c r="B973" s="42"/>
      <c r="C973" s="72"/>
      <c r="D973" s="236"/>
      <c r="E973" s="236"/>
      <c r="F973" s="312"/>
      <c r="G973" s="50"/>
    </row>
    <row r="974" ht="15.75" customHeight="1">
      <c r="A974" s="41"/>
      <c r="B974" s="42"/>
      <c r="C974" s="72"/>
      <c r="D974" s="236"/>
      <c r="E974" s="236"/>
      <c r="F974" s="312"/>
      <c r="G974" s="50"/>
    </row>
    <row r="975" ht="15.75" customHeight="1">
      <c r="A975" s="41"/>
      <c r="B975" s="42"/>
      <c r="C975" s="72"/>
      <c r="D975" s="236"/>
      <c r="E975" s="236"/>
      <c r="F975" s="312"/>
      <c r="G975" s="50"/>
    </row>
    <row r="976" ht="15.75" customHeight="1">
      <c r="A976" s="41"/>
      <c r="B976" s="42"/>
      <c r="C976" s="72"/>
      <c r="D976" s="236"/>
      <c r="E976" s="236"/>
      <c r="F976" s="312"/>
      <c r="G976" s="50"/>
    </row>
    <row r="977" ht="15.75" customHeight="1">
      <c r="A977" s="41"/>
      <c r="B977" s="42"/>
      <c r="C977" s="72"/>
      <c r="D977" s="236"/>
      <c r="E977" s="236"/>
      <c r="F977" s="312"/>
      <c r="G977" s="50"/>
    </row>
    <row r="978" ht="15.75" customHeight="1">
      <c r="A978" s="41"/>
      <c r="B978" s="42"/>
      <c r="C978" s="72"/>
      <c r="D978" s="236"/>
      <c r="E978" s="236"/>
      <c r="F978" s="312"/>
      <c r="G978" s="50"/>
    </row>
    <row r="979" ht="15.75" customHeight="1">
      <c r="A979" s="41"/>
      <c r="B979" s="42"/>
      <c r="C979" s="72"/>
      <c r="D979" s="236"/>
      <c r="E979" s="236"/>
      <c r="F979" s="312"/>
      <c r="G979" s="50"/>
    </row>
    <row r="980" ht="15.75" customHeight="1">
      <c r="A980" s="41"/>
      <c r="B980" s="42"/>
      <c r="C980" s="72"/>
      <c r="D980" s="236"/>
      <c r="E980" s="236"/>
      <c r="F980" s="312"/>
      <c r="G980" s="50"/>
    </row>
    <row r="981" ht="15.75" customHeight="1">
      <c r="A981" s="41"/>
      <c r="B981" s="42"/>
      <c r="C981" s="72"/>
      <c r="D981" s="236"/>
      <c r="E981" s="236"/>
      <c r="F981" s="312"/>
      <c r="G981" s="50"/>
    </row>
    <row r="982" ht="15.75" customHeight="1">
      <c r="A982" s="41"/>
      <c r="B982" s="42"/>
      <c r="C982" s="72"/>
      <c r="D982" s="236"/>
      <c r="E982" s="236"/>
      <c r="F982" s="312"/>
      <c r="G982" s="50"/>
    </row>
    <row r="983" ht="15.75" customHeight="1">
      <c r="A983" s="41"/>
      <c r="B983" s="42"/>
      <c r="C983" s="72"/>
      <c r="D983" s="236"/>
      <c r="E983" s="236"/>
      <c r="F983" s="312"/>
      <c r="G983" s="50"/>
    </row>
    <row r="984" ht="15.75" customHeight="1">
      <c r="A984" s="41"/>
      <c r="B984" s="42"/>
      <c r="C984" s="72"/>
      <c r="D984" s="236"/>
      <c r="E984" s="236"/>
      <c r="F984" s="312"/>
      <c r="G984" s="50"/>
    </row>
    <row r="985" ht="15.75" customHeight="1">
      <c r="A985" s="41"/>
      <c r="B985" s="42"/>
      <c r="C985" s="72"/>
      <c r="D985" s="236"/>
      <c r="E985" s="236"/>
      <c r="F985" s="312"/>
      <c r="G985" s="50"/>
    </row>
    <row r="986" ht="15.75" customHeight="1">
      <c r="A986" s="41"/>
      <c r="B986" s="42"/>
      <c r="C986" s="72"/>
      <c r="D986" s="236"/>
      <c r="E986" s="236"/>
      <c r="F986" s="312"/>
      <c r="G986" s="50"/>
    </row>
    <row r="987" ht="15.75" customHeight="1">
      <c r="A987" s="41"/>
      <c r="B987" s="42"/>
      <c r="C987" s="72"/>
      <c r="D987" s="236"/>
      <c r="E987" s="236"/>
      <c r="F987" s="312"/>
      <c r="G987" s="50"/>
    </row>
    <row r="988" ht="15.75" customHeight="1">
      <c r="A988" s="41"/>
      <c r="B988" s="42"/>
      <c r="C988" s="72"/>
      <c r="D988" s="236"/>
      <c r="E988" s="236"/>
      <c r="F988" s="312"/>
      <c r="G988" s="50"/>
    </row>
    <row r="989" ht="15.75" customHeight="1">
      <c r="A989" s="41"/>
      <c r="B989" s="42"/>
      <c r="C989" s="72"/>
      <c r="D989" s="236"/>
      <c r="E989" s="236"/>
      <c r="F989" s="312"/>
      <c r="G989" s="50"/>
    </row>
    <row r="990" ht="15.75" customHeight="1">
      <c r="A990" s="41"/>
      <c r="B990" s="42"/>
      <c r="C990" s="72"/>
      <c r="D990" s="236"/>
      <c r="E990" s="236"/>
      <c r="F990" s="312"/>
      <c r="G990" s="50"/>
    </row>
    <row r="991" ht="15.75" customHeight="1">
      <c r="A991" s="41"/>
      <c r="B991" s="42"/>
      <c r="C991" s="72"/>
      <c r="D991" s="236"/>
      <c r="E991" s="236"/>
      <c r="F991" s="312"/>
      <c r="G991" s="50"/>
    </row>
    <row r="992" ht="15.75" customHeight="1">
      <c r="A992" s="41"/>
      <c r="B992" s="42"/>
      <c r="C992" s="72"/>
      <c r="D992" s="236"/>
      <c r="E992" s="236"/>
      <c r="F992" s="312"/>
      <c r="G992" s="50"/>
    </row>
    <row r="993" ht="15.75" customHeight="1">
      <c r="A993" s="41"/>
      <c r="B993" s="42"/>
      <c r="C993" s="72"/>
      <c r="D993" s="236"/>
      <c r="E993" s="236"/>
      <c r="F993" s="312"/>
      <c r="G993" s="50"/>
    </row>
    <row r="994" ht="15.75" customHeight="1">
      <c r="A994" s="41"/>
      <c r="B994" s="42"/>
      <c r="C994" s="72"/>
      <c r="D994" s="236"/>
      <c r="E994" s="236"/>
      <c r="F994" s="312"/>
      <c r="G994" s="50"/>
    </row>
    <row r="995" ht="15.75" customHeight="1">
      <c r="A995" s="41"/>
      <c r="B995" s="42"/>
      <c r="C995" s="72"/>
      <c r="D995" s="236"/>
      <c r="E995" s="236"/>
      <c r="F995" s="312"/>
      <c r="G995" s="50"/>
    </row>
    <row r="996" ht="15.75" customHeight="1">
      <c r="A996" s="41"/>
      <c r="B996" s="42"/>
      <c r="C996" s="72"/>
      <c r="D996" s="236"/>
      <c r="E996" s="236"/>
      <c r="F996" s="312"/>
      <c r="G996" s="50"/>
    </row>
    <row r="997" ht="15.75" customHeight="1">
      <c r="A997" s="41"/>
      <c r="B997" s="42"/>
      <c r="C997" s="72"/>
      <c r="D997" s="236"/>
      <c r="E997" s="236"/>
      <c r="F997" s="312"/>
      <c r="G997" s="50"/>
    </row>
    <row r="998" ht="15.75" customHeight="1">
      <c r="A998" s="41"/>
      <c r="B998" s="42"/>
      <c r="C998" s="72"/>
      <c r="D998" s="236"/>
      <c r="E998" s="236"/>
      <c r="F998" s="312"/>
      <c r="G998" s="50"/>
    </row>
    <row r="999" ht="15.75" customHeight="1">
      <c r="A999" s="41"/>
      <c r="B999" s="42"/>
      <c r="C999" s="72"/>
      <c r="D999" s="236"/>
      <c r="E999" s="236"/>
      <c r="F999" s="312"/>
      <c r="G999" s="50"/>
    </row>
    <row r="1000" ht="15.75" customHeight="1">
      <c r="A1000" s="41"/>
      <c r="B1000" s="42"/>
      <c r="C1000" s="72"/>
      <c r="D1000" s="236"/>
      <c r="E1000" s="236"/>
      <c r="F1000" s="312"/>
      <c r="G1000" s="50"/>
    </row>
    <row r="1001" ht="15.75" customHeight="1">
      <c r="A1001" s="41"/>
      <c r="B1001" s="42"/>
      <c r="C1001" s="72"/>
      <c r="D1001" s="236"/>
      <c r="E1001" s="236"/>
      <c r="F1001" s="312"/>
      <c r="G1001" s="50"/>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7" t="s">
        <v>23</v>
      </c>
      <c r="B1" s="77" t="s">
        <v>24</v>
      </c>
      <c r="C1" s="77" t="s">
        <v>25</v>
      </c>
      <c r="D1" s="131" t="s">
        <v>26</v>
      </c>
      <c r="E1" s="27" t="s">
        <v>27</v>
      </c>
      <c r="F1" s="94" t="s">
        <v>28</v>
      </c>
      <c r="G1" s="77" t="s">
        <v>29</v>
      </c>
      <c r="H1" s="141"/>
      <c r="I1" s="141"/>
      <c r="J1" s="141"/>
      <c r="K1" s="141"/>
      <c r="L1" s="141"/>
      <c r="M1" s="141"/>
      <c r="N1" s="141"/>
      <c r="O1" s="141"/>
      <c r="P1" s="141"/>
      <c r="Q1" s="141"/>
      <c r="R1" s="141"/>
      <c r="S1" s="141"/>
      <c r="T1" s="141"/>
      <c r="U1" s="141"/>
      <c r="V1" s="141"/>
      <c r="W1" s="141"/>
      <c r="X1" s="141"/>
      <c r="Y1" s="141"/>
    </row>
    <row r="2">
      <c r="A2" s="79" t="s">
        <v>6072</v>
      </c>
      <c r="B2" s="91"/>
      <c r="C2" s="91"/>
      <c r="D2" s="31"/>
      <c r="E2" s="80"/>
      <c r="F2" s="91"/>
      <c r="G2" s="91"/>
      <c r="H2" s="141"/>
      <c r="I2" s="141"/>
      <c r="J2" s="141"/>
      <c r="K2" s="141"/>
      <c r="L2" s="141"/>
      <c r="M2" s="141"/>
      <c r="N2" s="141"/>
      <c r="O2" s="141"/>
      <c r="P2" s="141"/>
      <c r="Q2" s="141"/>
      <c r="R2" s="141"/>
      <c r="S2" s="141"/>
      <c r="T2" s="141"/>
      <c r="U2" s="141"/>
      <c r="V2" s="141"/>
      <c r="W2" s="141"/>
      <c r="X2" s="141"/>
      <c r="Y2" s="141"/>
    </row>
    <row r="3">
      <c r="A3" s="81" t="s">
        <v>6073</v>
      </c>
      <c r="B3" s="81" t="s">
        <v>6074</v>
      </c>
      <c r="C3" s="313" t="s">
        <v>6075</v>
      </c>
      <c r="D3" s="44" t="s">
        <v>6076</v>
      </c>
      <c r="E3" s="44" t="s">
        <v>6077</v>
      </c>
      <c r="F3" s="84">
        <v>0.21</v>
      </c>
      <c r="G3" s="39" t="str">
        <f>IFERROR(VLOOKUP("MIC1.K",STOCK!B2:Q3692,3,FALSE),"SIN STOCK")</f>
        <v>SIN STOCK</v>
      </c>
      <c r="H3" s="141"/>
      <c r="I3" s="141"/>
      <c r="J3" s="141"/>
      <c r="K3" s="141"/>
      <c r="L3" s="141"/>
      <c r="M3" s="141"/>
      <c r="N3" s="141"/>
      <c r="O3" s="141"/>
      <c r="P3" s="141"/>
      <c r="Q3" s="141"/>
      <c r="R3" s="141"/>
      <c r="S3" s="141"/>
      <c r="T3" s="141"/>
      <c r="U3" s="141"/>
      <c r="V3" s="141"/>
      <c r="W3" s="141"/>
      <c r="X3" s="141"/>
      <c r="Y3" s="141"/>
    </row>
    <row r="4">
      <c r="A4" s="86" t="s">
        <v>6073</v>
      </c>
      <c r="B4" s="86" t="s">
        <v>6078</v>
      </c>
      <c r="C4" s="34" t="s">
        <v>6079</v>
      </c>
      <c r="D4" s="37" t="s">
        <v>6080</v>
      </c>
      <c r="E4" s="37" t="s">
        <v>6081</v>
      </c>
      <c r="F4" s="38">
        <v>0.21</v>
      </c>
      <c r="G4" s="39" t="str">
        <f>IFERROR(VLOOKUP("MIC2.K",STOCK!B3:Q3693,3,FALSE),"SIN STOCK")</f>
        <v>Mayor a 5</v>
      </c>
      <c r="H4" s="141"/>
      <c r="I4" s="141"/>
      <c r="J4" s="141"/>
      <c r="K4" s="141"/>
      <c r="L4" s="141"/>
      <c r="M4" s="141"/>
      <c r="N4" s="141"/>
      <c r="O4" s="141"/>
      <c r="P4" s="141"/>
      <c r="Q4" s="141"/>
      <c r="R4" s="141"/>
      <c r="S4" s="141"/>
      <c r="T4" s="141"/>
      <c r="U4" s="141"/>
      <c r="V4" s="141"/>
      <c r="W4" s="141"/>
      <c r="X4" s="141"/>
      <c r="Y4" s="141"/>
    </row>
    <row r="5">
      <c r="A5" s="81" t="s">
        <v>6073</v>
      </c>
      <c r="B5" s="81" t="s">
        <v>6082</v>
      </c>
      <c r="C5" s="313" t="s">
        <v>6083</v>
      </c>
      <c r="D5" s="44" t="s">
        <v>6084</v>
      </c>
      <c r="E5" s="44" t="s">
        <v>6085</v>
      </c>
      <c r="F5" s="84">
        <v>0.21</v>
      </c>
      <c r="G5" s="39" t="str">
        <f>IFERROR(VLOOKUP("MIC4.K",STOCK!B4:Q3694,3,FALSE),"SIN STOCK")</f>
        <v>Menor a 5</v>
      </c>
      <c r="H5" s="141"/>
      <c r="I5" s="141"/>
      <c r="J5" s="141"/>
      <c r="K5" s="141"/>
      <c r="L5" s="141"/>
      <c r="M5" s="141"/>
      <c r="N5" s="141"/>
      <c r="O5" s="141"/>
      <c r="P5" s="141"/>
      <c r="Q5" s="141"/>
      <c r="R5" s="141"/>
      <c r="S5" s="141"/>
      <c r="T5" s="141"/>
      <c r="U5" s="141"/>
      <c r="V5" s="141"/>
      <c r="W5" s="141"/>
      <c r="X5" s="141"/>
      <c r="Y5" s="141"/>
    </row>
    <row r="6">
      <c r="A6" s="86" t="s">
        <v>6073</v>
      </c>
      <c r="B6" s="86" t="s">
        <v>6086</v>
      </c>
      <c r="C6" s="86" t="s">
        <v>6087</v>
      </c>
      <c r="D6" s="37" t="s">
        <v>2095</v>
      </c>
      <c r="E6" s="37" t="s">
        <v>2095</v>
      </c>
      <c r="F6" s="38">
        <v>0.21</v>
      </c>
      <c r="G6" s="39" t="str">
        <f>IFERROR(VLOOKUP("INST1.K",STOCK!B5:Q3695,3,FALSE),"SIN STOCK")</f>
        <v>Menor a 5</v>
      </c>
      <c r="H6" s="141"/>
      <c r="I6" s="141"/>
      <c r="J6" s="141"/>
      <c r="K6" s="141"/>
      <c r="L6" s="141"/>
      <c r="M6" s="141"/>
      <c r="N6" s="141"/>
      <c r="O6" s="141"/>
      <c r="P6" s="141"/>
      <c r="Q6" s="141"/>
      <c r="R6" s="141"/>
      <c r="S6" s="141"/>
      <c r="T6" s="141"/>
      <c r="U6" s="141"/>
      <c r="V6" s="141"/>
      <c r="W6" s="141"/>
      <c r="X6" s="141"/>
      <c r="Y6" s="141"/>
    </row>
    <row r="7">
      <c r="A7" s="79" t="s">
        <v>6088</v>
      </c>
      <c r="B7" s="91"/>
      <c r="C7" s="91"/>
      <c r="D7" s="31"/>
      <c r="E7" s="80"/>
      <c r="F7" s="91"/>
      <c r="G7" s="80"/>
      <c r="H7" s="141"/>
      <c r="I7" s="141"/>
      <c r="J7" s="141"/>
      <c r="K7" s="141"/>
      <c r="L7" s="141"/>
      <c r="M7" s="141"/>
      <c r="N7" s="141"/>
      <c r="O7" s="141"/>
      <c r="P7" s="141"/>
      <c r="Q7" s="141"/>
      <c r="R7" s="141"/>
      <c r="S7" s="141"/>
      <c r="T7" s="141"/>
      <c r="U7" s="141"/>
      <c r="V7" s="141"/>
      <c r="W7" s="141"/>
      <c r="X7" s="141"/>
      <c r="Y7" s="141"/>
    </row>
    <row r="8">
      <c r="A8" s="81" t="s">
        <v>6073</v>
      </c>
      <c r="B8" s="81" t="s">
        <v>6089</v>
      </c>
      <c r="C8" s="81" t="s">
        <v>6090</v>
      </c>
      <c r="D8" s="44" t="s">
        <v>6091</v>
      </c>
      <c r="E8" s="44" t="s">
        <v>6092</v>
      </c>
      <c r="F8" s="84">
        <v>0.21</v>
      </c>
      <c r="G8" s="39" t="str">
        <f>IFERROR(VLOOKUP("SN4-IJIS",STOCK!B7:Q3697,3,FALSE),"SIN STOCK")</f>
        <v>Menor a 5</v>
      </c>
      <c r="H8" s="141"/>
      <c r="I8" s="141"/>
      <c r="J8" s="141"/>
      <c r="K8" s="141"/>
      <c r="L8" s="141"/>
      <c r="M8" s="141"/>
      <c r="N8" s="141"/>
      <c r="O8" s="141"/>
      <c r="P8" s="141"/>
      <c r="Q8" s="141"/>
      <c r="R8" s="141"/>
      <c r="S8" s="141"/>
      <c r="T8" s="141"/>
      <c r="U8" s="141"/>
      <c r="V8" s="141"/>
      <c r="W8" s="141"/>
      <c r="X8" s="141"/>
      <c r="Y8" s="141"/>
    </row>
    <row r="9">
      <c r="A9" s="86" t="s">
        <v>6073</v>
      </c>
      <c r="B9" s="86" t="s">
        <v>6093</v>
      </c>
      <c r="C9" s="86" t="s">
        <v>6094</v>
      </c>
      <c r="D9" s="37" t="s">
        <v>6091</v>
      </c>
      <c r="E9" s="37" t="s">
        <v>6092</v>
      </c>
      <c r="F9" s="38">
        <v>0.21</v>
      </c>
      <c r="G9" s="39" t="str">
        <f>IFERROR(VLOOKUP("SN6-IJIS",STOCK!B8:Q3698,3,FALSE),"SIN STOCK")</f>
        <v>Menor a 5</v>
      </c>
      <c r="H9" s="141"/>
      <c r="I9" s="141"/>
      <c r="J9" s="141"/>
      <c r="K9" s="141"/>
      <c r="L9" s="141"/>
      <c r="M9" s="141"/>
      <c r="N9" s="141"/>
      <c r="O9" s="141"/>
      <c r="P9" s="141"/>
      <c r="Q9" s="141"/>
      <c r="R9" s="141"/>
      <c r="S9" s="141"/>
      <c r="T9" s="141"/>
      <c r="U9" s="141"/>
      <c r="V9" s="141"/>
      <c r="W9" s="141"/>
      <c r="X9" s="141"/>
      <c r="Y9" s="141"/>
    </row>
    <row r="10">
      <c r="A10" s="81" t="s">
        <v>6073</v>
      </c>
      <c r="B10" s="81" t="s">
        <v>6095</v>
      </c>
      <c r="C10" s="81" t="s">
        <v>6096</v>
      </c>
      <c r="D10" s="44" t="s">
        <v>6097</v>
      </c>
      <c r="E10" s="44" t="s">
        <v>6098</v>
      </c>
      <c r="F10" s="84">
        <v>0.21</v>
      </c>
      <c r="G10" s="39" t="str">
        <f>IFERROR(VLOOKUP("SN9-IJIS",STOCK!B9:Q3699,3,FALSE),"SIN STOCK")</f>
        <v>Mayor a 5</v>
      </c>
      <c r="H10" s="141"/>
      <c r="I10" s="141"/>
      <c r="J10" s="141"/>
      <c r="K10" s="141"/>
      <c r="L10" s="141"/>
      <c r="M10" s="141"/>
      <c r="N10" s="141"/>
      <c r="O10" s="141"/>
      <c r="P10" s="141"/>
      <c r="Q10" s="141"/>
      <c r="R10" s="141"/>
      <c r="S10" s="141"/>
      <c r="T10" s="141"/>
      <c r="U10" s="141"/>
      <c r="V10" s="141"/>
      <c r="W10" s="141"/>
      <c r="X10" s="141"/>
      <c r="Y10" s="141"/>
    </row>
    <row r="11">
      <c r="A11" s="86" t="s">
        <v>6073</v>
      </c>
      <c r="B11" s="86" t="s">
        <v>6099</v>
      </c>
      <c r="C11" s="86" t="s">
        <v>6100</v>
      </c>
      <c r="D11" s="37" t="s">
        <v>6101</v>
      </c>
      <c r="E11" s="37" t="s">
        <v>6102</v>
      </c>
      <c r="F11" s="38">
        <v>0.21</v>
      </c>
      <c r="G11" s="39" t="str">
        <f>IFERROR(VLOOKUP("SN12-IJIS",STOCK!B10:Q3700,3,FALSE),"SIN STOCK")</f>
        <v>Mayor a 5</v>
      </c>
      <c r="H11" s="141"/>
      <c r="I11" s="141"/>
      <c r="J11" s="141"/>
      <c r="K11" s="141"/>
      <c r="L11" s="141"/>
      <c r="M11" s="141"/>
      <c r="N11" s="141"/>
      <c r="O11" s="141"/>
      <c r="P11" s="141"/>
      <c r="Q11" s="141"/>
      <c r="R11" s="141"/>
      <c r="S11" s="141"/>
      <c r="T11" s="141"/>
      <c r="U11" s="141"/>
      <c r="V11" s="141"/>
      <c r="W11" s="141"/>
      <c r="X11" s="141"/>
      <c r="Y11" s="141"/>
    </row>
    <row r="12">
      <c r="A12" s="81" t="s">
        <v>6073</v>
      </c>
      <c r="B12" s="81" t="s">
        <v>6103</v>
      </c>
      <c r="C12" s="81" t="s">
        <v>6104</v>
      </c>
      <c r="D12" s="44" t="s">
        <v>5174</v>
      </c>
      <c r="E12" s="44" t="s">
        <v>6105</v>
      </c>
      <c r="F12" s="84">
        <v>0.21</v>
      </c>
      <c r="G12" s="39" t="str">
        <f>IFERROR(VLOOKUP("SN16-IJIS",STOCK!B11:Q3701,3,FALSE),"SIN STOCK")</f>
        <v>Menor a 5</v>
      </c>
      <c r="H12" s="141"/>
      <c r="I12" s="141"/>
      <c r="J12" s="141"/>
      <c r="K12" s="141"/>
      <c r="L12" s="141"/>
      <c r="M12" s="141"/>
      <c r="N12" s="141"/>
      <c r="O12" s="141"/>
      <c r="P12" s="141"/>
      <c r="Q12" s="141"/>
      <c r="R12" s="141"/>
      <c r="S12" s="141"/>
      <c r="T12" s="141"/>
      <c r="U12" s="141"/>
      <c r="V12" s="141"/>
      <c r="W12" s="141"/>
      <c r="X12" s="141"/>
      <c r="Y12" s="141"/>
    </row>
    <row r="13">
      <c r="A13" s="86" t="s">
        <v>6073</v>
      </c>
      <c r="B13" s="86" t="s">
        <v>6106</v>
      </c>
      <c r="C13" s="86" t="s">
        <v>6107</v>
      </c>
      <c r="D13" s="37" t="s">
        <v>2095</v>
      </c>
      <c r="E13" s="37" t="s">
        <v>2095</v>
      </c>
      <c r="F13" s="38">
        <v>0.21</v>
      </c>
      <c r="G13" s="39" t="str">
        <f>IFERROR(VLOOKUP("SN20-IJIS",STOCK!B12:Q3702,3,FALSE),"SIN STOCK")</f>
        <v>SIN STOCK</v>
      </c>
      <c r="H13" s="141"/>
      <c r="I13" s="141"/>
      <c r="J13" s="141"/>
      <c r="K13" s="141"/>
      <c r="L13" s="141"/>
      <c r="M13" s="141"/>
      <c r="N13" s="141"/>
      <c r="O13" s="141"/>
      <c r="P13" s="141"/>
      <c r="Q13" s="141"/>
      <c r="R13" s="141"/>
      <c r="S13" s="141"/>
      <c r="T13" s="141"/>
      <c r="U13" s="141"/>
      <c r="V13" s="141"/>
      <c r="W13" s="141"/>
      <c r="X13" s="141"/>
      <c r="Y13" s="141"/>
    </row>
    <row r="14">
      <c r="A14" s="81" t="s">
        <v>6073</v>
      </c>
      <c r="B14" s="81" t="s">
        <v>6108</v>
      </c>
      <c r="C14" s="81" t="s">
        <v>6109</v>
      </c>
      <c r="D14" s="44" t="s">
        <v>2095</v>
      </c>
      <c r="E14" s="44" t="s">
        <v>2095</v>
      </c>
      <c r="F14" s="84">
        <v>0.21</v>
      </c>
      <c r="G14" s="39" t="str">
        <f>IFERROR(VLOOKUP("SN28-IJIS",STOCK!B13:Q3703,3,FALSE),"SIN STOCK")</f>
        <v>SIN STOCK</v>
      </c>
      <c r="H14" s="141"/>
      <c r="I14" s="141"/>
      <c r="J14" s="141"/>
      <c r="K14" s="141"/>
      <c r="L14" s="141"/>
      <c r="M14" s="141"/>
      <c r="N14" s="141"/>
      <c r="O14" s="141"/>
      <c r="P14" s="141"/>
      <c r="Q14" s="141"/>
      <c r="R14" s="141"/>
      <c r="S14" s="141"/>
      <c r="T14" s="141"/>
      <c r="U14" s="141"/>
      <c r="V14" s="141"/>
      <c r="W14" s="141"/>
      <c r="X14" s="141"/>
      <c r="Y14" s="141"/>
    </row>
    <row r="15">
      <c r="A15" s="86" t="s">
        <v>6073</v>
      </c>
      <c r="B15" s="86" t="s">
        <v>6110</v>
      </c>
      <c r="C15" s="86" t="s">
        <v>6111</v>
      </c>
      <c r="D15" s="37" t="s">
        <v>2095</v>
      </c>
      <c r="E15" s="37" t="s">
        <v>2095</v>
      </c>
      <c r="F15" s="38">
        <v>0.21</v>
      </c>
      <c r="G15" s="39" t="str">
        <f>IFERROR(VLOOKUP("SN32-IJIS",STOCK!B14:Q3704,3,FALSE),"SIN STOCK")</f>
        <v>SIN STOCK</v>
      </c>
      <c r="H15" s="141"/>
      <c r="I15" s="141"/>
      <c r="J15" s="141"/>
      <c r="K15" s="141"/>
      <c r="L15" s="141"/>
      <c r="M15" s="141"/>
      <c r="N15" s="141"/>
      <c r="O15" s="141"/>
      <c r="P15" s="141"/>
      <c r="Q15" s="141"/>
      <c r="R15" s="141"/>
      <c r="S15" s="141"/>
      <c r="T15" s="141"/>
      <c r="U15" s="141"/>
      <c r="V15" s="141"/>
      <c r="W15" s="141"/>
      <c r="X15" s="141"/>
      <c r="Y15" s="141"/>
    </row>
    <row r="16">
      <c r="A16" s="79" t="s">
        <v>6112</v>
      </c>
      <c r="B16" s="91"/>
      <c r="C16" s="91"/>
      <c r="D16" s="31"/>
      <c r="E16" s="80"/>
      <c r="F16" s="91"/>
      <c r="G16" s="80"/>
      <c r="H16" s="141"/>
      <c r="I16" s="141"/>
      <c r="J16" s="141"/>
      <c r="K16" s="141"/>
      <c r="L16" s="141"/>
      <c r="M16" s="141"/>
      <c r="N16" s="141"/>
      <c r="O16" s="141"/>
      <c r="P16" s="141"/>
      <c r="Q16" s="141"/>
      <c r="R16" s="141"/>
      <c r="S16" s="141"/>
      <c r="T16" s="141"/>
      <c r="U16" s="141"/>
      <c r="V16" s="141"/>
      <c r="W16" s="141"/>
      <c r="X16" s="141"/>
      <c r="Y16" s="141"/>
    </row>
    <row r="17">
      <c r="A17" s="81" t="s">
        <v>6073</v>
      </c>
      <c r="B17" s="81" t="s">
        <v>6113</v>
      </c>
      <c r="C17" s="81" t="s">
        <v>6114</v>
      </c>
      <c r="D17" s="44" t="s">
        <v>6115</v>
      </c>
      <c r="E17" s="44" t="s">
        <v>6116</v>
      </c>
      <c r="F17" s="314">
        <v>0.105</v>
      </c>
      <c r="G17" s="39" t="str">
        <f>IFERROR(VLOOKUP("DB-1",STOCK!B16:Q3706,3,FALSE),"SIN STOCK")</f>
        <v>SIN STOCK</v>
      </c>
      <c r="H17" s="141"/>
      <c r="I17" s="141"/>
      <c r="J17" s="141"/>
      <c r="K17" s="141"/>
      <c r="L17" s="141"/>
      <c r="M17" s="141"/>
      <c r="N17" s="141"/>
      <c r="O17" s="141"/>
      <c r="P17" s="141"/>
      <c r="Q17" s="141"/>
      <c r="R17" s="141"/>
      <c r="S17" s="141"/>
      <c r="T17" s="141"/>
      <c r="U17" s="141"/>
      <c r="V17" s="141"/>
      <c r="W17" s="141"/>
      <c r="X17" s="141"/>
      <c r="Y17" s="141"/>
    </row>
    <row r="18">
      <c r="A18" s="86" t="s">
        <v>6073</v>
      </c>
      <c r="B18" s="86" t="s">
        <v>6117</v>
      </c>
      <c r="C18" s="86" t="s">
        <v>6118</v>
      </c>
      <c r="D18" s="37" t="s">
        <v>6119</v>
      </c>
      <c r="E18" s="37" t="s">
        <v>6120</v>
      </c>
      <c r="F18" s="315">
        <v>0.105</v>
      </c>
      <c r="G18" s="39" t="str">
        <f>IFERROR(VLOOKUP("DB-2",STOCK!B17:Q3707,3,FALSE),"SIN STOCK")</f>
        <v>Mayor a 5</v>
      </c>
      <c r="H18" s="141"/>
      <c r="I18" s="141"/>
      <c r="J18" s="141"/>
      <c r="K18" s="141"/>
      <c r="L18" s="141"/>
      <c r="M18" s="141"/>
      <c r="N18" s="141"/>
      <c r="O18" s="141"/>
      <c r="P18" s="141"/>
      <c r="Q18" s="141"/>
      <c r="R18" s="141"/>
      <c r="S18" s="141"/>
      <c r="T18" s="141"/>
      <c r="U18" s="141"/>
      <c r="V18" s="141"/>
      <c r="W18" s="141"/>
      <c r="X18" s="141"/>
      <c r="Y18" s="141"/>
    </row>
    <row r="19">
      <c r="A19" s="79" t="s">
        <v>6121</v>
      </c>
      <c r="B19" s="91"/>
      <c r="C19" s="91"/>
      <c r="D19" s="31"/>
      <c r="E19" s="80"/>
      <c r="F19" s="91"/>
      <c r="G19" s="80"/>
      <c r="H19" s="141"/>
      <c r="I19" s="141"/>
      <c r="J19" s="141"/>
      <c r="K19" s="141"/>
      <c r="L19" s="141"/>
      <c r="M19" s="141"/>
      <c r="N19" s="141"/>
      <c r="O19" s="141"/>
      <c r="P19" s="141"/>
      <c r="Q19" s="141"/>
      <c r="R19" s="141"/>
      <c r="S19" s="141"/>
      <c r="T19" s="141"/>
      <c r="U19" s="141"/>
      <c r="V19" s="141"/>
      <c r="W19" s="141"/>
      <c r="X19" s="141"/>
      <c r="Y19" s="141"/>
    </row>
    <row r="20">
      <c r="A20" s="81" t="s">
        <v>6122</v>
      </c>
      <c r="B20" s="81" t="s">
        <v>6123</v>
      </c>
      <c r="C20" s="81" t="s">
        <v>6124</v>
      </c>
      <c r="D20" s="44" t="s">
        <v>6125</v>
      </c>
      <c r="E20" s="44" t="s">
        <v>6126</v>
      </c>
      <c r="F20" s="84">
        <v>0.21</v>
      </c>
      <c r="G20" s="39" t="str">
        <f>IFERROR(VLOOKUP("CNN06",STOCK!B19:Q3709,3,FALSE),"SIN STOCK")</f>
        <v>Mayor a 5</v>
      </c>
      <c r="H20" s="141"/>
      <c r="I20" s="141"/>
      <c r="J20" s="141"/>
      <c r="K20" s="141"/>
      <c r="L20" s="141"/>
      <c r="M20" s="141"/>
      <c r="N20" s="141"/>
      <c r="O20" s="141"/>
      <c r="P20" s="141"/>
      <c r="Q20" s="141"/>
      <c r="R20" s="141"/>
      <c r="S20" s="141"/>
      <c r="T20" s="141"/>
      <c r="U20" s="141"/>
      <c r="V20" s="141"/>
      <c r="W20" s="141"/>
      <c r="X20" s="141"/>
      <c r="Y20" s="141"/>
    </row>
    <row r="21">
      <c r="A21" s="86" t="s">
        <v>6122</v>
      </c>
      <c r="B21" s="86" t="s">
        <v>6127</v>
      </c>
      <c r="C21" s="86" t="s">
        <v>6128</v>
      </c>
      <c r="D21" s="37" t="s">
        <v>6129</v>
      </c>
      <c r="E21" s="37" t="s">
        <v>6130</v>
      </c>
      <c r="F21" s="38">
        <v>0.21</v>
      </c>
      <c r="G21" s="39" t="str">
        <f>IFERROR(VLOOKUP("CNN09",STOCK!B19:Q3709,3,FALSE),"SIN STOCK")</f>
        <v>Mayor a 5</v>
      </c>
      <c r="H21" s="141"/>
      <c r="I21" s="141"/>
      <c r="J21" s="141"/>
      <c r="K21" s="141"/>
      <c r="L21" s="141"/>
      <c r="M21" s="141"/>
      <c r="N21" s="141"/>
      <c r="O21" s="141"/>
      <c r="P21" s="141"/>
      <c r="Q21" s="141"/>
      <c r="R21" s="141"/>
      <c r="S21" s="141"/>
      <c r="T21" s="141"/>
      <c r="U21" s="141"/>
      <c r="V21" s="141"/>
      <c r="W21" s="141"/>
      <c r="X21" s="141"/>
      <c r="Y21" s="141"/>
    </row>
    <row r="22">
      <c r="A22" s="141"/>
      <c r="B22" s="141"/>
      <c r="C22" s="141"/>
      <c r="D22" s="92"/>
      <c r="E22" s="92"/>
      <c r="F22" s="141"/>
      <c r="G22" s="141"/>
      <c r="H22" s="141"/>
      <c r="I22" s="141"/>
      <c r="J22" s="141"/>
      <c r="K22" s="141"/>
      <c r="L22" s="141"/>
      <c r="M22" s="141"/>
      <c r="N22" s="141"/>
      <c r="O22" s="141"/>
      <c r="P22" s="141"/>
      <c r="Q22" s="141"/>
      <c r="R22" s="141"/>
      <c r="S22" s="141"/>
      <c r="T22" s="141"/>
      <c r="U22" s="141"/>
      <c r="V22" s="141"/>
      <c r="W22" s="141"/>
      <c r="X22" s="141"/>
      <c r="Y22" s="141"/>
    </row>
    <row r="23">
      <c r="A23" s="141"/>
      <c r="B23" s="141"/>
      <c r="C23" s="141"/>
      <c r="D23" s="92"/>
      <c r="E23" s="92"/>
      <c r="F23" s="141"/>
      <c r="G23" s="141"/>
      <c r="H23" s="141"/>
      <c r="I23" s="141"/>
      <c r="J23" s="141"/>
      <c r="K23" s="141"/>
      <c r="L23" s="141"/>
      <c r="M23" s="141"/>
      <c r="N23" s="141"/>
      <c r="O23" s="141"/>
      <c r="P23" s="141"/>
      <c r="Q23" s="141"/>
      <c r="R23" s="141"/>
      <c r="S23" s="141"/>
      <c r="T23" s="141"/>
      <c r="U23" s="141"/>
      <c r="V23" s="141"/>
      <c r="W23" s="141"/>
      <c r="X23" s="141"/>
      <c r="Y23" s="141"/>
    </row>
    <row r="24">
      <c r="A24" s="141"/>
      <c r="B24" s="141"/>
      <c r="C24" s="141"/>
      <c r="D24" s="92"/>
      <c r="E24" s="92"/>
      <c r="F24" s="141"/>
      <c r="G24" s="141"/>
      <c r="H24" s="141"/>
      <c r="I24" s="141"/>
      <c r="J24" s="316">
        <v>13259.0</v>
      </c>
      <c r="K24" s="141"/>
      <c r="L24" s="141"/>
      <c r="M24" s="141"/>
      <c r="N24" s="141"/>
      <c r="O24" s="141"/>
      <c r="P24" s="141"/>
      <c r="Q24" s="141"/>
      <c r="R24" s="141"/>
      <c r="S24" s="141"/>
      <c r="T24" s="141"/>
      <c r="U24" s="141"/>
      <c r="V24" s="141"/>
      <c r="W24" s="141"/>
      <c r="X24" s="141"/>
      <c r="Y24" s="141"/>
    </row>
    <row r="25">
      <c r="A25" s="141"/>
      <c r="B25" s="141"/>
      <c r="C25" s="141"/>
      <c r="D25" s="92"/>
      <c r="E25" s="92"/>
      <c r="F25" s="141"/>
      <c r="G25" s="141"/>
      <c r="H25" s="141"/>
      <c r="I25" s="141"/>
      <c r="J25" s="141"/>
      <c r="K25" s="141"/>
      <c r="L25" s="141"/>
      <c r="M25" s="141"/>
      <c r="N25" s="141"/>
      <c r="O25" s="141"/>
      <c r="P25" s="141"/>
      <c r="Q25" s="141"/>
      <c r="R25" s="141"/>
      <c r="S25" s="141"/>
      <c r="T25" s="141"/>
      <c r="U25" s="141"/>
      <c r="V25" s="141"/>
      <c r="W25" s="141"/>
      <c r="X25" s="141"/>
      <c r="Y25" s="141"/>
    </row>
    <row r="26">
      <c r="A26" s="141"/>
      <c r="B26" s="141"/>
      <c r="C26" s="141"/>
      <c r="D26" s="92"/>
      <c r="E26" s="92"/>
      <c r="F26" s="141"/>
      <c r="G26" s="141"/>
      <c r="H26" s="141"/>
      <c r="I26" s="141"/>
      <c r="J26" s="141"/>
      <c r="K26" s="141"/>
      <c r="L26" s="141"/>
      <c r="M26" s="141"/>
      <c r="N26" s="141"/>
      <c r="O26" s="141"/>
      <c r="P26" s="141"/>
      <c r="Q26" s="141"/>
      <c r="R26" s="141"/>
      <c r="S26" s="141"/>
      <c r="T26" s="141"/>
      <c r="U26" s="141"/>
      <c r="V26" s="141"/>
      <c r="W26" s="141"/>
      <c r="X26" s="141"/>
      <c r="Y26" s="141"/>
    </row>
    <row r="27">
      <c r="A27" s="141"/>
      <c r="B27" s="141"/>
      <c r="C27" s="141"/>
      <c r="D27" s="92"/>
      <c r="E27" s="92"/>
      <c r="F27" s="141"/>
      <c r="G27" s="141"/>
      <c r="H27" s="141"/>
      <c r="I27" s="141"/>
      <c r="J27" s="141"/>
      <c r="K27" s="141"/>
      <c r="L27" s="141"/>
      <c r="M27" s="141"/>
      <c r="N27" s="141"/>
      <c r="O27" s="141"/>
      <c r="P27" s="141"/>
      <c r="Q27" s="141"/>
      <c r="R27" s="141"/>
      <c r="S27" s="141"/>
      <c r="T27" s="141"/>
      <c r="U27" s="141"/>
      <c r="V27" s="141"/>
      <c r="W27" s="141"/>
      <c r="X27" s="141"/>
      <c r="Y27" s="141"/>
    </row>
    <row r="28">
      <c r="A28" s="141"/>
      <c r="B28" s="141"/>
      <c r="C28" s="141"/>
      <c r="D28" s="92"/>
      <c r="E28" s="92"/>
      <c r="F28" s="141"/>
      <c r="G28" s="141"/>
      <c r="H28" s="141"/>
      <c r="I28" s="141"/>
      <c r="J28" s="141"/>
      <c r="K28" s="141"/>
      <c r="L28" s="141"/>
      <c r="M28" s="141"/>
      <c r="N28" s="141"/>
      <c r="O28" s="141"/>
      <c r="P28" s="141"/>
      <c r="Q28" s="141"/>
      <c r="R28" s="141"/>
      <c r="S28" s="141"/>
      <c r="T28" s="141"/>
      <c r="U28" s="141"/>
      <c r="V28" s="141"/>
      <c r="W28" s="141"/>
      <c r="X28" s="141"/>
      <c r="Y28" s="141"/>
    </row>
    <row r="29">
      <c r="A29" s="141"/>
      <c r="B29" s="141"/>
      <c r="C29" s="141"/>
      <c r="D29" s="92"/>
      <c r="E29" s="92"/>
      <c r="F29" s="141"/>
      <c r="G29" s="141"/>
      <c r="H29" s="141"/>
      <c r="I29" s="141"/>
      <c r="J29" s="141"/>
      <c r="K29" s="141"/>
      <c r="L29" s="141"/>
      <c r="M29" s="141"/>
      <c r="N29" s="141"/>
      <c r="O29" s="141"/>
      <c r="P29" s="141"/>
      <c r="Q29" s="141"/>
      <c r="R29" s="141"/>
      <c r="S29" s="141"/>
      <c r="T29" s="141"/>
      <c r="U29" s="141"/>
      <c r="V29" s="141"/>
      <c r="W29" s="141"/>
      <c r="X29" s="141"/>
      <c r="Y29" s="141"/>
    </row>
    <row r="30">
      <c r="A30" s="141"/>
      <c r="B30" s="141"/>
      <c r="C30" s="141"/>
      <c r="D30" s="92"/>
      <c r="E30" s="92"/>
      <c r="F30" s="141"/>
      <c r="G30" s="141"/>
      <c r="H30" s="141"/>
      <c r="I30" s="141"/>
      <c r="J30" s="141"/>
      <c r="K30" s="141"/>
      <c r="L30" s="141"/>
      <c r="M30" s="141"/>
      <c r="N30" s="141"/>
      <c r="O30" s="141"/>
      <c r="P30" s="141"/>
      <c r="Q30" s="141"/>
      <c r="R30" s="141"/>
      <c r="S30" s="141"/>
      <c r="T30" s="141"/>
      <c r="U30" s="141"/>
      <c r="V30" s="141"/>
      <c r="W30" s="141"/>
      <c r="X30" s="141"/>
      <c r="Y30" s="141"/>
    </row>
    <row r="31">
      <c r="A31" s="141"/>
      <c r="B31" s="141"/>
      <c r="C31" s="141"/>
      <c r="D31" s="92"/>
      <c r="E31" s="92"/>
      <c r="F31" s="141"/>
      <c r="G31" s="141"/>
      <c r="H31" s="141"/>
      <c r="I31" s="141"/>
      <c r="J31" s="141"/>
      <c r="K31" s="141"/>
      <c r="L31" s="141"/>
      <c r="M31" s="141"/>
      <c r="N31" s="141"/>
      <c r="O31" s="141"/>
      <c r="P31" s="141"/>
      <c r="Q31" s="141"/>
      <c r="R31" s="141"/>
      <c r="S31" s="141"/>
      <c r="T31" s="141"/>
      <c r="U31" s="141"/>
      <c r="V31" s="141"/>
      <c r="W31" s="141"/>
      <c r="X31" s="141"/>
      <c r="Y31" s="141"/>
    </row>
    <row r="32">
      <c r="A32" s="141"/>
      <c r="B32" s="141"/>
      <c r="C32" s="141"/>
      <c r="D32" s="92"/>
      <c r="E32" s="92"/>
      <c r="F32" s="141"/>
      <c r="G32" s="141"/>
      <c r="H32" s="141"/>
      <c r="I32" s="141"/>
      <c r="J32" s="141"/>
      <c r="K32" s="141"/>
      <c r="L32" s="141"/>
      <c r="M32" s="141"/>
      <c r="N32" s="141"/>
      <c r="O32" s="141"/>
      <c r="P32" s="141"/>
      <c r="Q32" s="141"/>
      <c r="R32" s="141"/>
      <c r="S32" s="141"/>
      <c r="T32" s="141"/>
      <c r="U32" s="141"/>
      <c r="V32" s="141"/>
      <c r="W32" s="141"/>
      <c r="X32" s="141"/>
      <c r="Y32" s="141"/>
    </row>
    <row r="33">
      <c r="A33" s="141"/>
      <c r="B33" s="141"/>
      <c r="C33" s="141"/>
      <c r="D33" s="92"/>
      <c r="E33" s="92"/>
      <c r="F33" s="141"/>
      <c r="G33" s="141"/>
      <c r="H33" s="141"/>
      <c r="I33" s="141"/>
      <c r="J33" s="141"/>
      <c r="K33" s="141"/>
      <c r="L33" s="141"/>
      <c r="M33" s="141"/>
      <c r="N33" s="141"/>
      <c r="O33" s="141"/>
      <c r="P33" s="141"/>
      <c r="Q33" s="141"/>
      <c r="R33" s="141"/>
      <c r="S33" s="141"/>
      <c r="T33" s="141"/>
      <c r="U33" s="141"/>
      <c r="V33" s="141"/>
      <c r="W33" s="141"/>
      <c r="X33" s="141"/>
      <c r="Y33" s="141"/>
    </row>
    <row r="34">
      <c r="A34" s="141"/>
      <c r="B34" s="141"/>
      <c r="C34" s="141"/>
      <c r="D34" s="92"/>
      <c r="E34" s="92"/>
      <c r="F34" s="141"/>
      <c r="G34" s="141"/>
      <c r="H34" s="141"/>
      <c r="I34" s="141"/>
      <c r="J34" s="141"/>
      <c r="K34" s="141"/>
      <c r="L34" s="141"/>
      <c r="M34" s="141"/>
      <c r="N34" s="141"/>
      <c r="O34" s="141"/>
      <c r="P34" s="141"/>
      <c r="Q34" s="141"/>
      <c r="R34" s="141"/>
      <c r="S34" s="141"/>
      <c r="T34" s="141"/>
      <c r="U34" s="141"/>
      <c r="V34" s="141"/>
      <c r="W34" s="141"/>
      <c r="X34" s="141"/>
      <c r="Y34" s="141"/>
    </row>
    <row r="35">
      <c r="A35" s="141"/>
      <c r="B35" s="141"/>
      <c r="C35" s="141"/>
      <c r="D35" s="92"/>
      <c r="E35" s="92"/>
      <c r="F35" s="141"/>
      <c r="G35" s="141"/>
      <c r="H35" s="141"/>
      <c r="I35" s="141"/>
      <c r="J35" s="141"/>
      <c r="K35" s="141"/>
      <c r="L35" s="141"/>
      <c r="M35" s="141"/>
      <c r="N35" s="141"/>
      <c r="O35" s="141"/>
      <c r="P35" s="141"/>
      <c r="Q35" s="141"/>
      <c r="R35" s="141"/>
      <c r="S35" s="141"/>
      <c r="T35" s="141"/>
      <c r="U35" s="141"/>
      <c r="V35" s="141"/>
      <c r="W35" s="141"/>
      <c r="X35" s="141"/>
      <c r="Y35" s="141"/>
    </row>
    <row r="36">
      <c r="A36" s="141"/>
      <c r="B36" s="141"/>
      <c r="C36" s="141"/>
      <c r="D36" s="92"/>
      <c r="E36" s="92"/>
      <c r="F36" s="141"/>
      <c r="G36" s="141"/>
      <c r="H36" s="141"/>
      <c r="I36" s="141"/>
      <c r="J36" s="141"/>
      <c r="K36" s="141"/>
      <c r="L36" s="141"/>
      <c r="M36" s="141"/>
      <c r="N36" s="141"/>
      <c r="O36" s="141"/>
      <c r="P36" s="141"/>
      <c r="Q36" s="141"/>
      <c r="R36" s="141"/>
      <c r="S36" s="141"/>
      <c r="T36" s="141"/>
      <c r="U36" s="141"/>
      <c r="V36" s="141"/>
      <c r="W36" s="141"/>
      <c r="X36" s="141"/>
      <c r="Y36" s="141"/>
    </row>
    <row r="37">
      <c r="A37" s="141"/>
      <c r="B37" s="141"/>
      <c r="C37" s="141"/>
      <c r="D37" s="92"/>
      <c r="E37" s="92"/>
      <c r="F37" s="141"/>
      <c r="G37" s="141"/>
      <c r="H37" s="141"/>
      <c r="I37" s="141"/>
      <c r="J37" s="141"/>
      <c r="K37" s="141"/>
      <c r="L37" s="141"/>
      <c r="M37" s="141"/>
      <c r="N37" s="141"/>
      <c r="O37" s="141"/>
      <c r="P37" s="141"/>
      <c r="Q37" s="141"/>
      <c r="R37" s="141"/>
      <c r="S37" s="141"/>
      <c r="T37" s="141"/>
      <c r="U37" s="141"/>
      <c r="V37" s="141"/>
      <c r="W37" s="141"/>
      <c r="X37" s="141"/>
      <c r="Y37" s="141"/>
    </row>
    <row r="38">
      <c r="A38" s="141"/>
      <c r="B38" s="141"/>
      <c r="C38" s="141"/>
      <c r="D38" s="92"/>
      <c r="E38" s="92"/>
      <c r="F38" s="141"/>
      <c r="G38" s="141"/>
      <c r="H38" s="141"/>
      <c r="I38" s="141"/>
      <c r="J38" s="141"/>
      <c r="K38" s="141"/>
      <c r="L38" s="141"/>
      <c r="M38" s="141"/>
      <c r="N38" s="141"/>
      <c r="O38" s="141"/>
      <c r="P38" s="141"/>
      <c r="Q38" s="141"/>
      <c r="R38" s="141"/>
      <c r="S38" s="141"/>
      <c r="T38" s="141"/>
      <c r="U38" s="141"/>
      <c r="V38" s="141"/>
      <c r="W38" s="141"/>
      <c r="X38" s="141"/>
      <c r="Y38" s="141"/>
    </row>
    <row r="39">
      <c r="A39" s="141"/>
      <c r="B39" s="141"/>
      <c r="C39" s="141"/>
      <c r="D39" s="92"/>
      <c r="E39" s="92"/>
      <c r="F39" s="141"/>
      <c r="G39" s="141"/>
      <c r="H39" s="141"/>
      <c r="I39" s="141"/>
      <c r="J39" s="141"/>
      <c r="K39" s="141"/>
      <c r="L39" s="141"/>
      <c r="M39" s="141"/>
      <c r="N39" s="141"/>
      <c r="O39" s="141"/>
      <c r="P39" s="141"/>
      <c r="Q39" s="141"/>
      <c r="R39" s="141"/>
      <c r="S39" s="141"/>
      <c r="T39" s="141"/>
      <c r="U39" s="141"/>
      <c r="V39" s="141"/>
      <c r="W39" s="141"/>
      <c r="X39" s="141"/>
      <c r="Y39" s="141"/>
    </row>
    <row r="40">
      <c r="A40" s="141"/>
      <c r="B40" s="141"/>
      <c r="C40" s="141"/>
      <c r="D40" s="92"/>
      <c r="E40" s="92"/>
      <c r="F40" s="141"/>
      <c r="G40" s="141"/>
      <c r="H40" s="141"/>
      <c r="I40" s="141"/>
      <c r="J40" s="141"/>
      <c r="K40" s="141"/>
      <c r="L40" s="141"/>
      <c r="M40" s="141"/>
      <c r="N40" s="141"/>
      <c r="O40" s="141"/>
      <c r="P40" s="141"/>
      <c r="Q40" s="141"/>
      <c r="R40" s="141"/>
      <c r="S40" s="141"/>
      <c r="T40" s="141"/>
      <c r="U40" s="141"/>
      <c r="V40" s="141"/>
      <c r="W40" s="141"/>
      <c r="X40" s="141"/>
      <c r="Y40" s="141"/>
    </row>
    <row r="41">
      <c r="A41" s="141"/>
      <c r="B41" s="141"/>
      <c r="C41" s="141"/>
      <c r="D41" s="92"/>
      <c r="E41" s="92"/>
      <c r="F41" s="141"/>
      <c r="G41" s="141"/>
      <c r="H41" s="141"/>
      <c r="I41" s="141"/>
      <c r="J41" s="141"/>
      <c r="K41" s="141"/>
      <c r="L41" s="141"/>
      <c r="M41" s="141"/>
      <c r="N41" s="141"/>
      <c r="O41" s="141"/>
      <c r="P41" s="141"/>
      <c r="Q41" s="141"/>
      <c r="R41" s="141"/>
      <c r="S41" s="141"/>
      <c r="T41" s="141"/>
      <c r="U41" s="141"/>
      <c r="V41" s="141"/>
      <c r="W41" s="141"/>
      <c r="X41" s="141"/>
      <c r="Y41" s="141"/>
    </row>
    <row r="42">
      <c r="A42" s="141"/>
      <c r="B42" s="141"/>
      <c r="C42" s="141"/>
      <c r="D42" s="92"/>
      <c r="E42" s="92"/>
      <c r="F42" s="141"/>
      <c r="G42" s="141"/>
      <c r="H42" s="141"/>
      <c r="I42" s="141"/>
      <c r="J42" s="141"/>
      <c r="K42" s="141"/>
      <c r="L42" s="141"/>
      <c r="M42" s="141"/>
      <c r="N42" s="141"/>
      <c r="O42" s="141"/>
      <c r="P42" s="141"/>
      <c r="Q42" s="141"/>
      <c r="R42" s="141"/>
      <c r="S42" s="141"/>
      <c r="T42" s="141"/>
      <c r="U42" s="141"/>
      <c r="V42" s="141"/>
      <c r="W42" s="141"/>
      <c r="X42" s="141"/>
      <c r="Y42" s="141"/>
    </row>
    <row r="43">
      <c r="A43" s="141"/>
      <c r="B43" s="141"/>
      <c r="C43" s="141"/>
      <c r="D43" s="92"/>
      <c r="E43" s="92"/>
      <c r="F43" s="141"/>
      <c r="G43" s="141"/>
      <c r="H43" s="141"/>
      <c r="I43" s="141"/>
      <c r="J43" s="141"/>
      <c r="K43" s="141"/>
      <c r="L43" s="141"/>
      <c r="M43" s="141"/>
      <c r="N43" s="141"/>
      <c r="O43" s="141"/>
      <c r="P43" s="141"/>
      <c r="Q43" s="141"/>
      <c r="R43" s="141"/>
      <c r="S43" s="141"/>
      <c r="T43" s="141"/>
      <c r="U43" s="141"/>
      <c r="V43" s="141"/>
      <c r="W43" s="141"/>
      <c r="X43" s="141"/>
      <c r="Y43" s="141"/>
    </row>
    <row r="44">
      <c r="A44" s="141"/>
      <c r="B44" s="141"/>
      <c r="C44" s="141"/>
      <c r="D44" s="92"/>
      <c r="E44" s="92"/>
      <c r="F44" s="141"/>
      <c r="G44" s="141"/>
      <c r="H44" s="141"/>
      <c r="I44" s="141"/>
      <c r="J44" s="141"/>
      <c r="K44" s="141"/>
      <c r="L44" s="141"/>
      <c r="M44" s="141"/>
      <c r="N44" s="141"/>
      <c r="O44" s="141"/>
      <c r="P44" s="141"/>
      <c r="Q44" s="141"/>
      <c r="R44" s="141"/>
      <c r="S44" s="141"/>
      <c r="T44" s="141"/>
      <c r="U44" s="141"/>
      <c r="V44" s="141"/>
      <c r="W44" s="141"/>
      <c r="X44" s="141"/>
      <c r="Y44" s="141"/>
    </row>
    <row r="45">
      <c r="A45" s="141"/>
      <c r="B45" s="141"/>
      <c r="C45" s="141"/>
      <c r="D45" s="92"/>
      <c r="E45" s="92"/>
      <c r="F45" s="141"/>
      <c r="G45" s="141"/>
      <c r="H45" s="141"/>
      <c r="I45" s="141"/>
      <c r="J45" s="141"/>
      <c r="K45" s="141"/>
      <c r="L45" s="141"/>
      <c r="M45" s="141"/>
      <c r="N45" s="141"/>
      <c r="O45" s="141"/>
      <c r="P45" s="141"/>
      <c r="Q45" s="141"/>
      <c r="R45" s="141"/>
      <c r="S45" s="141"/>
      <c r="T45" s="141"/>
      <c r="U45" s="141"/>
      <c r="V45" s="141"/>
      <c r="W45" s="141"/>
      <c r="X45" s="141"/>
      <c r="Y45" s="141"/>
    </row>
    <row r="46">
      <c r="A46" s="141"/>
      <c r="B46" s="141"/>
      <c r="C46" s="141"/>
      <c r="D46" s="92"/>
      <c r="E46" s="92"/>
      <c r="F46" s="141"/>
      <c r="G46" s="141"/>
      <c r="H46" s="141"/>
      <c r="I46" s="141"/>
      <c r="J46" s="141"/>
      <c r="K46" s="141"/>
      <c r="L46" s="141"/>
      <c r="M46" s="141"/>
      <c r="N46" s="141"/>
      <c r="O46" s="141"/>
      <c r="P46" s="141"/>
      <c r="Q46" s="141"/>
      <c r="R46" s="141"/>
      <c r="S46" s="141"/>
      <c r="T46" s="141"/>
      <c r="U46" s="141"/>
      <c r="V46" s="141"/>
      <c r="W46" s="141"/>
      <c r="X46" s="141"/>
      <c r="Y46" s="141"/>
    </row>
    <row r="47">
      <c r="A47" s="141"/>
      <c r="B47" s="141"/>
      <c r="C47" s="141"/>
      <c r="D47" s="92"/>
      <c r="E47" s="92"/>
      <c r="F47" s="141"/>
      <c r="G47" s="141"/>
      <c r="H47" s="141"/>
      <c r="I47" s="141"/>
      <c r="J47" s="141"/>
      <c r="K47" s="141"/>
      <c r="L47" s="141"/>
      <c r="M47" s="141"/>
      <c r="N47" s="141"/>
      <c r="O47" s="141"/>
      <c r="P47" s="141"/>
      <c r="Q47" s="141"/>
      <c r="R47" s="141"/>
      <c r="S47" s="141"/>
      <c r="T47" s="141"/>
      <c r="U47" s="141"/>
      <c r="V47" s="141"/>
      <c r="W47" s="141"/>
      <c r="X47" s="141"/>
      <c r="Y47" s="141"/>
    </row>
    <row r="48">
      <c r="A48" s="141"/>
      <c r="B48" s="141"/>
      <c r="C48" s="141"/>
      <c r="D48" s="92"/>
      <c r="E48" s="92"/>
      <c r="F48" s="141"/>
      <c r="G48" s="141"/>
      <c r="H48" s="141"/>
      <c r="I48" s="141"/>
      <c r="J48" s="141"/>
      <c r="K48" s="141"/>
      <c r="L48" s="141"/>
      <c r="M48" s="141"/>
      <c r="N48" s="141"/>
      <c r="O48" s="141"/>
      <c r="P48" s="141"/>
      <c r="Q48" s="141"/>
      <c r="R48" s="141"/>
      <c r="S48" s="141"/>
      <c r="T48" s="141"/>
      <c r="U48" s="141"/>
      <c r="V48" s="141"/>
      <c r="W48" s="141"/>
      <c r="X48" s="141"/>
      <c r="Y48" s="141"/>
    </row>
    <row r="49">
      <c r="A49" s="141"/>
      <c r="B49" s="141"/>
      <c r="C49" s="141"/>
      <c r="D49" s="92"/>
      <c r="E49" s="92"/>
      <c r="F49" s="141"/>
      <c r="G49" s="141"/>
      <c r="H49" s="141"/>
      <c r="I49" s="141"/>
      <c r="J49" s="141"/>
      <c r="K49" s="141"/>
      <c r="L49" s="141"/>
      <c r="M49" s="141"/>
      <c r="N49" s="141"/>
      <c r="O49" s="141"/>
      <c r="P49" s="141"/>
      <c r="Q49" s="141"/>
      <c r="R49" s="141"/>
      <c r="S49" s="141"/>
      <c r="T49" s="141"/>
      <c r="U49" s="141"/>
      <c r="V49" s="141"/>
      <c r="W49" s="141"/>
      <c r="X49" s="141"/>
      <c r="Y49" s="141"/>
    </row>
    <row r="50">
      <c r="A50" s="141"/>
      <c r="B50" s="141"/>
      <c r="C50" s="141"/>
      <c r="D50" s="92"/>
      <c r="E50" s="92"/>
      <c r="F50" s="141"/>
      <c r="G50" s="141"/>
      <c r="H50" s="141"/>
      <c r="I50" s="141"/>
      <c r="J50" s="141"/>
      <c r="K50" s="141"/>
      <c r="L50" s="141"/>
      <c r="M50" s="141"/>
      <c r="N50" s="141"/>
      <c r="O50" s="141"/>
      <c r="P50" s="141"/>
      <c r="Q50" s="141"/>
      <c r="R50" s="141"/>
      <c r="S50" s="141"/>
      <c r="T50" s="141"/>
      <c r="U50" s="141"/>
      <c r="V50" s="141"/>
      <c r="W50" s="141"/>
      <c r="X50" s="141"/>
      <c r="Y50" s="141"/>
    </row>
    <row r="51">
      <c r="A51" s="141"/>
      <c r="B51" s="141"/>
      <c r="C51" s="141"/>
      <c r="D51" s="92"/>
      <c r="E51" s="92"/>
      <c r="F51" s="141"/>
      <c r="G51" s="141"/>
      <c r="H51" s="141"/>
      <c r="I51" s="141"/>
      <c r="J51" s="141"/>
      <c r="K51" s="141"/>
      <c r="L51" s="141"/>
      <c r="M51" s="141"/>
      <c r="N51" s="141"/>
      <c r="O51" s="141"/>
      <c r="P51" s="141"/>
      <c r="Q51" s="141"/>
      <c r="R51" s="141"/>
      <c r="S51" s="141"/>
      <c r="T51" s="141"/>
      <c r="U51" s="141"/>
      <c r="V51" s="141"/>
      <c r="W51" s="141"/>
      <c r="X51" s="141"/>
      <c r="Y51" s="141"/>
    </row>
    <row r="52">
      <c r="A52" s="141"/>
      <c r="B52" s="141"/>
      <c r="C52" s="141"/>
      <c r="D52" s="92"/>
      <c r="E52" s="92"/>
      <c r="F52" s="141"/>
      <c r="G52" s="141"/>
      <c r="H52" s="141"/>
      <c r="I52" s="141"/>
      <c r="J52" s="141"/>
      <c r="K52" s="141"/>
      <c r="L52" s="141"/>
      <c r="M52" s="141"/>
      <c r="N52" s="141"/>
      <c r="O52" s="141"/>
      <c r="P52" s="141"/>
      <c r="Q52" s="141"/>
      <c r="R52" s="141"/>
      <c r="S52" s="141"/>
      <c r="T52" s="141"/>
      <c r="U52" s="141"/>
      <c r="V52" s="141"/>
      <c r="W52" s="141"/>
      <c r="X52" s="141"/>
      <c r="Y52" s="141"/>
    </row>
    <row r="53">
      <c r="A53" s="141"/>
      <c r="B53" s="141"/>
      <c r="C53" s="141"/>
      <c r="D53" s="92"/>
      <c r="E53" s="92"/>
      <c r="F53" s="141"/>
      <c r="G53" s="141"/>
      <c r="H53" s="141"/>
      <c r="I53" s="141"/>
      <c r="J53" s="141"/>
      <c r="K53" s="141"/>
      <c r="L53" s="141"/>
      <c r="M53" s="141"/>
      <c r="N53" s="141"/>
      <c r="O53" s="141"/>
      <c r="P53" s="141"/>
      <c r="Q53" s="141"/>
      <c r="R53" s="141"/>
      <c r="S53" s="141"/>
      <c r="T53" s="141"/>
      <c r="U53" s="141"/>
      <c r="V53" s="141"/>
      <c r="W53" s="141"/>
      <c r="X53" s="141"/>
      <c r="Y53" s="141"/>
    </row>
    <row r="54">
      <c r="A54" s="141"/>
      <c r="B54" s="141"/>
      <c r="C54" s="141"/>
      <c r="D54" s="92"/>
      <c r="E54" s="92"/>
      <c r="F54" s="141"/>
      <c r="G54" s="141"/>
      <c r="H54" s="141"/>
      <c r="I54" s="141"/>
      <c r="J54" s="141"/>
      <c r="K54" s="141"/>
      <c r="L54" s="141"/>
      <c r="M54" s="141"/>
      <c r="N54" s="141"/>
      <c r="O54" s="141"/>
      <c r="P54" s="141"/>
      <c r="Q54" s="141"/>
      <c r="R54" s="141"/>
      <c r="S54" s="141"/>
      <c r="T54" s="141"/>
      <c r="U54" s="141"/>
      <c r="V54" s="141"/>
      <c r="W54" s="141"/>
      <c r="X54" s="141"/>
      <c r="Y54" s="141"/>
    </row>
    <row r="55">
      <c r="A55" s="141"/>
      <c r="B55" s="141"/>
      <c r="C55" s="141"/>
      <c r="D55" s="92"/>
      <c r="E55" s="92"/>
      <c r="F55" s="141"/>
      <c r="G55" s="141"/>
      <c r="H55" s="141"/>
      <c r="I55" s="141"/>
      <c r="J55" s="141"/>
      <c r="K55" s="141"/>
      <c r="L55" s="141"/>
      <c r="M55" s="141"/>
      <c r="N55" s="141"/>
      <c r="O55" s="141"/>
      <c r="P55" s="141"/>
      <c r="Q55" s="141"/>
      <c r="R55" s="141"/>
      <c r="S55" s="141"/>
      <c r="T55" s="141"/>
      <c r="U55" s="141"/>
      <c r="V55" s="141"/>
      <c r="W55" s="141"/>
      <c r="X55" s="141"/>
      <c r="Y55" s="141"/>
    </row>
    <row r="56">
      <c r="A56" s="141"/>
      <c r="B56" s="141"/>
      <c r="C56" s="141"/>
      <c r="D56" s="92"/>
      <c r="E56" s="92"/>
      <c r="F56" s="141"/>
      <c r="G56" s="141"/>
      <c r="H56" s="141"/>
      <c r="I56" s="141"/>
      <c r="J56" s="141"/>
      <c r="K56" s="141"/>
      <c r="L56" s="141"/>
      <c r="M56" s="141"/>
      <c r="N56" s="141"/>
      <c r="O56" s="141"/>
      <c r="P56" s="141"/>
      <c r="Q56" s="141"/>
      <c r="R56" s="141"/>
      <c r="S56" s="141"/>
      <c r="T56" s="141"/>
      <c r="U56" s="141"/>
      <c r="V56" s="141"/>
      <c r="W56" s="141"/>
      <c r="X56" s="141"/>
      <c r="Y56" s="141"/>
    </row>
    <row r="57">
      <c r="A57" s="141"/>
      <c r="B57" s="141"/>
      <c r="C57" s="141"/>
      <c r="D57" s="92"/>
      <c r="E57" s="92"/>
      <c r="F57" s="141"/>
      <c r="G57" s="141"/>
      <c r="H57" s="141"/>
      <c r="I57" s="141"/>
      <c r="J57" s="141"/>
      <c r="K57" s="141"/>
      <c r="L57" s="141"/>
      <c r="M57" s="141"/>
      <c r="N57" s="141"/>
      <c r="O57" s="141"/>
      <c r="P57" s="141"/>
      <c r="Q57" s="141"/>
      <c r="R57" s="141"/>
      <c r="S57" s="141"/>
      <c r="T57" s="141"/>
      <c r="U57" s="141"/>
      <c r="V57" s="141"/>
      <c r="W57" s="141"/>
      <c r="X57" s="141"/>
      <c r="Y57" s="141"/>
    </row>
    <row r="58">
      <c r="A58" s="141"/>
      <c r="B58" s="141"/>
      <c r="C58" s="141"/>
      <c r="D58" s="92"/>
      <c r="E58" s="92"/>
      <c r="F58" s="141"/>
      <c r="G58" s="141"/>
      <c r="H58" s="141"/>
      <c r="I58" s="141"/>
      <c r="J58" s="141"/>
      <c r="K58" s="141"/>
      <c r="L58" s="141"/>
      <c r="M58" s="141"/>
      <c r="N58" s="141"/>
      <c r="O58" s="141"/>
      <c r="P58" s="141"/>
      <c r="Q58" s="141"/>
      <c r="R58" s="141"/>
      <c r="S58" s="141"/>
      <c r="T58" s="141"/>
      <c r="U58" s="141"/>
      <c r="V58" s="141"/>
      <c r="W58" s="141"/>
      <c r="X58" s="141"/>
      <c r="Y58" s="141"/>
    </row>
    <row r="59">
      <c r="A59" s="141"/>
      <c r="B59" s="141"/>
      <c r="C59" s="141"/>
      <c r="D59" s="92"/>
      <c r="E59" s="92"/>
      <c r="F59" s="141"/>
      <c r="G59" s="141"/>
      <c r="H59" s="141"/>
      <c r="I59" s="141"/>
      <c r="J59" s="141"/>
      <c r="K59" s="141"/>
      <c r="L59" s="141"/>
      <c r="M59" s="141"/>
      <c r="N59" s="141"/>
      <c r="O59" s="141"/>
      <c r="P59" s="141"/>
      <c r="Q59" s="141"/>
      <c r="R59" s="141"/>
      <c r="S59" s="141"/>
      <c r="T59" s="141"/>
      <c r="U59" s="141"/>
      <c r="V59" s="141"/>
      <c r="W59" s="141"/>
      <c r="X59" s="141"/>
      <c r="Y59" s="141"/>
    </row>
    <row r="60">
      <c r="A60" s="141"/>
      <c r="B60" s="141"/>
      <c r="C60" s="141"/>
      <c r="D60" s="92"/>
      <c r="E60" s="92"/>
      <c r="F60" s="141"/>
      <c r="G60" s="141"/>
      <c r="H60" s="141"/>
      <c r="I60" s="141"/>
      <c r="J60" s="141"/>
      <c r="K60" s="141"/>
      <c r="L60" s="141"/>
      <c r="M60" s="141"/>
      <c r="N60" s="141"/>
      <c r="O60" s="141"/>
      <c r="P60" s="141"/>
      <c r="Q60" s="141"/>
      <c r="R60" s="141"/>
      <c r="S60" s="141"/>
      <c r="T60" s="141"/>
      <c r="U60" s="141"/>
      <c r="V60" s="141"/>
      <c r="W60" s="141"/>
      <c r="X60" s="141"/>
      <c r="Y60" s="141"/>
    </row>
    <row r="61">
      <c r="A61" s="141"/>
      <c r="B61" s="141"/>
      <c r="C61" s="141"/>
      <c r="D61" s="92"/>
      <c r="E61" s="92"/>
      <c r="F61" s="141"/>
      <c r="G61" s="141"/>
      <c r="H61" s="141"/>
      <c r="I61" s="141"/>
      <c r="J61" s="141"/>
      <c r="K61" s="141"/>
      <c r="L61" s="141"/>
      <c r="M61" s="141"/>
      <c r="N61" s="141"/>
      <c r="O61" s="141"/>
      <c r="P61" s="141"/>
      <c r="Q61" s="141"/>
      <c r="R61" s="141"/>
      <c r="S61" s="141"/>
      <c r="T61" s="141"/>
      <c r="U61" s="141"/>
      <c r="V61" s="141"/>
      <c r="W61" s="141"/>
      <c r="X61" s="141"/>
      <c r="Y61" s="141"/>
    </row>
    <row r="62">
      <c r="A62" s="141"/>
      <c r="B62" s="141"/>
      <c r="C62" s="141"/>
      <c r="D62" s="92"/>
      <c r="E62" s="92"/>
      <c r="F62" s="141"/>
      <c r="G62" s="141"/>
      <c r="H62" s="141"/>
      <c r="I62" s="141"/>
      <c r="J62" s="141"/>
      <c r="K62" s="141"/>
      <c r="L62" s="141"/>
      <c r="M62" s="141"/>
      <c r="N62" s="141"/>
      <c r="O62" s="141"/>
      <c r="P62" s="141"/>
      <c r="Q62" s="141"/>
      <c r="R62" s="141"/>
      <c r="S62" s="141"/>
      <c r="T62" s="141"/>
      <c r="U62" s="141"/>
      <c r="V62" s="141"/>
      <c r="W62" s="141"/>
      <c r="X62" s="141"/>
      <c r="Y62" s="141"/>
    </row>
    <row r="63">
      <c r="A63" s="141"/>
      <c r="B63" s="141"/>
      <c r="C63" s="141"/>
      <c r="D63" s="92"/>
      <c r="E63" s="92"/>
      <c r="F63" s="141"/>
      <c r="G63" s="141"/>
      <c r="H63" s="141"/>
      <c r="I63" s="141"/>
      <c r="J63" s="141"/>
      <c r="K63" s="141"/>
      <c r="L63" s="141"/>
      <c r="M63" s="141"/>
      <c r="N63" s="141"/>
      <c r="O63" s="141"/>
      <c r="P63" s="141"/>
      <c r="Q63" s="141"/>
      <c r="R63" s="141"/>
      <c r="S63" s="141"/>
      <c r="T63" s="141"/>
      <c r="U63" s="141"/>
      <c r="V63" s="141"/>
      <c r="W63" s="141"/>
      <c r="X63" s="141"/>
      <c r="Y63" s="141"/>
    </row>
    <row r="64">
      <c r="A64" s="141"/>
      <c r="B64" s="141"/>
      <c r="C64" s="141"/>
      <c r="D64" s="92"/>
      <c r="E64" s="92"/>
      <c r="F64" s="141"/>
      <c r="G64" s="141"/>
      <c r="H64" s="141"/>
      <c r="I64" s="141"/>
      <c r="J64" s="141"/>
      <c r="K64" s="141"/>
      <c r="L64" s="141"/>
      <c r="M64" s="141"/>
      <c r="N64" s="141"/>
      <c r="O64" s="141"/>
      <c r="P64" s="141"/>
      <c r="Q64" s="141"/>
      <c r="R64" s="141"/>
      <c r="S64" s="141"/>
      <c r="T64" s="141"/>
      <c r="U64" s="141"/>
      <c r="V64" s="141"/>
      <c r="W64" s="141"/>
      <c r="X64" s="141"/>
      <c r="Y64" s="141"/>
    </row>
    <row r="65">
      <c r="A65" s="141"/>
      <c r="B65" s="141"/>
      <c r="C65" s="141"/>
      <c r="D65" s="92"/>
      <c r="E65" s="92"/>
      <c r="F65" s="141"/>
      <c r="G65" s="141"/>
      <c r="H65" s="141"/>
      <c r="I65" s="141"/>
      <c r="J65" s="141"/>
      <c r="K65" s="141"/>
      <c r="L65" s="141"/>
      <c r="M65" s="141"/>
      <c r="N65" s="141"/>
      <c r="O65" s="141"/>
      <c r="P65" s="141"/>
      <c r="Q65" s="141"/>
      <c r="R65" s="141"/>
      <c r="S65" s="141"/>
      <c r="T65" s="141"/>
      <c r="U65" s="141"/>
      <c r="V65" s="141"/>
      <c r="W65" s="141"/>
      <c r="X65" s="141"/>
      <c r="Y65" s="141"/>
    </row>
    <row r="66">
      <c r="A66" s="141"/>
      <c r="B66" s="141"/>
      <c r="C66" s="141"/>
      <c r="D66" s="92"/>
      <c r="E66" s="92"/>
      <c r="F66" s="141"/>
      <c r="G66" s="141"/>
      <c r="H66" s="141"/>
      <c r="I66" s="141"/>
      <c r="J66" s="141"/>
      <c r="K66" s="141"/>
      <c r="L66" s="141"/>
      <c r="M66" s="141"/>
      <c r="N66" s="141"/>
      <c r="O66" s="141"/>
      <c r="P66" s="141"/>
      <c r="Q66" s="141"/>
      <c r="R66" s="141"/>
      <c r="S66" s="141"/>
      <c r="T66" s="141"/>
      <c r="U66" s="141"/>
      <c r="V66" s="141"/>
      <c r="W66" s="141"/>
      <c r="X66" s="141"/>
      <c r="Y66" s="141"/>
    </row>
    <row r="67">
      <c r="A67" s="141"/>
      <c r="B67" s="141"/>
      <c r="C67" s="141"/>
      <c r="D67" s="92"/>
      <c r="E67" s="92"/>
      <c r="F67" s="141"/>
      <c r="G67" s="141"/>
      <c r="H67" s="141"/>
      <c r="I67" s="141"/>
      <c r="J67" s="141"/>
      <c r="K67" s="141"/>
      <c r="L67" s="141"/>
      <c r="M67" s="141"/>
      <c r="N67" s="141"/>
      <c r="O67" s="141"/>
      <c r="P67" s="141"/>
      <c r="Q67" s="141"/>
      <c r="R67" s="141"/>
      <c r="S67" s="141"/>
      <c r="T67" s="141"/>
      <c r="U67" s="141"/>
      <c r="V67" s="141"/>
      <c r="W67" s="141"/>
      <c r="X67" s="141"/>
      <c r="Y67" s="141"/>
    </row>
    <row r="68">
      <c r="A68" s="141"/>
      <c r="B68" s="141"/>
      <c r="C68" s="141"/>
      <c r="D68" s="92"/>
      <c r="E68" s="92"/>
      <c r="F68" s="141"/>
      <c r="G68" s="141"/>
      <c r="H68" s="141"/>
      <c r="I68" s="141"/>
      <c r="J68" s="141"/>
      <c r="K68" s="141"/>
      <c r="L68" s="141"/>
      <c r="M68" s="141"/>
      <c r="N68" s="141"/>
      <c r="O68" s="141"/>
      <c r="P68" s="141"/>
      <c r="Q68" s="141"/>
      <c r="R68" s="141"/>
      <c r="S68" s="141"/>
      <c r="T68" s="141"/>
      <c r="U68" s="141"/>
      <c r="V68" s="141"/>
      <c r="W68" s="141"/>
      <c r="X68" s="141"/>
      <c r="Y68" s="141"/>
    </row>
    <row r="69">
      <c r="A69" s="141"/>
      <c r="B69" s="141"/>
      <c r="C69" s="141"/>
      <c r="D69" s="92"/>
      <c r="E69" s="92"/>
      <c r="F69" s="141"/>
      <c r="G69" s="141"/>
      <c r="H69" s="141"/>
      <c r="I69" s="141"/>
      <c r="J69" s="141"/>
      <c r="K69" s="141"/>
      <c r="L69" s="141"/>
      <c r="M69" s="141"/>
      <c r="N69" s="141"/>
      <c r="O69" s="141"/>
      <c r="P69" s="141"/>
      <c r="Q69" s="141"/>
      <c r="R69" s="141"/>
      <c r="S69" s="141"/>
      <c r="T69" s="141"/>
      <c r="U69" s="141"/>
      <c r="V69" s="141"/>
      <c r="W69" s="141"/>
      <c r="X69" s="141"/>
      <c r="Y69" s="141"/>
    </row>
    <row r="70">
      <c r="A70" s="141"/>
      <c r="B70" s="141"/>
      <c r="C70" s="141"/>
      <c r="D70" s="92"/>
      <c r="E70" s="92"/>
      <c r="F70" s="141"/>
      <c r="G70" s="141"/>
      <c r="H70" s="141"/>
      <c r="I70" s="141"/>
      <c r="J70" s="141"/>
      <c r="K70" s="141"/>
      <c r="L70" s="141"/>
      <c r="M70" s="141"/>
      <c r="N70" s="141"/>
      <c r="O70" s="141"/>
      <c r="P70" s="141"/>
      <c r="Q70" s="141"/>
      <c r="R70" s="141"/>
      <c r="S70" s="141"/>
      <c r="T70" s="141"/>
      <c r="U70" s="141"/>
      <c r="V70" s="141"/>
      <c r="W70" s="141"/>
      <c r="X70" s="141"/>
      <c r="Y70" s="141"/>
    </row>
    <row r="71">
      <c r="A71" s="141"/>
      <c r="B71" s="141"/>
      <c r="C71" s="141"/>
      <c r="D71" s="92"/>
      <c r="E71" s="92"/>
      <c r="F71" s="141"/>
      <c r="G71" s="141"/>
      <c r="H71" s="141"/>
      <c r="I71" s="141"/>
      <c r="J71" s="141"/>
      <c r="K71" s="141"/>
      <c r="L71" s="141"/>
      <c r="M71" s="141"/>
      <c r="N71" s="141"/>
      <c r="O71" s="141"/>
      <c r="P71" s="141"/>
      <c r="Q71" s="141"/>
      <c r="R71" s="141"/>
      <c r="S71" s="141"/>
      <c r="T71" s="141"/>
      <c r="U71" s="141"/>
      <c r="V71" s="141"/>
      <c r="W71" s="141"/>
      <c r="X71" s="141"/>
      <c r="Y71" s="141"/>
    </row>
    <row r="72">
      <c r="A72" s="141"/>
      <c r="B72" s="141"/>
      <c r="C72" s="141"/>
      <c r="D72" s="92"/>
      <c r="E72" s="92"/>
      <c r="F72" s="141"/>
      <c r="G72" s="141"/>
      <c r="H72" s="141"/>
      <c r="I72" s="141"/>
      <c r="J72" s="141"/>
      <c r="K72" s="141"/>
      <c r="L72" s="141"/>
      <c r="M72" s="141"/>
      <c r="N72" s="141"/>
      <c r="O72" s="141"/>
      <c r="P72" s="141"/>
      <c r="Q72" s="141"/>
      <c r="R72" s="141"/>
      <c r="S72" s="141"/>
      <c r="T72" s="141"/>
      <c r="U72" s="141"/>
      <c r="V72" s="141"/>
      <c r="W72" s="141"/>
      <c r="X72" s="141"/>
      <c r="Y72" s="141"/>
    </row>
    <row r="73">
      <c r="A73" s="141"/>
      <c r="B73" s="141"/>
      <c r="C73" s="141"/>
      <c r="D73" s="92"/>
      <c r="E73" s="92"/>
      <c r="F73" s="141"/>
      <c r="G73" s="141"/>
      <c r="H73" s="141"/>
      <c r="I73" s="141"/>
      <c r="J73" s="141"/>
      <c r="K73" s="141"/>
      <c r="L73" s="141"/>
      <c r="M73" s="141"/>
      <c r="N73" s="141"/>
      <c r="O73" s="141"/>
      <c r="P73" s="141"/>
      <c r="Q73" s="141"/>
      <c r="R73" s="141"/>
      <c r="S73" s="141"/>
      <c r="T73" s="141"/>
      <c r="U73" s="141"/>
      <c r="V73" s="141"/>
      <c r="W73" s="141"/>
      <c r="X73" s="141"/>
      <c r="Y73" s="141"/>
    </row>
    <row r="74">
      <c r="A74" s="141"/>
      <c r="B74" s="141"/>
      <c r="C74" s="141"/>
      <c r="D74" s="92"/>
      <c r="E74" s="92"/>
      <c r="F74" s="141"/>
      <c r="G74" s="141"/>
      <c r="H74" s="141"/>
      <c r="I74" s="141"/>
      <c r="J74" s="141"/>
      <c r="K74" s="141"/>
      <c r="L74" s="141"/>
      <c r="M74" s="141"/>
      <c r="N74" s="141"/>
      <c r="O74" s="141"/>
      <c r="P74" s="141"/>
      <c r="Q74" s="141"/>
      <c r="R74" s="141"/>
      <c r="S74" s="141"/>
      <c r="T74" s="141"/>
      <c r="U74" s="141"/>
      <c r="V74" s="141"/>
      <c r="W74" s="141"/>
      <c r="X74" s="141"/>
      <c r="Y74" s="141"/>
    </row>
    <row r="75">
      <c r="A75" s="141"/>
      <c r="B75" s="141"/>
      <c r="C75" s="141"/>
      <c r="D75" s="92"/>
      <c r="E75" s="92"/>
      <c r="F75" s="141"/>
      <c r="G75" s="141"/>
      <c r="H75" s="141"/>
      <c r="I75" s="141"/>
      <c r="J75" s="141"/>
      <c r="K75" s="141"/>
      <c r="L75" s="141"/>
      <c r="M75" s="141"/>
      <c r="N75" s="141"/>
      <c r="O75" s="141"/>
      <c r="P75" s="141"/>
      <c r="Q75" s="141"/>
      <c r="R75" s="141"/>
      <c r="S75" s="141"/>
      <c r="T75" s="141"/>
      <c r="U75" s="141"/>
      <c r="V75" s="141"/>
      <c r="W75" s="141"/>
      <c r="X75" s="141"/>
      <c r="Y75" s="141"/>
    </row>
    <row r="76">
      <c r="A76" s="141"/>
      <c r="B76" s="141"/>
      <c r="C76" s="141"/>
      <c r="D76" s="92"/>
      <c r="E76" s="92"/>
      <c r="F76" s="141"/>
      <c r="G76" s="141"/>
      <c r="H76" s="141"/>
      <c r="I76" s="141"/>
      <c r="J76" s="141"/>
      <c r="K76" s="141"/>
      <c r="L76" s="141"/>
      <c r="M76" s="141"/>
      <c r="N76" s="141"/>
      <c r="O76" s="141"/>
      <c r="P76" s="141"/>
      <c r="Q76" s="141"/>
      <c r="R76" s="141"/>
      <c r="S76" s="141"/>
      <c r="T76" s="141"/>
      <c r="U76" s="141"/>
      <c r="V76" s="141"/>
      <c r="W76" s="141"/>
      <c r="X76" s="141"/>
      <c r="Y76" s="141"/>
    </row>
    <row r="77">
      <c r="A77" s="141"/>
      <c r="B77" s="141"/>
      <c r="C77" s="141"/>
      <c r="D77" s="92"/>
      <c r="E77" s="92"/>
      <c r="F77" s="141"/>
      <c r="G77" s="141"/>
      <c r="H77" s="141"/>
      <c r="I77" s="141"/>
      <c r="J77" s="141"/>
      <c r="K77" s="141"/>
      <c r="L77" s="141"/>
      <c r="M77" s="141"/>
      <c r="N77" s="141"/>
      <c r="O77" s="141"/>
      <c r="P77" s="141"/>
      <c r="Q77" s="141"/>
      <c r="R77" s="141"/>
      <c r="S77" s="141"/>
      <c r="T77" s="141"/>
      <c r="U77" s="141"/>
      <c r="V77" s="141"/>
      <c r="W77" s="141"/>
      <c r="X77" s="141"/>
      <c r="Y77" s="141"/>
    </row>
    <row r="78">
      <c r="A78" s="141"/>
      <c r="B78" s="141"/>
      <c r="C78" s="141"/>
      <c r="D78" s="92"/>
      <c r="E78" s="92"/>
      <c r="F78" s="141"/>
      <c r="G78" s="141"/>
      <c r="H78" s="141"/>
      <c r="I78" s="141"/>
      <c r="J78" s="141"/>
      <c r="K78" s="141"/>
      <c r="L78" s="141"/>
      <c r="M78" s="141"/>
      <c r="N78" s="141"/>
      <c r="O78" s="141"/>
      <c r="P78" s="141"/>
      <c r="Q78" s="141"/>
      <c r="R78" s="141"/>
      <c r="S78" s="141"/>
      <c r="T78" s="141"/>
      <c r="U78" s="141"/>
      <c r="V78" s="141"/>
      <c r="W78" s="141"/>
      <c r="X78" s="141"/>
      <c r="Y78" s="141"/>
    </row>
    <row r="79">
      <c r="A79" s="141"/>
      <c r="B79" s="141"/>
      <c r="C79" s="141"/>
      <c r="D79" s="92"/>
      <c r="E79" s="92"/>
      <c r="F79" s="141"/>
      <c r="G79" s="141"/>
      <c r="H79" s="141"/>
      <c r="I79" s="141"/>
      <c r="J79" s="141"/>
      <c r="K79" s="141"/>
      <c r="L79" s="141"/>
      <c r="M79" s="141"/>
      <c r="N79" s="141"/>
      <c r="O79" s="141"/>
      <c r="P79" s="141"/>
      <c r="Q79" s="141"/>
      <c r="R79" s="141"/>
      <c r="S79" s="141"/>
      <c r="T79" s="141"/>
      <c r="U79" s="141"/>
      <c r="V79" s="141"/>
      <c r="W79" s="141"/>
      <c r="X79" s="141"/>
      <c r="Y79" s="141"/>
    </row>
    <row r="80">
      <c r="A80" s="141"/>
      <c r="B80" s="141"/>
      <c r="C80" s="141"/>
      <c r="D80" s="92"/>
      <c r="E80" s="92"/>
      <c r="F80" s="141"/>
      <c r="G80" s="141"/>
      <c r="H80" s="141"/>
      <c r="I80" s="141"/>
      <c r="J80" s="141"/>
      <c r="K80" s="141"/>
      <c r="L80" s="141"/>
      <c r="M80" s="141"/>
      <c r="N80" s="141"/>
      <c r="O80" s="141"/>
      <c r="P80" s="141"/>
      <c r="Q80" s="141"/>
      <c r="R80" s="141"/>
      <c r="S80" s="141"/>
      <c r="T80" s="141"/>
      <c r="U80" s="141"/>
      <c r="V80" s="141"/>
      <c r="W80" s="141"/>
      <c r="X80" s="141"/>
      <c r="Y80" s="141"/>
    </row>
    <row r="81">
      <c r="A81" s="141"/>
      <c r="B81" s="141"/>
      <c r="C81" s="141"/>
      <c r="D81" s="92"/>
      <c r="E81" s="92"/>
      <c r="F81" s="141"/>
      <c r="G81" s="141"/>
      <c r="H81" s="141"/>
      <c r="I81" s="141"/>
      <c r="J81" s="141"/>
      <c r="K81" s="141"/>
      <c r="L81" s="141"/>
      <c r="M81" s="141"/>
      <c r="N81" s="141"/>
      <c r="O81" s="141"/>
      <c r="P81" s="141"/>
      <c r="Q81" s="141"/>
      <c r="R81" s="141"/>
      <c r="S81" s="141"/>
      <c r="T81" s="141"/>
      <c r="U81" s="141"/>
      <c r="V81" s="141"/>
      <c r="W81" s="141"/>
      <c r="X81" s="141"/>
      <c r="Y81" s="141"/>
    </row>
    <row r="82">
      <c r="A82" s="141"/>
      <c r="B82" s="141"/>
      <c r="C82" s="141"/>
      <c r="D82" s="92"/>
      <c r="E82" s="92"/>
      <c r="F82" s="141"/>
      <c r="G82" s="141"/>
      <c r="H82" s="141"/>
      <c r="I82" s="141"/>
      <c r="J82" s="141"/>
      <c r="K82" s="141"/>
      <c r="L82" s="141"/>
      <c r="M82" s="141"/>
      <c r="N82" s="141"/>
      <c r="O82" s="141"/>
      <c r="P82" s="141"/>
      <c r="Q82" s="141"/>
      <c r="R82" s="141"/>
      <c r="S82" s="141"/>
      <c r="T82" s="141"/>
      <c r="U82" s="141"/>
      <c r="V82" s="141"/>
      <c r="W82" s="141"/>
      <c r="X82" s="141"/>
      <c r="Y82" s="141"/>
    </row>
    <row r="83">
      <c r="A83" s="141"/>
      <c r="B83" s="141"/>
      <c r="C83" s="141"/>
      <c r="D83" s="92"/>
      <c r="E83" s="92"/>
      <c r="F83" s="141"/>
      <c r="G83" s="141"/>
      <c r="H83" s="141"/>
      <c r="I83" s="141"/>
      <c r="J83" s="141"/>
      <c r="K83" s="141"/>
      <c r="L83" s="141"/>
      <c r="M83" s="141"/>
      <c r="N83" s="141"/>
      <c r="O83" s="141"/>
      <c r="P83" s="141"/>
      <c r="Q83" s="141"/>
      <c r="R83" s="141"/>
      <c r="S83" s="141"/>
      <c r="T83" s="141"/>
      <c r="U83" s="141"/>
      <c r="V83" s="141"/>
      <c r="W83" s="141"/>
      <c r="X83" s="141"/>
      <c r="Y83" s="141"/>
    </row>
    <row r="84">
      <c r="A84" s="141"/>
      <c r="B84" s="141"/>
      <c r="C84" s="141"/>
      <c r="D84" s="92"/>
      <c r="E84" s="92"/>
      <c r="F84" s="141"/>
      <c r="G84" s="141"/>
      <c r="H84" s="141"/>
      <c r="I84" s="141"/>
      <c r="J84" s="141"/>
      <c r="K84" s="141"/>
      <c r="L84" s="141"/>
      <c r="M84" s="141"/>
      <c r="N84" s="141"/>
      <c r="O84" s="141"/>
      <c r="P84" s="141"/>
      <c r="Q84" s="141"/>
      <c r="R84" s="141"/>
      <c r="S84" s="141"/>
      <c r="T84" s="141"/>
      <c r="U84" s="141"/>
      <c r="V84" s="141"/>
      <c r="W84" s="141"/>
      <c r="X84" s="141"/>
      <c r="Y84" s="141"/>
    </row>
    <row r="85">
      <c r="A85" s="141"/>
      <c r="B85" s="141"/>
      <c r="C85" s="141"/>
      <c r="D85" s="92"/>
      <c r="E85" s="92"/>
      <c r="F85" s="141"/>
      <c r="G85" s="141"/>
      <c r="H85" s="141"/>
      <c r="I85" s="141"/>
      <c r="J85" s="141"/>
      <c r="K85" s="141"/>
      <c r="L85" s="141"/>
      <c r="M85" s="141"/>
      <c r="N85" s="141"/>
      <c r="O85" s="141"/>
      <c r="P85" s="141"/>
      <c r="Q85" s="141"/>
      <c r="R85" s="141"/>
      <c r="S85" s="141"/>
      <c r="T85" s="141"/>
      <c r="U85" s="141"/>
      <c r="V85" s="141"/>
      <c r="W85" s="141"/>
      <c r="X85" s="141"/>
      <c r="Y85" s="141"/>
    </row>
    <row r="86">
      <c r="A86" s="141"/>
      <c r="B86" s="141"/>
      <c r="C86" s="141"/>
      <c r="D86" s="92"/>
      <c r="E86" s="92"/>
      <c r="F86" s="141"/>
      <c r="G86" s="141"/>
      <c r="H86" s="141"/>
      <c r="I86" s="141"/>
      <c r="J86" s="141"/>
      <c r="K86" s="141"/>
      <c r="L86" s="141"/>
      <c r="M86" s="141"/>
      <c r="N86" s="141"/>
      <c r="O86" s="141"/>
      <c r="P86" s="141"/>
      <c r="Q86" s="141"/>
      <c r="R86" s="141"/>
      <c r="S86" s="141"/>
      <c r="T86" s="141"/>
      <c r="U86" s="141"/>
      <c r="V86" s="141"/>
      <c r="W86" s="141"/>
      <c r="X86" s="141"/>
      <c r="Y86" s="141"/>
    </row>
    <row r="87">
      <c r="A87" s="141"/>
      <c r="B87" s="141"/>
      <c r="C87" s="141"/>
      <c r="D87" s="92"/>
      <c r="E87" s="92"/>
      <c r="F87" s="141"/>
      <c r="G87" s="141"/>
      <c r="H87" s="141"/>
      <c r="I87" s="141"/>
      <c r="J87" s="141"/>
      <c r="K87" s="141"/>
      <c r="L87" s="141"/>
      <c r="M87" s="141"/>
      <c r="N87" s="141"/>
      <c r="O87" s="141"/>
      <c r="P87" s="141"/>
      <c r="Q87" s="141"/>
      <c r="R87" s="141"/>
      <c r="S87" s="141"/>
      <c r="T87" s="141"/>
      <c r="U87" s="141"/>
      <c r="V87" s="141"/>
      <c r="W87" s="141"/>
      <c r="X87" s="141"/>
      <c r="Y87" s="141"/>
    </row>
    <row r="88">
      <c r="A88" s="141"/>
      <c r="B88" s="141"/>
      <c r="C88" s="141"/>
      <c r="D88" s="92"/>
      <c r="E88" s="92"/>
      <c r="F88" s="141"/>
      <c r="G88" s="141"/>
      <c r="H88" s="141"/>
      <c r="I88" s="141"/>
      <c r="J88" s="141"/>
      <c r="K88" s="141"/>
      <c r="L88" s="141"/>
      <c r="M88" s="141"/>
      <c r="N88" s="141"/>
      <c r="O88" s="141"/>
      <c r="P88" s="141"/>
      <c r="Q88" s="141"/>
      <c r="R88" s="141"/>
      <c r="S88" s="141"/>
      <c r="T88" s="141"/>
      <c r="U88" s="141"/>
      <c r="V88" s="141"/>
      <c r="W88" s="141"/>
      <c r="X88" s="141"/>
      <c r="Y88" s="141"/>
    </row>
    <row r="89">
      <c r="A89" s="141"/>
      <c r="B89" s="141"/>
      <c r="C89" s="141"/>
      <c r="D89" s="92"/>
      <c r="E89" s="92"/>
      <c r="F89" s="141"/>
      <c r="G89" s="141"/>
      <c r="H89" s="141"/>
      <c r="I89" s="141"/>
      <c r="J89" s="141"/>
      <c r="K89" s="141"/>
      <c r="L89" s="141"/>
      <c r="M89" s="141"/>
      <c r="N89" s="141"/>
      <c r="O89" s="141"/>
      <c r="P89" s="141"/>
      <c r="Q89" s="141"/>
      <c r="R89" s="141"/>
      <c r="S89" s="141"/>
      <c r="T89" s="141"/>
      <c r="U89" s="141"/>
      <c r="V89" s="141"/>
      <c r="W89" s="141"/>
      <c r="X89" s="141"/>
      <c r="Y89" s="141"/>
    </row>
    <row r="90">
      <c r="A90" s="141"/>
      <c r="B90" s="141"/>
      <c r="C90" s="141"/>
      <c r="D90" s="92"/>
      <c r="E90" s="92"/>
      <c r="F90" s="141"/>
      <c r="G90" s="141"/>
      <c r="H90" s="141"/>
      <c r="I90" s="141"/>
      <c r="J90" s="141"/>
      <c r="K90" s="141"/>
      <c r="L90" s="141"/>
      <c r="M90" s="141"/>
      <c r="N90" s="141"/>
      <c r="O90" s="141"/>
      <c r="P90" s="141"/>
      <c r="Q90" s="141"/>
      <c r="R90" s="141"/>
      <c r="S90" s="141"/>
      <c r="T90" s="141"/>
      <c r="U90" s="141"/>
      <c r="V90" s="141"/>
      <c r="W90" s="141"/>
      <c r="X90" s="141"/>
      <c r="Y90" s="141"/>
    </row>
    <row r="91">
      <c r="A91" s="141"/>
      <c r="B91" s="141"/>
      <c r="C91" s="141"/>
      <c r="D91" s="92"/>
      <c r="E91" s="92"/>
      <c r="F91" s="141"/>
      <c r="G91" s="141"/>
      <c r="H91" s="141"/>
      <c r="I91" s="141"/>
      <c r="J91" s="141"/>
      <c r="K91" s="141"/>
      <c r="L91" s="141"/>
      <c r="M91" s="141"/>
      <c r="N91" s="141"/>
      <c r="O91" s="141"/>
      <c r="P91" s="141"/>
      <c r="Q91" s="141"/>
      <c r="R91" s="141"/>
      <c r="S91" s="141"/>
      <c r="T91" s="141"/>
      <c r="U91" s="141"/>
      <c r="V91" s="141"/>
      <c r="W91" s="141"/>
      <c r="X91" s="141"/>
      <c r="Y91" s="141"/>
    </row>
    <row r="92">
      <c r="A92" s="141"/>
      <c r="B92" s="141"/>
      <c r="C92" s="141"/>
      <c r="D92" s="92"/>
      <c r="E92" s="92"/>
      <c r="F92" s="141"/>
      <c r="G92" s="141"/>
      <c r="H92" s="141"/>
      <c r="I92" s="141"/>
      <c r="J92" s="141"/>
      <c r="K92" s="141"/>
      <c r="L92" s="141"/>
      <c r="M92" s="141"/>
      <c r="N92" s="141"/>
      <c r="O92" s="141"/>
      <c r="P92" s="141"/>
      <c r="Q92" s="141"/>
      <c r="R92" s="141"/>
      <c r="S92" s="141"/>
      <c r="T92" s="141"/>
      <c r="U92" s="141"/>
      <c r="V92" s="141"/>
      <c r="W92" s="141"/>
      <c r="X92" s="141"/>
      <c r="Y92" s="141"/>
    </row>
    <row r="93">
      <c r="A93" s="141"/>
      <c r="B93" s="141"/>
      <c r="C93" s="141"/>
      <c r="D93" s="92"/>
      <c r="E93" s="92"/>
      <c r="F93" s="141"/>
      <c r="G93" s="141"/>
      <c r="H93" s="141"/>
      <c r="I93" s="141"/>
      <c r="J93" s="141"/>
      <c r="K93" s="141"/>
      <c r="L93" s="141"/>
      <c r="M93" s="141"/>
      <c r="N93" s="141"/>
      <c r="O93" s="141"/>
      <c r="P93" s="141"/>
      <c r="Q93" s="141"/>
      <c r="R93" s="141"/>
      <c r="S93" s="141"/>
      <c r="T93" s="141"/>
      <c r="U93" s="141"/>
      <c r="V93" s="141"/>
      <c r="W93" s="141"/>
      <c r="X93" s="141"/>
      <c r="Y93" s="141"/>
    </row>
    <row r="94">
      <c r="A94" s="141"/>
      <c r="B94" s="141"/>
      <c r="C94" s="141"/>
      <c r="D94" s="92"/>
      <c r="E94" s="92"/>
      <c r="F94" s="141"/>
      <c r="G94" s="141"/>
      <c r="H94" s="141"/>
      <c r="I94" s="141"/>
      <c r="J94" s="141"/>
      <c r="K94" s="141"/>
      <c r="L94" s="141"/>
      <c r="M94" s="141"/>
      <c r="N94" s="141"/>
      <c r="O94" s="141"/>
      <c r="P94" s="141"/>
      <c r="Q94" s="141"/>
      <c r="R94" s="141"/>
      <c r="S94" s="141"/>
      <c r="T94" s="141"/>
      <c r="U94" s="141"/>
      <c r="V94" s="141"/>
      <c r="W94" s="141"/>
      <c r="X94" s="141"/>
      <c r="Y94" s="141"/>
    </row>
    <row r="95">
      <c r="A95" s="141"/>
      <c r="B95" s="141"/>
      <c r="C95" s="141"/>
      <c r="D95" s="92"/>
      <c r="E95" s="92"/>
      <c r="F95" s="141"/>
      <c r="G95" s="141"/>
      <c r="H95" s="141"/>
      <c r="I95" s="141"/>
      <c r="J95" s="141"/>
      <c r="K95" s="141"/>
      <c r="L95" s="141"/>
      <c r="M95" s="141"/>
      <c r="N95" s="141"/>
      <c r="O95" s="141"/>
      <c r="P95" s="141"/>
      <c r="Q95" s="141"/>
      <c r="R95" s="141"/>
      <c r="S95" s="141"/>
      <c r="T95" s="141"/>
      <c r="U95" s="141"/>
      <c r="V95" s="141"/>
      <c r="W95" s="141"/>
      <c r="X95" s="141"/>
      <c r="Y95" s="141"/>
    </row>
    <row r="96">
      <c r="A96" s="141"/>
      <c r="B96" s="141"/>
      <c r="C96" s="141"/>
      <c r="D96" s="92"/>
      <c r="E96" s="92"/>
      <c r="F96" s="141"/>
      <c r="G96" s="141"/>
      <c r="H96" s="141"/>
      <c r="I96" s="141"/>
      <c r="J96" s="141"/>
      <c r="K96" s="141"/>
      <c r="L96" s="141"/>
      <c r="M96" s="141"/>
      <c r="N96" s="141"/>
      <c r="O96" s="141"/>
      <c r="P96" s="141"/>
      <c r="Q96" s="141"/>
      <c r="R96" s="141"/>
      <c r="S96" s="141"/>
      <c r="T96" s="141"/>
      <c r="U96" s="141"/>
      <c r="V96" s="141"/>
      <c r="W96" s="141"/>
      <c r="X96" s="141"/>
      <c r="Y96" s="141"/>
    </row>
    <row r="97">
      <c r="A97" s="141"/>
      <c r="B97" s="141"/>
      <c r="C97" s="141"/>
      <c r="D97" s="92"/>
      <c r="E97" s="92"/>
      <c r="F97" s="141"/>
      <c r="G97" s="141"/>
      <c r="H97" s="141"/>
      <c r="I97" s="141"/>
      <c r="J97" s="141"/>
      <c r="K97" s="141"/>
      <c r="L97" s="141"/>
      <c r="M97" s="141"/>
      <c r="N97" s="141"/>
      <c r="O97" s="141"/>
      <c r="P97" s="141"/>
      <c r="Q97" s="141"/>
      <c r="R97" s="141"/>
      <c r="S97" s="141"/>
      <c r="T97" s="141"/>
      <c r="U97" s="141"/>
      <c r="V97" s="141"/>
      <c r="W97" s="141"/>
      <c r="X97" s="141"/>
      <c r="Y97" s="141"/>
    </row>
    <row r="98">
      <c r="A98" s="141"/>
      <c r="B98" s="141"/>
      <c r="C98" s="141"/>
      <c r="D98" s="92"/>
      <c r="E98" s="92"/>
      <c r="F98" s="141"/>
      <c r="G98" s="141"/>
      <c r="H98" s="141"/>
      <c r="I98" s="141"/>
      <c r="J98" s="141"/>
      <c r="K98" s="141"/>
      <c r="L98" s="141"/>
      <c r="M98" s="141"/>
      <c r="N98" s="141"/>
      <c r="O98" s="141"/>
      <c r="P98" s="141"/>
      <c r="Q98" s="141"/>
      <c r="R98" s="141"/>
      <c r="S98" s="141"/>
      <c r="T98" s="141"/>
      <c r="U98" s="141"/>
      <c r="V98" s="141"/>
      <c r="W98" s="141"/>
      <c r="X98" s="141"/>
      <c r="Y98" s="141"/>
    </row>
    <row r="99">
      <c r="A99" s="141"/>
      <c r="B99" s="141"/>
      <c r="C99" s="141"/>
      <c r="D99" s="92"/>
      <c r="E99" s="92"/>
      <c r="F99" s="141"/>
      <c r="G99" s="141"/>
      <c r="H99" s="141"/>
      <c r="I99" s="141"/>
      <c r="J99" s="141"/>
      <c r="K99" s="141"/>
      <c r="L99" s="141"/>
      <c r="M99" s="141"/>
      <c r="N99" s="141"/>
      <c r="O99" s="141"/>
      <c r="P99" s="141"/>
      <c r="Q99" s="141"/>
      <c r="R99" s="141"/>
      <c r="S99" s="141"/>
      <c r="T99" s="141"/>
      <c r="U99" s="141"/>
      <c r="V99" s="141"/>
      <c r="W99" s="141"/>
      <c r="X99" s="141"/>
      <c r="Y99" s="141"/>
    </row>
    <row r="100">
      <c r="A100" s="141"/>
      <c r="B100" s="141"/>
      <c r="C100" s="141"/>
      <c r="D100" s="92"/>
      <c r="E100" s="92"/>
      <c r="F100" s="141"/>
      <c r="G100" s="141"/>
      <c r="H100" s="141"/>
      <c r="I100" s="141"/>
      <c r="J100" s="141"/>
      <c r="K100" s="141"/>
      <c r="L100" s="141"/>
      <c r="M100" s="141"/>
      <c r="N100" s="141"/>
      <c r="O100" s="141"/>
      <c r="P100" s="141"/>
      <c r="Q100" s="141"/>
      <c r="R100" s="141"/>
      <c r="S100" s="141"/>
      <c r="T100" s="141"/>
      <c r="U100" s="141"/>
      <c r="V100" s="141"/>
      <c r="W100" s="141"/>
      <c r="X100" s="141"/>
      <c r="Y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c r="U101" s="141"/>
      <c r="V101" s="141"/>
      <c r="W101" s="141"/>
      <c r="X101" s="141"/>
      <c r="Y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c r="U102" s="141"/>
      <c r="V102" s="141"/>
      <c r="W102" s="141"/>
      <c r="X102" s="141"/>
      <c r="Y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c r="U103" s="141"/>
      <c r="V103" s="141"/>
      <c r="W103" s="141"/>
      <c r="X103" s="141"/>
      <c r="Y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c r="U104" s="141"/>
      <c r="V104" s="141"/>
      <c r="W104" s="141"/>
      <c r="X104" s="141"/>
      <c r="Y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c r="U105" s="141"/>
      <c r="V105" s="141"/>
      <c r="W105" s="141"/>
      <c r="X105" s="141"/>
      <c r="Y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c r="U106" s="141"/>
      <c r="V106" s="141"/>
      <c r="W106" s="141"/>
      <c r="X106" s="141"/>
      <c r="Y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c r="U107" s="141"/>
      <c r="V107" s="141"/>
      <c r="W107" s="141"/>
      <c r="X107" s="141"/>
      <c r="Y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c r="U108" s="141"/>
      <c r="V108" s="141"/>
      <c r="W108" s="141"/>
      <c r="X108" s="141"/>
      <c r="Y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c r="U109" s="141"/>
      <c r="V109" s="141"/>
      <c r="W109" s="141"/>
      <c r="X109" s="141"/>
      <c r="Y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c r="U110" s="141"/>
      <c r="V110" s="141"/>
      <c r="W110" s="141"/>
      <c r="X110" s="141"/>
      <c r="Y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c r="U111" s="141"/>
      <c r="V111" s="141"/>
      <c r="W111" s="141"/>
      <c r="X111" s="141"/>
      <c r="Y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c r="U112" s="141"/>
      <c r="V112" s="141"/>
      <c r="W112" s="141"/>
      <c r="X112" s="141"/>
      <c r="Y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c r="U113" s="141"/>
      <c r="V113" s="141"/>
      <c r="W113" s="141"/>
      <c r="X113" s="141"/>
      <c r="Y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c r="U114" s="141"/>
      <c r="V114" s="141"/>
      <c r="W114" s="141"/>
      <c r="X114" s="141"/>
      <c r="Y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c r="U115" s="141"/>
      <c r="V115" s="141"/>
      <c r="W115" s="141"/>
      <c r="X115" s="141"/>
      <c r="Y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c r="U116" s="141"/>
      <c r="V116" s="141"/>
      <c r="W116" s="141"/>
      <c r="X116" s="141"/>
      <c r="Y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c r="U117" s="141"/>
      <c r="V117" s="141"/>
      <c r="W117" s="141"/>
      <c r="X117" s="141"/>
      <c r="Y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c r="U118" s="141"/>
      <c r="V118" s="141"/>
      <c r="W118" s="141"/>
      <c r="X118" s="141"/>
      <c r="Y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c r="U119" s="141"/>
      <c r="V119" s="141"/>
      <c r="W119" s="141"/>
      <c r="X119" s="141"/>
      <c r="Y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c r="U120" s="141"/>
      <c r="V120" s="141"/>
      <c r="W120" s="141"/>
      <c r="X120" s="141"/>
      <c r="Y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c r="U121" s="141"/>
      <c r="V121" s="141"/>
      <c r="W121" s="141"/>
      <c r="X121" s="141"/>
      <c r="Y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c r="U122" s="141"/>
      <c r="V122" s="141"/>
      <c r="W122" s="141"/>
      <c r="X122" s="141"/>
      <c r="Y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c r="U123" s="141"/>
      <c r="V123" s="141"/>
      <c r="W123" s="141"/>
      <c r="X123" s="141"/>
      <c r="Y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c r="U124" s="141"/>
      <c r="V124" s="141"/>
      <c r="W124" s="141"/>
      <c r="X124" s="141"/>
      <c r="Y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c r="U125" s="141"/>
      <c r="V125" s="141"/>
      <c r="W125" s="141"/>
      <c r="X125" s="141"/>
      <c r="Y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c r="U126" s="141"/>
      <c r="V126" s="141"/>
      <c r="W126" s="141"/>
      <c r="X126" s="141"/>
      <c r="Y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c r="U127" s="141"/>
      <c r="V127" s="141"/>
      <c r="W127" s="141"/>
      <c r="X127" s="141"/>
      <c r="Y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c r="U128" s="141"/>
      <c r="V128" s="141"/>
      <c r="W128" s="141"/>
      <c r="X128" s="141"/>
      <c r="Y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c r="U129" s="141"/>
      <c r="V129" s="141"/>
      <c r="W129" s="141"/>
      <c r="X129" s="141"/>
      <c r="Y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c r="U130" s="141"/>
      <c r="V130" s="141"/>
      <c r="W130" s="141"/>
      <c r="X130" s="141"/>
      <c r="Y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c r="U131" s="141"/>
      <c r="V131" s="141"/>
      <c r="W131" s="141"/>
      <c r="X131" s="141"/>
      <c r="Y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c r="U132" s="141"/>
      <c r="V132" s="141"/>
      <c r="W132" s="141"/>
      <c r="X132" s="141"/>
      <c r="Y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c r="U133" s="141"/>
      <c r="V133" s="141"/>
      <c r="W133" s="141"/>
      <c r="X133" s="141"/>
      <c r="Y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c r="U134" s="141"/>
      <c r="V134" s="141"/>
      <c r="W134" s="141"/>
      <c r="X134" s="141"/>
      <c r="Y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c r="U135" s="141"/>
      <c r="V135" s="141"/>
      <c r="W135" s="141"/>
      <c r="X135" s="141"/>
      <c r="Y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c r="U136" s="141"/>
      <c r="V136" s="141"/>
      <c r="W136" s="141"/>
      <c r="X136" s="141"/>
      <c r="Y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c r="U137" s="141"/>
      <c r="V137" s="141"/>
      <c r="W137" s="141"/>
      <c r="X137" s="141"/>
      <c r="Y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c r="U138" s="141"/>
      <c r="V138" s="141"/>
      <c r="W138" s="141"/>
      <c r="X138" s="141"/>
      <c r="Y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c r="U139" s="141"/>
      <c r="V139" s="141"/>
      <c r="W139" s="141"/>
      <c r="X139" s="141"/>
      <c r="Y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c r="U140" s="141"/>
      <c r="V140" s="141"/>
      <c r="W140" s="141"/>
      <c r="X140" s="141"/>
      <c r="Y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c r="U141" s="141"/>
      <c r="V141" s="141"/>
      <c r="W141" s="141"/>
      <c r="X141" s="141"/>
      <c r="Y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c r="U142" s="141"/>
      <c r="V142" s="141"/>
      <c r="W142" s="141"/>
      <c r="X142" s="141"/>
      <c r="Y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c r="U143" s="141"/>
      <c r="V143" s="141"/>
      <c r="W143" s="141"/>
      <c r="X143" s="141"/>
      <c r="Y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c r="U144" s="141"/>
      <c r="V144" s="141"/>
      <c r="W144" s="141"/>
      <c r="X144" s="141"/>
      <c r="Y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c r="U145" s="141"/>
      <c r="V145" s="141"/>
      <c r="W145" s="141"/>
      <c r="X145" s="141"/>
      <c r="Y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c r="U146" s="141"/>
      <c r="V146" s="141"/>
      <c r="W146" s="141"/>
      <c r="X146" s="141"/>
      <c r="Y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c r="U147" s="141"/>
      <c r="V147" s="141"/>
      <c r="W147" s="141"/>
      <c r="X147" s="141"/>
      <c r="Y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c r="U148" s="141"/>
      <c r="V148" s="141"/>
      <c r="W148" s="141"/>
      <c r="X148" s="141"/>
      <c r="Y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c r="U149" s="141"/>
      <c r="V149" s="141"/>
      <c r="W149" s="141"/>
      <c r="X149" s="141"/>
      <c r="Y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c r="U150" s="141"/>
      <c r="V150" s="141"/>
      <c r="W150" s="141"/>
      <c r="X150" s="141"/>
      <c r="Y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c r="U151" s="141"/>
      <c r="V151" s="141"/>
      <c r="W151" s="141"/>
      <c r="X151" s="141"/>
      <c r="Y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c r="U152" s="141"/>
      <c r="V152" s="141"/>
      <c r="W152" s="141"/>
      <c r="X152" s="141"/>
      <c r="Y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c r="U153" s="141"/>
      <c r="V153" s="141"/>
      <c r="W153" s="141"/>
      <c r="X153" s="141"/>
      <c r="Y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c r="U154" s="141"/>
      <c r="V154" s="141"/>
      <c r="W154" s="141"/>
      <c r="X154" s="141"/>
      <c r="Y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c r="U155" s="141"/>
      <c r="V155" s="141"/>
      <c r="W155" s="141"/>
      <c r="X155" s="141"/>
      <c r="Y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c r="U156" s="141"/>
      <c r="V156" s="141"/>
      <c r="W156" s="141"/>
      <c r="X156" s="141"/>
      <c r="Y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c r="U157" s="141"/>
      <c r="V157" s="141"/>
      <c r="W157" s="141"/>
      <c r="X157" s="141"/>
      <c r="Y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c r="U158" s="141"/>
      <c r="V158" s="141"/>
      <c r="W158" s="141"/>
      <c r="X158" s="141"/>
      <c r="Y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c r="U159" s="141"/>
      <c r="V159" s="141"/>
      <c r="W159" s="141"/>
      <c r="X159" s="141"/>
      <c r="Y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c r="U160" s="141"/>
      <c r="V160" s="141"/>
      <c r="W160" s="141"/>
      <c r="X160" s="141"/>
      <c r="Y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c r="U161" s="141"/>
      <c r="V161" s="141"/>
      <c r="W161" s="141"/>
      <c r="X161" s="141"/>
      <c r="Y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c r="U162" s="141"/>
      <c r="V162" s="141"/>
      <c r="W162" s="141"/>
      <c r="X162" s="141"/>
      <c r="Y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c r="U163" s="141"/>
      <c r="V163" s="141"/>
      <c r="W163" s="141"/>
      <c r="X163" s="141"/>
      <c r="Y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c r="U164" s="141"/>
      <c r="V164" s="141"/>
      <c r="W164" s="141"/>
      <c r="X164" s="141"/>
      <c r="Y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c r="U165" s="141"/>
      <c r="V165" s="141"/>
      <c r="W165" s="141"/>
      <c r="X165" s="141"/>
      <c r="Y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c r="U166" s="141"/>
      <c r="V166" s="141"/>
      <c r="W166" s="141"/>
      <c r="X166" s="141"/>
      <c r="Y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c r="U167" s="141"/>
      <c r="V167" s="141"/>
      <c r="W167" s="141"/>
      <c r="X167" s="141"/>
      <c r="Y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c r="U168" s="141"/>
      <c r="V168" s="141"/>
      <c r="W168" s="141"/>
      <c r="X168" s="141"/>
      <c r="Y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c r="U169" s="141"/>
      <c r="V169" s="141"/>
      <c r="W169" s="141"/>
      <c r="X169" s="141"/>
      <c r="Y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c r="U170" s="141"/>
      <c r="V170" s="141"/>
      <c r="W170" s="141"/>
      <c r="X170" s="141"/>
      <c r="Y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c r="U171" s="141"/>
      <c r="V171" s="141"/>
      <c r="W171" s="141"/>
      <c r="X171" s="141"/>
      <c r="Y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c r="U172" s="141"/>
      <c r="V172" s="141"/>
      <c r="W172" s="141"/>
      <c r="X172" s="141"/>
      <c r="Y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c r="U173" s="141"/>
      <c r="V173" s="141"/>
      <c r="W173" s="141"/>
      <c r="X173" s="141"/>
      <c r="Y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c r="U174" s="141"/>
      <c r="V174" s="141"/>
      <c r="W174" s="141"/>
      <c r="X174" s="141"/>
      <c r="Y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c r="U175" s="141"/>
      <c r="V175" s="141"/>
      <c r="W175" s="141"/>
      <c r="X175" s="141"/>
      <c r="Y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c r="U176" s="141"/>
      <c r="V176" s="141"/>
      <c r="W176" s="141"/>
      <c r="X176" s="141"/>
      <c r="Y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c r="U177" s="141"/>
      <c r="V177" s="141"/>
      <c r="W177" s="141"/>
      <c r="X177" s="141"/>
      <c r="Y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c r="U178" s="141"/>
      <c r="V178" s="141"/>
      <c r="W178" s="141"/>
      <c r="X178" s="141"/>
      <c r="Y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c r="U179" s="141"/>
      <c r="V179" s="141"/>
      <c r="W179" s="141"/>
      <c r="X179" s="141"/>
      <c r="Y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c r="U180" s="141"/>
      <c r="V180" s="141"/>
      <c r="W180" s="141"/>
      <c r="X180" s="141"/>
      <c r="Y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c r="U181" s="141"/>
      <c r="V181" s="141"/>
      <c r="W181" s="141"/>
      <c r="X181" s="141"/>
      <c r="Y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c r="U182" s="141"/>
      <c r="V182" s="141"/>
      <c r="W182" s="141"/>
      <c r="X182" s="141"/>
      <c r="Y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c r="U183" s="141"/>
      <c r="V183" s="141"/>
      <c r="W183" s="141"/>
      <c r="X183" s="141"/>
      <c r="Y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c r="U184" s="141"/>
      <c r="V184" s="141"/>
      <c r="W184" s="141"/>
      <c r="X184" s="141"/>
      <c r="Y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c r="U185" s="141"/>
      <c r="V185" s="141"/>
      <c r="W185" s="141"/>
      <c r="X185" s="141"/>
      <c r="Y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c r="U186" s="141"/>
      <c r="V186" s="141"/>
      <c r="W186" s="141"/>
      <c r="X186" s="141"/>
      <c r="Y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c r="U187" s="141"/>
      <c r="V187" s="141"/>
      <c r="W187" s="141"/>
      <c r="X187" s="141"/>
      <c r="Y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c r="U188" s="141"/>
      <c r="V188" s="141"/>
      <c r="W188" s="141"/>
      <c r="X188" s="141"/>
      <c r="Y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c r="U189" s="141"/>
      <c r="V189" s="141"/>
      <c r="W189" s="141"/>
      <c r="X189" s="141"/>
      <c r="Y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c r="U190" s="141"/>
      <c r="V190" s="141"/>
      <c r="W190" s="141"/>
      <c r="X190" s="141"/>
      <c r="Y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c r="U191" s="141"/>
      <c r="V191" s="141"/>
      <c r="W191" s="141"/>
      <c r="X191" s="141"/>
      <c r="Y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c r="U192" s="141"/>
      <c r="V192" s="141"/>
      <c r="W192" s="141"/>
      <c r="X192" s="141"/>
      <c r="Y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c r="U193" s="141"/>
      <c r="V193" s="141"/>
      <c r="W193" s="141"/>
      <c r="X193" s="141"/>
      <c r="Y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c r="U194" s="141"/>
      <c r="V194" s="141"/>
      <c r="W194" s="141"/>
      <c r="X194" s="141"/>
      <c r="Y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c r="U195" s="141"/>
      <c r="V195" s="141"/>
      <c r="W195" s="141"/>
      <c r="X195" s="141"/>
      <c r="Y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c r="U196" s="141"/>
      <c r="V196" s="141"/>
      <c r="W196" s="141"/>
      <c r="X196" s="141"/>
      <c r="Y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c r="U197" s="141"/>
      <c r="V197" s="141"/>
      <c r="W197" s="141"/>
      <c r="X197" s="141"/>
      <c r="Y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c r="U198" s="141"/>
      <c r="V198" s="141"/>
      <c r="W198" s="141"/>
      <c r="X198" s="141"/>
      <c r="Y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c r="U199" s="141"/>
      <c r="V199" s="141"/>
      <c r="W199" s="141"/>
      <c r="X199" s="141"/>
      <c r="Y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c r="U200" s="141"/>
      <c r="V200" s="141"/>
      <c r="W200" s="141"/>
      <c r="X200" s="141"/>
      <c r="Y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c r="U201" s="141"/>
      <c r="V201" s="141"/>
      <c r="W201" s="141"/>
      <c r="X201" s="141"/>
      <c r="Y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c r="U202" s="141"/>
      <c r="V202" s="141"/>
      <c r="W202" s="141"/>
      <c r="X202" s="141"/>
      <c r="Y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c r="U203" s="141"/>
      <c r="V203" s="141"/>
      <c r="W203" s="141"/>
      <c r="X203" s="141"/>
      <c r="Y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c r="U204" s="141"/>
      <c r="V204" s="141"/>
      <c r="W204" s="141"/>
      <c r="X204" s="141"/>
      <c r="Y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c r="U205" s="141"/>
      <c r="V205" s="141"/>
      <c r="W205" s="141"/>
      <c r="X205" s="141"/>
      <c r="Y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c r="U206" s="141"/>
      <c r="V206" s="141"/>
      <c r="W206" s="141"/>
      <c r="X206" s="141"/>
      <c r="Y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c r="U207" s="141"/>
      <c r="V207" s="141"/>
      <c r="W207" s="141"/>
      <c r="X207" s="141"/>
      <c r="Y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c r="U208" s="141"/>
      <c r="V208" s="141"/>
      <c r="W208" s="141"/>
      <c r="X208" s="141"/>
      <c r="Y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c r="U209" s="141"/>
      <c r="V209" s="141"/>
      <c r="W209" s="141"/>
      <c r="X209" s="141"/>
      <c r="Y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c r="U210" s="141"/>
      <c r="V210" s="141"/>
      <c r="W210" s="141"/>
      <c r="X210" s="141"/>
      <c r="Y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c r="U211" s="141"/>
      <c r="V211" s="141"/>
      <c r="W211" s="141"/>
      <c r="X211" s="141"/>
      <c r="Y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c r="U212" s="141"/>
      <c r="V212" s="141"/>
      <c r="W212" s="141"/>
      <c r="X212" s="141"/>
      <c r="Y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c r="U213" s="141"/>
      <c r="V213" s="141"/>
      <c r="W213" s="141"/>
      <c r="X213" s="141"/>
      <c r="Y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c r="U214" s="141"/>
      <c r="V214" s="141"/>
      <c r="W214" s="141"/>
      <c r="X214" s="141"/>
      <c r="Y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c r="U215" s="141"/>
      <c r="V215" s="141"/>
      <c r="W215" s="141"/>
      <c r="X215" s="141"/>
      <c r="Y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c r="U216" s="141"/>
      <c r="V216" s="141"/>
      <c r="W216" s="141"/>
      <c r="X216" s="141"/>
      <c r="Y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c r="U217" s="141"/>
      <c r="V217" s="141"/>
      <c r="W217" s="141"/>
      <c r="X217" s="141"/>
      <c r="Y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c r="U218" s="141"/>
      <c r="V218" s="141"/>
      <c r="W218" s="141"/>
      <c r="X218" s="141"/>
      <c r="Y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c r="U219" s="141"/>
      <c r="V219" s="141"/>
      <c r="W219" s="141"/>
      <c r="X219" s="141"/>
      <c r="Y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c r="U220" s="141"/>
      <c r="V220" s="141"/>
      <c r="W220" s="141"/>
      <c r="X220" s="141"/>
      <c r="Y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c r="U221" s="141"/>
      <c r="V221" s="141"/>
      <c r="W221" s="141"/>
      <c r="X221" s="141"/>
      <c r="Y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c r="U222" s="141"/>
      <c r="V222" s="141"/>
      <c r="W222" s="141"/>
      <c r="X222" s="141"/>
      <c r="Y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c r="U223" s="141"/>
      <c r="V223" s="141"/>
      <c r="W223" s="141"/>
      <c r="X223" s="141"/>
      <c r="Y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c r="U224" s="141"/>
      <c r="V224" s="141"/>
      <c r="W224" s="141"/>
      <c r="X224" s="141"/>
      <c r="Y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c r="U225" s="141"/>
      <c r="V225" s="141"/>
      <c r="W225" s="141"/>
      <c r="X225" s="141"/>
      <c r="Y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c r="U226" s="141"/>
      <c r="V226" s="141"/>
      <c r="W226" s="141"/>
      <c r="X226" s="141"/>
      <c r="Y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c r="U227" s="141"/>
      <c r="V227" s="141"/>
      <c r="W227" s="141"/>
      <c r="X227" s="141"/>
      <c r="Y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c r="U228" s="141"/>
      <c r="V228" s="141"/>
      <c r="W228" s="141"/>
      <c r="X228" s="141"/>
      <c r="Y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c r="U229" s="141"/>
      <c r="V229" s="141"/>
      <c r="W229" s="141"/>
      <c r="X229" s="141"/>
      <c r="Y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c r="U230" s="141"/>
      <c r="V230" s="141"/>
      <c r="W230" s="141"/>
      <c r="X230" s="141"/>
      <c r="Y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c r="U231" s="141"/>
      <c r="V231" s="141"/>
      <c r="W231" s="141"/>
      <c r="X231" s="141"/>
      <c r="Y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c r="U232" s="141"/>
      <c r="V232" s="141"/>
      <c r="W232" s="141"/>
      <c r="X232" s="141"/>
      <c r="Y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c r="U233" s="141"/>
      <c r="V233" s="141"/>
      <c r="W233" s="141"/>
      <c r="X233" s="141"/>
      <c r="Y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c r="U234" s="141"/>
      <c r="V234" s="141"/>
      <c r="W234" s="141"/>
      <c r="X234" s="141"/>
      <c r="Y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c r="U235" s="141"/>
      <c r="V235" s="141"/>
      <c r="W235" s="141"/>
      <c r="X235" s="141"/>
      <c r="Y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c r="U236" s="141"/>
      <c r="V236" s="141"/>
      <c r="W236" s="141"/>
      <c r="X236" s="141"/>
      <c r="Y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c r="U237" s="141"/>
      <c r="V237" s="141"/>
      <c r="W237" s="141"/>
      <c r="X237" s="141"/>
      <c r="Y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c r="U238" s="141"/>
      <c r="V238" s="141"/>
      <c r="W238" s="141"/>
      <c r="X238" s="141"/>
      <c r="Y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c r="U239" s="141"/>
      <c r="V239" s="141"/>
      <c r="W239" s="141"/>
      <c r="X239" s="141"/>
      <c r="Y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c r="U240" s="141"/>
      <c r="V240" s="141"/>
      <c r="W240" s="141"/>
      <c r="X240" s="141"/>
      <c r="Y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c r="U241" s="141"/>
      <c r="V241" s="141"/>
      <c r="W241" s="141"/>
      <c r="X241" s="141"/>
      <c r="Y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c r="U242" s="141"/>
      <c r="V242" s="141"/>
      <c r="W242" s="141"/>
      <c r="X242" s="141"/>
      <c r="Y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c r="U243" s="141"/>
      <c r="V243" s="141"/>
      <c r="W243" s="141"/>
      <c r="X243" s="141"/>
      <c r="Y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c r="U244" s="141"/>
      <c r="V244" s="141"/>
      <c r="W244" s="141"/>
      <c r="X244" s="141"/>
      <c r="Y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c r="U245" s="141"/>
      <c r="V245" s="141"/>
      <c r="W245" s="141"/>
      <c r="X245" s="141"/>
      <c r="Y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c r="U246" s="141"/>
      <c r="V246" s="141"/>
      <c r="W246" s="141"/>
      <c r="X246" s="141"/>
      <c r="Y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c r="U247" s="141"/>
      <c r="V247" s="141"/>
      <c r="W247" s="141"/>
      <c r="X247" s="141"/>
      <c r="Y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c r="U248" s="141"/>
      <c r="V248" s="141"/>
      <c r="W248" s="141"/>
      <c r="X248" s="141"/>
      <c r="Y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c r="U249" s="141"/>
      <c r="V249" s="141"/>
      <c r="W249" s="141"/>
      <c r="X249" s="141"/>
      <c r="Y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c r="U250" s="141"/>
      <c r="V250" s="141"/>
      <c r="W250" s="141"/>
      <c r="X250" s="141"/>
      <c r="Y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c r="U251" s="141"/>
      <c r="V251" s="141"/>
      <c r="W251" s="141"/>
      <c r="X251" s="141"/>
      <c r="Y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c r="U252" s="141"/>
      <c r="V252" s="141"/>
      <c r="W252" s="141"/>
      <c r="X252" s="141"/>
      <c r="Y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c r="U253" s="141"/>
      <c r="V253" s="141"/>
      <c r="W253" s="141"/>
      <c r="X253" s="141"/>
      <c r="Y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c r="U254" s="141"/>
      <c r="V254" s="141"/>
      <c r="W254" s="141"/>
      <c r="X254" s="141"/>
      <c r="Y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c r="U255" s="141"/>
      <c r="V255" s="141"/>
      <c r="W255" s="141"/>
      <c r="X255" s="141"/>
      <c r="Y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c r="U256" s="141"/>
      <c r="V256" s="141"/>
      <c r="W256" s="141"/>
      <c r="X256" s="141"/>
      <c r="Y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c r="U257" s="141"/>
      <c r="V257" s="141"/>
      <c r="W257" s="141"/>
      <c r="X257" s="141"/>
      <c r="Y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c r="U258" s="141"/>
      <c r="V258" s="141"/>
      <c r="W258" s="141"/>
      <c r="X258" s="141"/>
      <c r="Y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c r="U259" s="141"/>
      <c r="V259" s="141"/>
      <c r="W259" s="141"/>
      <c r="X259" s="141"/>
      <c r="Y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c r="U260" s="141"/>
      <c r="V260" s="141"/>
      <c r="W260" s="141"/>
      <c r="X260" s="141"/>
      <c r="Y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c r="U261" s="141"/>
      <c r="V261" s="141"/>
      <c r="W261" s="141"/>
      <c r="X261" s="141"/>
      <c r="Y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c r="U262" s="141"/>
      <c r="V262" s="141"/>
      <c r="W262" s="141"/>
      <c r="X262" s="141"/>
      <c r="Y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c r="U263" s="141"/>
      <c r="V263" s="141"/>
      <c r="W263" s="141"/>
      <c r="X263" s="141"/>
      <c r="Y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c r="U264" s="141"/>
      <c r="V264" s="141"/>
      <c r="W264" s="141"/>
      <c r="X264" s="141"/>
      <c r="Y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c r="U265" s="141"/>
      <c r="V265" s="141"/>
      <c r="W265" s="141"/>
      <c r="X265" s="141"/>
      <c r="Y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c r="U266" s="141"/>
      <c r="V266" s="141"/>
      <c r="W266" s="141"/>
      <c r="X266" s="141"/>
      <c r="Y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c r="U267" s="141"/>
      <c r="V267" s="141"/>
      <c r="W267" s="141"/>
      <c r="X267" s="141"/>
      <c r="Y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c r="U268" s="141"/>
      <c r="V268" s="141"/>
      <c r="W268" s="141"/>
      <c r="X268" s="141"/>
      <c r="Y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c r="U269" s="141"/>
      <c r="V269" s="141"/>
      <c r="W269" s="141"/>
      <c r="X269" s="141"/>
      <c r="Y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c r="U270" s="141"/>
      <c r="V270" s="141"/>
      <c r="W270" s="141"/>
      <c r="X270" s="141"/>
      <c r="Y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c r="U271" s="141"/>
      <c r="V271" s="141"/>
      <c r="W271" s="141"/>
      <c r="X271" s="141"/>
      <c r="Y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c r="U272" s="141"/>
      <c r="V272" s="141"/>
      <c r="W272" s="141"/>
      <c r="X272" s="141"/>
      <c r="Y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c r="U273" s="141"/>
      <c r="V273" s="141"/>
      <c r="W273" s="141"/>
      <c r="X273" s="141"/>
      <c r="Y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c r="U274" s="141"/>
      <c r="V274" s="141"/>
      <c r="W274" s="141"/>
      <c r="X274" s="141"/>
      <c r="Y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c r="U275" s="141"/>
      <c r="V275" s="141"/>
      <c r="W275" s="141"/>
      <c r="X275" s="141"/>
      <c r="Y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c r="U276" s="141"/>
      <c r="V276" s="141"/>
      <c r="W276" s="141"/>
      <c r="X276" s="141"/>
      <c r="Y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c r="U277" s="141"/>
      <c r="V277" s="141"/>
      <c r="W277" s="141"/>
      <c r="X277" s="141"/>
      <c r="Y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c r="U278" s="141"/>
      <c r="V278" s="141"/>
      <c r="W278" s="141"/>
      <c r="X278" s="141"/>
      <c r="Y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c r="U279" s="141"/>
      <c r="V279" s="141"/>
      <c r="W279" s="141"/>
      <c r="X279" s="141"/>
      <c r="Y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c r="U280" s="141"/>
      <c r="V280" s="141"/>
      <c r="W280" s="141"/>
      <c r="X280" s="141"/>
      <c r="Y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c r="U281" s="141"/>
      <c r="V281" s="141"/>
      <c r="W281" s="141"/>
      <c r="X281" s="141"/>
      <c r="Y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c r="U282" s="141"/>
      <c r="V282" s="141"/>
      <c r="W282" s="141"/>
      <c r="X282" s="141"/>
      <c r="Y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c r="U283" s="141"/>
      <c r="V283" s="141"/>
      <c r="W283" s="141"/>
      <c r="X283" s="141"/>
      <c r="Y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c r="U284" s="141"/>
      <c r="V284" s="141"/>
      <c r="W284" s="141"/>
      <c r="X284" s="141"/>
      <c r="Y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c r="U285" s="141"/>
      <c r="V285" s="141"/>
      <c r="W285" s="141"/>
      <c r="X285" s="141"/>
      <c r="Y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c r="U286" s="141"/>
      <c r="V286" s="141"/>
      <c r="W286" s="141"/>
      <c r="X286" s="141"/>
      <c r="Y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c r="U287" s="141"/>
      <c r="V287" s="141"/>
      <c r="W287" s="141"/>
      <c r="X287" s="141"/>
      <c r="Y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c r="U288" s="141"/>
      <c r="V288" s="141"/>
      <c r="W288" s="141"/>
      <c r="X288" s="141"/>
      <c r="Y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c r="U289" s="141"/>
      <c r="V289" s="141"/>
      <c r="W289" s="141"/>
      <c r="X289" s="141"/>
      <c r="Y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c r="U290" s="141"/>
      <c r="V290" s="141"/>
      <c r="W290" s="141"/>
      <c r="X290" s="141"/>
      <c r="Y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c r="U291" s="141"/>
      <c r="V291" s="141"/>
      <c r="W291" s="141"/>
      <c r="X291" s="141"/>
      <c r="Y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c r="U292" s="141"/>
      <c r="V292" s="141"/>
      <c r="W292" s="141"/>
      <c r="X292" s="141"/>
      <c r="Y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c r="U293" s="141"/>
      <c r="V293" s="141"/>
      <c r="W293" s="141"/>
      <c r="X293" s="141"/>
      <c r="Y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c r="U294" s="141"/>
      <c r="V294" s="141"/>
      <c r="W294" s="141"/>
      <c r="X294" s="141"/>
      <c r="Y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c r="U295" s="141"/>
      <c r="V295" s="141"/>
      <c r="W295" s="141"/>
      <c r="X295" s="141"/>
      <c r="Y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c r="U296" s="141"/>
      <c r="V296" s="141"/>
      <c r="W296" s="141"/>
      <c r="X296" s="141"/>
      <c r="Y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c r="U297" s="141"/>
      <c r="V297" s="141"/>
      <c r="W297" s="141"/>
      <c r="X297" s="141"/>
      <c r="Y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c r="U298" s="141"/>
      <c r="V298" s="141"/>
      <c r="W298" s="141"/>
      <c r="X298" s="141"/>
      <c r="Y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c r="U299" s="141"/>
      <c r="V299" s="141"/>
      <c r="W299" s="141"/>
      <c r="X299" s="141"/>
      <c r="Y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c r="U300" s="141"/>
      <c r="V300" s="141"/>
      <c r="W300" s="141"/>
      <c r="X300" s="141"/>
      <c r="Y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c r="U301" s="141"/>
      <c r="V301" s="141"/>
      <c r="W301" s="141"/>
      <c r="X301" s="141"/>
      <c r="Y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c r="U302" s="141"/>
      <c r="V302" s="141"/>
      <c r="W302" s="141"/>
      <c r="X302" s="141"/>
      <c r="Y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c r="U303" s="141"/>
      <c r="V303" s="141"/>
      <c r="W303" s="141"/>
      <c r="X303" s="141"/>
      <c r="Y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c r="U304" s="141"/>
      <c r="V304" s="141"/>
      <c r="W304" s="141"/>
      <c r="X304" s="141"/>
      <c r="Y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c r="U305" s="141"/>
      <c r="V305" s="141"/>
      <c r="W305" s="141"/>
      <c r="X305" s="141"/>
      <c r="Y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c r="U306" s="141"/>
      <c r="V306" s="141"/>
      <c r="W306" s="141"/>
      <c r="X306" s="141"/>
      <c r="Y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c r="U307" s="141"/>
      <c r="V307" s="141"/>
      <c r="W307" s="141"/>
      <c r="X307" s="141"/>
      <c r="Y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c r="U308" s="141"/>
      <c r="V308" s="141"/>
      <c r="W308" s="141"/>
      <c r="X308" s="141"/>
      <c r="Y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c r="U309" s="141"/>
      <c r="V309" s="141"/>
      <c r="W309" s="141"/>
      <c r="X309" s="141"/>
      <c r="Y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c r="U310" s="141"/>
      <c r="V310" s="141"/>
      <c r="W310" s="141"/>
      <c r="X310" s="141"/>
      <c r="Y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c r="U311" s="141"/>
      <c r="V311" s="141"/>
      <c r="W311" s="141"/>
      <c r="X311" s="141"/>
      <c r="Y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c r="U312" s="141"/>
      <c r="V312" s="141"/>
      <c r="W312" s="141"/>
      <c r="X312" s="141"/>
      <c r="Y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c r="U313" s="141"/>
      <c r="V313" s="141"/>
      <c r="W313" s="141"/>
      <c r="X313" s="141"/>
      <c r="Y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c r="U314" s="141"/>
      <c r="V314" s="141"/>
      <c r="W314" s="141"/>
      <c r="X314" s="141"/>
      <c r="Y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c r="U315" s="141"/>
      <c r="V315" s="141"/>
      <c r="W315" s="141"/>
      <c r="X315" s="141"/>
      <c r="Y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c r="U316" s="141"/>
      <c r="V316" s="141"/>
      <c r="W316" s="141"/>
      <c r="X316" s="141"/>
      <c r="Y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c r="U317" s="141"/>
      <c r="V317" s="141"/>
      <c r="W317" s="141"/>
      <c r="X317" s="141"/>
      <c r="Y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c r="U318" s="141"/>
      <c r="V318" s="141"/>
      <c r="W318" s="141"/>
      <c r="X318" s="141"/>
      <c r="Y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c r="U319" s="141"/>
      <c r="V319" s="141"/>
      <c r="W319" s="141"/>
      <c r="X319" s="141"/>
      <c r="Y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c r="U320" s="141"/>
      <c r="V320" s="141"/>
      <c r="W320" s="141"/>
      <c r="X320" s="141"/>
      <c r="Y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c r="U321" s="141"/>
      <c r="V321" s="141"/>
      <c r="W321" s="141"/>
      <c r="X321" s="141"/>
      <c r="Y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c r="U322" s="141"/>
      <c r="V322" s="141"/>
      <c r="W322" s="141"/>
      <c r="X322" s="141"/>
      <c r="Y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c r="U323" s="141"/>
      <c r="V323" s="141"/>
      <c r="W323" s="141"/>
      <c r="X323" s="141"/>
      <c r="Y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c r="U324" s="141"/>
      <c r="V324" s="141"/>
      <c r="W324" s="141"/>
      <c r="X324" s="141"/>
      <c r="Y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c r="U325" s="141"/>
      <c r="V325" s="141"/>
      <c r="W325" s="141"/>
      <c r="X325" s="141"/>
      <c r="Y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c r="U326" s="141"/>
      <c r="V326" s="141"/>
      <c r="W326" s="141"/>
      <c r="X326" s="141"/>
      <c r="Y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c r="U327" s="141"/>
      <c r="V327" s="141"/>
      <c r="W327" s="141"/>
      <c r="X327" s="141"/>
      <c r="Y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c r="U328" s="141"/>
      <c r="V328" s="141"/>
      <c r="W328" s="141"/>
      <c r="X328" s="141"/>
      <c r="Y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c r="U329" s="141"/>
      <c r="V329" s="141"/>
      <c r="W329" s="141"/>
      <c r="X329" s="141"/>
      <c r="Y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c r="U330" s="141"/>
      <c r="V330" s="141"/>
      <c r="W330" s="141"/>
      <c r="X330" s="141"/>
      <c r="Y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c r="U331" s="141"/>
      <c r="V331" s="141"/>
      <c r="W331" s="141"/>
      <c r="X331" s="141"/>
      <c r="Y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c r="U332" s="141"/>
      <c r="V332" s="141"/>
      <c r="W332" s="141"/>
      <c r="X332" s="141"/>
      <c r="Y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c r="U333" s="141"/>
      <c r="V333" s="141"/>
      <c r="W333" s="141"/>
      <c r="X333" s="141"/>
      <c r="Y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c r="U334" s="141"/>
      <c r="V334" s="141"/>
      <c r="W334" s="141"/>
      <c r="X334" s="141"/>
      <c r="Y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c r="U335" s="141"/>
      <c r="V335" s="141"/>
      <c r="W335" s="141"/>
      <c r="X335" s="141"/>
      <c r="Y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c r="U336" s="141"/>
      <c r="V336" s="141"/>
      <c r="W336" s="141"/>
      <c r="X336" s="141"/>
      <c r="Y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c r="U337" s="141"/>
      <c r="V337" s="141"/>
      <c r="W337" s="141"/>
      <c r="X337" s="141"/>
      <c r="Y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c r="U338" s="141"/>
      <c r="V338" s="141"/>
      <c r="W338" s="141"/>
      <c r="X338" s="141"/>
      <c r="Y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c r="U339" s="141"/>
      <c r="V339" s="141"/>
      <c r="W339" s="141"/>
      <c r="X339" s="141"/>
      <c r="Y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c r="U340" s="141"/>
      <c r="V340" s="141"/>
      <c r="W340" s="141"/>
      <c r="X340" s="141"/>
      <c r="Y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c r="U341" s="141"/>
      <c r="V341" s="141"/>
      <c r="W341" s="141"/>
      <c r="X341" s="141"/>
      <c r="Y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c r="U342" s="141"/>
      <c r="V342" s="141"/>
      <c r="W342" s="141"/>
      <c r="X342" s="141"/>
      <c r="Y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c r="U343" s="141"/>
      <c r="V343" s="141"/>
      <c r="W343" s="141"/>
      <c r="X343" s="141"/>
      <c r="Y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c r="U344" s="141"/>
      <c r="V344" s="141"/>
      <c r="W344" s="141"/>
      <c r="X344" s="141"/>
      <c r="Y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c r="U345" s="141"/>
      <c r="V345" s="141"/>
      <c r="W345" s="141"/>
      <c r="X345" s="141"/>
      <c r="Y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c r="U346" s="141"/>
      <c r="V346" s="141"/>
      <c r="W346" s="141"/>
      <c r="X346" s="141"/>
      <c r="Y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c r="U347" s="141"/>
      <c r="V347" s="141"/>
      <c r="W347" s="141"/>
      <c r="X347" s="141"/>
      <c r="Y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c r="U348" s="141"/>
      <c r="V348" s="141"/>
      <c r="W348" s="141"/>
      <c r="X348" s="141"/>
      <c r="Y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c r="U349" s="141"/>
      <c r="V349" s="141"/>
      <c r="W349" s="141"/>
      <c r="X349" s="141"/>
      <c r="Y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c r="U350" s="141"/>
      <c r="V350" s="141"/>
      <c r="W350" s="141"/>
      <c r="X350" s="141"/>
      <c r="Y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c r="U351" s="141"/>
      <c r="V351" s="141"/>
      <c r="W351" s="141"/>
      <c r="X351" s="141"/>
      <c r="Y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c r="U352" s="141"/>
      <c r="V352" s="141"/>
      <c r="W352" s="141"/>
      <c r="X352" s="141"/>
      <c r="Y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c r="U353" s="141"/>
      <c r="V353" s="141"/>
      <c r="W353" s="141"/>
      <c r="X353" s="141"/>
      <c r="Y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c r="U354" s="141"/>
      <c r="V354" s="141"/>
      <c r="W354" s="141"/>
      <c r="X354" s="141"/>
      <c r="Y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c r="U355" s="141"/>
      <c r="V355" s="141"/>
      <c r="W355" s="141"/>
      <c r="X355" s="141"/>
      <c r="Y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c r="U356" s="141"/>
      <c r="V356" s="141"/>
      <c r="W356" s="141"/>
      <c r="X356" s="141"/>
      <c r="Y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c r="U357" s="141"/>
      <c r="V357" s="141"/>
      <c r="W357" s="141"/>
      <c r="X357" s="141"/>
      <c r="Y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c r="U358" s="141"/>
      <c r="V358" s="141"/>
      <c r="W358" s="141"/>
      <c r="X358" s="141"/>
      <c r="Y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c r="U359" s="141"/>
      <c r="V359" s="141"/>
      <c r="W359" s="141"/>
      <c r="X359" s="141"/>
      <c r="Y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c r="U360" s="141"/>
      <c r="V360" s="141"/>
      <c r="W360" s="141"/>
      <c r="X360" s="141"/>
      <c r="Y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c r="U361" s="141"/>
      <c r="V361" s="141"/>
      <c r="W361" s="141"/>
      <c r="X361" s="141"/>
      <c r="Y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c r="U362" s="141"/>
      <c r="V362" s="141"/>
      <c r="W362" s="141"/>
      <c r="X362" s="141"/>
      <c r="Y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c r="U363" s="141"/>
      <c r="V363" s="141"/>
      <c r="W363" s="141"/>
      <c r="X363" s="141"/>
      <c r="Y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c r="U364" s="141"/>
      <c r="V364" s="141"/>
      <c r="W364" s="141"/>
      <c r="X364" s="141"/>
      <c r="Y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c r="U365" s="141"/>
      <c r="V365" s="141"/>
      <c r="W365" s="141"/>
      <c r="X365" s="141"/>
      <c r="Y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c r="U366" s="141"/>
      <c r="V366" s="141"/>
      <c r="W366" s="141"/>
      <c r="X366" s="141"/>
      <c r="Y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c r="U367" s="141"/>
      <c r="V367" s="141"/>
      <c r="W367" s="141"/>
      <c r="X367" s="141"/>
      <c r="Y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c r="U368" s="141"/>
      <c r="V368" s="141"/>
      <c r="W368" s="141"/>
      <c r="X368" s="141"/>
      <c r="Y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c r="U369" s="141"/>
      <c r="V369" s="141"/>
      <c r="W369" s="141"/>
      <c r="X369" s="141"/>
      <c r="Y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c r="U370" s="141"/>
      <c r="V370" s="141"/>
      <c r="W370" s="141"/>
      <c r="X370" s="141"/>
      <c r="Y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c r="U371" s="141"/>
      <c r="V371" s="141"/>
      <c r="W371" s="141"/>
      <c r="X371" s="141"/>
      <c r="Y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c r="U372" s="141"/>
      <c r="V372" s="141"/>
      <c r="W372" s="141"/>
      <c r="X372" s="141"/>
      <c r="Y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c r="U373" s="141"/>
      <c r="V373" s="141"/>
      <c r="W373" s="141"/>
      <c r="X373" s="141"/>
      <c r="Y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c r="U374" s="141"/>
      <c r="V374" s="141"/>
      <c r="W374" s="141"/>
      <c r="X374" s="141"/>
      <c r="Y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c r="U375" s="141"/>
      <c r="V375" s="141"/>
      <c r="W375" s="141"/>
      <c r="X375" s="141"/>
      <c r="Y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c r="U376" s="141"/>
      <c r="V376" s="141"/>
      <c r="W376" s="141"/>
      <c r="X376" s="141"/>
      <c r="Y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c r="U377" s="141"/>
      <c r="V377" s="141"/>
      <c r="W377" s="141"/>
      <c r="X377" s="141"/>
      <c r="Y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c r="U378" s="141"/>
      <c r="V378" s="141"/>
      <c r="W378" s="141"/>
      <c r="X378" s="141"/>
      <c r="Y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c r="U379" s="141"/>
      <c r="V379" s="141"/>
      <c r="W379" s="141"/>
      <c r="X379" s="141"/>
      <c r="Y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c r="U380" s="141"/>
      <c r="V380" s="141"/>
      <c r="W380" s="141"/>
      <c r="X380" s="141"/>
      <c r="Y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c r="U381" s="141"/>
      <c r="V381" s="141"/>
      <c r="W381" s="141"/>
      <c r="X381" s="141"/>
      <c r="Y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c r="U382" s="141"/>
      <c r="V382" s="141"/>
      <c r="W382" s="141"/>
      <c r="X382" s="141"/>
      <c r="Y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c r="U383" s="141"/>
      <c r="V383" s="141"/>
      <c r="W383" s="141"/>
      <c r="X383" s="141"/>
      <c r="Y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c r="U384" s="141"/>
      <c r="V384" s="141"/>
      <c r="W384" s="141"/>
      <c r="X384" s="141"/>
      <c r="Y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c r="U385" s="141"/>
      <c r="V385" s="141"/>
      <c r="W385" s="141"/>
      <c r="X385" s="141"/>
      <c r="Y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c r="U386" s="141"/>
      <c r="V386" s="141"/>
      <c r="W386" s="141"/>
      <c r="X386" s="141"/>
      <c r="Y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c r="U387" s="141"/>
      <c r="V387" s="141"/>
      <c r="W387" s="141"/>
      <c r="X387" s="141"/>
      <c r="Y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c r="U388" s="141"/>
      <c r="V388" s="141"/>
      <c r="W388" s="141"/>
      <c r="X388" s="141"/>
      <c r="Y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c r="U389" s="141"/>
      <c r="V389" s="141"/>
      <c r="W389" s="141"/>
      <c r="X389" s="141"/>
      <c r="Y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c r="U390" s="141"/>
      <c r="V390" s="141"/>
      <c r="W390" s="141"/>
      <c r="X390" s="141"/>
      <c r="Y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c r="U391" s="141"/>
      <c r="V391" s="141"/>
      <c r="W391" s="141"/>
      <c r="X391" s="141"/>
      <c r="Y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c r="U392" s="141"/>
      <c r="V392" s="141"/>
      <c r="W392" s="141"/>
      <c r="X392" s="141"/>
      <c r="Y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c r="U393" s="141"/>
      <c r="V393" s="141"/>
      <c r="W393" s="141"/>
      <c r="X393" s="141"/>
      <c r="Y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c r="U394" s="141"/>
      <c r="V394" s="141"/>
      <c r="W394" s="141"/>
      <c r="X394" s="141"/>
      <c r="Y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c r="U395" s="141"/>
      <c r="V395" s="141"/>
      <c r="W395" s="141"/>
      <c r="X395" s="141"/>
      <c r="Y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c r="U396" s="141"/>
      <c r="V396" s="141"/>
      <c r="W396" s="141"/>
      <c r="X396" s="141"/>
      <c r="Y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c r="U397" s="141"/>
      <c r="V397" s="141"/>
      <c r="W397" s="141"/>
      <c r="X397" s="141"/>
      <c r="Y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c r="U398" s="141"/>
      <c r="V398" s="141"/>
      <c r="W398" s="141"/>
      <c r="X398" s="141"/>
      <c r="Y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c r="U399" s="141"/>
      <c r="V399" s="141"/>
      <c r="W399" s="141"/>
      <c r="X399" s="141"/>
      <c r="Y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c r="U400" s="141"/>
      <c r="V400" s="141"/>
      <c r="W400" s="141"/>
      <c r="X400" s="141"/>
      <c r="Y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c r="U401" s="141"/>
      <c r="V401" s="141"/>
      <c r="W401" s="141"/>
      <c r="X401" s="141"/>
      <c r="Y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c r="U402" s="141"/>
      <c r="V402" s="141"/>
      <c r="W402" s="141"/>
      <c r="X402" s="141"/>
      <c r="Y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c r="U403" s="141"/>
      <c r="V403" s="141"/>
      <c r="W403" s="141"/>
      <c r="X403" s="141"/>
      <c r="Y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c r="U404" s="141"/>
      <c r="V404" s="141"/>
      <c r="W404" s="141"/>
      <c r="X404" s="141"/>
      <c r="Y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c r="U405" s="141"/>
      <c r="V405" s="141"/>
      <c r="W405" s="141"/>
      <c r="X405" s="141"/>
      <c r="Y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c r="U406" s="141"/>
      <c r="V406" s="141"/>
      <c r="W406" s="141"/>
      <c r="X406" s="141"/>
      <c r="Y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c r="U407" s="141"/>
      <c r="V407" s="141"/>
      <c r="W407" s="141"/>
      <c r="X407" s="141"/>
      <c r="Y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c r="U408" s="141"/>
      <c r="V408" s="141"/>
      <c r="W408" s="141"/>
      <c r="X408" s="141"/>
      <c r="Y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c r="U409" s="141"/>
      <c r="V409" s="141"/>
      <c r="W409" s="141"/>
      <c r="X409" s="141"/>
      <c r="Y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c r="U410" s="141"/>
      <c r="V410" s="141"/>
      <c r="W410" s="141"/>
      <c r="X410" s="141"/>
      <c r="Y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c r="U411" s="141"/>
      <c r="V411" s="141"/>
      <c r="W411" s="141"/>
      <c r="X411" s="141"/>
      <c r="Y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c r="U412" s="141"/>
      <c r="V412" s="141"/>
      <c r="W412" s="141"/>
      <c r="X412" s="141"/>
      <c r="Y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c r="U413" s="141"/>
      <c r="V413" s="141"/>
      <c r="W413" s="141"/>
      <c r="X413" s="141"/>
      <c r="Y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c r="U414" s="141"/>
      <c r="V414" s="141"/>
      <c r="W414" s="141"/>
      <c r="X414" s="141"/>
      <c r="Y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c r="U415" s="141"/>
      <c r="V415" s="141"/>
      <c r="W415" s="141"/>
      <c r="X415" s="141"/>
      <c r="Y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c r="U416" s="141"/>
      <c r="V416" s="141"/>
      <c r="W416" s="141"/>
      <c r="X416" s="141"/>
      <c r="Y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c r="U417" s="141"/>
      <c r="V417" s="141"/>
      <c r="W417" s="141"/>
      <c r="X417" s="141"/>
      <c r="Y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c r="U418" s="141"/>
      <c r="V418" s="141"/>
      <c r="W418" s="141"/>
      <c r="X418" s="141"/>
      <c r="Y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c r="U419" s="141"/>
      <c r="V419" s="141"/>
      <c r="W419" s="141"/>
      <c r="X419" s="141"/>
      <c r="Y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c r="U420" s="141"/>
      <c r="V420" s="141"/>
      <c r="W420" s="141"/>
      <c r="X420" s="141"/>
      <c r="Y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c r="U421" s="141"/>
      <c r="V421" s="141"/>
      <c r="W421" s="141"/>
      <c r="X421" s="141"/>
      <c r="Y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c r="U422" s="141"/>
      <c r="V422" s="141"/>
      <c r="W422" s="141"/>
      <c r="X422" s="141"/>
      <c r="Y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c r="U423" s="141"/>
      <c r="V423" s="141"/>
      <c r="W423" s="141"/>
      <c r="X423" s="141"/>
      <c r="Y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c r="U424" s="141"/>
      <c r="V424" s="141"/>
      <c r="W424" s="141"/>
      <c r="X424" s="141"/>
      <c r="Y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c r="U425" s="141"/>
      <c r="V425" s="141"/>
      <c r="W425" s="141"/>
      <c r="X425" s="141"/>
      <c r="Y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c r="U426" s="141"/>
      <c r="V426" s="141"/>
      <c r="W426" s="141"/>
      <c r="X426" s="141"/>
      <c r="Y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c r="U427" s="141"/>
      <c r="V427" s="141"/>
      <c r="W427" s="141"/>
      <c r="X427" s="141"/>
      <c r="Y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c r="U428" s="141"/>
      <c r="V428" s="141"/>
      <c r="W428" s="141"/>
      <c r="X428" s="141"/>
      <c r="Y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c r="U429" s="141"/>
      <c r="V429" s="141"/>
      <c r="W429" s="141"/>
      <c r="X429" s="141"/>
      <c r="Y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c r="U430" s="141"/>
      <c r="V430" s="141"/>
      <c r="W430" s="141"/>
      <c r="X430" s="141"/>
      <c r="Y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c r="U431" s="141"/>
      <c r="V431" s="141"/>
      <c r="W431" s="141"/>
      <c r="X431" s="141"/>
      <c r="Y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c r="U432" s="141"/>
      <c r="V432" s="141"/>
      <c r="W432" s="141"/>
      <c r="X432" s="141"/>
      <c r="Y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c r="U433" s="141"/>
      <c r="V433" s="141"/>
      <c r="W433" s="141"/>
      <c r="X433" s="141"/>
      <c r="Y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c r="U434" s="141"/>
      <c r="V434" s="141"/>
      <c r="W434" s="141"/>
      <c r="X434" s="141"/>
      <c r="Y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c r="U435" s="141"/>
      <c r="V435" s="141"/>
      <c r="W435" s="141"/>
      <c r="X435" s="141"/>
      <c r="Y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c r="U436" s="141"/>
      <c r="V436" s="141"/>
      <c r="W436" s="141"/>
      <c r="X436" s="141"/>
      <c r="Y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c r="U437" s="141"/>
      <c r="V437" s="141"/>
      <c r="W437" s="141"/>
      <c r="X437" s="141"/>
      <c r="Y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c r="U438" s="141"/>
      <c r="V438" s="141"/>
      <c r="W438" s="141"/>
      <c r="X438" s="141"/>
      <c r="Y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c r="U439" s="141"/>
      <c r="V439" s="141"/>
      <c r="W439" s="141"/>
      <c r="X439" s="141"/>
      <c r="Y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c r="U440" s="141"/>
      <c r="V440" s="141"/>
      <c r="W440" s="141"/>
      <c r="X440" s="141"/>
      <c r="Y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c r="U441" s="141"/>
      <c r="V441" s="141"/>
      <c r="W441" s="141"/>
      <c r="X441" s="141"/>
      <c r="Y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c r="U442" s="141"/>
      <c r="V442" s="141"/>
      <c r="W442" s="141"/>
      <c r="X442" s="141"/>
      <c r="Y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c r="U443" s="141"/>
      <c r="V443" s="141"/>
      <c r="W443" s="141"/>
      <c r="X443" s="141"/>
      <c r="Y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c r="U444" s="141"/>
      <c r="V444" s="141"/>
      <c r="W444" s="141"/>
      <c r="X444" s="141"/>
      <c r="Y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c r="U445" s="141"/>
      <c r="V445" s="141"/>
      <c r="W445" s="141"/>
      <c r="X445" s="141"/>
      <c r="Y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c r="U446" s="141"/>
      <c r="V446" s="141"/>
      <c r="W446" s="141"/>
      <c r="X446" s="141"/>
      <c r="Y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c r="U447" s="141"/>
      <c r="V447" s="141"/>
      <c r="W447" s="141"/>
      <c r="X447" s="141"/>
      <c r="Y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c r="U448" s="141"/>
      <c r="V448" s="141"/>
      <c r="W448" s="141"/>
      <c r="X448" s="141"/>
      <c r="Y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c r="U449" s="141"/>
      <c r="V449" s="141"/>
      <c r="W449" s="141"/>
      <c r="X449" s="141"/>
      <c r="Y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c r="U450" s="141"/>
      <c r="V450" s="141"/>
      <c r="W450" s="141"/>
      <c r="X450" s="141"/>
      <c r="Y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c r="U451" s="141"/>
      <c r="V451" s="141"/>
      <c r="W451" s="141"/>
      <c r="X451" s="141"/>
      <c r="Y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c r="U452" s="141"/>
      <c r="V452" s="141"/>
      <c r="W452" s="141"/>
      <c r="X452" s="141"/>
      <c r="Y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c r="U453" s="141"/>
      <c r="V453" s="141"/>
      <c r="W453" s="141"/>
      <c r="X453" s="141"/>
      <c r="Y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c r="U454" s="141"/>
      <c r="V454" s="141"/>
      <c r="W454" s="141"/>
      <c r="X454" s="141"/>
      <c r="Y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c r="U455" s="141"/>
      <c r="V455" s="141"/>
      <c r="W455" s="141"/>
      <c r="X455" s="141"/>
      <c r="Y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c r="U456" s="141"/>
      <c r="V456" s="141"/>
      <c r="W456" s="141"/>
      <c r="X456" s="141"/>
      <c r="Y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c r="U457" s="141"/>
      <c r="V457" s="141"/>
      <c r="W457" s="141"/>
      <c r="X457" s="141"/>
      <c r="Y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c r="U458" s="141"/>
      <c r="V458" s="141"/>
      <c r="W458" s="141"/>
      <c r="X458" s="141"/>
      <c r="Y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c r="U459" s="141"/>
      <c r="V459" s="141"/>
      <c r="W459" s="141"/>
      <c r="X459" s="141"/>
      <c r="Y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c r="U460" s="141"/>
      <c r="V460" s="141"/>
      <c r="W460" s="141"/>
      <c r="X460" s="141"/>
      <c r="Y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c r="U461" s="141"/>
      <c r="V461" s="141"/>
      <c r="W461" s="141"/>
      <c r="X461" s="141"/>
      <c r="Y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c r="U462" s="141"/>
      <c r="V462" s="141"/>
      <c r="W462" s="141"/>
      <c r="X462" s="141"/>
      <c r="Y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c r="U463" s="141"/>
      <c r="V463" s="141"/>
      <c r="W463" s="141"/>
      <c r="X463" s="141"/>
      <c r="Y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c r="U464" s="141"/>
      <c r="V464" s="141"/>
      <c r="W464" s="141"/>
      <c r="X464" s="141"/>
      <c r="Y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c r="U465" s="141"/>
      <c r="V465" s="141"/>
      <c r="W465" s="141"/>
      <c r="X465" s="141"/>
      <c r="Y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c r="U466" s="141"/>
      <c r="V466" s="141"/>
      <c r="W466" s="141"/>
      <c r="X466" s="141"/>
      <c r="Y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c r="U467" s="141"/>
      <c r="V467" s="141"/>
      <c r="W467" s="141"/>
      <c r="X467" s="141"/>
      <c r="Y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c r="U468" s="141"/>
      <c r="V468" s="141"/>
      <c r="W468" s="141"/>
      <c r="X468" s="141"/>
      <c r="Y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c r="U469" s="141"/>
      <c r="V469" s="141"/>
      <c r="W469" s="141"/>
      <c r="X469" s="141"/>
      <c r="Y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c r="U470" s="141"/>
      <c r="V470" s="141"/>
      <c r="W470" s="141"/>
      <c r="X470" s="141"/>
      <c r="Y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c r="U471" s="141"/>
      <c r="V471" s="141"/>
      <c r="W471" s="141"/>
      <c r="X471" s="141"/>
      <c r="Y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c r="U472" s="141"/>
      <c r="V472" s="141"/>
      <c r="W472" s="141"/>
      <c r="X472" s="141"/>
      <c r="Y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c r="U473" s="141"/>
      <c r="V473" s="141"/>
      <c r="W473" s="141"/>
      <c r="X473" s="141"/>
      <c r="Y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c r="U474" s="141"/>
      <c r="V474" s="141"/>
      <c r="W474" s="141"/>
      <c r="X474" s="141"/>
      <c r="Y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c r="U475" s="141"/>
      <c r="V475" s="141"/>
      <c r="W475" s="141"/>
      <c r="X475" s="141"/>
      <c r="Y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c r="U476" s="141"/>
      <c r="V476" s="141"/>
      <c r="W476" s="141"/>
      <c r="X476" s="141"/>
      <c r="Y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c r="U477" s="141"/>
      <c r="V477" s="141"/>
      <c r="W477" s="141"/>
      <c r="X477" s="141"/>
      <c r="Y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c r="U478" s="141"/>
      <c r="V478" s="141"/>
      <c r="W478" s="141"/>
      <c r="X478" s="141"/>
      <c r="Y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c r="U479" s="141"/>
      <c r="V479" s="141"/>
      <c r="W479" s="141"/>
      <c r="X479" s="141"/>
      <c r="Y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c r="U480" s="141"/>
      <c r="V480" s="141"/>
      <c r="W480" s="141"/>
      <c r="X480" s="141"/>
      <c r="Y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c r="U481" s="141"/>
      <c r="V481" s="141"/>
      <c r="W481" s="141"/>
      <c r="X481" s="141"/>
      <c r="Y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c r="U482" s="141"/>
      <c r="V482" s="141"/>
      <c r="W482" s="141"/>
      <c r="X482" s="141"/>
      <c r="Y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c r="U483" s="141"/>
      <c r="V483" s="141"/>
      <c r="W483" s="141"/>
      <c r="X483" s="141"/>
      <c r="Y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c r="U484" s="141"/>
      <c r="V484" s="141"/>
      <c r="W484" s="141"/>
      <c r="X484" s="141"/>
      <c r="Y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c r="U485" s="141"/>
      <c r="V485" s="141"/>
      <c r="W485" s="141"/>
      <c r="X485" s="141"/>
      <c r="Y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c r="U486" s="141"/>
      <c r="V486" s="141"/>
      <c r="W486" s="141"/>
      <c r="X486" s="141"/>
      <c r="Y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c r="U487" s="141"/>
      <c r="V487" s="141"/>
      <c r="W487" s="141"/>
      <c r="X487" s="141"/>
      <c r="Y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c r="U488" s="141"/>
      <c r="V488" s="141"/>
      <c r="W488" s="141"/>
      <c r="X488" s="141"/>
      <c r="Y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c r="U489" s="141"/>
      <c r="V489" s="141"/>
      <c r="W489" s="141"/>
      <c r="X489" s="141"/>
      <c r="Y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c r="U490" s="141"/>
      <c r="V490" s="141"/>
      <c r="W490" s="141"/>
      <c r="X490" s="141"/>
      <c r="Y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c r="U491" s="141"/>
      <c r="V491" s="141"/>
      <c r="W491" s="141"/>
      <c r="X491" s="141"/>
      <c r="Y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c r="U492" s="141"/>
      <c r="V492" s="141"/>
      <c r="W492" s="141"/>
      <c r="X492" s="141"/>
      <c r="Y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c r="U493" s="141"/>
      <c r="V493" s="141"/>
      <c r="W493" s="141"/>
      <c r="X493" s="141"/>
      <c r="Y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c r="U494" s="141"/>
      <c r="V494" s="141"/>
      <c r="W494" s="141"/>
      <c r="X494" s="141"/>
      <c r="Y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c r="U495" s="141"/>
      <c r="V495" s="141"/>
      <c r="W495" s="141"/>
      <c r="X495" s="141"/>
      <c r="Y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c r="U496" s="141"/>
      <c r="V496" s="141"/>
      <c r="W496" s="141"/>
      <c r="X496" s="141"/>
      <c r="Y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c r="U497" s="141"/>
      <c r="V497" s="141"/>
      <c r="W497" s="141"/>
      <c r="X497" s="141"/>
      <c r="Y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c r="U498" s="141"/>
      <c r="V498" s="141"/>
      <c r="W498" s="141"/>
      <c r="X498" s="141"/>
      <c r="Y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c r="U499" s="141"/>
      <c r="V499" s="141"/>
      <c r="W499" s="141"/>
      <c r="X499" s="141"/>
      <c r="Y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c r="U500" s="141"/>
      <c r="V500" s="141"/>
      <c r="W500" s="141"/>
      <c r="X500" s="141"/>
      <c r="Y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c r="U501" s="141"/>
      <c r="V501" s="141"/>
      <c r="W501" s="141"/>
      <c r="X501" s="141"/>
      <c r="Y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c r="U502" s="141"/>
      <c r="V502" s="141"/>
      <c r="W502" s="141"/>
      <c r="X502" s="141"/>
      <c r="Y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c r="U503" s="141"/>
      <c r="V503" s="141"/>
      <c r="W503" s="141"/>
      <c r="X503" s="141"/>
      <c r="Y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c r="U504" s="141"/>
      <c r="V504" s="141"/>
      <c r="W504" s="141"/>
      <c r="X504" s="141"/>
      <c r="Y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c r="U505" s="141"/>
      <c r="V505" s="141"/>
      <c r="W505" s="141"/>
      <c r="X505" s="141"/>
      <c r="Y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c r="U506" s="141"/>
      <c r="V506" s="141"/>
      <c r="W506" s="141"/>
      <c r="X506" s="141"/>
      <c r="Y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c r="U507" s="141"/>
      <c r="V507" s="141"/>
      <c r="W507" s="141"/>
      <c r="X507" s="141"/>
      <c r="Y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c r="U508" s="141"/>
      <c r="V508" s="141"/>
      <c r="W508" s="141"/>
      <c r="X508" s="141"/>
      <c r="Y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c r="U509" s="141"/>
      <c r="V509" s="141"/>
      <c r="W509" s="141"/>
      <c r="X509" s="141"/>
      <c r="Y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c r="U510" s="141"/>
      <c r="V510" s="141"/>
      <c r="W510" s="141"/>
      <c r="X510" s="141"/>
      <c r="Y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c r="U511" s="141"/>
      <c r="V511" s="141"/>
      <c r="W511" s="141"/>
      <c r="X511" s="141"/>
      <c r="Y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c r="U512" s="141"/>
      <c r="V512" s="141"/>
      <c r="W512" s="141"/>
      <c r="X512" s="141"/>
      <c r="Y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c r="U513" s="141"/>
      <c r="V513" s="141"/>
      <c r="W513" s="141"/>
      <c r="X513" s="141"/>
      <c r="Y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c r="U514" s="141"/>
      <c r="V514" s="141"/>
      <c r="W514" s="141"/>
      <c r="X514" s="141"/>
      <c r="Y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c r="U515" s="141"/>
      <c r="V515" s="141"/>
      <c r="W515" s="141"/>
      <c r="X515" s="141"/>
      <c r="Y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c r="U516" s="141"/>
      <c r="V516" s="141"/>
      <c r="W516" s="141"/>
      <c r="X516" s="141"/>
      <c r="Y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c r="U517" s="141"/>
      <c r="V517" s="141"/>
      <c r="W517" s="141"/>
      <c r="X517" s="141"/>
      <c r="Y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c r="U518" s="141"/>
      <c r="V518" s="141"/>
      <c r="W518" s="141"/>
      <c r="X518" s="141"/>
      <c r="Y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c r="U519" s="141"/>
      <c r="V519" s="141"/>
      <c r="W519" s="141"/>
      <c r="X519" s="141"/>
      <c r="Y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c r="U520" s="141"/>
      <c r="V520" s="141"/>
      <c r="W520" s="141"/>
      <c r="X520" s="141"/>
      <c r="Y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c r="U521" s="141"/>
      <c r="V521" s="141"/>
      <c r="W521" s="141"/>
      <c r="X521" s="141"/>
      <c r="Y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c r="U522" s="141"/>
      <c r="V522" s="141"/>
      <c r="W522" s="141"/>
      <c r="X522" s="141"/>
      <c r="Y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c r="U523" s="141"/>
      <c r="V523" s="141"/>
      <c r="W523" s="141"/>
      <c r="X523" s="141"/>
      <c r="Y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c r="U524" s="141"/>
      <c r="V524" s="141"/>
      <c r="W524" s="141"/>
      <c r="X524" s="141"/>
      <c r="Y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c r="U525" s="141"/>
      <c r="V525" s="141"/>
      <c r="W525" s="141"/>
      <c r="X525" s="141"/>
      <c r="Y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c r="U526" s="141"/>
      <c r="V526" s="141"/>
      <c r="W526" s="141"/>
      <c r="X526" s="141"/>
      <c r="Y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c r="U527" s="141"/>
      <c r="V527" s="141"/>
      <c r="W527" s="141"/>
      <c r="X527" s="141"/>
      <c r="Y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c r="U528" s="141"/>
      <c r="V528" s="141"/>
      <c r="W528" s="141"/>
      <c r="X528" s="141"/>
      <c r="Y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c r="U529" s="141"/>
      <c r="V529" s="141"/>
      <c r="W529" s="141"/>
      <c r="X529" s="141"/>
      <c r="Y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c r="U530" s="141"/>
      <c r="V530" s="141"/>
      <c r="W530" s="141"/>
      <c r="X530" s="141"/>
      <c r="Y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c r="U531" s="141"/>
      <c r="V531" s="141"/>
      <c r="W531" s="141"/>
      <c r="X531" s="141"/>
      <c r="Y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c r="U532" s="141"/>
      <c r="V532" s="141"/>
      <c r="W532" s="141"/>
      <c r="X532" s="141"/>
      <c r="Y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c r="U533" s="141"/>
      <c r="V533" s="141"/>
      <c r="W533" s="141"/>
      <c r="X533" s="141"/>
      <c r="Y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c r="U534" s="141"/>
      <c r="V534" s="141"/>
      <c r="W534" s="141"/>
      <c r="X534" s="141"/>
      <c r="Y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c r="U535" s="141"/>
      <c r="V535" s="141"/>
      <c r="W535" s="141"/>
      <c r="X535" s="141"/>
      <c r="Y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c r="U536" s="141"/>
      <c r="V536" s="141"/>
      <c r="W536" s="141"/>
      <c r="X536" s="141"/>
      <c r="Y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c r="U537" s="141"/>
      <c r="V537" s="141"/>
      <c r="W537" s="141"/>
      <c r="X537" s="141"/>
      <c r="Y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c r="U538" s="141"/>
      <c r="V538" s="141"/>
      <c r="W538" s="141"/>
      <c r="X538" s="141"/>
      <c r="Y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c r="U539" s="141"/>
      <c r="V539" s="141"/>
      <c r="W539" s="141"/>
      <c r="X539" s="141"/>
      <c r="Y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c r="U540" s="141"/>
      <c r="V540" s="141"/>
      <c r="W540" s="141"/>
      <c r="X540" s="141"/>
      <c r="Y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c r="U541" s="141"/>
      <c r="V541" s="141"/>
      <c r="W541" s="141"/>
      <c r="X541" s="141"/>
      <c r="Y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c r="U542" s="141"/>
      <c r="V542" s="141"/>
      <c r="W542" s="141"/>
      <c r="X542" s="141"/>
      <c r="Y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c r="U543" s="141"/>
      <c r="V543" s="141"/>
      <c r="W543" s="141"/>
      <c r="X543" s="141"/>
      <c r="Y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c r="U544" s="141"/>
      <c r="V544" s="141"/>
      <c r="W544" s="141"/>
      <c r="X544" s="141"/>
      <c r="Y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c r="U545" s="141"/>
      <c r="V545" s="141"/>
      <c r="W545" s="141"/>
      <c r="X545" s="141"/>
      <c r="Y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c r="U546" s="141"/>
      <c r="V546" s="141"/>
      <c r="W546" s="141"/>
      <c r="X546" s="141"/>
      <c r="Y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c r="U547" s="141"/>
      <c r="V547" s="141"/>
      <c r="W547" s="141"/>
      <c r="X547" s="141"/>
      <c r="Y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c r="U548" s="141"/>
      <c r="V548" s="141"/>
      <c r="W548" s="141"/>
      <c r="X548" s="141"/>
      <c r="Y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c r="U549" s="141"/>
      <c r="V549" s="141"/>
      <c r="W549" s="141"/>
      <c r="X549" s="141"/>
      <c r="Y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c r="U550" s="141"/>
      <c r="V550" s="141"/>
      <c r="W550" s="141"/>
      <c r="X550" s="141"/>
      <c r="Y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c r="U551" s="141"/>
      <c r="V551" s="141"/>
      <c r="W551" s="141"/>
      <c r="X551" s="141"/>
      <c r="Y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c r="U552" s="141"/>
      <c r="V552" s="141"/>
      <c r="W552" s="141"/>
      <c r="X552" s="141"/>
      <c r="Y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c r="U553" s="141"/>
      <c r="V553" s="141"/>
      <c r="W553" s="141"/>
      <c r="X553" s="141"/>
      <c r="Y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c r="U554" s="141"/>
      <c r="V554" s="141"/>
      <c r="W554" s="141"/>
      <c r="X554" s="141"/>
      <c r="Y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c r="U555" s="141"/>
      <c r="V555" s="141"/>
      <c r="W555" s="141"/>
      <c r="X555" s="141"/>
      <c r="Y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c r="U556" s="141"/>
      <c r="V556" s="141"/>
      <c r="W556" s="141"/>
      <c r="X556" s="141"/>
      <c r="Y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c r="U557" s="141"/>
      <c r="V557" s="141"/>
      <c r="W557" s="141"/>
      <c r="X557" s="141"/>
      <c r="Y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c r="U558" s="141"/>
      <c r="V558" s="141"/>
      <c r="W558" s="141"/>
      <c r="X558" s="141"/>
      <c r="Y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c r="U559" s="141"/>
      <c r="V559" s="141"/>
      <c r="W559" s="141"/>
      <c r="X559" s="141"/>
      <c r="Y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c r="U560" s="141"/>
      <c r="V560" s="141"/>
      <c r="W560" s="141"/>
      <c r="X560" s="141"/>
      <c r="Y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c r="U561" s="141"/>
      <c r="V561" s="141"/>
      <c r="W561" s="141"/>
      <c r="X561" s="141"/>
      <c r="Y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c r="U562" s="141"/>
      <c r="V562" s="141"/>
      <c r="W562" s="141"/>
      <c r="X562" s="141"/>
      <c r="Y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c r="U563" s="141"/>
      <c r="V563" s="141"/>
      <c r="W563" s="141"/>
      <c r="X563" s="141"/>
      <c r="Y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c r="U564" s="141"/>
      <c r="V564" s="141"/>
      <c r="W564" s="141"/>
      <c r="X564" s="141"/>
      <c r="Y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c r="U565" s="141"/>
      <c r="V565" s="141"/>
      <c r="W565" s="141"/>
      <c r="X565" s="141"/>
      <c r="Y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c r="U566" s="141"/>
      <c r="V566" s="141"/>
      <c r="W566" s="141"/>
      <c r="X566" s="141"/>
      <c r="Y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c r="U567" s="141"/>
      <c r="V567" s="141"/>
      <c r="W567" s="141"/>
      <c r="X567" s="141"/>
      <c r="Y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c r="U568" s="141"/>
      <c r="V568" s="141"/>
      <c r="W568" s="141"/>
      <c r="X568" s="141"/>
      <c r="Y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c r="U569" s="141"/>
      <c r="V569" s="141"/>
      <c r="W569" s="141"/>
      <c r="X569" s="141"/>
      <c r="Y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c r="U570" s="141"/>
      <c r="V570" s="141"/>
      <c r="W570" s="141"/>
      <c r="X570" s="141"/>
      <c r="Y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c r="U571" s="141"/>
      <c r="V571" s="141"/>
      <c r="W571" s="141"/>
      <c r="X571" s="141"/>
      <c r="Y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c r="U572" s="141"/>
      <c r="V572" s="141"/>
      <c r="W572" s="141"/>
      <c r="X572" s="141"/>
      <c r="Y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c r="U573" s="141"/>
      <c r="V573" s="141"/>
      <c r="W573" s="141"/>
      <c r="X573" s="141"/>
      <c r="Y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c r="U574" s="141"/>
      <c r="V574" s="141"/>
      <c r="W574" s="141"/>
      <c r="X574" s="141"/>
      <c r="Y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c r="U575" s="141"/>
      <c r="V575" s="141"/>
      <c r="W575" s="141"/>
      <c r="X575" s="141"/>
      <c r="Y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c r="U576" s="141"/>
      <c r="V576" s="141"/>
      <c r="W576" s="141"/>
      <c r="X576" s="141"/>
      <c r="Y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c r="U577" s="141"/>
      <c r="V577" s="141"/>
      <c r="W577" s="141"/>
      <c r="X577" s="141"/>
      <c r="Y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c r="U578" s="141"/>
      <c r="V578" s="141"/>
      <c r="W578" s="141"/>
      <c r="X578" s="141"/>
      <c r="Y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c r="U579" s="141"/>
      <c r="V579" s="141"/>
      <c r="W579" s="141"/>
      <c r="X579" s="141"/>
      <c r="Y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c r="U580" s="141"/>
      <c r="V580" s="141"/>
      <c r="W580" s="141"/>
      <c r="X580" s="141"/>
      <c r="Y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c r="U581" s="141"/>
      <c r="V581" s="141"/>
      <c r="W581" s="141"/>
      <c r="X581" s="141"/>
      <c r="Y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c r="U582" s="141"/>
      <c r="V582" s="141"/>
      <c r="W582" s="141"/>
      <c r="X582" s="141"/>
      <c r="Y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c r="U583" s="141"/>
      <c r="V583" s="141"/>
      <c r="W583" s="141"/>
      <c r="X583" s="141"/>
      <c r="Y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c r="U584" s="141"/>
      <c r="V584" s="141"/>
      <c r="W584" s="141"/>
      <c r="X584" s="141"/>
      <c r="Y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c r="U585" s="141"/>
      <c r="V585" s="141"/>
      <c r="W585" s="141"/>
      <c r="X585" s="141"/>
      <c r="Y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c r="U586" s="141"/>
      <c r="V586" s="141"/>
      <c r="W586" s="141"/>
      <c r="X586" s="141"/>
      <c r="Y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c r="U587" s="141"/>
      <c r="V587" s="141"/>
      <c r="W587" s="141"/>
      <c r="X587" s="141"/>
      <c r="Y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c r="U588" s="141"/>
      <c r="V588" s="141"/>
      <c r="W588" s="141"/>
      <c r="X588" s="141"/>
      <c r="Y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c r="U589" s="141"/>
      <c r="V589" s="141"/>
      <c r="W589" s="141"/>
      <c r="X589" s="141"/>
      <c r="Y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c r="U590" s="141"/>
      <c r="V590" s="141"/>
      <c r="W590" s="141"/>
      <c r="X590" s="141"/>
      <c r="Y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c r="U591" s="141"/>
      <c r="V591" s="141"/>
      <c r="W591" s="141"/>
      <c r="X591" s="141"/>
      <c r="Y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c r="U592" s="141"/>
      <c r="V592" s="141"/>
      <c r="W592" s="141"/>
      <c r="X592" s="141"/>
      <c r="Y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c r="U593" s="141"/>
      <c r="V593" s="141"/>
      <c r="W593" s="141"/>
      <c r="X593" s="141"/>
      <c r="Y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c r="U594" s="141"/>
      <c r="V594" s="141"/>
      <c r="W594" s="141"/>
      <c r="X594" s="141"/>
      <c r="Y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c r="U595" s="141"/>
      <c r="V595" s="141"/>
      <c r="W595" s="141"/>
      <c r="X595" s="141"/>
      <c r="Y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c r="U596" s="141"/>
      <c r="V596" s="141"/>
      <c r="W596" s="141"/>
      <c r="X596" s="141"/>
      <c r="Y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c r="U597" s="141"/>
      <c r="V597" s="141"/>
      <c r="W597" s="141"/>
      <c r="X597" s="141"/>
      <c r="Y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c r="U598" s="141"/>
      <c r="V598" s="141"/>
      <c r="W598" s="141"/>
      <c r="X598" s="141"/>
      <c r="Y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c r="U599" s="141"/>
      <c r="V599" s="141"/>
      <c r="W599" s="141"/>
      <c r="X599" s="141"/>
      <c r="Y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c r="U600" s="141"/>
      <c r="V600" s="141"/>
      <c r="W600" s="141"/>
      <c r="X600" s="141"/>
      <c r="Y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c r="U601" s="141"/>
      <c r="V601" s="141"/>
      <c r="W601" s="141"/>
      <c r="X601" s="141"/>
      <c r="Y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c r="U602" s="141"/>
      <c r="V602" s="141"/>
      <c r="W602" s="141"/>
      <c r="X602" s="141"/>
      <c r="Y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c r="U603" s="141"/>
      <c r="V603" s="141"/>
      <c r="W603" s="141"/>
      <c r="X603" s="141"/>
      <c r="Y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c r="U604" s="141"/>
      <c r="V604" s="141"/>
      <c r="W604" s="141"/>
      <c r="X604" s="141"/>
      <c r="Y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c r="U605" s="141"/>
      <c r="V605" s="141"/>
      <c r="W605" s="141"/>
      <c r="X605" s="141"/>
      <c r="Y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c r="U606" s="141"/>
      <c r="V606" s="141"/>
      <c r="W606" s="141"/>
      <c r="X606" s="141"/>
      <c r="Y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c r="U607" s="141"/>
      <c r="V607" s="141"/>
      <c r="W607" s="141"/>
      <c r="X607" s="141"/>
      <c r="Y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c r="U608" s="141"/>
      <c r="V608" s="141"/>
      <c r="W608" s="141"/>
      <c r="X608" s="141"/>
      <c r="Y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c r="U609" s="141"/>
      <c r="V609" s="141"/>
      <c r="W609" s="141"/>
      <c r="X609" s="141"/>
      <c r="Y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c r="U610" s="141"/>
      <c r="V610" s="141"/>
      <c r="W610" s="141"/>
      <c r="X610" s="141"/>
      <c r="Y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c r="U611" s="141"/>
      <c r="V611" s="141"/>
      <c r="W611" s="141"/>
      <c r="X611" s="141"/>
      <c r="Y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c r="U612" s="141"/>
      <c r="V612" s="141"/>
      <c r="W612" s="141"/>
      <c r="X612" s="141"/>
      <c r="Y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c r="U613" s="141"/>
      <c r="V613" s="141"/>
      <c r="W613" s="141"/>
      <c r="X613" s="141"/>
      <c r="Y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c r="U614" s="141"/>
      <c r="V614" s="141"/>
      <c r="W614" s="141"/>
      <c r="X614" s="141"/>
      <c r="Y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c r="U615" s="141"/>
      <c r="V615" s="141"/>
      <c r="W615" s="141"/>
      <c r="X615" s="141"/>
      <c r="Y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c r="U616" s="141"/>
      <c r="V616" s="141"/>
      <c r="W616" s="141"/>
      <c r="X616" s="141"/>
      <c r="Y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c r="U617" s="141"/>
      <c r="V617" s="141"/>
      <c r="W617" s="141"/>
      <c r="X617" s="141"/>
      <c r="Y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c r="U618" s="141"/>
      <c r="V618" s="141"/>
      <c r="W618" s="141"/>
      <c r="X618" s="141"/>
      <c r="Y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c r="U619" s="141"/>
      <c r="V619" s="141"/>
      <c r="W619" s="141"/>
      <c r="X619" s="141"/>
      <c r="Y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c r="U620" s="141"/>
      <c r="V620" s="141"/>
      <c r="W620" s="141"/>
      <c r="X620" s="141"/>
      <c r="Y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c r="U621" s="141"/>
      <c r="V621" s="141"/>
      <c r="W621" s="141"/>
      <c r="X621" s="141"/>
      <c r="Y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c r="U622" s="141"/>
      <c r="V622" s="141"/>
      <c r="W622" s="141"/>
      <c r="X622" s="141"/>
      <c r="Y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c r="U623" s="141"/>
      <c r="V623" s="141"/>
      <c r="W623" s="141"/>
      <c r="X623" s="141"/>
      <c r="Y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c r="U624" s="141"/>
      <c r="V624" s="141"/>
      <c r="W624" s="141"/>
      <c r="X624" s="141"/>
      <c r="Y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c r="U625" s="141"/>
      <c r="V625" s="141"/>
      <c r="W625" s="141"/>
      <c r="X625" s="141"/>
      <c r="Y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c r="U626" s="141"/>
      <c r="V626" s="141"/>
      <c r="W626" s="141"/>
      <c r="X626" s="141"/>
      <c r="Y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c r="U627" s="141"/>
      <c r="V627" s="141"/>
      <c r="W627" s="141"/>
      <c r="X627" s="141"/>
      <c r="Y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c r="U628" s="141"/>
      <c r="V628" s="141"/>
      <c r="W628" s="141"/>
      <c r="X628" s="141"/>
      <c r="Y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c r="U629" s="141"/>
      <c r="V629" s="141"/>
      <c r="W629" s="141"/>
      <c r="X629" s="141"/>
      <c r="Y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c r="U630" s="141"/>
      <c r="V630" s="141"/>
      <c r="W630" s="141"/>
      <c r="X630" s="141"/>
      <c r="Y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c r="U631" s="141"/>
      <c r="V631" s="141"/>
      <c r="W631" s="141"/>
      <c r="X631" s="141"/>
      <c r="Y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c r="U632" s="141"/>
      <c r="V632" s="141"/>
      <c r="W632" s="141"/>
      <c r="X632" s="141"/>
      <c r="Y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c r="U633" s="141"/>
      <c r="V633" s="141"/>
      <c r="W633" s="141"/>
      <c r="X633" s="141"/>
      <c r="Y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c r="U634" s="141"/>
      <c r="V634" s="141"/>
      <c r="W634" s="141"/>
      <c r="X634" s="141"/>
      <c r="Y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c r="U635" s="141"/>
      <c r="V635" s="141"/>
      <c r="W635" s="141"/>
      <c r="X635" s="141"/>
      <c r="Y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c r="U636" s="141"/>
      <c r="V636" s="141"/>
      <c r="W636" s="141"/>
      <c r="X636" s="141"/>
      <c r="Y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c r="U637" s="141"/>
      <c r="V637" s="141"/>
      <c r="W637" s="141"/>
      <c r="X637" s="141"/>
      <c r="Y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c r="U638" s="141"/>
      <c r="V638" s="141"/>
      <c r="W638" s="141"/>
      <c r="X638" s="141"/>
      <c r="Y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c r="U639" s="141"/>
      <c r="V639" s="141"/>
      <c r="W639" s="141"/>
      <c r="X639" s="141"/>
      <c r="Y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c r="U640" s="141"/>
      <c r="V640" s="141"/>
      <c r="W640" s="141"/>
      <c r="X640" s="141"/>
      <c r="Y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c r="U641" s="141"/>
      <c r="V641" s="141"/>
      <c r="W641" s="141"/>
      <c r="X641" s="141"/>
      <c r="Y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c r="U642" s="141"/>
      <c r="V642" s="141"/>
      <c r="W642" s="141"/>
      <c r="X642" s="141"/>
      <c r="Y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c r="U643" s="141"/>
      <c r="V643" s="141"/>
      <c r="W643" s="141"/>
      <c r="X643" s="141"/>
      <c r="Y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c r="U644" s="141"/>
      <c r="V644" s="141"/>
      <c r="W644" s="141"/>
      <c r="X644" s="141"/>
      <c r="Y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c r="U645" s="141"/>
      <c r="V645" s="141"/>
      <c r="W645" s="141"/>
      <c r="X645" s="141"/>
      <c r="Y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c r="U646" s="141"/>
      <c r="V646" s="141"/>
      <c r="W646" s="141"/>
      <c r="X646" s="141"/>
      <c r="Y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c r="U647" s="141"/>
      <c r="V647" s="141"/>
      <c r="W647" s="141"/>
      <c r="X647" s="141"/>
      <c r="Y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c r="U648" s="141"/>
      <c r="V648" s="141"/>
      <c r="W648" s="141"/>
      <c r="X648" s="141"/>
      <c r="Y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c r="U649" s="141"/>
      <c r="V649" s="141"/>
      <c r="W649" s="141"/>
      <c r="X649" s="141"/>
      <c r="Y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c r="U650" s="141"/>
      <c r="V650" s="141"/>
      <c r="W650" s="141"/>
      <c r="X650" s="141"/>
      <c r="Y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c r="U651" s="141"/>
      <c r="V651" s="141"/>
      <c r="W651" s="141"/>
      <c r="X651" s="141"/>
      <c r="Y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c r="U652" s="141"/>
      <c r="V652" s="141"/>
      <c r="W652" s="141"/>
      <c r="X652" s="141"/>
      <c r="Y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c r="U653" s="141"/>
      <c r="V653" s="141"/>
      <c r="W653" s="141"/>
      <c r="X653" s="141"/>
      <c r="Y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c r="U654" s="141"/>
      <c r="V654" s="141"/>
      <c r="W654" s="141"/>
      <c r="X654" s="141"/>
      <c r="Y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c r="U655" s="141"/>
      <c r="V655" s="141"/>
      <c r="W655" s="141"/>
      <c r="X655" s="141"/>
      <c r="Y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c r="U656" s="141"/>
      <c r="V656" s="141"/>
      <c r="W656" s="141"/>
      <c r="X656" s="141"/>
      <c r="Y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c r="U657" s="141"/>
      <c r="V657" s="141"/>
      <c r="W657" s="141"/>
      <c r="X657" s="141"/>
      <c r="Y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c r="U658" s="141"/>
      <c r="V658" s="141"/>
      <c r="W658" s="141"/>
      <c r="X658" s="141"/>
      <c r="Y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c r="U659" s="141"/>
      <c r="V659" s="141"/>
      <c r="W659" s="141"/>
      <c r="X659" s="141"/>
      <c r="Y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c r="U660" s="141"/>
      <c r="V660" s="141"/>
      <c r="W660" s="141"/>
      <c r="X660" s="141"/>
      <c r="Y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c r="U661" s="141"/>
      <c r="V661" s="141"/>
      <c r="W661" s="141"/>
      <c r="X661" s="141"/>
      <c r="Y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c r="U662" s="141"/>
      <c r="V662" s="141"/>
      <c r="W662" s="141"/>
      <c r="X662" s="141"/>
      <c r="Y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c r="U663" s="141"/>
      <c r="V663" s="141"/>
      <c r="W663" s="141"/>
      <c r="X663" s="141"/>
      <c r="Y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c r="U664" s="141"/>
      <c r="V664" s="141"/>
      <c r="W664" s="141"/>
      <c r="X664" s="141"/>
      <c r="Y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c r="U665" s="141"/>
      <c r="V665" s="141"/>
      <c r="W665" s="141"/>
      <c r="X665" s="141"/>
      <c r="Y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c r="U666" s="141"/>
      <c r="V666" s="141"/>
      <c r="W666" s="141"/>
      <c r="X666" s="141"/>
      <c r="Y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c r="U667" s="141"/>
      <c r="V667" s="141"/>
      <c r="W667" s="141"/>
      <c r="X667" s="141"/>
      <c r="Y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c r="U668" s="141"/>
      <c r="V668" s="141"/>
      <c r="W668" s="141"/>
      <c r="X668" s="141"/>
      <c r="Y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c r="U669" s="141"/>
      <c r="V669" s="141"/>
      <c r="W669" s="141"/>
      <c r="X669" s="141"/>
      <c r="Y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c r="U670" s="141"/>
      <c r="V670" s="141"/>
      <c r="W670" s="141"/>
      <c r="X670" s="141"/>
      <c r="Y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c r="U671" s="141"/>
      <c r="V671" s="141"/>
      <c r="W671" s="141"/>
      <c r="X671" s="141"/>
      <c r="Y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c r="U672" s="141"/>
      <c r="V672" s="141"/>
      <c r="W672" s="141"/>
      <c r="X672" s="141"/>
      <c r="Y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c r="U673" s="141"/>
      <c r="V673" s="141"/>
      <c r="W673" s="141"/>
      <c r="X673" s="141"/>
      <c r="Y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c r="U674" s="141"/>
      <c r="V674" s="141"/>
      <c r="W674" s="141"/>
      <c r="X674" s="141"/>
      <c r="Y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c r="U675" s="141"/>
      <c r="V675" s="141"/>
      <c r="W675" s="141"/>
      <c r="X675" s="141"/>
      <c r="Y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c r="U676" s="141"/>
      <c r="V676" s="141"/>
      <c r="W676" s="141"/>
      <c r="X676" s="141"/>
      <c r="Y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c r="U677" s="141"/>
      <c r="V677" s="141"/>
      <c r="W677" s="141"/>
      <c r="X677" s="141"/>
      <c r="Y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c r="U678" s="141"/>
      <c r="V678" s="141"/>
      <c r="W678" s="141"/>
      <c r="X678" s="141"/>
      <c r="Y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c r="U679" s="141"/>
      <c r="V679" s="141"/>
      <c r="W679" s="141"/>
      <c r="X679" s="141"/>
      <c r="Y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c r="U680" s="141"/>
      <c r="V680" s="141"/>
      <c r="W680" s="141"/>
      <c r="X680" s="141"/>
      <c r="Y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c r="U681" s="141"/>
      <c r="V681" s="141"/>
      <c r="W681" s="141"/>
      <c r="X681" s="141"/>
      <c r="Y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c r="U682" s="141"/>
      <c r="V682" s="141"/>
      <c r="W682" s="141"/>
      <c r="X682" s="141"/>
      <c r="Y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c r="U683" s="141"/>
      <c r="V683" s="141"/>
      <c r="W683" s="141"/>
      <c r="X683" s="141"/>
      <c r="Y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c r="U684" s="141"/>
      <c r="V684" s="141"/>
      <c r="W684" s="141"/>
      <c r="X684" s="141"/>
      <c r="Y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c r="U685" s="141"/>
      <c r="V685" s="141"/>
      <c r="W685" s="141"/>
      <c r="X685" s="141"/>
      <c r="Y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c r="U686" s="141"/>
      <c r="V686" s="141"/>
      <c r="W686" s="141"/>
      <c r="X686" s="141"/>
      <c r="Y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c r="U687" s="141"/>
      <c r="V687" s="141"/>
      <c r="W687" s="141"/>
      <c r="X687" s="141"/>
      <c r="Y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c r="U688" s="141"/>
      <c r="V688" s="141"/>
      <c r="W688" s="141"/>
      <c r="X688" s="141"/>
      <c r="Y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c r="U689" s="141"/>
      <c r="V689" s="141"/>
      <c r="W689" s="141"/>
      <c r="X689" s="141"/>
      <c r="Y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c r="U690" s="141"/>
      <c r="V690" s="141"/>
      <c r="W690" s="141"/>
      <c r="X690" s="141"/>
      <c r="Y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c r="U691" s="141"/>
      <c r="V691" s="141"/>
      <c r="W691" s="141"/>
      <c r="X691" s="141"/>
      <c r="Y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c r="U692" s="141"/>
      <c r="V692" s="141"/>
      <c r="W692" s="141"/>
      <c r="X692" s="141"/>
      <c r="Y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c r="U693" s="141"/>
      <c r="V693" s="141"/>
      <c r="W693" s="141"/>
      <c r="X693" s="141"/>
      <c r="Y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c r="U694" s="141"/>
      <c r="V694" s="141"/>
      <c r="W694" s="141"/>
      <c r="X694" s="141"/>
      <c r="Y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c r="U695" s="141"/>
      <c r="V695" s="141"/>
      <c r="W695" s="141"/>
      <c r="X695" s="141"/>
      <c r="Y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c r="U696" s="141"/>
      <c r="V696" s="141"/>
      <c r="W696" s="141"/>
      <c r="X696" s="141"/>
      <c r="Y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c r="U697" s="141"/>
      <c r="V697" s="141"/>
      <c r="W697" s="141"/>
      <c r="X697" s="141"/>
      <c r="Y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c r="U698" s="141"/>
      <c r="V698" s="141"/>
      <c r="W698" s="141"/>
      <c r="X698" s="141"/>
      <c r="Y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c r="U699" s="141"/>
      <c r="V699" s="141"/>
      <c r="W699" s="141"/>
      <c r="X699" s="141"/>
      <c r="Y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c r="U700" s="141"/>
      <c r="V700" s="141"/>
      <c r="W700" s="141"/>
      <c r="X700" s="141"/>
      <c r="Y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c r="U701" s="141"/>
      <c r="V701" s="141"/>
      <c r="W701" s="141"/>
      <c r="X701" s="141"/>
      <c r="Y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c r="U702" s="141"/>
      <c r="V702" s="141"/>
      <c r="W702" s="141"/>
      <c r="X702" s="141"/>
      <c r="Y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c r="U703" s="141"/>
      <c r="V703" s="141"/>
      <c r="W703" s="141"/>
      <c r="X703" s="141"/>
      <c r="Y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c r="U704" s="141"/>
      <c r="V704" s="141"/>
      <c r="W704" s="141"/>
      <c r="X704" s="141"/>
      <c r="Y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c r="U705" s="141"/>
      <c r="V705" s="141"/>
      <c r="W705" s="141"/>
      <c r="X705" s="141"/>
      <c r="Y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c r="U706" s="141"/>
      <c r="V706" s="141"/>
      <c r="W706" s="141"/>
      <c r="X706" s="141"/>
      <c r="Y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c r="U707" s="141"/>
      <c r="V707" s="141"/>
      <c r="W707" s="141"/>
      <c r="X707" s="141"/>
      <c r="Y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c r="U708" s="141"/>
      <c r="V708" s="141"/>
      <c r="W708" s="141"/>
      <c r="X708" s="141"/>
      <c r="Y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c r="U709" s="141"/>
      <c r="V709" s="141"/>
      <c r="W709" s="141"/>
      <c r="X709" s="141"/>
      <c r="Y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c r="U710" s="141"/>
      <c r="V710" s="141"/>
      <c r="W710" s="141"/>
      <c r="X710" s="141"/>
      <c r="Y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c r="U711" s="141"/>
      <c r="V711" s="141"/>
      <c r="W711" s="141"/>
      <c r="X711" s="141"/>
      <c r="Y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c r="U712" s="141"/>
      <c r="V712" s="141"/>
      <c r="W712" s="141"/>
      <c r="X712" s="141"/>
      <c r="Y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c r="U713" s="141"/>
      <c r="V713" s="141"/>
      <c r="W713" s="141"/>
      <c r="X713" s="141"/>
      <c r="Y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c r="U714" s="141"/>
      <c r="V714" s="141"/>
      <c r="W714" s="141"/>
      <c r="X714" s="141"/>
      <c r="Y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c r="U715" s="141"/>
      <c r="V715" s="141"/>
      <c r="W715" s="141"/>
      <c r="X715" s="141"/>
      <c r="Y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c r="U716" s="141"/>
      <c r="V716" s="141"/>
      <c r="W716" s="141"/>
      <c r="X716" s="141"/>
      <c r="Y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c r="U717" s="141"/>
      <c r="V717" s="141"/>
      <c r="W717" s="141"/>
      <c r="X717" s="141"/>
      <c r="Y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c r="U718" s="141"/>
      <c r="V718" s="141"/>
      <c r="W718" s="141"/>
      <c r="X718" s="141"/>
      <c r="Y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c r="U719" s="141"/>
      <c r="V719" s="141"/>
      <c r="W719" s="141"/>
      <c r="X719" s="141"/>
      <c r="Y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c r="U720" s="141"/>
      <c r="V720" s="141"/>
      <c r="W720" s="141"/>
      <c r="X720" s="141"/>
      <c r="Y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c r="U721" s="141"/>
      <c r="V721" s="141"/>
      <c r="W721" s="141"/>
      <c r="X721" s="141"/>
      <c r="Y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c r="U722" s="141"/>
      <c r="V722" s="141"/>
      <c r="W722" s="141"/>
      <c r="X722" s="141"/>
      <c r="Y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c r="U723" s="141"/>
      <c r="V723" s="141"/>
      <c r="W723" s="141"/>
      <c r="X723" s="141"/>
      <c r="Y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c r="U724" s="141"/>
      <c r="V724" s="141"/>
      <c r="W724" s="141"/>
      <c r="X724" s="141"/>
      <c r="Y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c r="U725" s="141"/>
      <c r="V725" s="141"/>
      <c r="W725" s="141"/>
      <c r="X725" s="141"/>
      <c r="Y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c r="U726" s="141"/>
      <c r="V726" s="141"/>
      <c r="W726" s="141"/>
      <c r="X726" s="141"/>
      <c r="Y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c r="U727" s="141"/>
      <c r="V727" s="141"/>
      <c r="W727" s="141"/>
      <c r="X727" s="141"/>
      <c r="Y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c r="U728" s="141"/>
      <c r="V728" s="141"/>
      <c r="W728" s="141"/>
      <c r="X728" s="141"/>
      <c r="Y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c r="U729" s="141"/>
      <c r="V729" s="141"/>
      <c r="W729" s="141"/>
      <c r="X729" s="141"/>
      <c r="Y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c r="U730" s="141"/>
      <c r="V730" s="141"/>
      <c r="W730" s="141"/>
      <c r="X730" s="141"/>
      <c r="Y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c r="U731" s="141"/>
      <c r="V731" s="141"/>
      <c r="W731" s="141"/>
      <c r="X731" s="141"/>
      <c r="Y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c r="U732" s="141"/>
      <c r="V732" s="141"/>
      <c r="W732" s="141"/>
      <c r="X732" s="141"/>
      <c r="Y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c r="U733" s="141"/>
      <c r="V733" s="141"/>
      <c r="W733" s="141"/>
      <c r="X733" s="141"/>
      <c r="Y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c r="U734" s="141"/>
      <c r="V734" s="141"/>
      <c r="W734" s="141"/>
      <c r="X734" s="141"/>
      <c r="Y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c r="U735" s="141"/>
      <c r="V735" s="141"/>
      <c r="W735" s="141"/>
      <c r="X735" s="141"/>
      <c r="Y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c r="U736" s="141"/>
      <c r="V736" s="141"/>
      <c r="W736" s="141"/>
      <c r="X736" s="141"/>
      <c r="Y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c r="U737" s="141"/>
      <c r="V737" s="141"/>
      <c r="W737" s="141"/>
      <c r="X737" s="141"/>
      <c r="Y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c r="U738" s="141"/>
      <c r="V738" s="141"/>
      <c r="W738" s="141"/>
      <c r="X738" s="141"/>
      <c r="Y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c r="U739" s="141"/>
      <c r="V739" s="141"/>
      <c r="W739" s="141"/>
      <c r="X739" s="141"/>
      <c r="Y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c r="U740" s="141"/>
      <c r="V740" s="141"/>
      <c r="W740" s="141"/>
      <c r="X740" s="141"/>
      <c r="Y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c r="U741" s="141"/>
      <c r="V741" s="141"/>
      <c r="W741" s="141"/>
      <c r="X741" s="141"/>
      <c r="Y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c r="U742" s="141"/>
      <c r="V742" s="141"/>
      <c r="W742" s="141"/>
      <c r="X742" s="141"/>
      <c r="Y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c r="U743" s="141"/>
      <c r="V743" s="141"/>
      <c r="W743" s="141"/>
      <c r="X743" s="141"/>
      <c r="Y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c r="U744" s="141"/>
      <c r="V744" s="141"/>
      <c r="W744" s="141"/>
      <c r="X744" s="141"/>
      <c r="Y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c r="U745" s="141"/>
      <c r="V745" s="141"/>
      <c r="W745" s="141"/>
      <c r="X745" s="141"/>
      <c r="Y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c r="U746" s="141"/>
      <c r="V746" s="141"/>
      <c r="W746" s="141"/>
      <c r="X746" s="141"/>
      <c r="Y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c r="U747" s="141"/>
      <c r="V747" s="141"/>
      <c r="W747" s="141"/>
      <c r="X747" s="141"/>
      <c r="Y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c r="U748" s="141"/>
      <c r="V748" s="141"/>
      <c r="W748" s="141"/>
      <c r="X748" s="141"/>
      <c r="Y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c r="U749" s="141"/>
      <c r="V749" s="141"/>
      <c r="W749" s="141"/>
      <c r="X749" s="141"/>
      <c r="Y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c r="U750" s="141"/>
      <c r="V750" s="141"/>
      <c r="W750" s="141"/>
      <c r="X750" s="141"/>
      <c r="Y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c r="U751" s="141"/>
      <c r="V751" s="141"/>
      <c r="W751" s="141"/>
      <c r="X751" s="141"/>
      <c r="Y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c r="U752" s="141"/>
      <c r="V752" s="141"/>
      <c r="W752" s="141"/>
      <c r="X752" s="141"/>
      <c r="Y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c r="U753" s="141"/>
      <c r="V753" s="141"/>
      <c r="W753" s="141"/>
      <c r="X753" s="141"/>
      <c r="Y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c r="U754" s="141"/>
      <c r="V754" s="141"/>
      <c r="W754" s="141"/>
      <c r="X754" s="141"/>
      <c r="Y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c r="U755" s="141"/>
      <c r="V755" s="141"/>
      <c r="W755" s="141"/>
      <c r="X755" s="141"/>
      <c r="Y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c r="U756" s="141"/>
      <c r="V756" s="141"/>
      <c r="W756" s="141"/>
      <c r="X756" s="141"/>
      <c r="Y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c r="U757" s="141"/>
      <c r="V757" s="141"/>
      <c r="W757" s="141"/>
      <c r="X757" s="141"/>
      <c r="Y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c r="U758" s="141"/>
      <c r="V758" s="141"/>
      <c r="W758" s="141"/>
      <c r="X758" s="141"/>
      <c r="Y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c r="U759" s="141"/>
      <c r="V759" s="141"/>
      <c r="W759" s="141"/>
      <c r="X759" s="141"/>
      <c r="Y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c r="U760" s="141"/>
      <c r="V760" s="141"/>
      <c r="W760" s="141"/>
      <c r="X760" s="141"/>
      <c r="Y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c r="U761" s="141"/>
      <c r="V761" s="141"/>
      <c r="W761" s="141"/>
      <c r="X761" s="141"/>
      <c r="Y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c r="U762" s="141"/>
      <c r="V762" s="141"/>
      <c r="W762" s="141"/>
      <c r="X762" s="141"/>
      <c r="Y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c r="U763" s="141"/>
      <c r="V763" s="141"/>
      <c r="W763" s="141"/>
      <c r="X763" s="141"/>
      <c r="Y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c r="U764" s="141"/>
      <c r="V764" s="141"/>
      <c r="W764" s="141"/>
      <c r="X764" s="141"/>
      <c r="Y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c r="U765" s="141"/>
      <c r="V765" s="141"/>
      <c r="W765" s="141"/>
      <c r="X765" s="141"/>
      <c r="Y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c r="U766" s="141"/>
      <c r="V766" s="141"/>
      <c r="W766" s="141"/>
      <c r="X766" s="141"/>
      <c r="Y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c r="U767" s="141"/>
      <c r="V767" s="141"/>
      <c r="W767" s="141"/>
      <c r="X767" s="141"/>
      <c r="Y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c r="U768" s="141"/>
      <c r="V768" s="141"/>
      <c r="W768" s="141"/>
      <c r="X768" s="141"/>
      <c r="Y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c r="U769" s="141"/>
      <c r="V769" s="141"/>
      <c r="W769" s="141"/>
      <c r="X769" s="141"/>
      <c r="Y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c r="U770" s="141"/>
      <c r="V770" s="141"/>
      <c r="W770" s="141"/>
      <c r="X770" s="141"/>
      <c r="Y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c r="U771" s="141"/>
      <c r="V771" s="141"/>
      <c r="W771" s="141"/>
      <c r="X771" s="141"/>
      <c r="Y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c r="U772" s="141"/>
      <c r="V772" s="141"/>
      <c r="W772" s="141"/>
      <c r="X772" s="141"/>
      <c r="Y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c r="U773" s="141"/>
      <c r="V773" s="141"/>
      <c r="W773" s="141"/>
      <c r="X773" s="141"/>
      <c r="Y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c r="U774" s="141"/>
      <c r="V774" s="141"/>
      <c r="W774" s="141"/>
      <c r="X774" s="141"/>
      <c r="Y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c r="U775" s="141"/>
      <c r="V775" s="141"/>
      <c r="W775" s="141"/>
      <c r="X775" s="141"/>
      <c r="Y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c r="U776" s="141"/>
      <c r="V776" s="141"/>
      <c r="W776" s="141"/>
      <c r="X776" s="141"/>
      <c r="Y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c r="U777" s="141"/>
      <c r="V777" s="141"/>
      <c r="W777" s="141"/>
      <c r="X777" s="141"/>
      <c r="Y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c r="U778" s="141"/>
      <c r="V778" s="141"/>
      <c r="W778" s="141"/>
      <c r="X778" s="141"/>
      <c r="Y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c r="U779" s="141"/>
      <c r="V779" s="141"/>
      <c r="W779" s="141"/>
      <c r="X779" s="141"/>
      <c r="Y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c r="U780" s="141"/>
      <c r="V780" s="141"/>
      <c r="W780" s="141"/>
      <c r="X780" s="141"/>
      <c r="Y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c r="U781" s="141"/>
      <c r="V781" s="141"/>
      <c r="W781" s="141"/>
      <c r="X781" s="141"/>
      <c r="Y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c r="U782" s="141"/>
      <c r="V782" s="141"/>
      <c r="W782" s="141"/>
      <c r="X782" s="141"/>
      <c r="Y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c r="U783" s="141"/>
      <c r="V783" s="141"/>
      <c r="W783" s="141"/>
      <c r="X783" s="141"/>
      <c r="Y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c r="U784" s="141"/>
      <c r="V784" s="141"/>
      <c r="W784" s="141"/>
      <c r="X784" s="141"/>
      <c r="Y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c r="U785" s="141"/>
      <c r="V785" s="141"/>
      <c r="W785" s="141"/>
      <c r="X785" s="141"/>
      <c r="Y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c r="U786" s="141"/>
      <c r="V786" s="141"/>
      <c r="W786" s="141"/>
      <c r="X786" s="141"/>
      <c r="Y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c r="U787" s="141"/>
      <c r="V787" s="141"/>
      <c r="W787" s="141"/>
      <c r="X787" s="141"/>
      <c r="Y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c r="U788" s="141"/>
      <c r="V788" s="141"/>
      <c r="W788" s="141"/>
      <c r="X788" s="141"/>
      <c r="Y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c r="U789" s="141"/>
      <c r="V789" s="141"/>
      <c r="W789" s="141"/>
      <c r="X789" s="141"/>
      <c r="Y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c r="U790" s="141"/>
      <c r="V790" s="141"/>
      <c r="W790" s="141"/>
      <c r="X790" s="141"/>
      <c r="Y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c r="U791" s="141"/>
      <c r="V791" s="141"/>
      <c r="W791" s="141"/>
      <c r="X791" s="141"/>
      <c r="Y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c r="U792" s="141"/>
      <c r="V792" s="141"/>
      <c r="W792" s="141"/>
      <c r="X792" s="141"/>
      <c r="Y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c r="U793" s="141"/>
      <c r="V793" s="141"/>
      <c r="W793" s="141"/>
      <c r="X793" s="141"/>
      <c r="Y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c r="U794" s="141"/>
      <c r="V794" s="141"/>
      <c r="W794" s="141"/>
      <c r="X794" s="141"/>
      <c r="Y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c r="U795" s="141"/>
      <c r="V795" s="141"/>
      <c r="W795" s="141"/>
      <c r="X795" s="141"/>
      <c r="Y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c r="U796" s="141"/>
      <c r="V796" s="141"/>
      <c r="W796" s="141"/>
      <c r="X796" s="141"/>
      <c r="Y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c r="U797" s="141"/>
      <c r="V797" s="141"/>
      <c r="W797" s="141"/>
      <c r="X797" s="141"/>
      <c r="Y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c r="U798" s="141"/>
      <c r="V798" s="141"/>
      <c r="W798" s="141"/>
      <c r="X798" s="141"/>
      <c r="Y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c r="U799" s="141"/>
      <c r="V799" s="141"/>
      <c r="W799" s="141"/>
      <c r="X799" s="141"/>
      <c r="Y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c r="U800" s="141"/>
      <c r="V800" s="141"/>
      <c r="W800" s="141"/>
      <c r="X800" s="141"/>
      <c r="Y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c r="U801" s="141"/>
      <c r="V801" s="141"/>
      <c r="W801" s="141"/>
      <c r="X801" s="141"/>
      <c r="Y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c r="U802" s="141"/>
      <c r="V802" s="141"/>
      <c r="W802" s="141"/>
      <c r="X802" s="141"/>
      <c r="Y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c r="U803" s="141"/>
      <c r="V803" s="141"/>
      <c r="W803" s="141"/>
      <c r="X803" s="141"/>
      <c r="Y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c r="U804" s="141"/>
      <c r="V804" s="141"/>
      <c r="W804" s="141"/>
      <c r="X804" s="141"/>
      <c r="Y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c r="U805" s="141"/>
      <c r="V805" s="141"/>
      <c r="W805" s="141"/>
      <c r="X805" s="141"/>
      <c r="Y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c r="U806" s="141"/>
      <c r="V806" s="141"/>
      <c r="W806" s="141"/>
      <c r="X806" s="141"/>
      <c r="Y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c r="U807" s="141"/>
      <c r="V807" s="141"/>
      <c r="W807" s="141"/>
      <c r="X807" s="141"/>
      <c r="Y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c r="U808" s="141"/>
      <c r="V808" s="141"/>
      <c r="W808" s="141"/>
      <c r="X808" s="141"/>
      <c r="Y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c r="U809" s="141"/>
      <c r="V809" s="141"/>
      <c r="W809" s="141"/>
      <c r="X809" s="141"/>
      <c r="Y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c r="U810" s="141"/>
      <c r="V810" s="141"/>
      <c r="W810" s="141"/>
      <c r="X810" s="141"/>
      <c r="Y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c r="U811" s="141"/>
      <c r="V811" s="141"/>
      <c r="W811" s="141"/>
      <c r="X811" s="141"/>
      <c r="Y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c r="U812" s="141"/>
      <c r="V812" s="141"/>
      <c r="W812" s="141"/>
      <c r="X812" s="141"/>
      <c r="Y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c r="U813" s="141"/>
      <c r="V813" s="141"/>
      <c r="W813" s="141"/>
      <c r="X813" s="141"/>
      <c r="Y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c r="U814" s="141"/>
      <c r="V814" s="141"/>
      <c r="W814" s="141"/>
      <c r="X814" s="141"/>
      <c r="Y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c r="U815" s="141"/>
      <c r="V815" s="141"/>
      <c r="W815" s="141"/>
      <c r="X815" s="141"/>
      <c r="Y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c r="U816" s="141"/>
      <c r="V816" s="141"/>
      <c r="W816" s="141"/>
      <c r="X816" s="141"/>
      <c r="Y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c r="U817" s="141"/>
      <c r="V817" s="141"/>
      <c r="W817" s="141"/>
      <c r="X817" s="141"/>
      <c r="Y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c r="U818" s="141"/>
      <c r="V818" s="141"/>
      <c r="W818" s="141"/>
      <c r="X818" s="141"/>
      <c r="Y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c r="U819" s="141"/>
      <c r="V819" s="141"/>
      <c r="W819" s="141"/>
      <c r="X819" s="141"/>
      <c r="Y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c r="U820" s="141"/>
      <c r="V820" s="141"/>
      <c r="W820" s="141"/>
      <c r="X820" s="141"/>
      <c r="Y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c r="U821" s="141"/>
      <c r="V821" s="141"/>
      <c r="W821" s="141"/>
      <c r="X821" s="141"/>
      <c r="Y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c r="U822" s="141"/>
      <c r="V822" s="141"/>
      <c r="W822" s="141"/>
      <c r="X822" s="141"/>
      <c r="Y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c r="U823" s="141"/>
      <c r="V823" s="141"/>
      <c r="W823" s="141"/>
      <c r="X823" s="141"/>
      <c r="Y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c r="U824" s="141"/>
      <c r="V824" s="141"/>
      <c r="W824" s="141"/>
      <c r="X824" s="141"/>
      <c r="Y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c r="U825" s="141"/>
      <c r="V825" s="141"/>
      <c r="W825" s="141"/>
      <c r="X825" s="141"/>
      <c r="Y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c r="U826" s="141"/>
      <c r="V826" s="141"/>
      <c r="W826" s="141"/>
      <c r="X826" s="141"/>
      <c r="Y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c r="U827" s="141"/>
      <c r="V827" s="141"/>
      <c r="W827" s="141"/>
      <c r="X827" s="141"/>
      <c r="Y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c r="U828" s="141"/>
      <c r="V828" s="141"/>
      <c r="W828" s="141"/>
      <c r="X828" s="141"/>
      <c r="Y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c r="U829" s="141"/>
      <c r="V829" s="141"/>
      <c r="W829" s="141"/>
      <c r="X829" s="141"/>
      <c r="Y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c r="U830" s="141"/>
      <c r="V830" s="141"/>
      <c r="W830" s="141"/>
      <c r="X830" s="141"/>
      <c r="Y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c r="U831" s="141"/>
      <c r="V831" s="141"/>
      <c r="W831" s="141"/>
      <c r="X831" s="141"/>
      <c r="Y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c r="U832" s="141"/>
      <c r="V832" s="141"/>
      <c r="W832" s="141"/>
      <c r="X832" s="141"/>
      <c r="Y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c r="U833" s="141"/>
      <c r="V833" s="141"/>
      <c r="W833" s="141"/>
      <c r="X833" s="141"/>
      <c r="Y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c r="U834" s="141"/>
      <c r="V834" s="141"/>
      <c r="W834" s="141"/>
      <c r="X834" s="141"/>
      <c r="Y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c r="U835" s="141"/>
      <c r="V835" s="141"/>
      <c r="W835" s="141"/>
      <c r="X835" s="141"/>
      <c r="Y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c r="U836" s="141"/>
      <c r="V836" s="141"/>
      <c r="W836" s="141"/>
      <c r="X836" s="141"/>
      <c r="Y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c r="U837" s="141"/>
      <c r="V837" s="141"/>
      <c r="W837" s="141"/>
      <c r="X837" s="141"/>
      <c r="Y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c r="U838" s="141"/>
      <c r="V838" s="141"/>
      <c r="W838" s="141"/>
      <c r="X838" s="141"/>
      <c r="Y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c r="U839" s="141"/>
      <c r="V839" s="141"/>
      <c r="W839" s="141"/>
      <c r="X839" s="141"/>
      <c r="Y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c r="U840" s="141"/>
      <c r="V840" s="141"/>
      <c r="W840" s="141"/>
      <c r="X840" s="141"/>
      <c r="Y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c r="U841" s="141"/>
      <c r="V841" s="141"/>
      <c r="W841" s="141"/>
      <c r="X841" s="141"/>
      <c r="Y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c r="U842" s="141"/>
      <c r="V842" s="141"/>
      <c r="W842" s="141"/>
      <c r="X842" s="141"/>
      <c r="Y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c r="U843" s="141"/>
      <c r="V843" s="141"/>
      <c r="W843" s="141"/>
      <c r="X843" s="141"/>
      <c r="Y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c r="U844" s="141"/>
      <c r="V844" s="141"/>
      <c r="W844" s="141"/>
      <c r="X844" s="141"/>
      <c r="Y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c r="U845" s="141"/>
      <c r="V845" s="141"/>
      <c r="W845" s="141"/>
      <c r="X845" s="141"/>
      <c r="Y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c r="U846" s="141"/>
      <c r="V846" s="141"/>
      <c r="W846" s="141"/>
      <c r="X846" s="141"/>
      <c r="Y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c r="U847" s="141"/>
      <c r="V847" s="141"/>
      <c r="W847" s="141"/>
      <c r="X847" s="141"/>
      <c r="Y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c r="U848" s="141"/>
      <c r="V848" s="141"/>
      <c r="W848" s="141"/>
      <c r="X848" s="141"/>
      <c r="Y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c r="U849" s="141"/>
      <c r="V849" s="141"/>
      <c r="W849" s="141"/>
      <c r="X849" s="141"/>
      <c r="Y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c r="U850" s="141"/>
      <c r="V850" s="141"/>
      <c r="W850" s="141"/>
      <c r="X850" s="141"/>
      <c r="Y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c r="U851" s="141"/>
      <c r="V851" s="141"/>
      <c r="W851" s="141"/>
      <c r="X851" s="141"/>
      <c r="Y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c r="U852" s="141"/>
      <c r="V852" s="141"/>
      <c r="W852" s="141"/>
      <c r="X852" s="141"/>
      <c r="Y852" s="141"/>
    </row>
    <row r="853">
      <c r="A853" s="141"/>
      <c r="B853" s="141"/>
      <c r="C853" s="141"/>
      <c r="D853" s="92"/>
      <c r="E853" s="92"/>
      <c r="F853" s="141"/>
      <c r="G853" s="141"/>
      <c r="H853" s="141"/>
      <c r="I853" s="141"/>
      <c r="J853" s="141"/>
      <c r="K853" s="141"/>
      <c r="L853" s="141"/>
      <c r="M853" s="141"/>
      <c r="N853" s="141"/>
      <c r="O853" s="141"/>
      <c r="P853" s="141"/>
      <c r="Q853" s="141"/>
      <c r="R853" s="141"/>
      <c r="S853" s="141"/>
      <c r="T853" s="141"/>
      <c r="U853" s="141"/>
      <c r="V853" s="141"/>
      <c r="W853" s="141"/>
      <c r="X853" s="141"/>
      <c r="Y853" s="141"/>
    </row>
    <row r="854">
      <c r="A854" s="141"/>
      <c r="B854" s="141"/>
      <c r="C854" s="141"/>
      <c r="D854" s="92"/>
      <c r="E854" s="92"/>
      <c r="F854" s="141"/>
      <c r="G854" s="141"/>
      <c r="H854" s="141"/>
      <c r="I854" s="141"/>
      <c r="J854" s="141"/>
      <c r="K854" s="141"/>
      <c r="L854" s="141"/>
      <c r="M854" s="141"/>
      <c r="N854" s="141"/>
      <c r="O854" s="141"/>
      <c r="P854" s="141"/>
      <c r="Q854" s="141"/>
      <c r="R854" s="141"/>
      <c r="S854" s="141"/>
      <c r="T854" s="141"/>
      <c r="U854" s="141"/>
      <c r="V854" s="141"/>
      <c r="W854" s="141"/>
      <c r="X854" s="141"/>
      <c r="Y854" s="141"/>
    </row>
    <row r="855">
      <c r="A855" s="141"/>
      <c r="B855" s="141"/>
      <c r="C855" s="141"/>
      <c r="D855" s="92"/>
      <c r="E855" s="92"/>
      <c r="F855" s="141"/>
      <c r="G855" s="141"/>
      <c r="H855" s="141"/>
      <c r="I855" s="141"/>
      <c r="J855" s="141"/>
      <c r="K855" s="141"/>
      <c r="L855" s="141"/>
      <c r="M855" s="141"/>
      <c r="N855" s="141"/>
      <c r="O855" s="141"/>
      <c r="P855" s="141"/>
      <c r="Q855" s="141"/>
      <c r="R855" s="141"/>
      <c r="S855" s="141"/>
      <c r="T855" s="141"/>
      <c r="U855" s="141"/>
      <c r="V855" s="141"/>
      <c r="W855" s="141"/>
      <c r="X855" s="141"/>
      <c r="Y855" s="141"/>
    </row>
    <row r="856">
      <c r="A856" s="141"/>
      <c r="B856" s="141"/>
      <c r="C856" s="141"/>
      <c r="D856" s="92"/>
      <c r="E856" s="92"/>
      <c r="F856" s="141"/>
      <c r="G856" s="141"/>
      <c r="H856" s="141"/>
      <c r="I856" s="141"/>
      <c r="J856" s="141"/>
      <c r="K856" s="141"/>
      <c r="L856" s="141"/>
      <c r="M856" s="141"/>
      <c r="N856" s="141"/>
      <c r="O856" s="141"/>
      <c r="P856" s="141"/>
      <c r="Q856" s="141"/>
      <c r="R856" s="141"/>
      <c r="S856" s="141"/>
      <c r="T856" s="141"/>
      <c r="U856" s="141"/>
      <c r="V856" s="141"/>
      <c r="W856" s="141"/>
      <c r="X856" s="141"/>
      <c r="Y856" s="141"/>
    </row>
    <row r="857">
      <c r="A857" s="141"/>
      <c r="B857" s="141"/>
      <c r="C857" s="141"/>
      <c r="D857" s="92"/>
      <c r="E857" s="92"/>
      <c r="F857" s="141"/>
      <c r="G857" s="141"/>
      <c r="H857" s="141"/>
      <c r="I857" s="141"/>
      <c r="J857" s="141"/>
      <c r="K857" s="141"/>
      <c r="L857" s="141"/>
      <c r="M857" s="141"/>
      <c r="N857" s="141"/>
      <c r="O857" s="141"/>
      <c r="P857" s="141"/>
      <c r="Q857" s="141"/>
      <c r="R857" s="141"/>
      <c r="S857" s="141"/>
      <c r="T857" s="141"/>
      <c r="U857" s="141"/>
      <c r="V857" s="141"/>
      <c r="W857" s="141"/>
      <c r="X857" s="141"/>
      <c r="Y857" s="141"/>
    </row>
    <row r="858">
      <c r="A858" s="141"/>
      <c r="B858" s="141"/>
      <c r="C858" s="141"/>
      <c r="D858" s="92"/>
      <c r="E858" s="92"/>
      <c r="F858" s="141"/>
      <c r="G858" s="141"/>
      <c r="H858" s="141"/>
      <c r="I858" s="141"/>
      <c r="J858" s="141"/>
      <c r="K858" s="141"/>
      <c r="L858" s="141"/>
      <c r="M858" s="141"/>
      <c r="N858" s="141"/>
      <c r="O858" s="141"/>
      <c r="P858" s="141"/>
      <c r="Q858" s="141"/>
      <c r="R858" s="141"/>
      <c r="S858" s="141"/>
      <c r="T858" s="141"/>
      <c r="U858" s="141"/>
      <c r="V858" s="141"/>
      <c r="W858" s="141"/>
      <c r="X858" s="141"/>
      <c r="Y858" s="141"/>
    </row>
    <row r="859">
      <c r="A859" s="141"/>
      <c r="B859" s="141"/>
      <c r="C859" s="141"/>
      <c r="D859" s="92"/>
      <c r="E859" s="92"/>
      <c r="F859" s="141"/>
      <c r="G859" s="141"/>
      <c r="H859" s="141"/>
      <c r="I859" s="141"/>
      <c r="J859" s="141"/>
      <c r="K859" s="141"/>
      <c r="L859" s="141"/>
      <c r="M859" s="141"/>
      <c r="N859" s="141"/>
      <c r="O859" s="141"/>
      <c r="P859" s="141"/>
      <c r="Q859" s="141"/>
      <c r="R859" s="141"/>
      <c r="S859" s="141"/>
      <c r="T859" s="141"/>
      <c r="U859" s="141"/>
      <c r="V859" s="141"/>
      <c r="W859" s="141"/>
      <c r="X859" s="141"/>
      <c r="Y859" s="141"/>
    </row>
    <row r="860">
      <c r="A860" s="141"/>
      <c r="B860" s="141"/>
      <c r="C860" s="141"/>
      <c r="D860" s="92"/>
      <c r="E860" s="92"/>
      <c r="F860" s="141"/>
      <c r="G860" s="141"/>
      <c r="H860" s="141"/>
      <c r="I860" s="141"/>
      <c r="J860" s="141"/>
      <c r="K860" s="141"/>
      <c r="L860" s="141"/>
      <c r="M860" s="141"/>
      <c r="N860" s="141"/>
      <c r="O860" s="141"/>
      <c r="P860" s="141"/>
      <c r="Q860" s="141"/>
      <c r="R860" s="141"/>
      <c r="S860" s="141"/>
      <c r="T860" s="141"/>
      <c r="U860" s="141"/>
      <c r="V860" s="141"/>
      <c r="W860" s="141"/>
      <c r="X860" s="141"/>
      <c r="Y860" s="141"/>
    </row>
    <row r="861">
      <c r="A861" s="141"/>
      <c r="B861" s="141"/>
      <c r="C861" s="141"/>
      <c r="D861" s="92"/>
      <c r="E861" s="92"/>
      <c r="F861" s="141"/>
      <c r="G861" s="141"/>
      <c r="H861" s="141"/>
      <c r="I861" s="141"/>
      <c r="J861" s="141"/>
      <c r="K861" s="141"/>
      <c r="L861" s="141"/>
      <c r="M861" s="141"/>
      <c r="N861" s="141"/>
      <c r="O861" s="141"/>
      <c r="P861" s="141"/>
      <c r="Q861" s="141"/>
      <c r="R861" s="141"/>
      <c r="S861" s="141"/>
      <c r="T861" s="141"/>
      <c r="U861" s="141"/>
      <c r="V861" s="141"/>
      <c r="W861" s="141"/>
      <c r="X861" s="141"/>
      <c r="Y861" s="141"/>
    </row>
    <row r="862">
      <c r="A862" s="141"/>
      <c r="B862" s="141"/>
      <c r="C862" s="141"/>
      <c r="D862" s="92"/>
      <c r="E862" s="92"/>
      <c r="F862" s="141"/>
      <c r="G862" s="141"/>
      <c r="H862" s="141"/>
      <c r="I862" s="141"/>
      <c r="J862" s="141"/>
      <c r="K862" s="141"/>
      <c r="L862" s="141"/>
      <c r="M862" s="141"/>
      <c r="N862" s="141"/>
      <c r="O862" s="141"/>
      <c r="P862" s="141"/>
      <c r="Q862" s="141"/>
      <c r="R862" s="141"/>
      <c r="S862" s="141"/>
      <c r="T862" s="141"/>
      <c r="U862" s="141"/>
      <c r="V862" s="141"/>
      <c r="W862" s="141"/>
      <c r="X862" s="141"/>
      <c r="Y862" s="141"/>
    </row>
    <row r="863">
      <c r="A863" s="141"/>
      <c r="B863" s="141"/>
      <c r="C863" s="141"/>
      <c r="D863" s="92"/>
      <c r="E863" s="92"/>
      <c r="F863" s="141"/>
      <c r="G863" s="141"/>
      <c r="H863" s="141"/>
      <c r="I863" s="141"/>
      <c r="J863" s="141"/>
      <c r="K863" s="141"/>
      <c r="L863" s="141"/>
      <c r="M863" s="141"/>
      <c r="N863" s="141"/>
      <c r="O863" s="141"/>
      <c r="P863" s="141"/>
      <c r="Q863" s="141"/>
      <c r="R863" s="141"/>
      <c r="S863" s="141"/>
      <c r="T863" s="141"/>
      <c r="U863" s="141"/>
      <c r="V863" s="141"/>
      <c r="W863" s="141"/>
      <c r="X863" s="141"/>
      <c r="Y863" s="141"/>
    </row>
    <row r="864">
      <c r="A864" s="141"/>
      <c r="B864" s="141"/>
      <c r="C864" s="141"/>
      <c r="D864" s="92"/>
      <c r="E864" s="92"/>
      <c r="F864" s="141"/>
      <c r="G864" s="141"/>
      <c r="H864" s="141"/>
      <c r="I864" s="141"/>
      <c r="J864" s="141"/>
      <c r="K864" s="141"/>
      <c r="L864" s="141"/>
      <c r="M864" s="141"/>
      <c r="N864" s="141"/>
      <c r="O864" s="141"/>
      <c r="P864" s="141"/>
      <c r="Q864" s="141"/>
      <c r="R864" s="141"/>
      <c r="S864" s="141"/>
      <c r="T864" s="141"/>
      <c r="U864" s="141"/>
      <c r="V864" s="141"/>
      <c r="W864" s="141"/>
      <c r="X864" s="141"/>
      <c r="Y864" s="141"/>
    </row>
    <row r="865">
      <c r="A865" s="141"/>
      <c r="B865" s="141"/>
      <c r="C865" s="141"/>
      <c r="D865" s="92"/>
      <c r="E865" s="92"/>
      <c r="F865" s="141"/>
      <c r="G865" s="141"/>
      <c r="H865" s="141"/>
      <c r="I865" s="141"/>
      <c r="J865" s="141"/>
      <c r="K865" s="141"/>
      <c r="L865" s="141"/>
      <c r="M865" s="141"/>
      <c r="N865" s="141"/>
      <c r="O865" s="141"/>
      <c r="P865" s="141"/>
      <c r="Q865" s="141"/>
      <c r="R865" s="141"/>
      <c r="S865" s="141"/>
      <c r="T865" s="141"/>
      <c r="U865" s="141"/>
      <c r="V865" s="141"/>
      <c r="W865" s="141"/>
      <c r="X865" s="141"/>
      <c r="Y865" s="141"/>
    </row>
    <row r="866">
      <c r="A866" s="141"/>
      <c r="B866" s="141"/>
      <c r="C866" s="141"/>
      <c r="D866" s="92"/>
      <c r="E866" s="92"/>
      <c r="F866" s="141"/>
      <c r="G866" s="141"/>
      <c r="H866" s="141"/>
      <c r="I866" s="141"/>
      <c r="J866" s="141"/>
      <c r="K866" s="141"/>
      <c r="L866" s="141"/>
      <c r="M866" s="141"/>
      <c r="N866" s="141"/>
      <c r="O866" s="141"/>
      <c r="P866" s="141"/>
      <c r="Q866" s="141"/>
      <c r="R866" s="141"/>
      <c r="S866" s="141"/>
      <c r="T866" s="141"/>
      <c r="U866" s="141"/>
      <c r="V866" s="141"/>
      <c r="W866" s="141"/>
      <c r="X866" s="141"/>
      <c r="Y866" s="141"/>
    </row>
    <row r="867">
      <c r="A867" s="141"/>
      <c r="B867" s="141"/>
      <c r="C867" s="141"/>
      <c r="D867" s="92"/>
      <c r="E867" s="92"/>
      <c r="F867" s="141"/>
      <c r="G867" s="141"/>
      <c r="H867" s="141"/>
      <c r="I867" s="141"/>
      <c r="J867" s="141"/>
      <c r="K867" s="141"/>
      <c r="L867" s="141"/>
      <c r="M867" s="141"/>
      <c r="N867" s="141"/>
      <c r="O867" s="141"/>
      <c r="P867" s="141"/>
      <c r="Q867" s="141"/>
      <c r="R867" s="141"/>
      <c r="S867" s="141"/>
      <c r="T867" s="141"/>
      <c r="U867" s="141"/>
      <c r="V867" s="141"/>
      <c r="W867" s="141"/>
      <c r="X867" s="141"/>
      <c r="Y867" s="141"/>
    </row>
    <row r="868">
      <c r="A868" s="141"/>
      <c r="B868" s="141"/>
      <c r="C868" s="141"/>
      <c r="D868" s="92"/>
      <c r="E868" s="92"/>
      <c r="F868" s="141"/>
      <c r="G868" s="141"/>
      <c r="H868" s="141"/>
      <c r="I868" s="141"/>
      <c r="J868" s="141"/>
      <c r="K868" s="141"/>
      <c r="L868" s="141"/>
      <c r="M868" s="141"/>
      <c r="N868" s="141"/>
      <c r="O868" s="141"/>
      <c r="P868" s="141"/>
      <c r="Q868" s="141"/>
      <c r="R868" s="141"/>
      <c r="S868" s="141"/>
      <c r="T868" s="141"/>
      <c r="U868" s="141"/>
      <c r="V868" s="141"/>
      <c r="W868" s="141"/>
      <c r="X868" s="141"/>
      <c r="Y868" s="141"/>
    </row>
    <row r="869">
      <c r="A869" s="141"/>
      <c r="B869" s="141"/>
      <c r="C869" s="141"/>
      <c r="D869" s="92"/>
      <c r="E869" s="92"/>
      <c r="F869" s="141"/>
      <c r="G869" s="141"/>
      <c r="H869" s="141"/>
      <c r="I869" s="141"/>
      <c r="J869" s="141"/>
      <c r="K869" s="141"/>
      <c r="L869" s="141"/>
      <c r="M869" s="141"/>
      <c r="N869" s="141"/>
      <c r="O869" s="141"/>
      <c r="P869" s="141"/>
      <c r="Q869" s="141"/>
      <c r="R869" s="141"/>
      <c r="S869" s="141"/>
      <c r="T869" s="141"/>
      <c r="U869" s="141"/>
      <c r="V869" s="141"/>
      <c r="W869" s="141"/>
      <c r="X869" s="141"/>
      <c r="Y869" s="141"/>
    </row>
    <row r="870">
      <c r="A870" s="141"/>
      <c r="B870" s="141"/>
      <c r="C870" s="141"/>
      <c r="D870" s="92"/>
      <c r="E870" s="92"/>
      <c r="F870" s="141"/>
      <c r="G870" s="141"/>
      <c r="H870" s="141"/>
      <c r="I870" s="141"/>
      <c r="J870" s="141"/>
      <c r="K870" s="141"/>
      <c r="L870" s="141"/>
      <c r="M870" s="141"/>
      <c r="N870" s="141"/>
      <c r="O870" s="141"/>
      <c r="P870" s="141"/>
      <c r="Q870" s="141"/>
      <c r="R870" s="141"/>
      <c r="S870" s="141"/>
      <c r="T870" s="141"/>
      <c r="U870" s="141"/>
      <c r="V870" s="141"/>
      <c r="W870" s="141"/>
      <c r="X870" s="141"/>
      <c r="Y870" s="141"/>
    </row>
    <row r="871">
      <c r="A871" s="141"/>
      <c r="B871" s="141"/>
      <c r="C871" s="141"/>
      <c r="D871" s="92"/>
      <c r="E871" s="92"/>
      <c r="F871" s="141"/>
      <c r="G871" s="141"/>
      <c r="H871" s="141"/>
      <c r="I871" s="141"/>
      <c r="J871" s="141"/>
      <c r="K871" s="141"/>
      <c r="L871" s="141"/>
      <c r="M871" s="141"/>
      <c r="N871" s="141"/>
      <c r="O871" s="141"/>
      <c r="P871" s="141"/>
      <c r="Q871" s="141"/>
      <c r="R871" s="141"/>
      <c r="S871" s="141"/>
      <c r="T871" s="141"/>
      <c r="U871" s="141"/>
      <c r="V871" s="141"/>
      <c r="W871" s="141"/>
      <c r="X871" s="141"/>
      <c r="Y871" s="141"/>
    </row>
    <row r="872">
      <c r="A872" s="141"/>
      <c r="B872" s="141"/>
      <c r="C872" s="141"/>
      <c r="D872" s="92"/>
      <c r="E872" s="92"/>
      <c r="F872" s="141"/>
      <c r="G872" s="141"/>
      <c r="H872" s="141"/>
      <c r="I872" s="141"/>
      <c r="J872" s="141"/>
      <c r="K872" s="141"/>
      <c r="L872" s="141"/>
      <c r="M872" s="141"/>
      <c r="N872" s="141"/>
      <c r="O872" s="141"/>
      <c r="P872" s="141"/>
      <c r="Q872" s="141"/>
      <c r="R872" s="141"/>
      <c r="S872" s="141"/>
      <c r="T872" s="141"/>
      <c r="U872" s="141"/>
      <c r="V872" s="141"/>
      <c r="W872" s="141"/>
      <c r="X872" s="141"/>
      <c r="Y872" s="141"/>
    </row>
    <row r="873">
      <c r="A873" s="141"/>
      <c r="B873" s="141"/>
      <c r="C873" s="141"/>
      <c r="D873" s="92"/>
      <c r="E873" s="92"/>
      <c r="F873" s="141"/>
      <c r="G873" s="141"/>
      <c r="H873" s="141"/>
      <c r="I873" s="141"/>
      <c r="J873" s="141"/>
      <c r="K873" s="141"/>
      <c r="L873" s="141"/>
      <c r="M873" s="141"/>
      <c r="N873" s="141"/>
      <c r="O873" s="141"/>
      <c r="P873" s="141"/>
      <c r="Q873" s="141"/>
      <c r="R873" s="141"/>
      <c r="S873" s="141"/>
      <c r="T873" s="141"/>
      <c r="U873" s="141"/>
      <c r="V873" s="141"/>
      <c r="W873" s="141"/>
      <c r="X873" s="141"/>
      <c r="Y873" s="141"/>
    </row>
    <row r="874">
      <c r="A874" s="141"/>
      <c r="B874" s="141"/>
      <c r="C874" s="141"/>
      <c r="D874" s="92"/>
      <c r="E874" s="92"/>
      <c r="F874" s="141"/>
      <c r="G874" s="141"/>
      <c r="H874" s="141"/>
      <c r="I874" s="141"/>
      <c r="J874" s="141"/>
      <c r="K874" s="141"/>
      <c r="L874" s="141"/>
      <c r="M874" s="141"/>
      <c r="N874" s="141"/>
      <c r="O874" s="141"/>
      <c r="P874" s="141"/>
      <c r="Q874" s="141"/>
      <c r="R874" s="141"/>
      <c r="S874" s="141"/>
      <c r="T874" s="141"/>
      <c r="U874" s="141"/>
      <c r="V874" s="141"/>
      <c r="W874" s="141"/>
      <c r="X874" s="141"/>
      <c r="Y874" s="141"/>
    </row>
    <row r="875">
      <c r="A875" s="141"/>
      <c r="B875" s="141"/>
      <c r="C875" s="141"/>
      <c r="D875" s="92"/>
      <c r="E875" s="92"/>
      <c r="F875" s="141"/>
      <c r="G875" s="141"/>
      <c r="H875" s="141"/>
      <c r="I875" s="141"/>
      <c r="J875" s="141"/>
      <c r="K875" s="141"/>
      <c r="L875" s="141"/>
      <c r="M875" s="141"/>
      <c r="N875" s="141"/>
      <c r="O875" s="141"/>
      <c r="P875" s="141"/>
      <c r="Q875" s="141"/>
      <c r="R875" s="141"/>
      <c r="S875" s="141"/>
      <c r="T875" s="141"/>
      <c r="U875" s="141"/>
      <c r="V875" s="141"/>
      <c r="W875" s="141"/>
      <c r="X875" s="141"/>
      <c r="Y875" s="141"/>
    </row>
    <row r="876">
      <c r="A876" s="141"/>
      <c r="B876" s="141"/>
      <c r="C876" s="141"/>
      <c r="D876" s="92"/>
      <c r="E876" s="92"/>
      <c r="F876" s="141"/>
      <c r="G876" s="141"/>
      <c r="H876" s="141"/>
      <c r="I876" s="141"/>
      <c r="J876" s="141"/>
      <c r="K876" s="141"/>
      <c r="L876" s="141"/>
      <c r="M876" s="141"/>
      <c r="N876" s="141"/>
      <c r="O876" s="141"/>
      <c r="P876" s="141"/>
      <c r="Q876" s="141"/>
      <c r="R876" s="141"/>
      <c r="S876" s="141"/>
      <c r="T876" s="141"/>
      <c r="U876" s="141"/>
      <c r="V876" s="141"/>
      <c r="W876" s="141"/>
      <c r="X876" s="141"/>
      <c r="Y876" s="141"/>
    </row>
    <row r="877">
      <c r="A877" s="141"/>
      <c r="B877" s="141"/>
      <c r="C877" s="141"/>
      <c r="D877" s="92"/>
      <c r="E877" s="92"/>
      <c r="F877" s="141"/>
      <c r="G877" s="141"/>
      <c r="H877" s="141"/>
      <c r="I877" s="141"/>
      <c r="J877" s="141"/>
      <c r="K877" s="141"/>
      <c r="L877" s="141"/>
      <c r="M877" s="141"/>
      <c r="N877" s="141"/>
      <c r="O877" s="141"/>
      <c r="P877" s="141"/>
      <c r="Q877" s="141"/>
      <c r="R877" s="141"/>
      <c r="S877" s="141"/>
      <c r="T877" s="141"/>
      <c r="U877" s="141"/>
      <c r="V877" s="141"/>
      <c r="W877" s="141"/>
      <c r="X877" s="141"/>
      <c r="Y877" s="141"/>
    </row>
    <row r="878">
      <c r="A878" s="141"/>
      <c r="B878" s="141"/>
      <c r="C878" s="141"/>
      <c r="D878" s="92"/>
      <c r="E878" s="92"/>
      <c r="F878" s="141"/>
      <c r="G878" s="141"/>
      <c r="H878" s="141"/>
      <c r="I878" s="141"/>
      <c r="J878" s="141"/>
      <c r="K878" s="141"/>
      <c r="L878" s="141"/>
      <c r="M878" s="141"/>
      <c r="N878" s="141"/>
      <c r="O878" s="141"/>
      <c r="P878" s="141"/>
      <c r="Q878" s="141"/>
      <c r="R878" s="141"/>
      <c r="S878" s="141"/>
      <c r="T878" s="141"/>
      <c r="U878" s="141"/>
      <c r="V878" s="141"/>
      <c r="W878" s="141"/>
      <c r="X878" s="141"/>
      <c r="Y878" s="141"/>
    </row>
    <row r="879">
      <c r="A879" s="141"/>
      <c r="B879" s="141"/>
      <c r="C879" s="141"/>
      <c r="D879" s="92"/>
      <c r="E879" s="92"/>
      <c r="F879" s="141"/>
      <c r="G879" s="141"/>
      <c r="H879" s="141"/>
      <c r="I879" s="141"/>
      <c r="J879" s="141"/>
      <c r="K879" s="141"/>
      <c r="L879" s="141"/>
      <c r="M879" s="141"/>
      <c r="N879" s="141"/>
      <c r="O879" s="141"/>
      <c r="P879" s="141"/>
      <c r="Q879" s="141"/>
      <c r="R879" s="141"/>
      <c r="S879" s="141"/>
      <c r="T879" s="141"/>
      <c r="U879" s="141"/>
      <c r="V879" s="141"/>
      <c r="W879" s="141"/>
      <c r="X879" s="141"/>
      <c r="Y879" s="141"/>
    </row>
    <row r="880">
      <c r="A880" s="141"/>
      <c r="B880" s="141"/>
      <c r="C880" s="141"/>
      <c r="D880" s="92"/>
      <c r="E880" s="92"/>
      <c r="F880" s="141"/>
      <c r="G880" s="141"/>
      <c r="H880" s="141"/>
      <c r="I880" s="141"/>
      <c r="J880" s="141"/>
      <c r="K880" s="141"/>
      <c r="L880" s="141"/>
      <c r="M880" s="141"/>
      <c r="N880" s="141"/>
      <c r="O880" s="141"/>
      <c r="P880" s="141"/>
      <c r="Q880" s="141"/>
      <c r="R880" s="141"/>
      <c r="S880" s="141"/>
      <c r="T880" s="141"/>
      <c r="U880" s="141"/>
      <c r="V880" s="141"/>
      <c r="W880" s="141"/>
      <c r="X880" s="141"/>
      <c r="Y880" s="141"/>
    </row>
    <row r="881">
      <c r="A881" s="141"/>
      <c r="B881" s="141"/>
      <c r="C881" s="141"/>
      <c r="D881" s="92"/>
      <c r="E881" s="92"/>
      <c r="F881" s="141"/>
      <c r="G881" s="141"/>
      <c r="H881" s="141"/>
      <c r="I881" s="141"/>
      <c r="J881" s="141"/>
      <c r="K881" s="141"/>
      <c r="L881" s="141"/>
      <c r="M881" s="141"/>
      <c r="N881" s="141"/>
      <c r="O881" s="141"/>
      <c r="P881" s="141"/>
      <c r="Q881" s="141"/>
      <c r="R881" s="141"/>
      <c r="S881" s="141"/>
      <c r="T881" s="141"/>
      <c r="U881" s="141"/>
      <c r="V881" s="141"/>
      <c r="W881" s="141"/>
      <c r="X881" s="141"/>
      <c r="Y881" s="141"/>
    </row>
    <row r="882">
      <c r="A882" s="141"/>
      <c r="B882" s="141"/>
      <c r="C882" s="141"/>
      <c r="D882" s="92"/>
      <c r="E882" s="92"/>
      <c r="F882" s="141"/>
      <c r="G882" s="141"/>
      <c r="H882" s="141"/>
      <c r="I882" s="141"/>
      <c r="J882" s="141"/>
      <c r="K882" s="141"/>
      <c r="L882" s="141"/>
      <c r="M882" s="141"/>
      <c r="N882" s="141"/>
      <c r="O882" s="141"/>
      <c r="P882" s="141"/>
      <c r="Q882" s="141"/>
      <c r="R882" s="141"/>
      <c r="S882" s="141"/>
      <c r="T882" s="141"/>
      <c r="U882" s="141"/>
      <c r="V882" s="141"/>
      <c r="W882" s="141"/>
      <c r="X882" s="141"/>
      <c r="Y882" s="141"/>
    </row>
    <row r="883">
      <c r="A883" s="141"/>
      <c r="B883" s="141"/>
      <c r="C883" s="141"/>
      <c r="D883" s="92"/>
      <c r="E883" s="92"/>
      <c r="F883" s="141"/>
      <c r="G883" s="141"/>
      <c r="H883" s="141"/>
      <c r="I883" s="141"/>
      <c r="J883" s="141"/>
      <c r="K883" s="141"/>
      <c r="L883" s="141"/>
      <c r="M883" s="141"/>
      <c r="N883" s="141"/>
      <c r="O883" s="141"/>
      <c r="P883" s="141"/>
      <c r="Q883" s="141"/>
      <c r="R883" s="141"/>
      <c r="S883" s="141"/>
      <c r="T883" s="141"/>
      <c r="U883" s="141"/>
      <c r="V883" s="141"/>
      <c r="W883" s="141"/>
      <c r="X883" s="141"/>
      <c r="Y883" s="141"/>
    </row>
    <row r="884">
      <c r="A884" s="141"/>
      <c r="B884" s="141"/>
      <c r="C884" s="141"/>
      <c r="D884" s="92"/>
      <c r="E884" s="92"/>
      <c r="F884" s="141"/>
      <c r="G884" s="141"/>
      <c r="H884" s="141"/>
      <c r="I884" s="141"/>
      <c r="J884" s="141"/>
      <c r="K884" s="141"/>
      <c r="L884" s="141"/>
      <c r="M884" s="141"/>
      <c r="N884" s="141"/>
      <c r="O884" s="141"/>
      <c r="P884" s="141"/>
      <c r="Q884" s="141"/>
      <c r="R884" s="141"/>
      <c r="S884" s="141"/>
      <c r="T884" s="141"/>
      <c r="U884" s="141"/>
      <c r="V884" s="141"/>
      <c r="W884" s="141"/>
      <c r="X884" s="141"/>
      <c r="Y884" s="141"/>
    </row>
    <row r="885">
      <c r="A885" s="141"/>
      <c r="B885" s="141"/>
      <c r="C885" s="141"/>
      <c r="D885" s="92"/>
      <c r="E885" s="92"/>
      <c r="F885" s="141"/>
      <c r="G885" s="141"/>
      <c r="H885" s="141"/>
      <c r="I885" s="141"/>
      <c r="J885" s="141"/>
      <c r="K885" s="141"/>
      <c r="L885" s="141"/>
      <c r="M885" s="141"/>
      <c r="N885" s="141"/>
      <c r="O885" s="141"/>
      <c r="P885" s="141"/>
      <c r="Q885" s="141"/>
      <c r="R885" s="141"/>
      <c r="S885" s="141"/>
      <c r="T885" s="141"/>
      <c r="U885" s="141"/>
      <c r="V885" s="141"/>
      <c r="W885" s="141"/>
      <c r="X885" s="141"/>
      <c r="Y885" s="141"/>
    </row>
    <row r="886">
      <c r="A886" s="141"/>
      <c r="B886" s="141"/>
      <c r="C886" s="141"/>
      <c r="D886" s="92"/>
      <c r="E886" s="92"/>
      <c r="F886" s="141"/>
      <c r="G886" s="141"/>
      <c r="H886" s="141"/>
      <c r="I886" s="141"/>
      <c r="J886" s="141"/>
      <c r="K886" s="141"/>
      <c r="L886" s="141"/>
      <c r="M886" s="141"/>
      <c r="N886" s="141"/>
      <c r="O886" s="141"/>
      <c r="P886" s="141"/>
      <c r="Q886" s="141"/>
      <c r="R886" s="141"/>
      <c r="S886" s="141"/>
      <c r="T886" s="141"/>
      <c r="U886" s="141"/>
      <c r="V886" s="141"/>
      <c r="W886" s="141"/>
      <c r="X886" s="141"/>
      <c r="Y886" s="141"/>
    </row>
    <row r="887">
      <c r="A887" s="141"/>
      <c r="B887" s="141"/>
      <c r="C887" s="141"/>
      <c r="D887" s="92"/>
      <c r="E887" s="92"/>
      <c r="F887" s="141"/>
      <c r="G887" s="141"/>
      <c r="H887" s="141"/>
      <c r="I887" s="141"/>
      <c r="J887" s="141"/>
      <c r="K887" s="141"/>
      <c r="L887" s="141"/>
      <c r="M887" s="141"/>
      <c r="N887" s="141"/>
      <c r="O887" s="141"/>
      <c r="P887" s="141"/>
      <c r="Q887" s="141"/>
      <c r="R887" s="141"/>
      <c r="S887" s="141"/>
      <c r="T887" s="141"/>
      <c r="U887" s="141"/>
      <c r="V887" s="141"/>
      <c r="W887" s="141"/>
      <c r="X887" s="141"/>
      <c r="Y887" s="141"/>
    </row>
    <row r="888">
      <c r="A888" s="141"/>
      <c r="B888" s="141"/>
      <c r="C888" s="141"/>
      <c r="D888" s="92"/>
      <c r="E888" s="92"/>
      <c r="F888" s="141"/>
      <c r="G888" s="141"/>
      <c r="H888" s="141"/>
      <c r="I888" s="141"/>
      <c r="J888" s="141"/>
      <c r="K888" s="141"/>
      <c r="L888" s="141"/>
      <c r="M888" s="141"/>
      <c r="N888" s="141"/>
      <c r="O888" s="141"/>
      <c r="P888" s="141"/>
      <c r="Q888" s="141"/>
      <c r="R888" s="141"/>
      <c r="S888" s="141"/>
      <c r="T888" s="141"/>
      <c r="U888" s="141"/>
      <c r="V888" s="141"/>
      <c r="W888" s="141"/>
      <c r="X888" s="141"/>
      <c r="Y888" s="141"/>
    </row>
    <row r="889">
      <c r="A889" s="141"/>
      <c r="B889" s="141"/>
      <c r="C889" s="141"/>
      <c r="D889" s="92"/>
      <c r="E889" s="92"/>
      <c r="F889" s="141"/>
      <c r="G889" s="141"/>
      <c r="H889" s="141"/>
      <c r="I889" s="141"/>
      <c r="J889" s="141"/>
      <c r="K889" s="141"/>
      <c r="L889" s="141"/>
      <c r="M889" s="141"/>
      <c r="N889" s="141"/>
      <c r="O889" s="141"/>
      <c r="P889" s="141"/>
      <c r="Q889" s="141"/>
      <c r="R889" s="141"/>
      <c r="S889" s="141"/>
      <c r="T889" s="141"/>
      <c r="U889" s="141"/>
      <c r="V889" s="141"/>
      <c r="W889" s="141"/>
      <c r="X889" s="141"/>
      <c r="Y889" s="141"/>
    </row>
    <row r="890">
      <c r="A890" s="141"/>
      <c r="B890" s="141"/>
      <c r="C890" s="141"/>
      <c r="D890" s="92"/>
      <c r="E890" s="92"/>
      <c r="F890" s="141"/>
      <c r="G890" s="141"/>
      <c r="H890" s="141"/>
      <c r="I890" s="141"/>
      <c r="J890" s="141"/>
      <c r="K890" s="141"/>
      <c r="L890" s="141"/>
      <c r="M890" s="141"/>
      <c r="N890" s="141"/>
      <c r="O890" s="141"/>
      <c r="P890" s="141"/>
      <c r="Q890" s="141"/>
      <c r="R890" s="141"/>
      <c r="S890" s="141"/>
      <c r="T890" s="141"/>
      <c r="U890" s="141"/>
      <c r="V890" s="141"/>
      <c r="W890" s="141"/>
      <c r="X890" s="141"/>
      <c r="Y890" s="141"/>
    </row>
    <row r="891">
      <c r="A891" s="141"/>
      <c r="B891" s="141"/>
      <c r="C891" s="141"/>
      <c r="D891" s="92"/>
      <c r="E891" s="92"/>
      <c r="F891" s="141"/>
      <c r="G891" s="141"/>
      <c r="H891" s="141"/>
      <c r="I891" s="141"/>
      <c r="J891" s="141"/>
      <c r="K891" s="141"/>
      <c r="L891" s="141"/>
      <c r="M891" s="141"/>
      <c r="N891" s="141"/>
      <c r="O891" s="141"/>
      <c r="P891" s="141"/>
      <c r="Q891" s="141"/>
      <c r="R891" s="141"/>
      <c r="S891" s="141"/>
      <c r="T891" s="141"/>
      <c r="U891" s="141"/>
      <c r="V891" s="141"/>
      <c r="W891" s="141"/>
      <c r="X891" s="141"/>
      <c r="Y891" s="141"/>
    </row>
    <row r="892">
      <c r="A892" s="141"/>
      <c r="B892" s="141"/>
      <c r="C892" s="141"/>
      <c r="D892" s="92"/>
      <c r="E892" s="92"/>
      <c r="F892" s="141"/>
      <c r="G892" s="141"/>
      <c r="H892" s="141"/>
      <c r="I892" s="141"/>
      <c r="J892" s="141"/>
      <c r="K892" s="141"/>
      <c r="L892" s="141"/>
      <c r="M892" s="141"/>
      <c r="N892" s="141"/>
      <c r="O892" s="141"/>
      <c r="P892" s="141"/>
      <c r="Q892" s="141"/>
      <c r="R892" s="141"/>
      <c r="S892" s="141"/>
      <c r="T892" s="141"/>
      <c r="U892" s="141"/>
      <c r="V892" s="141"/>
      <c r="W892" s="141"/>
      <c r="X892" s="141"/>
      <c r="Y892" s="141"/>
    </row>
    <row r="893">
      <c r="A893" s="141"/>
      <c r="B893" s="141"/>
      <c r="C893" s="141"/>
      <c r="D893" s="92"/>
      <c r="E893" s="92"/>
      <c r="F893" s="141"/>
      <c r="G893" s="141"/>
      <c r="H893" s="141"/>
      <c r="I893" s="141"/>
      <c r="J893" s="141"/>
      <c r="K893" s="141"/>
      <c r="L893" s="141"/>
      <c r="M893" s="141"/>
      <c r="N893" s="141"/>
      <c r="O893" s="141"/>
      <c r="P893" s="141"/>
      <c r="Q893" s="141"/>
      <c r="R893" s="141"/>
      <c r="S893" s="141"/>
      <c r="T893" s="141"/>
      <c r="U893" s="141"/>
      <c r="V893" s="141"/>
      <c r="W893" s="141"/>
      <c r="X893" s="141"/>
      <c r="Y893" s="141"/>
    </row>
    <row r="894">
      <c r="A894" s="141"/>
      <c r="B894" s="141"/>
      <c r="C894" s="141"/>
      <c r="D894" s="92"/>
      <c r="E894" s="92"/>
      <c r="F894" s="141"/>
      <c r="G894" s="141"/>
      <c r="H894" s="141"/>
      <c r="I894" s="141"/>
      <c r="J894" s="141"/>
      <c r="K894" s="141"/>
      <c r="L894" s="141"/>
      <c r="M894" s="141"/>
      <c r="N894" s="141"/>
      <c r="O894" s="141"/>
      <c r="P894" s="141"/>
      <c r="Q894" s="141"/>
      <c r="R894" s="141"/>
      <c r="S894" s="141"/>
      <c r="T894" s="141"/>
      <c r="U894" s="141"/>
      <c r="V894" s="141"/>
      <c r="W894" s="141"/>
      <c r="X894" s="141"/>
      <c r="Y894" s="141"/>
    </row>
    <row r="895">
      <c r="A895" s="141"/>
      <c r="B895" s="141"/>
      <c r="C895" s="141"/>
      <c r="D895" s="92"/>
      <c r="E895" s="92"/>
      <c r="F895" s="141"/>
      <c r="G895" s="141"/>
      <c r="H895" s="141"/>
      <c r="I895" s="141"/>
      <c r="J895" s="141"/>
      <c r="K895" s="141"/>
      <c r="L895" s="141"/>
      <c r="M895" s="141"/>
      <c r="N895" s="141"/>
      <c r="O895" s="141"/>
      <c r="P895" s="141"/>
      <c r="Q895" s="141"/>
      <c r="R895" s="141"/>
      <c r="S895" s="141"/>
      <c r="T895" s="141"/>
      <c r="U895" s="141"/>
      <c r="V895" s="141"/>
      <c r="W895" s="141"/>
      <c r="X895" s="141"/>
      <c r="Y895" s="141"/>
    </row>
    <row r="896">
      <c r="A896" s="141"/>
      <c r="B896" s="141"/>
      <c r="C896" s="141"/>
      <c r="D896" s="92"/>
      <c r="E896" s="92"/>
      <c r="F896" s="141"/>
      <c r="G896" s="141"/>
      <c r="H896" s="141"/>
      <c r="I896" s="141"/>
      <c r="J896" s="141"/>
      <c r="K896" s="141"/>
      <c r="L896" s="141"/>
      <c r="M896" s="141"/>
      <c r="N896" s="141"/>
      <c r="O896" s="141"/>
      <c r="P896" s="141"/>
      <c r="Q896" s="141"/>
      <c r="R896" s="141"/>
      <c r="S896" s="141"/>
      <c r="T896" s="141"/>
      <c r="U896" s="141"/>
      <c r="V896" s="141"/>
      <c r="W896" s="141"/>
      <c r="X896" s="141"/>
      <c r="Y896" s="141"/>
    </row>
    <row r="897">
      <c r="A897" s="141"/>
      <c r="B897" s="141"/>
      <c r="C897" s="141"/>
      <c r="D897" s="92"/>
      <c r="E897" s="92"/>
      <c r="F897" s="141"/>
      <c r="G897" s="141"/>
      <c r="H897" s="141"/>
      <c r="I897" s="141"/>
      <c r="J897" s="141"/>
      <c r="K897" s="141"/>
      <c r="L897" s="141"/>
      <c r="M897" s="141"/>
      <c r="N897" s="141"/>
      <c r="O897" s="141"/>
      <c r="P897" s="141"/>
      <c r="Q897" s="141"/>
      <c r="R897" s="141"/>
      <c r="S897" s="141"/>
      <c r="T897" s="141"/>
      <c r="U897" s="141"/>
      <c r="V897" s="141"/>
      <c r="W897" s="141"/>
      <c r="X897" s="141"/>
      <c r="Y897" s="141"/>
    </row>
    <row r="898">
      <c r="A898" s="141"/>
      <c r="B898" s="141"/>
      <c r="C898" s="141"/>
      <c r="D898" s="92"/>
      <c r="E898" s="92"/>
      <c r="F898" s="141"/>
      <c r="G898" s="141"/>
      <c r="H898" s="141"/>
      <c r="I898" s="141"/>
      <c r="J898" s="141"/>
      <c r="K898" s="141"/>
      <c r="L898" s="141"/>
      <c r="M898" s="141"/>
      <c r="N898" s="141"/>
      <c r="O898" s="141"/>
      <c r="P898" s="141"/>
      <c r="Q898" s="141"/>
      <c r="R898" s="141"/>
      <c r="S898" s="141"/>
      <c r="T898" s="141"/>
      <c r="U898" s="141"/>
      <c r="V898" s="141"/>
      <c r="W898" s="141"/>
      <c r="X898" s="141"/>
      <c r="Y898" s="141"/>
    </row>
    <row r="899">
      <c r="A899" s="141"/>
      <c r="B899" s="141"/>
      <c r="C899" s="141"/>
      <c r="D899" s="92"/>
      <c r="E899" s="92"/>
      <c r="F899" s="141"/>
      <c r="G899" s="141"/>
      <c r="H899" s="141"/>
      <c r="I899" s="141"/>
      <c r="J899" s="141"/>
      <c r="K899" s="141"/>
      <c r="L899" s="141"/>
      <c r="M899" s="141"/>
      <c r="N899" s="141"/>
      <c r="O899" s="141"/>
      <c r="P899" s="141"/>
      <c r="Q899" s="141"/>
      <c r="R899" s="141"/>
      <c r="S899" s="141"/>
      <c r="T899" s="141"/>
      <c r="U899" s="141"/>
      <c r="V899" s="141"/>
      <c r="W899" s="141"/>
      <c r="X899" s="141"/>
      <c r="Y899" s="141"/>
    </row>
    <row r="900">
      <c r="A900" s="141"/>
      <c r="B900" s="141"/>
      <c r="C900" s="141"/>
      <c r="D900" s="92"/>
      <c r="E900" s="92"/>
      <c r="F900" s="141"/>
      <c r="G900" s="141"/>
      <c r="H900" s="141"/>
      <c r="I900" s="141"/>
      <c r="J900" s="141"/>
      <c r="K900" s="141"/>
      <c r="L900" s="141"/>
      <c r="M900" s="141"/>
      <c r="N900" s="141"/>
      <c r="O900" s="141"/>
      <c r="P900" s="141"/>
      <c r="Q900" s="141"/>
      <c r="R900" s="141"/>
      <c r="S900" s="141"/>
      <c r="T900" s="141"/>
      <c r="U900" s="141"/>
      <c r="V900" s="141"/>
      <c r="W900" s="141"/>
      <c r="X900" s="141"/>
      <c r="Y900" s="141"/>
    </row>
    <row r="901">
      <c r="A901" s="141"/>
      <c r="B901" s="141"/>
      <c r="C901" s="141"/>
      <c r="D901" s="92"/>
      <c r="E901" s="92"/>
      <c r="F901" s="141"/>
      <c r="G901" s="141"/>
      <c r="H901" s="141"/>
      <c r="I901" s="141"/>
      <c r="J901" s="141"/>
      <c r="K901" s="141"/>
      <c r="L901" s="141"/>
      <c r="M901" s="141"/>
      <c r="N901" s="141"/>
      <c r="O901" s="141"/>
      <c r="P901" s="141"/>
      <c r="Q901" s="141"/>
      <c r="R901" s="141"/>
      <c r="S901" s="141"/>
      <c r="T901" s="141"/>
      <c r="U901" s="141"/>
      <c r="V901" s="141"/>
      <c r="W901" s="141"/>
      <c r="X901" s="141"/>
      <c r="Y901" s="141"/>
    </row>
    <row r="902">
      <c r="A902" s="141"/>
      <c r="B902" s="141"/>
      <c r="C902" s="141"/>
      <c r="D902" s="92"/>
      <c r="E902" s="92"/>
      <c r="F902" s="141"/>
      <c r="G902" s="141"/>
      <c r="H902" s="141"/>
      <c r="I902" s="141"/>
      <c r="J902" s="141"/>
      <c r="K902" s="141"/>
      <c r="L902" s="141"/>
      <c r="M902" s="141"/>
      <c r="N902" s="141"/>
      <c r="O902" s="141"/>
      <c r="P902" s="141"/>
      <c r="Q902" s="141"/>
      <c r="R902" s="141"/>
      <c r="S902" s="141"/>
      <c r="T902" s="141"/>
      <c r="U902" s="141"/>
      <c r="V902" s="141"/>
      <c r="W902" s="141"/>
      <c r="X902" s="141"/>
      <c r="Y902" s="141"/>
    </row>
    <row r="903">
      <c r="A903" s="141"/>
      <c r="B903" s="141"/>
      <c r="C903" s="141"/>
      <c r="D903" s="92"/>
      <c r="E903" s="92"/>
      <c r="F903" s="141"/>
      <c r="G903" s="141"/>
      <c r="H903" s="141"/>
      <c r="I903" s="141"/>
      <c r="J903" s="141"/>
      <c r="K903" s="141"/>
      <c r="L903" s="141"/>
      <c r="M903" s="141"/>
      <c r="N903" s="141"/>
      <c r="O903" s="141"/>
      <c r="P903" s="141"/>
      <c r="Q903" s="141"/>
      <c r="R903" s="141"/>
      <c r="S903" s="141"/>
      <c r="T903" s="141"/>
      <c r="U903" s="141"/>
      <c r="V903" s="141"/>
      <c r="W903" s="141"/>
      <c r="X903" s="141"/>
      <c r="Y903" s="141"/>
    </row>
    <row r="904">
      <c r="A904" s="141"/>
      <c r="B904" s="141"/>
      <c r="C904" s="141"/>
      <c r="D904" s="92"/>
      <c r="E904" s="92"/>
      <c r="F904" s="141"/>
      <c r="G904" s="141"/>
      <c r="H904" s="141"/>
      <c r="I904" s="141"/>
      <c r="J904" s="141"/>
      <c r="K904" s="141"/>
      <c r="L904" s="141"/>
      <c r="M904" s="141"/>
      <c r="N904" s="141"/>
      <c r="O904" s="141"/>
      <c r="P904" s="141"/>
      <c r="Q904" s="141"/>
      <c r="R904" s="141"/>
      <c r="S904" s="141"/>
      <c r="T904" s="141"/>
      <c r="U904" s="141"/>
      <c r="V904" s="141"/>
      <c r="W904" s="141"/>
      <c r="X904" s="141"/>
      <c r="Y904" s="141"/>
    </row>
    <row r="905">
      <c r="A905" s="141"/>
      <c r="B905" s="141"/>
      <c r="C905" s="141"/>
      <c r="D905" s="92"/>
      <c r="E905" s="92"/>
      <c r="F905" s="141"/>
      <c r="G905" s="141"/>
      <c r="H905" s="141"/>
      <c r="I905" s="141"/>
      <c r="J905" s="141"/>
      <c r="K905" s="141"/>
      <c r="L905" s="141"/>
      <c r="M905" s="141"/>
      <c r="N905" s="141"/>
      <c r="O905" s="141"/>
      <c r="P905" s="141"/>
      <c r="Q905" s="141"/>
      <c r="R905" s="141"/>
      <c r="S905" s="141"/>
      <c r="T905" s="141"/>
      <c r="U905" s="141"/>
      <c r="V905" s="141"/>
      <c r="W905" s="141"/>
      <c r="X905" s="141"/>
      <c r="Y905" s="141"/>
    </row>
    <row r="906">
      <c r="A906" s="141"/>
      <c r="B906" s="141"/>
      <c r="C906" s="141"/>
      <c r="D906" s="92"/>
      <c r="E906" s="92"/>
      <c r="F906" s="141"/>
      <c r="G906" s="141"/>
      <c r="H906" s="141"/>
      <c r="I906" s="141"/>
      <c r="J906" s="141"/>
      <c r="K906" s="141"/>
      <c r="L906" s="141"/>
      <c r="M906" s="141"/>
      <c r="N906" s="141"/>
      <c r="O906" s="141"/>
      <c r="P906" s="141"/>
      <c r="Q906" s="141"/>
      <c r="R906" s="141"/>
      <c r="S906" s="141"/>
      <c r="T906" s="141"/>
      <c r="U906" s="141"/>
      <c r="V906" s="141"/>
      <c r="W906" s="141"/>
      <c r="X906" s="141"/>
      <c r="Y906" s="141"/>
    </row>
    <row r="907">
      <c r="A907" s="141"/>
      <c r="B907" s="141"/>
      <c r="C907" s="141"/>
      <c r="D907" s="92"/>
      <c r="E907" s="92"/>
      <c r="F907" s="141"/>
      <c r="G907" s="141"/>
      <c r="H907" s="141"/>
      <c r="I907" s="141"/>
      <c r="J907" s="141"/>
      <c r="K907" s="141"/>
      <c r="L907" s="141"/>
      <c r="M907" s="141"/>
      <c r="N907" s="141"/>
      <c r="O907" s="141"/>
      <c r="P907" s="141"/>
      <c r="Q907" s="141"/>
      <c r="R907" s="141"/>
      <c r="S907" s="141"/>
      <c r="T907" s="141"/>
      <c r="U907" s="141"/>
      <c r="V907" s="141"/>
      <c r="W907" s="141"/>
      <c r="X907" s="141"/>
      <c r="Y907" s="141"/>
    </row>
    <row r="908">
      <c r="A908" s="141"/>
      <c r="B908" s="141"/>
      <c r="C908" s="141"/>
      <c r="D908" s="92"/>
      <c r="E908" s="92"/>
      <c r="F908" s="141"/>
      <c r="G908" s="141"/>
      <c r="H908" s="141"/>
      <c r="I908" s="141"/>
      <c r="J908" s="141"/>
      <c r="K908" s="141"/>
      <c r="L908" s="141"/>
      <c r="M908" s="141"/>
      <c r="N908" s="141"/>
      <c r="O908" s="141"/>
      <c r="P908" s="141"/>
      <c r="Q908" s="141"/>
      <c r="R908" s="141"/>
      <c r="S908" s="141"/>
      <c r="T908" s="141"/>
      <c r="U908" s="141"/>
      <c r="V908" s="141"/>
      <c r="W908" s="141"/>
      <c r="X908" s="141"/>
      <c r="Y908" s="141"/>
    </row>
    <row r="909">
      <c r="A909" s="141"/>
      <c r="B909" s="141"/>
      <c r="C909" s="141"/>
      <c r="D909" s="92"/>
      <c r="E909" s="92"/>
      <c r="F909" s="141"/>
      <c r="G909" s="141"/>
      <c r="H909" s="141"/>
      <c r="I909" s="141"/>
      <c r="J909" s="141"/>
      <c r="K909" s="141"/>
      <c r="L909" s="141"/>
      <c r="M909" s="141"/>
      <c r="N909" s="141"/>
      <c r="O909" s="141"/>
      <c r="P909" s="141"/>
      <c r="Q909" s="141"/>
      <c r="R909" s="141"/>
      <c r="S909" s="141"/>
      <c r="T909" s="141"/>
      <c r="U909" s="141"/>
      <c r="V909" s="141"/>
      <c r="W909" s="141"/>
      <c r="X909" s="141"/>
      <c r="Y909" s="141"/>
    </row>
    <row r="910">
      <c r="A910" s="141"/>
      <c r="B910" s="141"/>
      <c r="C910" s="141"/>
      <c r="D910" s="92"/>
      <c r="E910" s="92"/>
      <c r="F910" s="141"/>
      <c r="G910" s="141"/>
      <c r="H910" s="141"/>
      <c r="I910" s="141"/>
      <c r="J910" s="141"/>
      <c r="K910" s="141"/>
      <c r="L910" s="141"/>
      <c r="M910" s="141"/>
      <c r="N910" s="141"/>
      <c r="O910" s="141"/>
      <c r="P910" s="141"/>
      <c r="Q910" s="141"/>
      <c r="R910" s="141"/>
      <c r="S910" s="141"/>
      <c r="T910" s="141"/>
      <c r="U910" s="141"/>
      <c r="V910" s="141"/>
      <c r="W910" s="141"/>
      <c r="X910" s="141"/>
      <c r="Y910" s="141"/>
    </row>
    <row r="911">
      <c r="A911" s="141"/>
      <c r="B911" s="141"/>
      <c r="C911" s="141"/>
      <c r="D911" s="92"/>
      <c r="E911" s="92"/>
      <c r="F911" s="141"/>
      <c r="G911" s="141"/>
      <c r="H911" s="141"/>
      <c r="I911" s="141"/>
      <c r="J911" s="141"/>
      <c r="K911" s="141"/>
      <c r="L911" s="141"/>
      <c r="M911" s="141"/>
      <c r="N911" s="141"/>
      <c r="O911" s="141"/>
      <c r="P911" s="141"/>
      <c r="Q911" s="141"/>
      <c r="R911" s="141"/>
      <c r="S911" s="141"/>
      <c r="T911" s="141"/>
      <c r="U911" s="141"/>
      <c r="V911" s="141"/>
      <c r="W911" s="141"/>
      <c r="X911" s="141"/>
      <c r="Y911" s="141"/>
    </row>
    <row r="912">
      <c r="A912" s="141"/>
      <c r="B912" s="141"/>
      <c r="C912" s="141"/>
      <c r="D912" s="92"/>
      <c r="E912" s="92"/>
      <c r="F912" s="141"/>
      <c r="G912" s="141"/>
      <c r="H912" s="141"/>
      <c r="I912" s="141"/>
      <c r="J912" s="141"/>
      <c r="K912" s="141"/>
      <c r="L912" s="141"/>
      <c r="M912" s="141"/>
      <c r="N912" s="141"/>
      <c r="O912" s="141"/>
      <c r="P912" s="141"/>
      <c r="Q912" s="141"/>
      <c r="R912" s="141"/>
      <c r="S912" s="141"/>
      <c r="T912" s="141"/>
      <c r="U912" s="141"/>
      <c r="V912" s="141"/>
      <c r="W912" s="141"/>
      <c r="X912" s="141"/>
      <c r="Y912" s="141"/>
    </row>
    <row r="913">
      <c r="A913" s="141"/>
      <c r="B913" s="141"/>
      <c r="C913" s="141"/>
      <c r="D913" s="92"/>
      <c r="E913" s="92"/>
      <c r="F913" s="141"/>
      <c r="G913" s="141"/>
      <c r="H913" s="141"/>
      <c r="I913" s="141"/>
      <c r="J913" s="141"/>
      <c r="K913" s="141"/>
      <c r="L913" s="141"/>
      <c r="M913" s="141"/>
      <c r="N913" s="141"/>
      <c r="O913" s="141"/>
      <c r="P913" s="141"/>
      <c r="Q913" s="141"/>
      <c r="R913" s="141"/>
      <c r="S913" s="141"/>
      <c r="T913" s="141"/>
      <c r="U913" s="141"/>
      <c r="V913" s="141"/>
      <c r="W913" s="141"/>
      <c r="X913" s="141"/>
      <c r="Y913" s="141"/>
    </row>
    <row r="914">
      <c r="A914" s="141"/>
      <c r="B914" s="141"/>
      <c r="C914" s="141"/>
      <c r="D914" s="92"/>
      <c r="E914" s="92"/>
      <c r="F914" s="141"/>
      <c r="G914" s="141"/>
      <c r="H914" s="141"/>
      <c r="I914" s="141"/>
      <c r="J914" s="141"/>
      <c r="K914" s="141"/>
      <c r="L914" s="141"/>
      <c r="M914" s="141"/>
      <c r="N914" s="141"/>
      <c r="O914" s="141"/>
      <c r="P914" s="141"/>
      <c r="Q914" s="141"/>
      <c r="R914" s="141"/>
      <c r="S914" s="141"/>
      <c r="T914" s="141"/>
      <c r="U914" s="141"/>
      <c r="V914" s="141"/>
      <c r="W914" s="141"/>
      <c r="X914" s="141"/>
      <c r="Y914" s="141"/>
    </row>
    <row r="915">
      <c r="A915" s="141"/>
      <c r="B915" s="141"/>
      <c r="C915" s="141"/>
      <c r="D915" s="92"/>
      <c r="E915" s="92"/>
      <c r="F915" s="141"/>
      <c r="G915" s="141"/>
      <c r="H915" s="141"/>
      <c r="I915" s="141"/>
      <c r="J915" s="141"/>
      <c r="K915" s="141"/>
      <c r="L915" s="141"/>
      <c r="M915" s="141"/>
      <c r="N915" s="141"/>
      <c r="O915" s="141"/>
      <c r="P915" s="141"/>
      <c r="Q915" s="141"/>
      <c r="R915" s="141"/>
      <c r="S915" s="141"/>
      <c r="T915" s="141"/>
      <c r="U915" s="141"/>
      <c r="V915" s="141"/>
      <c r="W915" s="141"/>
      <c r="X915" s="141"/>
      <c r="Y915" s="141"/>
    </row>
    <row r="916">
      <c r="A916" s="141"/>
      <c r="B916" s="141"/>
      <c r="C916" s="141"/>
      <c r="D916" s="92"/>
      <c r="E916" s="92"/>
      <c r="F916" s="141"/>
      <c r="G916" s="141"/>
      <c r="H916" s="141"/>
      <c r="I916" s="141"/>
      <c r="J916" s="141"/>
      <c r="K916" s="141"/>
      <c r="L916" s="141"/>
      <c r="M916" s="141"/>
      <c r="N916" s="141"/>
      <c r="O916" s="141"/>
      <c r="P916" s="141"/>
      <c r="Q916" s="141"/>
      <c r="R916" s="141"/>
      <c r="S916" s="141"/>
      <c r="T916" s="141"/>
      <c r="U916" s="141"/>
      <c r="V916" s="141"/>
      <c r="W916" s="141"/>
      <c r="X916" s="141"/>
      <c r="Y916" s="141"/>
    </row>
    <row r="917">
      <c r="A917" s="141"/>
      <c r="B917" s="141"/>
      <c r="C917" s="141"/>
      <c r="D917" s="92"/>
      <c r="E917" s="92"/>
      <c r="F917" s="141"/>
      <c r="G917" s="141"/>
      <c r="H917" s="141"/>
      <c r="I917" s="141"/>
      <c r="J917" s="141"/>
      <c r="K917" s="141"/>
      <c r="L917" s="141"/>
      <c r="M917" s="141"/>
      <c r="N917" s="141"/>
      <c r="O917" s="141"/>
      <c r="P917" s="141"/>
      <c r="Q917" s="141"/>
      <c r="R917" s="141"/>
      <c r="S917" s="141"/>
      <c r="T917" s="141"/>
      <c r="U917" s="141"/>
      <c r="V917" s="141"/>
      <c r="W917" s="141"/>
      <c r="X917" s="141"/>
      <c r="Y917" s="141"/>
    </row>
    <row r="918">
      <c r="A918" s="141"/>
      <c r="B918" s="141"/>
      <c r="C918" s="141"/>
      <c r="D918" s="92"/>
      <c r="E918" s="92"/>
      <c r="F918" s="141"/>
      <c r="G918" s="141"/>
      <c r="H918" s="141"/>
      <c r="I918" s="141"/>
      <c r="J918" s="141"/>
      <c r="K918" s="141"/>
      <c r="L918" s="141"/>
      <c r="M918" s="141"/>
      <c r="N918" s="141"/>
      <c r="O918" s="141"/>
      <c r="P918" s="141"/>
      <c r="Q918" s="141"/>
      <c r="R918" s="141"/>
      <c r="S918" s="141"/>
      <c r="T918" s="141"/>
      <c r="U918" s="141"/>
      <c r="V918" s="141"/>
      <c r="W918" s="141"/>
      <c r="X918" s="141"/>
      <c r="Y918" s="141"/>
    </row>
    <row r="919">
      <c r="A919" s="141"/>
      <c r="B919" s="141"/>
      <c r="C919" s="141"/>
      <c r="D919" s="92"/>
      <c r="E919" s="92"/>
      <c r="F919" s="141"/>
      <c r="G919" s="141"/>
      <c r="H919" s="141"/>
      <c r="I919" s="141"/>
      <c r="J919" s="141"/>
      <c r="K919" s="141"/>
      <c r="L919" s="141"/>
      <c r="M919" s="141"/>
      <c r="N919" s="141"/>
      <c r="O919" s="141"/>
      <c r="P919" s="141"/>
      <c r="Q919" s="141"/>
      <c r="R919" s="141"/>
      <c r="S919" s="141"/>
      <c r="T919" s="141"/>
      <c r="U919" s="141"/>
      <c r="V919" s="141"/>
      <c r="W919" s="141"/>
      <c r="X919" s="141"/>
      <c r="Y919" s="141"/>
    </row>
    <row r="920">
      <c r="A920" s="141"/>
      <c r="B920" s="141"/>
      <c r="C920" s="141"/>
      <c r="D920" s="92"/>
      <c r="E920" s="92"/>
      <c r="F920" s="141"/>
      <c r="G920" s="141"/>
      <c r="H920" s="141"/>
      <c r="I920" s="141"/>
      <c r="J920" s="141"/>
      <c r="K920" s="141"/>
      <c r="L920" s="141"/>
      <c r="M920" s="141"/>
      <c r="N920" s="141"/>
      <c r="O920" s="141"/>
      <c r="P920" s="141"/>
      <c r="Q920" s="141"/>
      <c r="R920" s="141"/>
      <c r="S920" s="141"/>
      <c r="T920" s="141"/>
      <c r="U920" s="141"/>
      <c r="V920" s="141"/>
      <c r="W920" s="141"/>
      <c r="X920" s="141"/>
      <c r="Y920" s="141"/>
    </row>
    <row r="921">
      <c r="A921" s="141"/>
      <c r="B921" s="141"/>
      <c r="C921" s="141"/>
      <c r="D921" s="92"/>
      <c r="E921" s="92"/>
      <c r="F921" s="141"/>
      <c r="G921" s="141"/>
      <c r="H921" s="141"/>
      <c r="I921" s="141"/>
      <c r="J921" s="141"/>
      <c r="K921" s="141"/>
      <c r="L921" s="141"/>
      <c r="M921" s="141"/>
      <c r="N921" s="141"/>
      <c r="O921" s="141"/>
      <c r="P921" s="141"/>
      <c r="Q921" s="141"/>
      <c r="R921" s="141"/>
      <c r="S921" s="141"/>
      <c r="T921" s="141"/>
      <c r="U921" s="141"/>
      <c r="V921" s="141"/>
      <c r="W921" s="141"/>
      <c r="X921" s="141"/>
      <c r="Y921" s="141"/>
    </row>
    <row r="922">
      <c r="A922" s="141"/>
      <c r="B922" s="141"/>
      <c r="C922" s="141"/>
      <c r="D922" s="92"/>
      <c r="E922" s="92"/>
      <c r="F922" s="141"/>
      <c r="G922" s="141"/>
      <c r="H922" s="141"/>
      <c r="I922" s="141"/>
      <c r="J922" s="141"/>
      <c r="K922" s="141"/>
      <c r="L922" s="141"/>
      <c r="M922" s="141"/>
      <c r="N922" s="141"/>
      <c r="O922" s="141"/>
      <c r="P922" s="141"/>
      <c r="Q922" s="141"/>
      <c r="R922" s="141"/>
      <c r="S922" s="141"/>
      <c r="T922" s="141"/>
      <c r="U922" s="141"/>
      <c r="V922" s="141"/>
      <c r="W922" s="141"/>
      <c r="X922" s="141"/>
      <c r="Y922" s="141"/>
    </row>
    <row r="923">
      <c r="A923" s="141"/>
      <c r="B923" s="141"/>
      <c r="C923" s="141"/>
      <c r="D923" s="92"/>
      <c r="E923" s="92"/>
      <c r="F923" s="141"/>
      <c r="G923" s="141"/>
      <c r="H923" s="141"/>
      <c r="I923" s="141"/>
      <c r="J923" s="141"/>
      <c r="K923" s="141"/>
      <c r="L923" s="141"/>
      <c r="M923" s="141"/>
      <c r="N923" s="141"/>
      <c r="O923" s="141"/>
      <c r="P923" s="141"/>
      <c r="Q923" s="141"/>
      <c r="R923" s="141"/>
      <c r="S923" s="141"/>
      <c r="T923" s="141"/>
      <c r="U923" s="141"/>
      <c r="V923" s="141"/>
      <c r="W923" s="141"/>
      <c r="X923" s="141"/>
      <c r="Y923" s="141"/>
    </row>
    <row r="924">
      <c r="A924" s="141"/>
      <c r="B924" s="141"/>
      <c r="C924" s="141"/>
      <c r="D924" s="92"/>
      <c r="E924" s="92"/>
      <c r="F924" s="141"/>
      <c r="G924" s="141"/>
      <c r="H924" s="141"/>
      <c r="I924" s="141"/>
      <c r="J924" s="141"/>
      <c r="K924" s="141"/>
      <c r="L924" s="141"/>
      <c r="M924" s="141"/>
      <c r="N924" s="141"/>
      <c r="O924" s="141"/>
      <c r="P924" s="141"/>
      <c r="Q924" s="141"/>
      <c r="R924" s="141"/>
      <c r="S924" s="141"/>
      <c r="T924" s="141"/>
      <c r="U924" s="141"/>
      <c r="V924" s="141"/>
      <c r="W924" s="141"/>
      <c r="X924" s="141"/>
      <c r="Y924" s="141"/>
    </row>
    <row r="925">
      <c r="A925" s="141"/>
      <c r="B925" s="141"/>
      <c r="C925" s="141"/>
      <c r="D925" s="92"/>
      <c r="E925" s="92"/>
      <c r="F925" s="141"/>
      <c r="G925" s="141"/>
      <c r="H925" s="141"/>
      <c r="I925" s="141"/>
      <c r="J925" s="141"/>
      <c r="K925" s="141"/>
      <c r="L925" s="141"/>
      <c r="M925" s="141"/>
      <c r="N925" s="141"/>
      <c r="O925" s="141"/>
      <c r="P925" s="141"/>
      <c r="Q925" s="141"/>
      <c r="R925" s="141"/>
      <c r="S925" s="141"/>
      <c r="T925" s="141"/>
      <c r="U925" s="141"/>
      <c r="V925" s="141"/>
      <c r="W925" s="141"/>
      <c r="X925" s="141"/>
      <c r="Y925" s="141"/>
    </row>
    <row r="926">
      <c r="A926" s="141"/>
      <c r="B926" s="141"/>
      <c r="C926" s="141"/>
      <c r="D926" s="92"/>
      <c r="E926" s="92"/>
      <c r="F926" s="141"/>
      <c r="G926" s="141"/>
      <c r="H926" s="141"/>
      <c r="I926" s="141"/>
      <c r="J926" s="141"/>
      <c r="K926" s="141"/>
      <c r="L926" s="141"/>
      <c r="M926" s="141"/>
      <c r="N926" s="141"/>
      <c r="O926" s="141"/>
      <c r="P926" s="141"/>
      <c r="Q926" s="141"/>
      <c r="R926" s="141"/>
      <c r="S926" s="141"/>
      <c r="T926" s="141"/>
      <c r="U926" s="141"/>
      <c r="V926" s="141"/>
      <c r="W926" s="141"/>
      <c r="X926" s="141"/>
      <c r="Y926" s="141"/>
    </row>
    <row r="927">
      <c r="A927" s="141"/>
      <c r="B927" s="141"/>
      <c r="C927" s="141"/>
      <c r="D927" s="92"/>
      <c r="E927" s="92"/>
      <c r="F927" s="141"/>
      <c r="G927" s="141"/>
      <c r="H927" s="141"/>
      <c r="I927" s="141"/>
      <c r="J927" s="141"/>
      <c r="K927" s="141"/>
      <c r="L927" s="141"/>
      <c r="M927" s="141"/>
      <c r="N927" s="141"/>
      <c r="O927" s="141"/>
      <c r="P927" s="141"/>
      <c r="Q927" s="141"/>
      <c r="R927" s="141"/>
      <c r="S927" s="141"/>
      <c r="T927" s="141"/>
      <c r="U927" s="141"/>
      <c r="V927" s="141"/>
      <c r="W927" s="141"/>
      <c r="X927" s="141"/>
      <c r="Y927" s="141"/>
    </row>
    <row r="928">
      <c r="A928" s="141"/>
      <c r="B928" s="141"/>
      <c r="C928" s="141"/>
      <c r="D928" s="92"/>
      <c r="E928" s="92"/>
      <c r="F928" s="141"/>
      <c r="G928" s="141"/>
      <c r="H928" s="141"/>
      <c r="I928" s="141"/>
      <c r="J928" s="141"/>
      <c r="K928" s="141"/>
      <c r="L928" s="141"/>
      <c r="M928" s="141"/>
      <c r="N928" s="141"/>
      <c r="O928" s="141"/>
      <c r="P928" s="141"/>
      <c r="Q928" s="141"/>
      <c r="R928" s="141"/>
      <c r="S928" s="141"/>
      <c r="T928" s="141"/>
      <c r="U928" s="141"/>
      <c r="V928" s="141"/>
      <c r="W928" s="141"/>
      <c r="X928" s="141"/>
      <c r="Y928" s="141"/>
    </row>
    <row r="929">
      <c r="A929" s="141"/>
      <c r="B929" s="141"/>
      <c r="C929" s="141"/>
      <c r="D929" s="92"/>
      <c r="E929" s="92"/>
      <c r="F929" s="141"/>
      <c r="G929" s="141"/>
      <c r="H929" s="141"/>
      <c r="I929" s="141"/>
      <c r="J929" s="141"/>
      <c r="K929" s="141"/>
      <c r="L929" s="141"/>
      <c r="M929" s="141"/>
      <c r="N929" s="141"/>
      <c r="O929" s="141"/>
      <c r="P929" s="141"/>
      <c r="Q929" s="141"/>
      <c r="R929" s="141"/>
      <c r="S929" s="141"/>
      <c r="T929" s="141"/>
      <c r="U929" s="141"/>
      <c r="V929" s="141"/>
      <c r="W929" s="141"/>
      <c r="X929" s="141"/>
      <c r="Y929" s="141"/>
    </row>
    <row r="930">
      <c r="A930" s="141"/>
      <c r="B930" s="141"/>
      <c r="C930" s="141"/>
      <c r="D930" s="92"/>
      <c r="E930" s="92"/>
      <c r="F930" s="141"/>
      <c r="G930" s="141"/>
      <c r="H930" s="141"/>
      <c r="I930" s="141"/>
      <c r="J930" s="141"/>
      <c r="K930" s="141"/>
      <c r="L930" s="141"/>
      <c r="M930" s="141"/>
      <c r="N930" s="141"/>
      <c r="O930" s="141"/>
      <c r="P930" s="141"/>
      <c r="Q930" s="141"/>
      <c r="R930" s="141"/>
      <c r="S930" s="141"/>
      <c r="T930" s="141"/>
      <c r="U930" s="141"/>
      <c r="V930" s="141"/>
      <c r="W930" s="141"/>
      <c r="X930" s="141"/>
      <c r="Y930" s="141"/>
    </row>
    <row r="931">
      <c r="A931" s="141"/>
      <c r="B931" s="141"/>
      <c r="C931" s="141"/>
      <c r="D931" s="92"/>
      <c r="E931" s="92"/>
      <c r="F931" s="141"/>
      <c r="G931" s="141"/>
      <c r="H931" s="141"/>
      <c r="I931" s="141"/>
      <c r="J931" s="141"/>
      <c r="K931" s="141"/>
      <c r="L931" s="141"/>
      <c r="M931" s="141"/>
      <c r="N931" s="141"/>
      <c r="O931" s="141"/>
      <c r="P931" s="141"/>
      <c r="Q931" s="141"/>
      <c r="R931" s="141"/>
      <c r="S931" s="141"/>
      <c r="T931" s="141"/>
      <c r="U931" s="141"/>
      <c r="V931" s="141"/>
      <c r="W931" s="141"/>
      <c r="X931" s="141"/>
      <c r="Y931" s="141"/>
    </row>
    <row r="932">
      <c r="A932" s="141"/>
      <c r="B932" s="141"/>
      <c r="C932" s="141"/>
      <c r="D932" s="92"/>
      <c r="E932" s="92"/>
      <c r="F932" s="141"/>
      <c r="G932" s="141"/>
      <c r="H932" s="141"/>
      <c r="I932" s="141"/>
      <c r="J932" s="141"/>
      <c r="K932" s="141"/>
      <c r="L932" s="141"/>
      <c r="M932" s="141"/>
      <c r="N932" s="141"/>
      <c r="O932" s="141"/>
      <c r="P932" s="141"/>
      <c r="Q932" s="141"/>
      <c r="R932" s="141"/>
      <c r="S932" s="141"/>
      <c r="T932" s="141"/>
      <c r="U932" s="141"/>
      <c r="V932" s="141"/>
      <c r="W932" s="141"/>
      <c r="X932" s="141"/>
      <c r="Y932" s="141"/>
    </row>
    <row r="933">
      <c r="A933" s="141"/>
      <c r="B933" s="141"/>
      <c r="C933" s="141"/>
      <c r="D933" s="92"/>
      <c r="E933" s="92"/>
      <c r="F933" s="141"/>
      <c r="G933" s="141"/>
      <c r="H933" s="141"/>
      <c r="I933" s="141"/>
      <c r="J933" s="141"/>
      <c r="K933" s="141"/>
      <c r="L933" s="141"/>
      <c r="M933" s="141"/>
      <c r="N933" s="141"/>
      <c r="O933" s="141"/>
      <c r="P933" s="141"/>
      <c r="Q933" s="141"/>
      <c r="R933" s="141"/>
      <c r="S933" s="141"/>
      <c r="T933" s="141"/>
      <c r="U933" s="141"/>
      <c r="V933" s="141"/>
      <c r="W933" s="141"/>
      <c r="X933" s="141"/>
      <c r="Y933" s="141"/>
    </row>
    <row r="934">
      <c r="A934" s="141"/>
      <c r="B934" s="141"/>
      <c r="C934" s="141"/>
      <c r="D934" s="92"/>
      <c r="E934" s="92"/>
      <c r="F934" s="141"/>
      <c r="G934" s="141"/>
      <c r="H934" s="141"/>
      <c r="I934" s="141"/>
      <c r="J934" s="141"/>
      <c r="K934" s="141"/>
      <c r="L934" s="141"/>
      <c r="M934" s="141"/>
      <c r="N934" s="141"/>
      <c r="O934" s="141"/>
      <c r="P934" s="141"/>
      <c r="Q934" s="141"/>
      <c r="R934" s="141"/>
      <c r="S934" s="141"/>
      <c r="T934" s="141"/>
      <c r="U934" s="141"/>
      <c r="V934" s="141"/>
      <c r="W934" s="141"/>
      <c r="X934" s="141"/>
      <c r="Y934" s="141"/>
    </row>
    <row r="935">
      <c r="A935" s="141"/>
      <c r="B935" s="141"/>
      <c r="C935" s="141"/>
      <c r="D935" s="92"/>
      <c r="E935" s="92"/>
      <c r="F935" s="141"/>
      <c r="G935" s="141"/>
      <c r="H935" s="141"/>
      <c r="I935" s="141"/>
      <c r="J935" s="141"/>
      <c r="K935" s="141"/>
      <c r="L935" s="141"/>
      <c r="M935" s="141"/>
      <c r="N935" s="141"/>
      <c r="O935" s="141"/>
      <c r="P935" s="141"/>
      <c r="Q935" s="141"/>
      <c r="R935" s="141"/>
      <c r="S935" s="141"/>
      <c r="T935" s="141"/>
      <c r="U935" s="141"/>
      <c r="V935" s="141"/>
      <c r="W935" s="141"/>
      <c r="X935" s="141"/>
      <c r="Y935" s="141"/>
    </row>
    <row r="936">
      <c r="A936" s="141"/>
      <c r="B936" s="141"/>
      <c r="C936" s="141"/>
      <c r="D936" s="92"/>
      <c r="E936" s="92"/>
      <c r="F936" s="141"/>
      <c r="G936" s="141"/>
      <c r="H936" s="141"/>
      <c r="I936" s="141"/>
      <c r="J936" s="141"/>
      <c r="K936" s="141"/>
      <c r="L936" s="141"/>
      <c r="M936" s="141"/>
      <c r="N936" s="141"/>
      <c r="O936" s="141"/>
      <c r="P936" s="141"/>
      <c r="Q936" s="141"/>
      <c r="R936" s="141"/>
      <c r="S936" s="141"/>
      <c r="T936" s="141"/>
      <c r="U936" s="141"/>
      <c r="V936" s="141"/>
      <c r="W936" s="141"/>
      <c r="X936" s="141"/>
      <c r="Y936" s="141"/>
    </row>
    <row r="937">
      <c r="A937" s="141"/>
      <c r="B937" s="141"/>
      <c r="C937" s="141"/>
      <c r="D937" s="92"/>
      <c r="E937" s="92"/>
      <c r="F937" s="141"/>
      <c r="G937" s="141"/>
      <c r="H937" s="141"/>
      <c r="I937" s="141"/>
      <c r="J937" s="141"/>
      <c r="K937" s="141"/>
      <c r="L937" s="141"/>
      <c r="M937" s="141"/>
      <c r="N937" s="141"/>
      <c r="O937" s="141"/>
      <c r="P937" s="141"/>
      <c r="Q937" s="141"/>
      <c r="R937" s="141"/>
      <c r="S937" s="141"/>
      <c r="T937" s="141"/>
      <c r="U937" s="141"/>
      <c r="V937" s="141"/>
      <c r="W937" s="141"/>
      <c r="X937" s="141"/>
      <c r="Y937" s="141"/>
    </row>
    <row r="938">
      <c r="A938" s="141"/>
      <c r="B938" s="141"/>
      <c r="C938" s="141"/>
      <c r="D938" s="92"/>
      <c r="E938" s="92"/>
      <c r="F938" s="141"/>
      <c r="G938" s="141"/>
      <c r="H938" s="141"/>
      <c r="I938" s="141"/>
      <c r="J938" s="141"/>
      <c r="K938" s="141"/>
      <c r="L938" s="141"/>
      <c r="M938" s="141"/>
      <c r="N938" s="141"/>
      <c r="O938" s="141"/>
      <c r="P938" s="141"/>
      <c r="Q938" s="141"/>
      <c r="R938" s="141"/>
      <c r="S938" s="141"/>
      <c r="T938" s="141"/>
      <c r="U938" s="141"/>
      <c r="V938" s="141"/>
      <c r="W938" s="141"/>
      <c r="X938" s="141"/>
      <c r="Y938" s="141"/>
    </row>
    <row r="939">
      <c r="A939" s="141"/>
      <c r="B939" s="141"/>
      <c r="C939" s="141"/>
      <c r="D939" s="92"/>
      <c r="E939" s="92"/>
      <c r="F939" s="141"/>
      <c r="G939" s="141"/>
      <c r="H939" s="141"/>
      <c r="I939" s="141"/>
      <c r="J939" s="141"/>
      <c r="K939" s="141"/>
      <c r="L939" s="141"/>
      <c r="M939" s="141"/>
      <c r="N939" s="141"/>
      <c r="O939" s="141"/>
      <c r="P939" s="141"/>
      <c r="Q939" s="141"/>
      <c r="R939" s="141"/>
      <c r="S939" s="141"/>
      <c r="T939" s="141"/>
      <c r="U939" s="141"/>
      <c r="V939" s="141"/>
      <c r="W939" s="141"/>
      <c r="X939" s="141"/>
      <c r="Y939" s="141"/>
    </row>
    <row r="940">
      <c r="A940" s="141"/>
      <c r="B940" s="141"/>
      <c r="C940" s="141"/>
      <c r="D940" s="92"/>
      <c r="E940" s="92"/>
      <c r="F940" s="141"/>
      <c r="G940" s="141"/>
      <c r="H940" s="141"/>
      <c r="I940" s="141"/>
      <c r="J940" s="141"/>
      <c r="K940" s="141"/>
      <c r="L940" s="141"/>
      <c r="M940" s="141"/>
      <c r="N940" s="141"/>
      <c r="O940" s="141"/>
      <c r="P940" s="141"/>
      <c r="Q940" s="141"/>
      <c r="R940" s="141"/>
      <c r="S940" s="141"/>
      <c r="T940" s="141"/>
      <c r="U940" s="141"/>
      <c r="V940" s="141"/>
      <c r="W940" s="141"/>
      <c r="X940" s="141"/>
      <c r="Y940" s="141"/>
    </row>
    <row r="941">
      <c r="A941" s="141"/>
      <c r="B941" s="141"/>
      <c r="C941" s="141"/>
      <c r="D941" s="92"/>
      <c r="E941" s="92"/>
      <c r="F941" s="141"/>
      <c r="G941" s="141"/>
      <c r="H941" s="141"/>
      <c r="I941" s="141"/>
      <c r="J941" s="141"/>
      <c r="K941" s="141"/>
      <c r="L941" s="141"/>
      <c r="M941" s="141"/>
      <c r="N941" s="141"/>
      <c r="O941" s="141"/>
      <c r="P941" s="141"/>
      <c r="Q941" s="141"/>
      <c r="R941" s="141"/>
      <c r="S941" s="141"/>
      <c r="T941" s="141"/>
      <c r="U941" s="141"/>
      <c r="V941" s="141"/>
      <c r="W941" s="141"/>
      <c r="X941" s="141"/>
      <c r="Y941" s="141"/>
    </row>
    <row r="942">
      <c r="A942" s="141"/>
      <c r="B942" s="141"/>
      <c r="C942" s="141"/>
      <c r="D942" s="92"/>
      <c r="E942" s="92"/>
      <c r="F942" s="141"/>
      <c r="G942" s="141"/>
      <c r="H942" s="141"/>
      <c r="I942" s="141"/>
      <c r="J942" s="141"/>
      <c r="K942" s="141"/>
      <c r="L942" s="141"/>
      <c r="M942" s="141"/>
      <c r="N942" s="141"/>
      <c r="O942" s="141"/>
      <c r="P942" s="141"/>
      <c r="Q942" s="141"/>
      <c r="R942" s="141"/>
      <c r="S942" s="141"/>
      <c r="T942" s="141"/>
      <c r="U942" s="141"/>
      <c r="V942" s="141"/>
      <c r="W942" s="141"/>
      <c r="X942" s="141"/>
      <c r="Y942" s="141"/>
    </row>
    <row r="943">
      <c r="A943" s="141"/>
      <c r="B943" s="141"/>
      <c r="C943" s="141"/>
      <c r="D943" s="92"/>
      <c r="E943" s="92"/>
      <c r="F943" s="141"/>
      <c r="G943" s="141"/>
      <c r="H943" s="141"/>
      <c r="I943" s="141"/>
      <c r="J943" s="141"/>
      <c r="K943" s="141"/>
      <c r="L943" s="141"/>
      <c r="M943" s="141"/>
      <c r="N943" s="141"/>
      <c r="O943" s="141"/>
      <c r="P943" s="141"/>
      <c r="Q943" s="141"/>
      <c r="R943" s="141"/>
      <c r="S943" s="141"/>
      <c r="T943" s="141"/>
      <c r="U943" s="141"/>
      <c r="V943" s="141"/>
      <c r="W943" s="141"/>
      <c r="X943" s="141"/>
      <c r="Y943" s="141"/>
    </row>
    <row r="944">
      <c r="A944" s="141"/>
      <c r="B944" s="141"/>
      <c r="C944" s="141"/>
      <c r="D944" s="92"/>
      <c r="E944" s="92"/>
      <c r="F944" s="141"/>
      <c r="G944" s="141"/>
      <c r="H944" s="141"/>
      <c r="I944" s="141"/>
      <c r="J944" s="141"/>
      <c r="K944" s="141"/>
      <c r="L944" s="141"/>
      <c r="M944" s="141"/>
      <c r="N944" s="141"/>
      <c r="O944" s="141"/>
      <c r="P944" s="141"/>
      <c r="Q944" s="141"/>
      <c r="R944" s="141"/>
      <c r="S944" s="141"/>
      <c r="T944" s="141"/>
      <c r="U944" s="141"/>
      <c r="V944" s="141"/>
      <c r="W944" s="141"/>
      <c r="X944" s="141"/>
      <c r="Y944" s="141"/>
    </row>
    <row r="945">
      <c r="A945" s="141"/>
      <c r="B945" s="141"/>
      <c r="C945" s="141"/>
      <c r="D945" s="92"/>
      <c r="E945" s="92"/>
      <c r="F945" s="141"/>
      <c r="G945" s="141"/>
      <c r="H945" s="141"/>
      <c r="I945" s="141"/>
      <c r="J945" s="141"/>
      <c r="K945" s="141"/>
      <c r="L945" s="141"/>
      <c r="M945" s="141"/>
      <c r="N945" s="141"/>
      <c r="O945" s="141"/>
      <c r="P945" s="141"/>
      <c r="Q945" s="141"/>
      <c r="R945" s="141"/>
      <c r="S945" s="141"/>
      <c r="T945" s="141"/>
      <c r="U945" s="141"/>
      <c r="V945" s="141"/>
      <c r="W945" s="141"/>
      <c r="X945" s="141"/>
      <c r="Y945" s="141"/>
    </row>
    <row r="946">
      <c r="A946" s="141"/>
      <c r="B946" s="141"/>
      <c r="C946" s="141"/>
      <c r="D946" s="92"/>
      <c r="E946" s="92"/>
      <c r="F946" s="141"/>
      <c r="G946" s="141"/>
      <c r="H946" s="141"/>
      <c r="I946" s="141"/>
      <c r="J946" s="141"/>
      <c r="K946" s="141"/>
      <c r="L946" s="141"/>
      <c r="M946" s="141"/>
      <c r="N946" s="141"/>
      <c r="O946" s="141"/>
      <c r="P946" s="141"/>
      <c r="Q946" s="141"/>
      <c r="R946" s="141"/>
      <c r="S946" s="141"/>
      <c r="T946" s="141"/>
      <c r="U946" s="141"/>
      <c r="V946" s="141"/>
      <c r="W946" s="141"/>
      <c r="X946" s="141"/>
      <c r="Y946" s="141"/>
    </row>
    <row r="947">
      <c r="A947" s="141"/>
      <c r="B947" s="141"/>
      <c r="C947" s="141"/>
      <c r="D947" s="92"/>
      <c r="E947" s="92"/>
      <c r="F947" s="141"/>
      <c r="G947" s="141"/>
      <c r="H947" s="141"/>
      <c r="I947" s="141"/>
      <c r="J947" s="141"/>
      <c r="K947" s="141"/>
      <c r="L947" s="141"/>
      <c r="M947" s="141"/>
      <c r="N947" s="141"/>
      <c r="O947" s="141"/>
      <c r="P947" s="141"/>
      <c r="Q947" s="141"/>
      <c r="R947" s="141"/>
      <c r="S947" s="141"/>
      <c r="T947" s="141"/>
      <c r="U947" s="141"/>
      <c r="V947" s="141"/>
      <c r="W947" s="141"/>
      <c r="X947" s="141"/>
      <c r="Y947" s="141"/>
    </row>
    <row r="948">
      <c r="A948" s="141"/>
      <c r="B948" s="141"/>
      <c r="C948" s="141"/>
      <c r="D948" s="92"/>
      <c r="E948" s="92"/>
      <c r="F948" s="141"/>
      <c r="G948" s="141"/>
      <c r="H948" s="141"/>
      <c r="I948" s="141"/>
      <c r="J948" s="141"/>
      <c r="K948" s="141"/>
      <c r="L948" s="141"/>
      <c r="M948" s="141"/>
      <c r="N948" s="141"/>
      <c r="O948" s="141"/>
      <c r="P948" s="141"/>
      <c r="Q948" s="141"/>
      <c r="R948" s="141"/>
      <c r="S948" s="141"/>
      <c r="T948" s="141"/>
      <c r="U948" s="141"/>
      <c r="V948" s="141"/>
      <c r="W948" s="141"/>
      <c r="X948" s="141"/>
      <c r="Y948" s="141"/>
    </row>
    <row r="949">
      <c r="A949" s="141"/>
      <c r="B949" s="141"/>
      <c r="C949" s="141"/>
      <c r="D949" s="92"/>
      <c r="E949" s="92"/>
      <c r="F949" s="141"/>
      <c r="G949" s="141"/>
      <c r="H949" s="141"/>
      <c r="I949" s="141"/>
      <c r="J949" s="141"/>
      <c r="K949" s="141"/>
      <c r="L949" s="141"/>
      <c r="M949" s="141"/>
      <c r="N949" s="141"/>
      <c r="O949" s="141"/>
      <c r="P949" s="141"/>
      <c r="Q949" s="141"/>
      <c r="R949" s="141"/>
      <c r="S949" s="141"/>
      <c r="T949" s="141"/>
      <c r="U949" s="141"/>
      <c r="V949" s="141"/>
      <c r="W949" s="141"/>
      <c r="X949" s="141"/>
      <c r="Y949" s="141"/>
    </row>
    <row r="950">
      <c r="A950" s="141"/>
      <c r="B950" s="141"/>
      <c r="C950" s="141"/>
      <c r="D950" s="92"/>
      <c r="E950" s="92"/>
      <c r="F950" s="141"/>
      <c r="G950" s="141"/>
      <c r="H950" s="141"/>
      <c r="I950" s="141"/>
      <c r="J950" s="141"/>
      <c r="K950" s="141"/>
      <c r="L950" s="141"/>
      <c r="M950" s="141"/>
      <c r="N950" s="141"/>
      <c r="O950" s="141"/>
      <c r="P950" s="141"/>
      <c r="Q950" s="141"/>
      <c r="R950" s="141"/>
      <c r="S950" s="141"/>
      <c r="T950" s="141"/>
      <c r="U950" s="141"/>
      <c r="V950" s="141"/>
      <c r="W950" s="141"/>
      <c r="X950" s="141"/>
      <c r="Y950" s="141"/>
    </row>
    <row r="951">
      <c r="A951" s="141"/>
      <c r="B951" s="141"/>
      <c r="C951" s="141"/>
      <c r="D951" s="92"/>
      <c r="E951" s="92"/>
      <c r="F951" s="141"/>
      <c r="G951" s="141"/>
      <c r="H951" s="141"/>
      <c r="I951" s="141"/>
      <c r="J951" s="141"/>
      <c r="K951" s="141"/>
      <c r="L951" s="141"/>
      <c r="M951" s="141"/>
      <c r="N951" s="141"/>
      <c r="O951" s="141"/>
      <c r="P951" s="141"/>
      <c r="Q951" s="141"/>
      <c r="R951" s="141"/>
      <c r="S951" s="141"/>
      <c r="T951" s="141"/>
      <c r="U951" s="141"/>
      <c r="V951" s="141"/>
      <c r="W951" s="141"/>
      <c r="X951" s="141"/>
      <c r="Y951" s="141"/>
    </row>
    <row r="952">
      <c r="A952" s="141"/>
      <c r="B952" s="141"/>
      <c r="C952" s="141"/>
      <c r="D952" s="92"/>
      <c r="E952" s="92"/>
      <c r="F952" s="141"/>
      <c r="G952" s="141"/>
      <c r="H952" s="141"/>
      <c r="I952" s="141"/>
      <c r="J952" s="141"/>
      <c r="K952" s="141"/>
      <c r="L952" s="141"/>
      <c r="M952" s="141"/>
      <c r="N952" s="141"/>
      <c r="O952" s="141"/>
      <c r="P952" s="141"/>
      <c r="Q952" s="141"/>
      <c r="R952" s="141"/>
      <c r="S952" s="141"/>
      <c r="T952" s="141"/>
      <c r="U952" s="141"/>
      <c r="V952" s="141"/>
      <c r="W952" s="141"/>
      <c r="X952" s="141"/>
      <c r="Y952" s="141"/>
    </row>
    <row r="953">
      <c r="A953" s="141"/>
      <c r="B953" s="141"/>
      <c r="C953" s="141"/>
      <c r="D953" s="92"/>
      <c r="E953" s="92"/>
      <c r="F953" s="141"/>
      <c r="G953" s="141"/>
      <c r="H953" s="141"/>
      <c r="I953" s="141"/>
      <c r="J953" s="141"/>
      <c r="K953" s="141"/>
      <c r="L953" s="141"/>
      <c r="M953" s="141"/>
      <c r="N953" s="141"/>
      <c r="O953" s="141"/>
      <c r="P953" s="141"/>
      <c r="Q953" s="141"/>
      <c r="R953" s="141"/>
      <c r="S953" s="141"/>
      <c r="T953" s="141"/>
      <c r="U953" s="141"/>
      <c r="V953" s="141"/>
      <c r="W953" s="141"/>
      <c r="X953" s="141"/>
      <c r="Y953" s="141"/>
    </row>
    <row r="954">
      <c r="A954" s="141"/>
      <c r="B954" s="141"/>
      <c r="C954" s="141"/>
      <c r="D954" s="92"/>
      <c r="E954" s="92"/>
      <c r="F954" s="141"/>
      <c r="G954" s="141"/>
      <c r="H954" s="141"/>
      <c r="I954" s="141"/>
      <c r="J954" s="141"/>
      <c r="K954" s="141"/>
      <c r="L954" s="141"/>
      <c r="M954" s="141"/>
      <c r="N954" s="141"/>
      <c r="O954" s="141"/>
      <c r="P954" s="141"/>
      <c r="Q954" s="141"/>
      <c r="R954" s="141"/>
      <c r="S954" s="141"/>
      <c r="T954" s="141"/>
      <c r="U954" s="141"/>
      <c r="V954" s="141"/>
      <c r="W954" s="141"/>
      <c r="X954" s="141"/>
      <c r="Y954" s="141"/>
    </row>
    <row r="955">
      <c r="A955" s="141"/>
      <c r="B955" s="141"/>
      <c r="C955" s="141"/>
      <c r="D955" s="92"/>
      <c r="E955" s="92"/>
      <c r="F955" s="141"/>
      <c r="G955" s="141"/>
      <c r="H955" s="141"/>
      <c r="I955" s="141"/>
      <c r="J955" s="141"/>
      <c r="K955" s="141"/>
      <c r="L955" s="141"/>
      <c r="M955" s="141"/>
      <c r="N955" s="141"/>
      <c r="O955" s="141"/>
      <c r="P955" s="141"/>
      <c r="Q955" s="141"/>
      <c r="R955" s="141"/>
      <c r="S955" s="141"/>
      <c r="T955" s="141"/>
      <c r="U955" s="141"/>
      <c r="V955" s="141"/>
      <c r="W955" s="141"/>
      <c r="X955" s="141"/>
      <c r="Y955" s="141"/>
    </row>
    <row r="956">
      <c r="A956" s="141"/>
      <c r="B956" s="141"/>
      <c r="C956" s="141"/>
      <c r="D956" s="92"/>
      <c r="E956" s="92"/>
      <c r="F956" s="141"/>
      <c r="G956" s="141"/>
      <c r="H956" s="141"/>
      <c r="I956" s="141"/>
      <c r="J956" s="141"/>
      <c r="K956" s="141"/>
      <c r="L956" s="141"/>
      <c r="M956" s="141"/>
      <c r="N956" s="141"/>
      <c r="O956" s="141"/>
      <c r="P956" s="141"/>
      <c r="Q956" s="141"/>
      <c r="R956" s="141"/>
      <c r="S956" s="141"/>
      <c r="T956" s="141"/>
      <c r="U956" s="141"/>
      <c r="V956" s="141"/>
      <c r="W956" s="141"/>
      <c r="X956" s="141"/>
      <c r="Y956" s="141"/>
    </row>
    <row r="957">
      <c r="A957" s="141"/>
      <c r="B957" s="141"/>
      <c r="C957" s="141"/>
      <c r="D957" s="92"/>
      <c r="E957" s="92"/>
      <c r="F957" s="141"/>
      <c r="G957" s="141"/>
      <c r="H957" s="141"/>
      <c r="I957" s="141"/>
      <c r="J957" s="141"/>
      <c r="K957" s="141"/>
      <c r="L957" s="141"/>
      <c r="M957" s="141"/>
      <c r="N957" s="141"/>
      <c r="O957" s="141"/>
      <c r="P957" s="141"/>
      <c r="Q957" s="141"/>
      <c r="R957" s="141"/>
      <c r="S957" s="141"/>
      <c r="T957" s="141"/>
      <c r="U957" s="141"/>
      <c r="V957" s="141"/>
      <c r="W957" s="141"/>
      <c r="X957" s="141"/>
      <c r="Y957" s="141"/>
    </row>
    <row r="958">
      <c r="A958" s="141"/>
      <c r="B958" s="141"/>
      <c r="C958" s="141"/>
      <c r="D958" s="92"/>
      <c r="E958" s="92"/>
      <c r="F958" s="141"/>
      <c r="G958" s="141"/>
      <c r="H958" s="141"/>
      <c r="I958" s="141"/>
      <c r="J958" s="141"/>
      <c r="K958" s="141"/>
      <c r="L958" s="141"/>
      <c r="M958" s="141"/>
      <c r="N958" s="141"/>
      <c r="O958" s="141"/>
      <c r="P958" s="141"/>
      <c r="Q958" s="141"/>
      <c r="R958" s="141"/>
      <c r="S958" s="141"/>
      <c r="T958" s="141"/>
      <c r="U958" s="141"/>
      <c r="V958" s="141"/>
      <c r="W958" s="141"/>
      <c r="X958" s="141"/>
      <c r="Y958" s="141"/>
    </row>
    <row r="959">
      <c r="A959" s="141"/>
      <c r="B959" s="141"/>
      <c r="C959" s="141"/>
      <c r="D959" s="92"/>
      <c r="E959" s="92"/>
      <c r="F959" s="141"/>
      <c r="G959" s="141"/>
      <c r="H959" s="141"/>
      <c r="I959" s="141"/>
      <c r="J959" s="141"/>
      <c r="K959" s="141"/>
      <c r="L959" s="141"/>
      <c r="M959" s="141"/>
      <c r="N959" s="141"/>
      <c r="O959" s="141"/>
      <c r="P959" s="141"/>
      <c r="Q959" s="141"/>
      <c r="R959" s="141"/>
      <c r="S959" s="141"/>
      <c r="T959" s="141"/>
      <c r="U959" s="141"/>
      <c r="V959" s="141"/>
      <c r="W959" s="141"/>
      <c r="X959" s="141"/>
      <c r="Y959" s="141"/>
    </row>
    <row r="960">
      <c r="A960" s="141"/>
      <c r="B960" s="141"/>
      <c r="C960" s="141"/>
      <c r="D960" s="92"/>
      <c r="E960" s="92"/>
      <c r="F960" s="141"/>
      <c r="G960" s="141"/>
      <c r="H960" s="141"/>
      <c r="I960" s="141"/>
      <c r="J960" s="141"/>
      <c r="K960" s="141"/>
      <c r="L960" s="141"/>
      <c r="M960" s="141"/>
      <c r="N960" s="141"/>
      <c r="O960" s="141"/>
      <c r="P960" s="141"/>
      <c r="Q960" s="141"/>
      <c r="R960" s="141"/>
      <c r="S960" s="141"/>
      <c r="T960" s="141"/>
      <c r="U960" s="141"/>
      <c r="V960" s="141"/>
      <c r="W960" s="141"/>
      <c r="X960" s="141"/>
      <c r="Y960" s="141"/>
    </row>
    <row r="961">
      <c r="A961" s="141"/>
      <c r="B961" s="141"/>
      <c r="C961" s="141"/>
      <c r="D961" s="92"/>
      <c r="E961" s="92"/>
      <c r="F961" s="141"/>
      <c r="G961" s="141"/>
      <c r="H961" s="141"/>
      <c r="I961" s="141"/>
      <c r="J961" s="141"/>
      <c r="K961" s="141"/>
      <c r="L961" s="141"/>
      <c r="M961" s="141"/>
      <c r="N961" s="141"/>
      <c r="O961" s="141"/>
      <c r="P961" s="141"/>
      <c r="Q961" s="141"/>
      <c r="R961" s="141"/>
      <c r="S961" s="141"/>
      <c r="T961" s="141"/>
      <c r="U961" s="141"/>
      <c r="V961" s="141"/>
      <c r="W961" s="141"/>
      <c r="X961" s="141"/>
      <c r="Y961" s="141"/>
    </row>
    <row r="962">
      <c r="A962" s="141"/>
      <c r="B962" s="141"/>
      <c r="C962" s="141"/>
      <c r="D962" s="92"/>
      <c r="E962" s="92"/>
      <c r="F962" s="141"/>
      <c r="G962" s="141"/>
      <c r="H962" s="141"/>
      <c r="I962" s="141"/>
      <c r="J962" s="141"/>
      <c r="K962" s="141"/>
      <c r="L962" s="141"/>
      <c r="M962" s="141"/>
      <c r="N962" s="141"/>
      <c r="O962" s="141"/>
      <c r="P962" s="141"/>
      <c r="Q962" s="141"/>
      <c r="R962" s="141"/>
      <c r="S962" s="141"/>
      <c r="T962" s="141"/>
      <c r="U962" s="141"/>
      <c r="V962" s="141"/>
      <c r="W962" s="141"/>
      <c r="X962" s="141"/>
      <c r="Y962" s="141"/>
    </row>
    <row r="963">
      <c r="A963" s="141"/>
      <c r="B963" s="141"/>
      <c r="C963" s="141"/>
      <c r="D963" s="92"/>
      <c r="E963" s="92"/>
      <c r="F963" s="141"/>
      <c r="G963" s="141"/>
      <c r="H963" s="141"/>
      <c r="I963" s="141"/>
      <c r="J963" s="141"/>
      <c r="K963" s="141"/>
      <c r="L963" s="141"/>
      <c r="M963" s="141"/>
      <c r="N963" s="141"/>
      <c r="O963" s="141"/>
      <c r="P963" s="141"/>
      <c r="Q963" s="141"/>
      <c r="R963" s="141"/>
      <c r="S963" s="141"/>
      <c r="T963" s="141"/>
      <c r="U963" s="141"/>
      <c r="V963" s="141"/>
      <c r="W963" s="141"/>
      <c r="X963" s="141"/>
      <c r="Y963" s="141"/>
    </row>
    <row r="964">
      <c r="A964" s="141"/>
      <c r="B964" s="141"/>
      <c r="C964" s="141"/>
      <c r="D964" s="92"/>
      <c r="E964" s="92"/>
      <c r="F964" s="141"/>
      <c r="G964" s="141"/>
      <c r="H964" s="141"/>
      <c r="I964" s="141"/>
      <c r="J964" s="141"/>
      <c r="K964" s="141"/>
      <c r="L964" s="141"/>
      <c r="M964" s="141"/>
      <c r="N964" s="141"/>
      <c r="O964" s="141"/>
      <c r="P964" s="141"/>
      <c r="Q964" s="141"/>
      <c r="R964" s="141"/>
      <c r="S964" s="141"/>
      <c r="T964" s="141"/>
      <c r="U964" s="141"/>
      <c r="V964" s="141"/>
      <c r="W964" s="141"/>
      <c r="X964" s="141"/>
      <c r="Y964" s="141"/>
    </row>
    <row r="965">
      <c r="A965" s="141"/>
      <c r="B965" s="141"/>
      <c r="C965" s="141"/>
      <c r="D965" s="92"/>
      <c r="E965" s="92"/>
      <c r="F965" s="141"/>
      <c r="G965" s="141"/>
      <c r="H965" s="141"/>
      <c r="I965" s="141"/>
      <c r="J965" s="141"/>
      <c r="K965" s="141"/>
      <c r="L965" s="141"/>
      <c r="M965" s="141"/>
      <c r="N965" s="141"/>
      <c r="O965" s="141"/>
      <c r="P965" s="141"/>
      <c r="Q965" s="141"/>
      <c r="R965" s="141"/>
      <c r="S965" s="141"/>
      <c r="T965" s="141"/>
      <c r="U965" s="141"/>
      <c r="V965" s="141"/>
      <c r="W965" s="141"/>
      <c r="X965" s="141"/>
      <c r="Y965" s="141"/>
    </row>
    <row r="966">
      <c r="A966" s="141"/>
      <c r="B966" s="141"/>
      <c r="C966" s="141"/>
      <c r="D966" s="92"/>
      <c r="E966" s="92"/>
      <c r="F966" s="141"/>
      <c r="G966" s="141"/>
      <c r="H966" s="141"/>
      <c r="I966" s="141"/>
      <c r="J966" s="141"/>
      <c r="K966" s="141"/>
      <c r="L966" s="141"/>
      <c r="M966" s="141"/>
      <c r="N966" s="141"/>
      <c r="O966" s="141"/>
      <c r="P966" s="141"/>
      <c r="Q966" s="141"/>
      <c r="R966" s="141"/>
      <c r="S966" s="141"/>
      <c r="T966" s="141"/>
      <c r="U966" s="141"/>
      <c r="V966" s="141"/>
      <c r="W966" s="141"/>
      <c r="X966" s="141"/>
      <c r="Y966" s="141"/>
    </row>
    <row r="967">
      <c r="A967" s="141"/>
      <c r="B967" s="141"/>
      <c r="C967" s="141"/>
      <c r="D967" s="92"/>
      <c r="E967" s="92"/>
      <c r="F967" s="141"/>
      <c r="G967" s="141"/>
      <c r="H967" s="141"/>
      <c r="I967" s="141"/>
      <c r="J967" s="141"/>
      <c r="K967" s="141"/>
      <c r="L967" s="141"/>
      <c r="M967" s="141"/>
      <c r="N967" s="141"/>
      <c r="O967" s="141"/>
      <c r="P967" s="141"/>
      <c r="Q967" s="141"/>
      <c r="R967" s="141"/>
      <c r="S967" s="141"/>
      <c r="T967" s="141"/>
      <c r="U967" s="141"/>
      <c r="V967" s="141"/>
      <c r="W967" s="141"/>
      <c r="X967" s="141"/>
      <c r="Y967" s="141"/>
    </row>
    <row r="968">
      <c r="A968" s="141"/>
      <c r="B968" s="141"/>
      <c r="C968" s="141"/>
      <c r="D968" s="92"/>
      <c r="E968" s="92"/>
      <c r="F968" s="141"/>
      <c r="G968" s="141"/>
      <c r="H968" s="141"/>
      <c r="I968" s="141"/>
      <c r="J968" s="141"/>
      <c r="K968" s="141"/>
      <c r="L968" s="141"/>
      <c r="M968" s="141"/>
      <c r="N968" s="141"/>
      <c r="O968" s="141"/>
      <c r="P968" s="141"/>
      <c r="Q968" s="141"/>
      <c r="R968" s="141"/>
      <c r="S968" s="141"/>
      <c r="T968" s="141"/>
      <c r="U968" s="141"/>
      <c r="V968" s="141"/>
      <c r="W968" s="141"/>
      <c r="X968" s="141"/>
      <c r="Y968" s="141"/>
    </row>
    <row r="969">
      <c r="A969" s="141"/>
      <c r="B969" s="141"/>
      <c r="C969" s="141"/>
      <c r="D969" s="92"/>
      <c r="E969" s="92"/>
      <c r="F969" s="141"/>
      <c r="G969" s="141"/>
      <c r="H969" s="141"/>
      <c r="I969" s="141"/>
      <c r="J969" s="141"/>
      <c r="K969" s="141"/>
      <c r="L969" s="141"/>
      <c r="M969" s="141"/>
      <c r="N969" s="141"/>
      <c r="O969" s="141"/>
      <c r="P969" s="141"/>
      <c r="Q969" s="141"/>
      <c r="R969" s="141"/>
      <c r="S969" s="141"/>
      <c r="T969" s="141"/>
      <c r="U969" s="141"/>
      <c r="V969" s="141"/>
      <c r="W969" s="141"/>
      <c r="X969" s="141"/>
      <c r="Y969" s="141"/>
    </row>
    <row r="970">
      <c r="A970" s="141"/>
      <c r="B970" s="141"/>
      <c r="C970" s="141"/>
      <c r="D970" s="92"/>
      <c r="E970" s="92"/>
      <c r="F970" s="141"/>
      <c r="G970" s="141"/>
      <c r="H970" s="141"/>
      <c r="I970" s="141"/>
      <c r="J970" s="141"/>
      <c r="K970" s="141"/>
      <c r="L970" s="141"/>
      <c r="M970" s="141"/>
      <c r="N970" s="141"/>
      <c r="O970" s="141"/>
      <c r="P970" s="141"/>
      <c r="Q970" s="141"/>
      <c r="R970" s="141"/>
      <c r="S970" s="141"/>
      <c r="T970" s="141"/>
      <c r="U970" s="141"/>
      <c r="V970" s="141"/>
      <c r="W970" s="141"/>
      <c r="X970" s="141"/>
      <c r="Y970" s="141"/>
    </row>
    <row r="971">
      <c r="A971" s="141"/>
      <c r="B971" s="141"/>
      <c r="C971" s="141"/>
      <c r="D971" s="92"/>
      <c r="E971" s="92"/>
      <c r="F971" s="141"/>
      <c r="G971" s="141"/>
      <c r="H971" s="141"/>
      <c r="I971" s="141"/>
      <c r="J971" s="141"/>
      <c r="K971" s="141"/>
      <c r="L971" s="141"/>
      <c r="M971" s="141"/>
      <c r="N971" s="141"/>
      <c r="O971" s="141"/>
      <c r="P971" s="141"/>
      <c r="Q971" s="141"/>
      <c r="R971" s="141"/>
      <c r="S971" s="141"/>
      <c r="T971" s="141"/>
      <c r="U971" s="141"/>
      <c r="V971" s="141"/>
      <c r="W971" s="141"/>
      <c r="X971" s="141"/>
      <c r="Y971" s="141"/>
    </row>
    <row r="972">
      <c r="A972" s="141"/>
      <c r="B972" s="141"/>
      <c r="C972" s="141"/>
      <c r="D972" s="92"/>
      <c r="E972" s="92"/>
      <c r="F972" s="141"/>
      <c r="G972" s="141"/>
      <c r="H972" s="141"/>
      <c r="I972" s="141"/>
      <c r="J972" s="141"/>
      <c r="K972" s="141"/>
      <c r="L972" s="141"/>
      <c r="M972" s="141"/>
      <c r="N972" s="141"/>
      <c r="O972" s="141"/>
      <c r="P972" s="141"/>
      <c r="Q972" s="141"/>
      <c r="R972" s="141"/>
      <c r="S972" s="141"/>
      <c r="T972" s="141"/>
      <c r="U972" s="141"/>
      <c r="V972" s="141"/>
      <c r="W972" s="141"/>
      <c r="X972" s="141"/>
      <c r="Y972" s="141"/>
    </row>
    <row r="973">
      <c r="A973" s="141"/>
      <c r="B973" s="141"/>
      <c r="C973" s="141"/>
      <c r="D973" s="92"/>
      <c r="E973" s="92"/>
      <c r="F973" s="141"/>
      <c r="G973" s="141"/>
      <c r="H973" s="141"/>
      <c r="I973" s="141"/>
      <c r="J973" s="141"/>
      <c r="K973" s="141"/>
      <c r="L973" s="141"/>
      <c r="M973" s="141"/>
      <c r="N973" s="141"/>
      <c r="O973" s="141"/>
      <c r="P973" s="141"/>
      <c r="Q973" s="141"/>
      <c r="R973" s="141"/>
      <c r="S973" s="141"/>
      <c r="T973" s="141"/>
      <c r="U973" s="141"/>
      <c r="V973" s="141"/>
      <c r="W973" s="141"/>
      <c r="X973" s="141"/>
      <c r="Y973" s="141"/>
    </row>
    <row r="974">
      <c r="A974" s="141"/>
      <c r="B974" s="141"/>
      <c r="C974" s="141"/>
      <c r="D974" s="92"/>
      <c r="E974" s="92"/>
      <c r="F974" s="141"/>
      <c r="G974" s="141"/>
      <c r="H974" s="141"/>
      <c r="I974" s="141"/>
      <c r="J974" s="141"/>
      <c r="K974" s="141"/>
      <c r="L974" s="141"/>
      <c r="M974" s="141"/>
      <c r="N974" s="141"/>
      <c r="O974" s="141"/>
      <c r="P974" s="141"/>
      <c r="Q974" s="141"/>
      <c r="R974" s="141"/>
      <c r="S974" s="141"/>
      <c r="T974" s="141"/>
      <c r="U974" s="141"/>
      <c r="V974" s="141"/>
      <c r="W974" s="141"/>
      <c r="X974" s="141"/>
      <c r="Y974" s="141"/>
    </row>
    <row r="975">
      <c r="A975" s="141"/>
      <c r="B975" s="141"/>
      <c r="C975" s="141"/>
      <c r="D975" s="92"/>
      <c r="E975" s="92"/>
      <c r="F975" s="141"/>
      <c r="G975" s="141"/>
      <c r="H975" s="141"/>
      <c r="I975" s="141"/>
      <c r="J975" s="141"/>
      <c r="K975" s="141"/>
      <c r="L975" s="141"/>
      <c r="M975" s="141"/>
      <c r="N975" s="141"/>
      <c r="O975" s="141"/>
      <c r="P975" s="141"/>
      <c r="Q975" s="141"/>
      <c r="R975" s="141"/>
      <c r="S975" s="141"/>
      <c r="T975" s="141"/>
      <c r="U975" s="141"/>
      <c r="V975" s="141"/>
      <c r="W975" s="141"/>
      <c r="X975" s="141"/>
      <c r="Y975" s="141"/>
    </row>
    <row r="976">
      <c r="A976" s="141"/>
      <c r="B976" s="141"/>
      <c r="C976" s="141"/>
      <c r="D976" s="92"/>
      <c r="E976" s="92"/>
      <c r="F976" s="141"/>
      <c r="G976" s="141"/>
      <c r="H976" s="141"/>
      <c r="I976" s="141"/>
      <c r="J976" s="141"/>
      <c r="K976" s="141"/>
      <c r="L976" s="141"/>
      <c r="M976" s="141"/>
      <c r="N976" s="141"/>
      <c r="O976" s="141"/>
      <c r="P976" s="141"/>
      <c r="Q976" s="141"/>
      <c r="R976" s="141"/>
      <c r="S976" s="141"/>
      <c r="T976" s="141"/>
      <c r="U976" s="141"/>
      <c r="V976" s="141"/>
      <c r="W976" s="141"/>
      <c r="X976" s="141"/>
      <c r="Y976" s="141"/>
    </row>
    <row r="977">
      <c r="A977" s="141"/>
      <c r="B977" s="141"/>
      <c r="C977" s="141"/>
      <c r="D977" s="92"/>
      <c r="E977" s="92"/>
      <c r="F977" s="141"/>
      <c r="G977" s="141"/>
      <c r="H977" s="141"/>
      <c r="I977" s="141"/>
      <c r="J977" s="141"/>
      <c r="K977" s="141"/>
      <c r="L977" s="141"/>
      <c r="M977" s="141"/>
      <c r="N977" s="141"/>
      <c r="O977" s="141"/>
      <c r="P977" s="141"/>
      <c r="Q977" s="141"/>
      <c r="R977" s="141"/>
      <c r="S977" s="141"/>
      <c r="T977" s="141"/>
      <c r="U977" s="141"/>
      <c r="V977" s="141"/>
      <c r="W977" s="141"/>
      <c r="X977" s="141"/>
      <c r="Y977" s="141"/>
    </row>
    <row r="978">
      <c r="A978" s="141"/>
      <c r="B978" s="141"/>
      <c r="C978" s="141"/>
      <c r="D978" s="92"/>
      <c r="E978" s="92"/>
      <c r="F978" s="141"/>
      <c r="G978" s="141"/>
      <c r="H978" s="141"/>
      <c r="I978" s="141"/>
      <c r="J978" s="141"/>
      <c r="K978" s="141"/>
      <c r="L978" s="141"/>
      <c r="M978" s="141"/>
      <c r="N978" s="141"/>
      <c r="O978" s="141"/>
      <c r="P978" s="141"/>
      <c r="Q978" s="141"/>
      <c r="R978" s="141"/>
      <c r="S978" s="141"/>
      <c r="T978" s="141"/>
      <c r="U978" s="141"/>
      <c r="V978" s="141"/>
      <c r="W978" s="141"/>
      <c r="X978" s="141"/>
      <c r="Y978" s="141"/>
    </row>
    <row r="979">
      <c r="A979" s="141"/>
      <c r="B979" s="141"/>
      <c r="C979" s="141"/>
      <c r="D979" s="92"/>
      <c r="E979" s="92"/>
      <c r="F979" s="141"/>
      <c r="G979" s="141"/>
      <c r="H979" s="141"/>
      <c r="I979" s="141"/>
      <c r="J979" s="141"/>
      <c r="K979" s="141"/>
      <c r="L979" s="141"/>
      <c r="M979" s="141"/>
      <c r="N979" s="141"/>
      <c r="O979" s="141"/>
      <c r="P979" s="141"/>
      <c r="Q979" s="141"/>
      <c r="R979" s="141"/>
      <c r="S979" s="141"/>
      <c r="T979" s="141"/>
      <c r="U979" s="141"/>
      <c r="V979" s="141"/>
      <c r="W979" s="141"/>
      <c r="X979" s="141"/>
      <c r="Y979" s="141"/>
    </row>
    <row r="980">
      <c r="A980" s="141"/>
      <c r="B980" s="141"/>
      <c r="C980" s="141"/>
      <c r="D980" s="92"/>
      <c r="E980" s="92"/>
      <c r="F980" s="141"/>
      <c r="G980" s="141"/>
      <c r="H980" s="141"/>
      <c r="I980" s="141"/>
      <c r="J980" s="141"/>
      <c r="K980" s="141"/>
      <c r="L980" s="141"/>
      <c r="M980" s="141"/>
      <c r="N980" s="141"/>
      <c r="O980" s="141"/>
      <c r="P980" s="141"/>
      <c r="Q980" s="141"/>
      <c r="R980" s="141"/>
      <c r="S980" s="141"/>
      <c r="T980" s="141"/>
      <c r="U980" s="141"/>
      <c r="V980" s="141"/>
      <c r="W980" s="141"/>
      <c r="X980" s="141"/>
      <c r="Y980" s="141"/>
    </row>
    <row r="981">
      <c r="A981" s="141"/>
      <c r="B981" s="141"/>
      <c r="C981" s="141"/>
      <c r="D981" s="92"/>
      <c r="E981" s="92"/>
      <c r="F981" s="141"/>
      <c r="G981" s="141"/>
      <c r="H981" s="141"/>
      <c r="I981" s="141"/>
      <c r="J981" s="141"/>
      <c r="K981" s="141"/>
      <c r="L981" s="141"/>
      <c r="M981" s="141"/>
      <c r="N981" s="141"/>
      <c r="O981" s="141"/>
      <c r="P981" s="141"/>
      <c r="Q981" s="141"/>
      <c r="R981" s="141"/>
      <c r="S981" s="141"/>
      <c r="T981" s="141"/>
      <c r="U981" s="141"/>
      <c r="V981" s="141"/>
      <c r="W981" s="141"/>
      <c r="X981" s="141"/>
      <c r="Y981" s="141"/>
    </row>
    <row r="982">
      <c r="A982" s="141"/>
      <c r="B982" s="141"/>
      <c r="C982" s="141"/>
      <c r="D982" s="92"/>
      <c r="E982" s="92"/>
      <c r="F982" s="141"/>
      <c r="G982" s="141"/>
      <c r="H982" s="141"/>
      <c r="I982" s="141"/>
      <c r="J982" s="141"/>
      <c r="K982" s="141"/>
      <c r="L982" s="141"/>
      <c r="M982" s="141"/>
      <c r="N982" s="141"/>
      <c r="O982" s="141"/>
      <c r="P982" s="141"/>
      <c r="Q982" s="141"/>
      <c r="R982" s="141"/>
      <c r="S982" s="141"/>
      <c r="T982" s="141"/>
      <c r="U982" s="141"/>
      <c r="V982" s="141"/>
      <c r="W982" s="141"/>
      <c r="X982" s="141"/>
      <c r="Y982" s="141"/>
    </row>
    <row r="983">
      <c r="A983" s="141"/>
      <c r="B983" s="141"/>
      <c r="C983" s="141"/>
      <c r="D983" s="92"/>
      <c r="E983" s="92"/>
      <c r="F983" s="141"/>
      <c r="G983" s="141"/>
      <c r="H983" s="141"/>
      <c r="I983" s="141"/>
      <c r="J983" s="141"/>
      <c r="K983" s="141"/>
      <c r="L983" s="141"/>
      <c r="M983" s="141"/>
      <c r="N983" s="141"/>
      <c r="O983" s="141"/>
      <c r="P983" s="141"/>
      <c r="Q983" s="141"/>
      <c r="R983" s="141"/>
      <c r="S983" s="141"/>
      <c r="T983" s="141"/>
      <c r="U983" s="141"/>
      <c r="V983" s="141"/>
      <c r="W983" s="141"/>
      <c r="X983" s="141"/>
      <c r="Y983" s="141"/>
    </row>
    <row r="984">
      <c r="A984" s="141"/>
      <c r="B984" s="141"/>
      <c r="C984" s="141"/>
      <c r="D984" s="92"/>
      <c r="E984" s="92"/>
      <c r="F984" s="141"/>
      <c r="G984" s="141"/>
      <c r="H984" s="141"/>
      <c r="I984" s="141"/>
      <c r="J984" s="141"/>
      <c r="K984" s="141"/>
      <c r="L984" s="141"/>
      <c r="M984" s="141"/>
      <c r="N984" s="141"/>
      <c r="O984" s="141"/>
      <c r="P984" s="141"/>
      <c r="Q984" s="141"/>
      <c r="R984" s="141"/>
      <c r="S984" s="141"/>
      <c r="T984" s="141"/>
      <c r="U984" s="141"/>
      <c r="V984" s="141"/>
      <c r="W984" s="141"/>
      <c r="X984" s="141"/>
      <c r="Y984" s="141"/>
    </row>
    <row r="985">
      <c r="A985" s="141"/>
      <c r="B985" s="141"/>
      <c r="C985" s="141"/>
      <c r="D985" s="92"/>
      <c r="E985" s="92"/>
      <c r="F985" s="141"/>
      <c r="G985" s="141"/>
      <c r="H985" s="141"/>
      <c r="I985" s="141"/>
      <c r="J985" s="141"/>
      <c r="K985" s="141"/>
      <c r="L985" s="141"/>
      <c r="M985" s="141"/>
      <c r="N985" s="141"/>
      <c r="O985" s="141"/>
      <c r="P985" s="141"/>
      <c r="Q985" s="141"/>
      <c r="R985" s="141"/>
      <c r="S985" s="141"/>
      <c r="T985" s="141"/>
      <c r="U985" s="141"/>
      <c r="V985" s="141"/>
      <c r="W985" s="141"/>
      <c r="X985" s="141"/>
      <c r="Y985" s="141"/>
    </row>
    <row r="986">
      <c r="A986" s="141"/>
      <c r="B986" s="141"/>
      <c r="C986" s="141"/>
      <c r="D986" s="92"/>
      <c r="E986" s="92"/>
      <c r="F986" s="141"/>
      <c r="G986" s="141"/>
      <c r="H986" s="141"/>
      <c r="I986" s="141"/>
      <c r="J986" s="141"/>
      <c r="K986" s="141"/>
      <c r="L986" s="141"/>
      <c r="M986" s="141"/>
      <c r="N986" s="141"/>
      <c r="O986" s="141"/>
      <c r="P986" s="141"/>
      <c r="Q986" s="141"/>
      <c r="R986" s="141"/>
      <c r="S986" s="141"/>
      <c r="T986" s="141"/>
      <c r="U986" s="141"/>
      <c r="V986" s="141"/>
      <c r="W986" s="141"/>
      <c r="X986" s="141"/>
      <c r="Y986" s="141"/>
    </row>
    <row r="987">
      <c r="A987" s="141"/>
      <c r="B987" s="141"/>
      <c r="C987" s="141"/>
      <c r="D987" s="92"/>
      <c r="E987" s="92"/>
      <c r="F987" s="141"/>
      <c r="G987" s="141"/>
      <c r="H987" s="141"/>
      <c r="I987" s="141"/>
      <c r="J987" s="141"/>
      <c r="K987" s="141"/>
      <c r="L987" s="141"/>
      <c r="M987" s="141"/>
      <c r="N987" s="141"/>
      <c r="O987" s="141"/>
      <c r="P987" s="141"/>
      <c r="Q987" s="141"/>
      <c r="R987" s="141"/>
      <c r="S987" s="141"/>
      <c r="T987" s="141"/>
      <c r="U987" s="141"/>
      <c r="V987" s="141"/>
      <c r="W987" s="141"/>
      <c r="X987" s="141"/>
      <c r="Y987" s="141"/>
    </row>
    <row r="988">
      <c r="A988" s="141"/>
      <c r="B988" s="141"/>
      <c r="C988" s="141"/>
      <c r="D988" s="92"/>
      <c r="E988" s="92"/>
      <c r="F988" s="141"/>
      <c r="G988" s="141"/>
      <c r="H988" s="141"/>
      <c r="I988" s="141"/>
      <c r="J988" s="141"/>
      <c r="K988" s="141"/>
      <c r="L988" s="141"/>
      <c r="M988" s="141"/>
      <c r="N988" s="141"/>
      <c r="O988" s="141"/>
      <c r="P988" s="141"/>
      <c r="Q988" s="141"/>
      <c r="R988" s="141"/>
      <c r="S988" s="141"/>
      <c r="T988" s="141"/>
      <c r="U988" s="141"/>
      <c r="V988" s="141"/>
      <c r="W988" s="141"/>
      <c r="X988" s="141"/>
      <c r="Y988" s="141"/>
    </row>
    <row r="989">
      <c r="A989" s="141"/>
      <c r="B989" s="141"/>
      <c r="C989" s="141"/>
      <c r="D989" s="92"/>
      <c r="E989" s="92"/>
      <c r="F989" s="141"/>
      <c r="G989" s="141"/>
      <c r="H989" s="141"/>
      <c r="I989" s="141"/>
      <c r="J989" s="141"/>
      <c r="K989" s="141"/>
      <c r="L989" s="141"/>
      <c r="M989" s="141"/>
      <c r="N989" s="141"/>
      <c r="O989" s="141"/>
      <c r="P989" s="141"/>
      <c r="Q989" s="141"/>
      <c r="R989" s="141"/>
      <c r="S989" s="141"/>
      <c r="T989" s="141"/>
      <c r="U989" s="141"/>
      <c r="V989" s="141"/>
      <c r="W989" s="141"/>
      <c r="X989" s="141"/>
      <c r="Y989" s="141"/>
    </row>
    <row r="990">
      <c r="A990" s="141"/>
      <c r="B990" s="141"/>
      <c r="C990" s="141"/>
      <c r="D990" s="92"/>
      <c r="E990" s="92"/>
      <c r="F990" s="141"/>
      <c r="G990" s="141"/>
      <c r="H990" s="141"/>
      <c r="I990" s="141"/>
      <c r="J990" s="141"/>
      <c r="K990" s="141"/>
      <c r="L990" s="141"/>
      <c r="M990" s="141"/>
      <c r="N990" s="141"/>
      <c r="O990" s="141"/>
      <c r="P990" s="141"/>
      <c r="Q990" s="141"/>
      <c r="R990" s="141"/>
      <c r="S990" s="141"/>
      <c r="T990" s="141"/>
      <c r="U990" s="141"/>
      <c r="V990" s="141"/>
      <c r="W990" s="141"/>
      <c r="X990" s="141"/>
      <c r="Y990" s="141"/>
    </row>
    <row r="991">
      <c r="A991" s="141"/>
      <c r="B991" s="141"/>
      <c r="C991" s="141"/>
      <c r="D991" s="92"/>
      <c r="E991" s="92"/>
      <c r="F991" s="141"/>
      <c r="G991" s="141"/>
      <c r="H991" s="141"/>
      <c r="I991" s="141"/>
      <c r="J991" s="141"/>
      <c r="K991" s="141"/>
      <c r="L991" s="141"/>
      <c r="M991" s="141"/>
      <c r="N991" s="141"/>
      <c r="O991" s="141"/>
      <c r="P991" s="141"/>
      <c r="Q991" s="141"/>
      <c r="R991" s="141"/>
      <c r="S991" s="141"/>
      <c r="T991" s="141"/>
      <c r="U991" s="141"/>
      <c r="V991" s="141"/>
      <c r="W991" s="141"/>
      <c r="X991" s="141"/>
      <c r="Y991" s="141"/>
    </row>
    <row r="992">
      <c r="A992" s="141"/>
      <c r="B992" s="141"/>
      <c r="C992" s="141"/>
      <c r="D992" s="92"/>
      <c r="E992" s="92"/>
      <c r="F992" s="141"/>
      <c r="G992" s="141"/>
      <c r="H992" s="141"/>
      <c r="I992" s="141"/>
      <c r="J992" s="141"/>
      <c r="K992" s="141"/>
      <c r="L992" s="141"/>
      <c r="M992" s="141"/>
      <c r="N992" s="141"/>
      <c r="O992" s="141"/>
      <c r="P992" s="141"/>
      <c r="Q992" s="141"/>
      <c r="R992" s="141"/>
      <c r="S992" s="141"/>
      <c r="T992" s="141"/>
      <c r="U992" s="141"/>
      <c r="V992" s="141"/>
      <c r="W992" s="141"/>
      <c r="X992" s="141"/>
      <c r="Y992" s="141"/>
    </row>
    <row r="993">
      <c r="A993" s="141"/>
      <c r="B993" s="141"/>
      <c r="C993" s="141"/>
      <c r="D993" s="92"/>
      <c r="E993" s="92"/>
      <c r="F993" s="141"/>
      <c r="G993" s="141"/>
      <c r="H993" s="141"/>
      <c r="I993" s="141"/>
      <c r="J993" s="141"/>
      <c r="K993" s="141"/>
      <c r="L993" s="141"/>
      <c r="M993" s="141"/>
      <c r="N993" s="141"/>
      <c r="O993" s="141"/>
      <c r="P993" s="141"/>
      <c r="Q993" s="141"/>
      <c r="R993" s="141"/>
      <c r="S993" s="141"/>
      <c r="T993" s="141"/>
      <c r="U993" s="141"/>
      <c r="V993" s="141"/>
      <c r="W993" s="141"/>
      <c r="X993" s="141"/>
      <c r="Y993" s="141"/>
    </row>
    <row r="994">
      <c r="A994" s="141"/>
      <c r="B994" s="141"/>
      <c r="C994" s="141"/>
      <c r="D994" s="92"/>
      <c r="E994" s="92"/>
      <c r="F994" s="141"/>
      <c r="G994" s="141"/>
      <c r="H994" s="141"/>
      <c r="I994" s="141"/>
      <c r="J994" s="141"/>
      <c r="K994" s="141"/>
      <c r="L994" s="141"/>
      <c r="M994" s="141"/>
      <c r="N994" s="141"/>
      <c r="O994" s="141"/>
      <c r="P994" s="141"/>
      <c r="Q994" s="141"/>
      <c r="R994" s="141"/>
      <c r="S994" s="141"/>
      <c r="T994" s="141"/>
      <c r="U994" s="141"/>
      <c r="V994" s="141"/>
      <c r="W994" s="141"/>
      <c r="X994" s="141"/>
      <c r="Y994" s="141"/>
    </row>
    <row r="995">
      <c r="A995" s="141"/>
      <c r="B995" s="141"/>
      <c r="C995" s="141"/>
      <c r="D995" s="92"/>
      <c r="E995" s="92"/>
      <c r="F995" s="141"/>
      <c r="G995" s="141"/>
      <c r="H995" s="141"/>
      <c r="I995" s="141"/>
      <c r="J995" s="141"/>
      <c r="K995" s="141"/>
      <c r="L995" s="141"/>
      <c r="M995" s="141"/>
      <c r="N995" s="141"/>
      <c r="O995" s="141"/>
      <c r="P995" s="141"/>
      <c r="Q995" s="141"/>
      <c r="R995" s="141"/>
      <c r="S995" s="141"/>
      <c r="T995" s="141"/>
      <c r="U995" s="141"/>
      <c r="V995" s="141"/>
      <c r="W995" s="141"/>
      <c r="X995" s="141"/>
      <c r="Y995" s="141"/>
    </row>
    <row r="996">
      <c r="A996" s="141"/>
      <c r="B996" s="141"/>
      <c r="C996" s="141"/>
      <c r="D996" s="92"/>
      <c r="E996" s="92"/>
      <c r="F996" s="141"/>
      <c r="G996" s="141"/>
      <c r="H996" s="141"/>
      <c r="I996" s="141"/>
      <c r="J996" s="141"/>
      <c r="K996" s="141"/>
      <c r="L996" s="141"/>
      <c r="M996" s="141"/>
      <c r="N996" s="141"/>
      <c r="O996" s="141"/>
      <c r="P996" s="141"/>
      <c r="Q996" s="141"/>
      <c r="R996" s="141"/>
      <c r="S996" s="141"/>
      <c r="T996" s="141"/>
      <c r="U996" s="141"/>
      <c r="V996" s="141"/>
      <c r="W996" s="141"/>
      <c r="X996" s="141"/>
      <c r="Y996" s="141"/>
    </row>
    <row r="997">
      <c r="A997" s="141"/>
      <c r="B997" s="141"/>
      <c r="C997" s="141"/>
      <c r="D997" s="92"/>
      <c r="E997" s="92"/>
      <c r="F997" s="141"/>
      <c r="G997" s="141"/>
      <c r="H997" s="141"/>
      <c r="I997" s="141"/>
      <c r="J997" s="141"/>
      <c r="K997" s="141"/>
      <c r="L997" s="141"/>
      <c r="M997" s="141"/>
      <c r="N997" s="141"/>
      <c r="O997" s="141"/>
      <c r="P997" s="141"/>
      <c r="Q997" s="141"/>
      <c r="R997" s="141"/>
      <c r="S997" s="141"/>
      <c r="T997" s="141"/>
      <c r="U997" s="141"/>
      <c r="V997" s="141"/>
      <c r="W997" s="141"/>
      <c r="X997" s="141"/>
      <c r="Y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row>
    <row r="1003">
      <c r="A1003" s="141"/>
      <c r="B1003" s="141"/>
      <c r="C1003" s="141"/>
      <c r="D1003" s="141"/>
      <c r="E1003" s="141"/>
      <c r="F1003" s="141"/>
      <c r="G1003" s="141"/>
      <c r="H1003" s="141"/>
      <c r="I1003" s="141"/>
      <c r="J1003" s="141"/>
      <c r="K1003" s="141"/>
      <c r="L1003" s="141"/>
      <c r="M1003" s="141"/>
      <c r="N1003" s="141"/>
      <c r="O1003" s="141"/>
      <c r="P1003" s="141"/>
      <c r="Q1003" s="141"/>
      <c r="R1003" s="141"/>
      <c r="S1003" s="141"/>
      <c r="T1003" s="141"/>
      <c r="U1003" s="141"/>
      <c r="V1003" s="141"/>
      <c r="W1003" s="141"/>
      <c r="X1003" s="141"/>
      <c r="Y1003" s="141"/>
    </row>
    <row r="1004">
      <c r="A1004" s="141"/>
      <c r="B1004" s="141"/>
      <c r="C1004" s="141"/>
      <c r="D1004" s="141"/>
      <c r="E1004" s="141"/>
      <c r="F1004" s="141"/>
      <c r="G1004" s="141"/>
      <c r="H1004" s="141"/>
      <c r="I1004" s="141"/>
      <c r="J1004" s="141"/>
      <c r="K1004" s="141"/>
      <c r="L1004" s="141"/>
      <c r="M1004" s="141"/>
      <c r="N1004" s="141"/>
      <c r="O1004" s="141"/>
      <c r="P1004" s="141"/>
      <c r="Q1004" s="141"/>
      <c r="R1004" s="141"/>
      <c r="S1004" s="141"/>
      <c r="T1004" s="141"/>
      <c r="U1004" s="141"/>
      <c r="V1004" s="141"/>
      <c r="W1004" s="141"/>
      <c r="X1004" s="141"/>
      <c r="Y1004" s="141"/>
    </row>
    <row r="1005">
      <c r="A1005" s="141"/>
      <c r="B1005" s="141"/>
      <c r="C1005" s="141"/>
      <c r="D1005" s="141"/>
      <c r="E1005" s="141"/>
      <c r="F1005" s="141"/>
      <c r="G1005" s="141"/>
      <c r="H1005" s="141"/>
      <c r="I1005" s="141"/>
      <c r="J1005" s="141"/>
      <c r="K1005" s="141"/>
      <c r="L1005" s="141"/>
      <c r="M1005" s="141"/>
      <c r="N1005" s="141"/>
      <c r="O1005" s="141"/>
      <c r="P1005" s="141"/>
      <c r="Q1005" s="141"/>
      <c r="R1005" s="141"/>
      <c r="S1005" s="141"/>
      <c r="T1005" s="141"/>
      <c r="U1005" s="141"/>
      <c r="V1005" s="141"/>
      <c r="W1005" s="141"/>
      <c r="X1005" s="141"/>
      <c r="Y1005" s="141"/>
    </row>
    <row r="1006">
      <c r="A1006" s="141"/>
      <c r="B1006" s="141"/>
      <c r="C1006" s="141"/>
      <c r="D1006" s="141"/>
      <c r="E1006" s="141"/>
      <c r="F1006" s="141"/>
      <c r="G1006" s="141"/>
      <c r="H1006" s="141"/>
      <c r="I1006" s="141"/>
      <c r="J1006" s="141"/>
      <c r="K1006" s="141"/>
      <c r="L1006" s="141"/>
      <c r="M1006" s="141"/>
      <c r="N1006" s="141"/>
      <c r="O1006" s="141"/>
      <c r="P1006" s="141"/>
      <c r="Q1006" s="141"/>
      <c r="R1006" s="141"/>
      <c r="S1006" s="141"/>
      <c r="T1006" s="141"/>
      <c r="U1006" s="141"/>
      <c r="V1006" s="141"/>
      <c r="W1006" s="141"/>
      <c r="X1006" s="141"/>
      <c r="Y1006" s="141"/>
    </row>
    <row r="1007">
      <c r="A1007" s="141"/>
      <c r="B1007" s="141"/>
      <c r="C1007" s="141"/>
      <c r="D1007" s="141"/>
      <c r="E1007" s="141"/>
      <c r="F1007" s="141"/>
      <c r="G1007" s="141"/>
      <c r="H1007" s="141"/>
      <c r="I1007" s="141"/>
      <c r="J1007" s="141"/>
      <c r="K1007" s="141"/>
      <c r="L1007" s="141"/>
      <c r="M1007" s="141"/>
      <c r="N1007" s="141"/>
      <c r="O1007" s="141"/>
      <c r="P1007" s="141"/>
      <c r="Q1007" s="141"/>
      <c r="R1007" s="141"/>
      <c r="S1007" s="141"/>
      <c r="T1007" s="141"/>
      <c r="U1007" s="141"/>
      <c r="V1007" s="141"/>
      <c r="W1007" s="141"/>
      <c r="X1007" s="141"/>
      <c r="Y1007" s="141"/>
    </row>
    <row r="1008">
      <c r="A1008" s="141"/>
      <c r="B1008" s="141"/>
      <c r="C1008" s="141"/>
      <c r="D1008" s="141"/>
      <c r="E1008" s="141"/>
      <c r="F1008" s="141"/>
      <c r="G1008" s="141"/>
      <c r="H1008" s="141"/>
      <c r="I1008" s="141"/>
      <c r="J1008" s="141"/>
      <c r="K1008" s="141"/>
      <c r="L1008" s="141"/>
      <c r="M1008" s="141"/>
      <c r="N1008" s="141"/>
      <c r="O1008" s="141"/>
      <c r="P1008" s="141"/>
      <c r="Q1008" s="141"/>
      <c r="R1008" s="141"/>
      <c r="S1008" s="141"/>
      <c r="T1008" s="141"/>
      <c r="U1008" s="141"/>
      <c r="V1008" s="141"/>
      <c r="W1008" s="141"/>
      <c r="X1008" s="141"/>
      <c r="Y1008" s="141"/>
    </row>
    <row r="1009">
      <c r="A1009" s="141"/>
      <c r="B1009" s="141"/>
      <c r="C1009" s="141"/>
      <c r="D1009" s="141"/>
      <c r="E1009" s="141"/>
      <c r="F1009" s="141"/>
      <c r="G1009" s="141"/>
      <c r="H1009" s="141"/>
      <c r="I1009" s="141"/>
      <c r="J1009" s="141"/>
      <c r="K1009" s="141"/>
      <c r="L1009" s="141"/>
      <c r="M1009" s="141"/>
      <c r="N1009" s="141"/>
      <c r="O1009" s="141"/>
      <c r="P1009" s="141"/>
      <c r="Q1009" s="141"/>
      <c r="R1009" s="141"/>
      <c r="S1009" s="141"/>
      <c r="T1009" s="141"/>
      <c r="U1009" s="141"/>
      <c r="V1009" s="141"/>
      <c r="W1009" s="141"/>
      <c r="X1009" s="141"/>
      <c r="Y1009" s="141"/>
    </row>
    <row r="1010">
      <c r="A1010" s="141"/>
      <c r="B1010" s="141"/>
      <c r="C1010" s="141"/>
      <c r="D1010" s="141"/>
      <c r="E1010" s="141"/>
      <c r="F1010" s="141"/>
      <c r="G1010" s="141"/>
      <c r="H1010" s="141"/>
      <c r="I1010" s="141"/>
      <c r="J1010" s="141"/>
      <c r="K1010" s="141"/>
      <c r="L1010" s="141"/>
      <c r="M1010" s="141"/>
      <c r="N1010" s="141"/>
      <c r="O1010" s="141"/>
      <c r="P1010" s="141"/>
      <c r="Q1010" s="141"/>
      <c r="R1010" s="141"/>
      <c r="S1010" s="141"/>
      <c r="T1010" s="141"/>
      <c r="U1010" s="141"/>
      <c r="V1010" s="141"/>
      <c r="W1010" s="141"/>
      <c r="X1010" s="141"/>
      <c r="Y1010" s="141"/>
    </row>
    <row r="1011">
      <c r="A1011" s="141"/>
      <c r="B1011" s="141"/>
      <c r="C1011" s="141"/>
      <c r="D1011" s="141"/>
      <c r="E1011" s="141"/>
      <c r="F1011" s="141"/>
      <c r="G1011" s="141"/>
      <c r="H1011" s="141"/>
      <c r="I1011" s="141"/>
      <c r="J1011" s="141"/>
      <c r="K1011" s="141"/>
      <c r="L1011" s="141"/>
      <c r="M1011" s="141"/>
      <c r="N1011" s="141"/>
      <c r="O1011" s="141"/>
      <c r="P1011" s="141"/>
      <c r="Q1011" s="141"/>
      <c r="R1011" s="141"/>
      <c r="S1011" s="141"/>
      <c r="T1011" s="141"/>
      <c r="U1011" s="141"/>
      <c r="V1011" s="141"/>
      <c r="W1011" s="141"/>
      <c r="X1011" s="141"/>
      <c r="Y1011" s="141"/>
    </row>
    <row r="1012">
      <c r="A1012" s="141"/>
      <c r="B1012" s="141"/>
      <c r="C1012" s="141"/>
      <c r="D1012" s="141"/>
      <c r="E1012" s="141"/>
      <c r="F1012" s="141"/>
      <c r="G1012" s="141"/>
      <c r="H1012" s="141"/>
      <c r="I1012" s="141"/>
      <c r="J1012" s="141"/>
      <c r="K1012" s="141"/>
      <c r="L1012" s="141"/>
      <c r="M1012" s="141"/>
      <c r="N1012" s="141"/>
      <c r="O1012" s="141"/>
      <c r="P1012" s="141"/>
      <c r="Q1012" s="141"/>
      <c r="R1012" s="141"/>
      <c r="S1012" s="141"/>
      <c r="T1012" s="141"/>
      <c r="U1012" s="141"/>
      <c r="V1012" s="141"/>
      <c r="W1012" s="141"/>
      <c r="X1012" s="141"/>
      <c r="Y1012" s="141"/>
    </row>
    <row r="1013">
      <c r="A1013" s="141"/>
      <c r="B1013" s="141"/>
      <c r="C1013" s="141"/>
      <c r="D1013" s="141"/>
      <c r="E1013" s="141"/>
      <c r="F1013" s="141"/>
      <c r="G1013" s="141"/>
      <c r="H1013" s="141"/>
      <c r="I1013" s="141"/>
      <c r="J1013" s="141"/>
      <c r="K1013" s="141"/>
      <c r="L1013" s="141"/>
      <c r="M1013" s="141"/>
      <c r="N1013" s="141"/>
      <c r="O1013" s="141"/>
      <c r="P1013" s="141"/>
      <c r="Q1013" s="141"/>
      <c r="R1013" s="141"/>
      <c r="S1013" s="141"/>
      <c r="T1013" s="141"/>
      <c r="U1013" s="141"/>
      <c r="V1013" s="141"/>
      <c r="W1013" s="141"/>
      <c r="X1013" s="141"/>
      <c r="Y1013" s="141"/>
    </row>
    <row r="1014">
      <c r="A1014" s="141"/>
      <c r="B1014" s="141"/>
      <c r="C1014" s="141"/>
      <c r="D1014" s="141"/>
      <c r="E1014" s="141"/>
      <c r="F1014" s="141"/>
      <c r="G1014" s="141"/>
      <c r="H1014" s="141"/>
      <c r="I1014" s="141"/>
      <c r="J1014" s="141"/>
      <c r="K1014" s="141"/>
      <c r="L1014" s="141"/>
      <c r="M1014" s="141"/>
      <c r="N1014" s="141"/>
      <c r="O1014" s="141"/>
      <c r="P1014" s="141"/>
      <c r="Q1014" s="141"/>
      <c r="R1014" s="141"/>
      <c r="S1014" s="141"/>
      <c r="T1014" s="141"/>
      <c r="U1014" s="141"/>
      <c r="V1014" s="141"/>
      <c r="W1014" s="141"/>
      <c r="X1014" s="141"/>
      <c r="Y1014" s="141"/>
    </row>
    <row r="1015">
      <c r="A1015" s="141"/>
      <c r="B1015" s="141"/>
      <c r="C1015" s="141"/>
      <c r="D1015" s="141"/>
      <c r="E1015" s="141"/>
      <c r="F1015" s="141"/>
      <c r="G1015" s="141"/>
      <c r="H1015" s="141"/>
      <c r="I1015" s="141"/>
      <c r="J1015" s="141"/>
      <c r="K1015" s="141"/>
      <c r="L1015" s="141"/>
      <c r="M1015" s="141"/>
      <c r="N1015" s="141"/>
      <c r="O1015" s="141"/>
      <c r="P1015" s="141"/>
      <c r="Q1015" s="141"/>
      <c r="R1015" s="141"/>
      <c r="S1015" s="141"/>
      <c r="T1015" s="141"/>
      <c r="U1015" s="141"/>
      <c r="V1015" s="141"/>
      <c r="W1015" s="141"/>
      <c r="X1015" s="141"/>
      <c r="Y1015" s="14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7" t="s">
        <v>24</v>
      </c>
      <c r="C1" s="8" t="s">
        <v>25</v>
      </c>
      <c r="D1" s="318" t="s">
        <v>26</v>
      </c>
      <c r="E1" s="78" t="s">
        <v>27</v>
      </c>
      <c r="F1" s="94" t="s">
        <v>28</v>
      </c>
      <c r="G1" s="8" t="s">
        <v>29</v>
      </c>
    </row>
    <row r="2" ht="15.75" customHeight="1">
      <c r="A2" s="29" t="s">
        <v>6131</v>
      </c>
      <c r="C2" s="32"/>
      <c r="D2" s="55"/>
      <c r="E2" s="55"/>
      <c r="F2" s="114"/>
      <c r="G2" s="32"/>
    </row>
    <row r="3" ht="15.75" customHeight="1">
      <c r="A3" s="41" t="s">
        <v>6132</v>
      </c>
      <c r="B3" s="42" t="s">
        <v>6133</v>
      </c>
      <c r="C3" s="72" t="s">
        <v>6134</v>
      </c>
      <c r="D3" s="44" t="s">
        <v>6135</v>
      </c>
      <c r="E3" s="44" t="s">
        <v>6136</v>
      </c>
      <c r="F3" s="45">
        <v>0.21</v>
      </c>
      <c r="G3" s="176" t="str">
        <f>IFERROR(VLOOKUP("M1",STOCK!$B$1:$Q$5647,3,FALSE),"SIN STOCK")</f>
        <v>SIN STOCK</v>
      </c>
    </row>
    <row r="4" ht="15.75" customHeight="1">
      <c r="A4" s="47" t="s">
        <v>6132</v>
      </c>
      <c r="B4" s="48" t="s">
        <v>6137</v>
      </c>
      <c r="C4" s="73" t="s">
        <v>6138</v>
      </c>
      <c r="D4" s="37" t="s">
        <v>6139</v>
      </c>
      <c r="E4" s="37" t="s">
        <v>6140</v>
      </c>
      <c r="F4" s="152">
        <v>0.21</v>
      </c>
      <c r="G4" s="50" t="str">
        <f>IFERROR(VLOOKUP("M1S",STOCK!$B$1:$Q$5647,3,FALSE),"SIN STOCK")</f>
        <v>SIN STOCK</v>
      </c>
    </row>
    <row r="5" ht="15.75" customHeight="1">
      <c r="A5" s="41" t="s">
        <v>6132</v>
      </c>
      <c r="B5" s="42" t="s">
        <v>6141</v>
      </c>
      <c r="C5" s="72" t="s">
        <v>6142</v>
      </c>
      <c r="D5" s="44" t="s">
        <v>6143</v>
      </c>
      <c r="E5" s="44" t="s">
        <v>6144</v>
      </c>
      <c r="F5" s="45">
        <v>0.21</v>
      </c>
      <c r="G5" s="50" t="str">
        <f>IFERROR(VLOOKUP("M2",STOCK!$B$1:$Q$5647,3,FALSE),"SIN STOCK")</f>
        <v>SIN STOCK</v>
      </c>
    </row>
    <row r="6" ht="15.75" customHeight="1">
      <c r="A6" s="47" t="s">
        <v>6132</v>
      </c>
      <c r="B6" s="48" t="s">
        <v>6145</v>
      </c>
      <c r="C6" s="73" t="s">
        <v>6146</v>
      </c>
      <c r="D6" s="37" t="s">
        <v>6143</v>
      </c>
      <c r="E6" s="37" t="s">
        <v>6144</v>
      </c>
      <c r="F6" s="152">
        <v>0.21</v>
      </c>
      <c r="G6" s="39" t="str">
        <f>IFERROR(VLOOKUP("M3",STOCK!$B$1:$Q$5647,3,FALSE),"SIN STOCK")</f>
        <v>Mayor a 5</v>
      </c>
    </row>
    <row r="7" ht="15.75" customHeight="1">
      <c r="A7" s="29" t="s">
        <v>6147</v>
      </c>
      <c r="C7" s="301"/>
      <c r="D7" s="55"/>
      <c r="E7" s="55"/>
      <c r="F7" s="32"/>
      <c r="G7" s="32"/>
    </row>
    <row r="8" ht="15.75" customHeight="1">
      <c r="A8" s="41" t="s">
        <v>6132</v>
      </c>
      <c r="B8" s="42" t="s">
        <v>6148</v>
      </c>
      <c r="C8" s="72" t="s">
        <v>6149</v>
      </c>
      <c r="D8" s="44" t="s">
        <v>6150</v>
      </c>
      <c r="E8" s="44" t="s">
        <v>6151</v>
      </c>
      <c r="F8" s="45">
        <v>0.105</v>
      </c>
      <c r="G8" s="50" t="str">
        <f>IFERROR(VLOOKUP("AI-1",STOCK!$B$1:$Q$5647,3,FALSE),"SIN STOCK")</f>
        <v>SIN STOCK</v>
      </c>
    </row>
    <row r="9" ht="15.75" customHeight="1">
      <c r="A9" s="47" t="s">
        <v>6132</v>
      </c>
      <c r="B9" s="48" t="s">
        <v>6152</v>
      </c>
      <c r="C9" s="73" t="s">
        <v>6153</v>
      </c>
      <c r="D9" s="37" t="s">
        <v>6154</v>
      </c>
      <c r="E9" s="37" t="s">
        <v>6155</v>
      </c>
      <c r="F9" s="152">
        <v>0.21</v>
      </c>
      <c r="G9" s="50" t="str">
        <f>IFERROR(VLOOKUP("K2",STOCK!$B$1:$Q$5647,3,FALSE),"SIN STOCK")</f>
        <v>SIN STOCK</v>
      </c>
    </row>
    <row r="10" ht="15.75" customHeight="1">
      <c r="A10" s="41" t="s">
        <v>6132</v>
      </c>
      <c r="B10" s="42" t="s">
        <v>6156</v>
      </c>
      <c r="C10" s="72" t="s">
        <v>6157</v>
      </c>
      <c r="D10" s="44" t="s">
        <v>6158</v>
      </c>
      <c r="E10" s="44" t="s">
        <v>6159</v>
      </c>
      <c r="F10" s="45">
        <v>0.21</v>
      </c>
      <c r="G10" s="53" t="str">
        <f>IFERROR(VLOOKUP("M5MP",STOCK!$B$1:$Q$5647,3,FALSE),"SIN STOCK")</f>
        <v>Mayor a 5</v>
      </c>
    </row>
    <row r="11" ht="15.75" customHeight="1">
      <c r="A11" s="47" t="s">
        <v>6132</v>
      </c>
      <c r="B11" s="48" t="s">
        <v>6160</v>
      </c>
      <c r="C11" s="73" t="s">
        <v>6161</v>
      </c>
      <c r="D11" s="37" t="s">
        <v>6162</v>
      </c>
      <c r="E11" s="37" t="s">
        <v>6163</v>
      </c>
      <c r="F11" s="152">
        <v>0.21</v>
      </c>
      <c r="G11" s="39" t="str">
        <f>IFERROR(VLOOKUP("NT1000",STOCK!$B$1:$Q$5647,3,FALSE),"SIN STOCK")</f>
        <v>Mayor a 5</v>
      </c>
    </row>
    <row r="12" ht="15.75" customHeight="1">
      <c r="A12" s="41" t="s">
        <v>6132</v>
      </c>
      <c r="B12" s="42" t="s">
        <v>6164</v>
      </c>
      <c r="C12" s="72" t="s">
        <v>6165</v>
      </c>
      <c r="D12" s="44" t="s">
        <v>6166</v>
      </c>
      <c r="E12" s="44" t="s">
        <v>6167</v>
      </c>
      <c r="F12" s="45">
        <v>0.21</v>
      </c>
      <c r="G12" s="50" t="str">
        <f>IFERROR(VLOOKUP("NT1A",STOCK!$B$1:$Q$5647,3,FALSE),"SIN STOCK")</f>
        <v>SIN STOCK</v>
      </c>
    </row>
    <row r="13" ht="15.75" customHeight="1">
      <c r="A13" s="47" t="s">
        <v>6132</v>
      </c>
      <c r="B13" s="64" t="s">
        <v>6168</v>
      </c>
      <c r="C13" s="73" t="s">
        <v>6165</v>
      </c>
      <c r="D13" s="37" t="s">
        <v>6169</v>
      </c>
      <c r="E13" s="37" t="s">
        <v>6170</v>
      </c>
      <c r="F13" s="152">
        <v>0.21</v>
      </c>
      <c r="G13" s="50" t="str">
        <f>IFERROR(VLOOKUP("NT1-KIT",STOCK!$B$1:$Q$5647,3,FALSE),"SIN STOCK")</f>
        <v>SIN STOCK</v>
      </c>
    </row>
    <row r="14" ht="15.75" customHeight="1">
      <c r="A14" s="41" t="s">
        <v>6132</v>
      </c>
      <c r="B14" s="42" t="s">
        <v>6171</v>
      </c>
      <c r="C14" s="319"/>
      <c r="D14" s="44" t="s">
        <v>6172</v>
      </c>
      <c r="E14" s="44" t="s">
        <v>6173</v>
      </c>
      <c r="F14" s="45">
        <v>0.21</v>
      </c>
      <c r="G14" s="50" t="str">
        <f>IFERROR(VLOOKUP("NT1-KIT",STOCK!$B$1:$Q$5647,3,FALSE),"SIN STOCK")</f>
        <v>SIN STOCK</v>
      </c>
    </row>
    <row r="15" ht="15.75" customHeight="1">
      <c r="A15" s="47" t="s">
        <v>6132</v>
      </c>
      <c r="B15" s="48" t="s">
        <v>6174</v>
      </c>
      <c r="C15" s="73" t="s">
        <v>6175</v>
      </c>
      <c r="D15" s="37" t="s">
        <v>6169</v>
      </c>
      <c r="E15" s="37" t="s">
        <v>6170</v>
      </c>
      <c r="F15" s="152">
        <v>0.21</v>
      </c>
      <c r="G15" s="39" t="str">
        <f>IFERROR(VLOOKUP("NT1/AI1KIT",STOCK!$B$1:$Q$5647,3,FALSE),"SIN STOCK")</f>
        <v>Mayor a 5</v>
      </c>
    </row>
    <row r="16" ht="15.75" customHeight="1">
      <c r="A16" s="41" t="s">
        <v>6132</v>
      </c>
      <c r="B16" s="42" t="s">
        <v>6176</v>
      </c>
      <c r="C16" s="72" t="s">
        <v>6175</v>
      </c>
      <c r="D16" s="44" t="s">
        <v>6169</v>
      </c>
      <c r="E16" s="44" t="s">
        <v>6170</v>
      </c>
      <c r="F16" s="45">
        <v>0.21</v>
      </c>
      <c r="G16" s="50" t="str">
        <f>IFERROR(VLOOKUP("NT1GEN5B",STOCK!$B$1:$Q$5647,3,FALSE),"SIN STOCK")</f>
        <v>SIN STOCK</v>
      </c>
    </row>
    <row r="17" ht="15.75" customHeight="1">
      <c r="A17" s="47" t="s">
        <v>6132</v>
      </c>
      <c r="B17" s="48" t="s">
        <v>6177</v>
      </c>
      <c r="C17" s="73" t="s">
        <v>6165</v>
      </c>
      <c r="D17" s="37" t="s">
        <v>6178</v>
      </c>
      <c r="E17" s="37" t="s">
        <v>6179</v>
      </c>
      <c r="F17" s="152">
        <v>0.21</v>
      </c>
      <c r="G17" s="175" t="str">
        <f>IFERROR(VLOOKUP("NT1SIGNATUREBLACK",STOCK!$B$1:$Q$5647,3,FALSE),"SIN STOCK")</f>
        <v>SIN STOCK</v>
      </c>
    </row>
    <row r="18" ht="15.75" customHeight="1">
      <c r="A18" s="41" t="s">
        <v>6132</v>
      </c>
      <c r="B18" s="42" t="s">
        <v>6180</v>
      </c>
      <c r="C18" s="43" t="s">
        <v>6165</v>
      </c>
      <c r="D18" s="44" t="s">
        <v>6178</v>
      </c>
      <c r="E18" s="44" t="s">
        <v>6179</v>
      </c>
      <c r="F18" s="45">
        <v>0.21</v>
      </c>
      <c r="G18" s="50" t="str">
        <f>IFERROR(VLOOKUP("NT1SIGNATURERED",STOCK!$B$1:$Q$5647,3,FALSE),"SIN STOCK")</f>
        <v>SIN STOCK</v>
      </c>
    </row>
    <row r="19" ht="15.75" customHeight="1">
      <c r="A19" s="47" t="s">
        <v>6132</v>
      </c>
      <c r="B19" s="48" t="s">
        <v>6181</v>
      </c>
      <c r="C19" s="73" t="s">
        <v>6165</v>
      </c>
      <c r="D19" s="37" t="s">
        <v>6178</v>
      </c>
      <c r="E19" s="37" t="s">
        <v>6179</v>
      </c>
      <c r="F19" s="152">
        <v>0.21</v>
      </c>
      <c r="G19" s="50" t="str">
        <f>IFERROR(VLOOKUP("NT1SIGNATUREPINK",STOCK!$B$1:$Q$5647,3,FALSE),"SIN STOCK")</f>
        <v>SIN STOCK</v>
      </c>
    </row>
    <row r="20" ht="15.75" customHeight="1">
      <c r="A20" s="41" t="s">
        <v>6132</v>
      </c>
      <c r="B20" s="42" t="s">
        <v>6182</v>
      </c>
      <c r="C20" s="72" t="s">
        <v>6165</v>
      </c>
      <c r="D20" s="44" t="s">
        <v>6178</v>
      </c>
      <c r="E20" s="44" t="s">
        <v>6179</v>
      </c>
      <c r="F20" s="45">
        <v>0.21</v>
      </c>
      <c r="G20" s="50" t="str">
        <f>IFERROR(VLOOKUP("NT1SIGNATUREPURPLE",STOCK!$B$1:$Q$5647,3,FALSE),"SIN STOCK")</f>
        <v>SIN STOCK</v>
      </c>
    </row>
    <row r="21" ht="15.75" customHeight="1">
      <c r="A21" s="47" t="s">
        <v>6132</v>
      </c>
      <c r="B21" s="48" t="s">
        <v>6183</v>
      </c>
      <c r="C21" s="73" t="s">
        <v>6165</v>
      </c>
      <c r="D21" s="37" t="s">
        <v>6178</v>
      </c>
      <c r="E21" s="37" t="s">
        <v>6179</v>
      </c>
      <c r="F21" s="152">
        <v>0.21</v>
      </c>
      <c r="G21" s="175" t="str">
        <f>IFERROR(VLOOKUP("NT1SIGNATUREBLUE",STOCK!$B$1:$Q$5647,3,FALSE),"SIN STOCK")</f>
        <v>SIN STOCK</v>
      </c>
    </row>
    <row r="22" ht="15.75" customHeight="1">
      <c r="A22" s="41" t="s">
        <v>6132</v>
      </c>
      <c r="B22" s="42" t="s">
        <v>6184</v>
      </c>
      <c r="C22" s="72" t="s">
        <v>6165</v>
      </c>
      <c r="D22" s="44" t="s">
        <v>6178</v>
      </c>
      <c r="E22" s="44" t="s">
        <v>6179</v>
      </c>
      <c r="F22" s="45">
        <v>0.21</v>
      </c>
      <c r="G22" s="50" t="str">
        <f>IFERROR(VLOOKUP("NT1SIGNATUREGREEN",STOCK!$B$1:$Q$5647,3,FALSE),"SIN STOCK")</f>
        <v>SIN STOCK</v>
      </c>
    </row>
    <row r="23" ht="15.75" customHeight="1">
      <c r="A23" s="47" t="s">
        <v>6132</v>
      </c>
      <c r="B23" s="48" t="s">
        <v>6185</v>
      </c>
      <c r="C23" s="49" t="s">
        <v>6186</v>
      </c>
      <c r="D23" s="37" t="s">
        <v>6187</v>
      </c>
      <c r="E23" s="37" t="s">
        <v>6188</v>
      </c>
      <c r="F23" s="152">
        <v>0.21</v>
      </c>
      <c r="G23" s="39" t="str">
        <f>IFERROR(VLOOKUP("NT2000",STOCK!$B$1:$Q$5647,3,FALSE),"SIN STOCK")</f>
        <v>Mayor a 5</v>
      </c>
    </row>
    <row r="24" ht="15.75" customHeight="1">
      <c r="A24" s="41" t="s">
        <v>6132</v>
      </c>
      <c r="B24" s="42" t="s">
        <v>6189</v>
      </c>
      <c r="C24" s="72" t="s">
        <v>6190</v>
      </c>
      <c r="D24" s="44" t="s">
        <v>6191</v>
      </c>
      <c r="E24" s="44" t="s">
        <v>6192</v>
      </c>
      <c r="F24" s="45">
        <v>0.21</v>
      </c>
      <c r="G24" s="39" t="str">
        <f>IFERROR(VLOOKUP("NT2A",STOCK!$B$1:$Q$5647,3,FALSE),"SIN STOCK")</f>
        <v>Mayor a 5</v>
      </c>
    </row>
    <row r="25" ht="15.75" customHeight="1">
      <c r="A25" s="47" t="s">
        <v>6132</v>
      </c>
      <c r="B25" s="48" t="s">
        <v>6193</v>
      </c>
      <c r="C25" s="73" t="s">
        <v>6194</v>
      </c>
      <c r="D25" s="37" t="s">
        <v>6195</v>
      </c>
      <c r="E25" s="37" t="s">
        <v>6196</v>
      </c>
      <c r="F25" s="152">
        <v>0.21</v>
      </c>
      <c r="G25" s="39" t="str">
        <f>IFERROR(VLOOKUP("NT3",STOCK!$B$1:$Q$5647,3,FALSE),"SIN STOCK")</f>
        <v>Mayor a 5</v>
      </c>
    </row>
    <row r="26" ht="15.75" customHeight="1">
      <c r="A26" s="41" t="s">
        <v>6132</v>
      </c>
      <c r="B26" s="101" t="s">
        <v>6197</v>
      </c>
      <c r="C26" s="72" t="s">
        <v>6198</v>
      </c>
      <c r="D26" s="44" t="s">
        <v>6187</v>
      </c>
      <c r="E26" s="44" t="s">
        <v>6188</v>
      </c>
      <c r="F26" s="45">
        <v>0.21</v>
      </c>
      <c r="G26" s="53" t="str">
        <f>IFERROR(VLOOKUP("NT4",STOCK!$B$1:$Q$5647,3,FALSE),"SIN STOCK")</f>
        <v>Menor a 5</v>
      </c>
    </row>
    <row r="27" ht="15.75" customHeight="1">
      <c r="A27" s="47" t="s">
        <v>6132</v>
      </c>
      <c r="B27" s="48" t="s">
        <v>6199</v>
      </c>
      <c r="C27" s="73" t="s">
        <v>6200</v>
      </c>
      <c r="D27" s="37" t="s">
        <v>6201</v>
      </c>
      <c r="E27" s="37" t="s">
        <v>6202</v>
      </c>
      <c r="F27" s="152">
        <v>0.21</v>
      </c>
      <c r="G27" s="50" t="str">
        <f>IFERROR(VLOOKUP("NT5",STOCK!$B$1:$Q$5647,3,FALSE),"SIN STOCK")</f>
        <v>SIN STOCK</v>
      </c>
    </row>
    <row r="28" ht="15.75" customHeight="1">
      <c r="A28" s="41" t="s">
        <v>6132</v>
      </c>
      <c r="B28" s="42" t="s">
        <v>6203</v>
      </c>
      <c r="C28" s="72" t="s">
        <v>6204</v>
      </c>
      <c r="D28" s="44" t="s">
        <v>6162</v>
      </c>
      <c r="E28" s="44" t="s">
        <v>6163</v>
      </c>
      <c r="F28" s="45">
        <v>0.21</v>
      </c>
      <c r="G28" s="50" t="str">
        <f>IFERROR(VLOOKUP("NT55",STOCK!$B$1:$Q$5647,3,FALSE),"SIN STOCK")</f>
        <v>SIN STOCK</v>
      </c>
    </row>
    <row r="29" ht="15.75" customHeight="1">
      <c r="A29" s="47" t="s">
        <v>6132</v>
      </c>
      <c r="B29" s="48" t="s">
        <v>6205</v>
      </c>
      <c r="C29" s="73" t="s">
        <v>6206</v>
      </c>
      <c r="D29" s="37" t="s">
        <v>6207</v>
      </c>
      <c r="E29" s="37" t="s">
        <v>6208</v>
      </c>
      <c r="F29" s="152">
        <v>0.21</v>
      </c>
      <c r="G29" s="50" t="str">
        <f>IFERROR(VLOOKUP("NT55MP",STOCK!$B$1:$Q$5647,3,FALSE),"SIN STOCK")</f>
        <v>SIN STOCK</v>
      </c>
    </row>
    <row r="30" ht="15.75" customHeight="1">
      <c r="A30" s="41" t="s">
        <v>6132</v>
      </c>
      <c r="B30" s="42" t="s">
        <v>6209</v>
      </c>
      <c r="C30" s="72" t="s">
        <v>6210</v>
      </c>
      <c r="D30" s="44" t="s">
        <v>6211</v>
      </c>
      <c r="E30" s="44" t="s">
        <v>6212</v>
      </c>
      <c r="F30" s="45">
        <v>0.21</v>
      </c>
      <c r="G30" s="39" t="str">
        <f>IFERROR(VLOOKUP("NT5-MP",STOCK!$B$1:$Q$5647,3,FALSE),"SIN STOCK")</f>
        <v>Mayor a 5</v>
      </c>
    </row>
    <row r="31" ht="15.75" customHeight="1">
      <c r="A31" s="47" t="s">
        <v>6132</v>
      </c>
      <c r="B31" s="48" t="s">
        <v>6213</v>
      </c>
      <c r="C31" s="73" t="s">
        <v>6214</v>
      </c>
      <c r="D31" s="37" t="s">
        <v>6215</v>
      </c>
      <c r="E31" s="37" t="s">
        <v>6216</v>
      </c>
      <c r="F31" s="152">
        <v>0.21</v>
      </c>
      <c r="G31" s="39" t="str">
        <f>IFERROR(VLOOKUP("NT6",STOCK!$B$1:$Q$5647,3,FALSE),"SIN STOCK")</f>
        <v>Mayor a 5</v>
      </c>
    </row>
    <row r="32" ht="15.75" customHeight="1">
      <c r="A32" s="41" t="s">
        <v>6132</v>
      </c>
      <c r="B32" s="42" t="s">
        <v>6217</v>
      </c>
      <c r="C32" s="72" t="s">
        <v>6218</v>
      </c>
      <c r="D32" s="44" t="s">
        <v>6219</v>
      </c>
      <c r="E32" s="44" t="s">
        <v>6220</v>
      </c>
      <c r="F32" s="45">
        <v>0.21</v>
      </c>
      <c r="G32" s="50" t="str">
        <f>IFERROR(VLOOKUP("NTK",STOCK!$B$1:$Q$5647,3,FALSE),"SIN STOCK")</f>
        <v>SIN STOCK</v>
      </c>
    </row>
    <row r="33" ht="15.75" customHeight="1">
      <c r="A33" s="47" t="s">
        <v>6132</v>
      </c>
      <c r="B33" s="48" t="s">
        <v>6221</v>
      </c>
      <c r="C33" s="73" t="s">
        <v>6222</v>
      </c>
      <c r="D33" s="37" t="s">
        <v>6223</v>
      </c>
      <c r="E33" s="37" t="s">
        <v>6224</v>
      </c>
      <c r="F33" s="152">
        <v>0.21</v>
      </c>
      <c r="G33" s="176" t="str">
        <f>IFERROR(VLOOKUP("NTR",STOCK!$B$1:$Q$5647,3,FALSE),"SIN STOCK")</f>
        <v>SIN STOCK</v>
      </c>
    </row>
    <row r="34" ht="15.75" customHeight="1">
      <c r="A34" s="41" t="s">
        <v>6132</v>
      </c>
      <c r="B34" s="42" t="s">
        <v>6225</v>
      </c>
      <c r="C34" s="72" t="s">
        <v>6226</v>
      </c>
      <c r="D34" s="44" t="s">
        <v>6227</v>
      </c>
      <c r="E34" s="44" t="s">
        <v>6228</v>
      </c>
      <c r="F34" s="45">
        <v>0.21</v>
      </c>
      <c r="G34" s="262" t="str">
        <f>IFERROR(VLOOKUP("NTUSB",STOCK!$B$1:$Q$5647,3,FALSE),"SIN STOCK")</f>
        <v>Mayor a 5</v>
      </c>
    </row>
    <row r="35" ht="15.75" customHeight="1">
      <c r="A35" s="47" t="s">
        <v>6132</v>
      </c>
      <c r="B35" s="48" t="s">
        <v>6229</v>
      </c>
      <c r="C35" s="73" t="s">
        <v>6230</v>
      </c>
      <c r="D35" s="37" t="s">
        <v>6231</v>
      </c>
      <c r="E35" s="37" t="s">
        <v>6232</v>
      </c>
      <c r="F35" s="152">
        <v>0.21</v>
      </c>
      <c r="G35" s="50" t="str">
        <f>IFERROR(VLOOKUP("NTUSB+",STOCK!$B$1:$Q$5647,3,FALSE),"SIN STOCK")</f>
        <v>SIN STOCK</v>
      </c>
    </row>
    <row r="36" ht="15.75" customHeight="1">
      <c r="A36" s="41" t="s">
        <v>6132</v>
      </c>
      <c r="B36" s="42" t="s">
        <v>6233</v>
      </c>
      <c r="C36" s="72" t="s">
        <v>6234</v>
      </c>
      <c r="D36" s="44" t="s">
        <v>6235</v>
      </c>
      <c r="E36" s="44" t="s">
        <v>6236</v>
      </c>
      <c r="F36" s="45">
        <v>0.21</v>
      </c>
      <c r="G36" s="50" t="str">
        <f>IFERROR(VLOOKUP("NTUSB MINI",STOCK!$B$1:$Q$5647,3,FALSE),"SIN STOCK")</f>
        <v>SIN STOCK</v>
      </c>
    </row>
    <row r="37" ht="15.75" customHeight="1">
      <c r="A37" s="47" t="s">
        <v>6132</v>
      </c>
      <c r="B37" s="48" t="s">
        <v>6237</v>
      </c>
      <c r="C37" s="73" t="s">
        <v>6238</v>
      </c>
      <c r="D37" s="37" t="s">
        <v>6239</v>
      </c>
      <c r="E37" s="37" t="s">
        <v>6240</v>
      </c>
      <c r="F37" s="152">
        <v>0.21</v>
      </c>
      <c r="G37" s="50" t="str">
        <f>IFERROR(VLOOKUP("TF5MP",STOCK!$B$1:$Q$5647,3,FALSE),"SIN STOCK")</f>
        <v>SIN STOCK</v>
      </c>
    </row>
    <row r="38" ht="15.75" customHeight="1">
      <c r="A38" s="29" t="s">
        <v>6241</v>
      </c>
      <c r="C38" s="301"/>
      <c r="D38" s="55"/>
      <c r="E38" s="55"/>
      <c r="F38" s="55"/>
      <c r="G38" s="55"/>
    </row>
    <row r="39" ht="15.75" customHeight="1">
      <c r="A39" s="41" t="s">
        <v>6132</v>
      </c>
      <c r="B39" s="42" t="s">
        <v>6242</v>
      </c>
      <c r="C39" s="72" t="s">
        <v>6243</v>
      </c>
      <c r="D39" s="44" t="s">
        <v>6244</v>
      </c>
      <c r="E39" s="44" t="s">
        <v>6245</v>
      </c>
      <c r="F39" s="45">
        <v>0.21</v>
      </c>
      <c r="G39" s="39" t="str">
        <f>IFERROR(VLOOKUP("NTG1",STOCK!$B$1:$Q$5647,3,FALSE),"SIN STOCK")</f>
        <v>Mayor a 5</v>
      </c>
    </row>
    <row r="40" ht="15.75" customHeight="1">
      <c r="A40" s="47" t="s">
        <v>6132</v>
      </c>
      <c r="B40" s="48" t="s">
        <v>6246</v>
      </c>
      <c r="C40" s="73" t="s">
        <v>6247</v>
      </c>
      <c r="D40" s="37" t="s">
        <v>6248</v>
      </c>
      <c r="E40" s="37" t="s">
        <v>6249</v>
      </c>
      <c r="F40" s="152">
        <v>0.21</v>
      </c>
      <c r="G40" s="39" t="str">
        <f>IFERROR(VLOOKUP("NTG2",STOCK!$B$1:$Q$5647,3,FALSE),"SIN STOCK")</f>
        <v>Mayor a 5</v>
      </c>
    </row>
    <row r="41" ht="15.75" customHeight="1">
      <c r="A41" s="41" t="s">
        <v>6132</v>
      </c>
      <c r="B41" s="42" t="s">
        <v>6250</v>
      </c>
      <c r="C41" s="72" t="s">
        <v>6251</v>
      </c>
      <c r="D41" s="44" t="s">
        <v>6252</v>
      </c>
      <c r="E41" s="44" t="s">
        <v>6253</v>
      </c>
      <c r="F41" s="45">
        <v>0.21</v>
      </c>
      <c r="G41" s="53" t="str">
        <f>IFERROR(VLOOKUP("NTG3",STOCK!$B$1:$Q$5647,3,FALSE),"SIN STOCK")</f>
        <v>Mayor a 5</v>
      </c>
    </row>
    <row r="42" ht="15.75" customHeight="1">
      <c r="A42" s="47" t="s">
        <v>6132</v>
      </c>
      <c r="B42" s="48" t="s">
        <v>6254</v>
      </c>
      <c r="C42" s="73" t="s">
        <v>6255</v>
      </c>
      <c r="D42" s="37" t="s">
        <v>6252</v>
      </c>
      <c r="E42" s="37" t="s">
        <v>6253</v>
      </c>
      <c r="F42" s="152">
        <v>0.21</v>
      </c>
      <c r="G42" s="50" t="str">
        <f>IFERROR(VLOOKUP("NTG3B",STOCK!$B$1:$Q$5647,3,FALSE),"SIN STOCK")</f>
        <v>SIN STOCK</v>
      </c>
    </row>
    <row r="43" ht="15.75" customHeight="1">
      <c r="A43" s="41" t="s">
        <v>6132</v>
      </c>
      <c r="B43" s="42" t="s">
        <v>6256</v>
      </c>
      <c r="C43" s="72" t="s">
        <v>6257</v>
      </c>
      <c r="D43" s="44" t="s">
        <v>6258</v>
      </c>
      <c r="E43" s="44" t="s">
        <v>6259</v>
      </c>
      <c r="F43" s="45">
        <v>0.21</v>
      </c>
      <c r="G43" s="50" t="str">
        <f>IFERROR(VLOOKUP("NTG4",STOCK!$B$1:$Q$5647,3,FALSE),"SIN STOCK")</f>
        <v>SIN STOCK</v>
      </c>
    </row>
    <row r="44" ht="15.75" customHeight="1">
      <c r="A44" s="47" t="s">
        <v>6132</v>
      </c>
      <c r="B44" s="48" t="s">
        <v>6260</v>
      </c>
      <c r="C44" s="73" t="s">
        <v>6261</v>
      </c>
      <c r="D44" s="37" t="s">
        <v>6262</v>
      </c>
      <c r="E44" s="37" t="s">
        <v>6263</v>
      </c>
      <c r="F44" s="152">
        <v>0.21</v>
      </c>
      <c r="G44" s="50" t="str">
        <f>IFERROR(VLOOKUP("NTG4PLUS",STOCK!$B$1:$Q$5647,3,FALSE),"SIN STOCK")</f>
        <v>SIN STOCK</v>
      </c>
    </row>
    <row r="45" ht="15.75" customHeight="1">
      <c r="A45" s="41" t="s">
        <v>6132</v>
      </c>
      <c r="B45" s="42" t="s">
        <v>6264</v>
      </c>
      <c r="C45" s="72" t="s">
        <v>6265</v>
      </c>
      <c r="D45" s="44" t="s">
        <v>6266</v>
      </c>
      <c r="E45" s="44" t="s">
        <v>6267</v>
      </c>
      <c r="F45" s="45">
        <v>0.21</v>
      </c>
      <c r="G45" s="50" t="str">
        <f>IFERROR(VLOOKUP("NTG5KIT",STOCK!$B$1:$Q$5647,3,FALSE),"SIN STOCK")</f>
        <v>SIN STOCK</v>
      </c>
    </row>
    <row r="46" ht="15.75" customHeight="1">
      <c r="A46" s="47" t="s">
        <v>6132</v>
      </c>
      <c r="B46" s="48" t="s">
        <v>6268</v>
      </c>
      <c r="C46" s="73" t="s">
        <v>6269</v>
      </c>
      <c r="D46" s="37" t="s">
        <v>6270</v>
      </c>
      <c r="E46" s="37" t="s">
        <v>6271</v>
      </c>
      <c r="F46" s="152">
        <v>0.21</v>
      </c>
      <c r="G46" s="39" t="str">
        <f>IFERROR(VLOOKUP("NTG8",STOCK!$B$1:$Q$5647,3,FALSE),"SIN STOCK")</f>
        <v>Mayor a 5</v>
      </c>
    </row>
    <row r="47">
      <c r="A47" s="29" t="s">
        <v>6272</v>
      </c>
      <c r="C47" s="301"/>
      <c r="D47" s="55"/>
      <c r="E47" s="55"/>
      <c r="F47" s="114"/>
      <c r="G47" s="32"/>
    </row>
    <row r="48">
      <c r="A48" s="41" t="s">
        <v>6132</v>
      </c>
      <c r="B48" s="42" t="s">
        <v>6273</v>
      </c>
      <c r="C48" s="72" t="s">
        <v>6274</v>
      </c>
      <c r="D48" s="44" t="s">
        <v>4514</v>
      </c>
      <c r="E48" s="44" t="s">
        <v>4515</v>
      </c>
      <c r="F48" s="45">
        <v>0.21</v>
      </c>
      <c r="G48" s="39" t="str">
        <f>IFERROR(VLOOKUP("BROADCASTER",STOCK!$B$1:$Q$5647,3,FALSE),"SIN STOCK")</f>
        <v>Mayor a 5</v>
      </c>
    </row>
    <row r="49">
      <c r="A49" s="47" t="s">
        <v>6132</v>
      </c>
      <c r="B49" s="48" t="s">
        <v>6275</v>
      </c>
      <c r="C49" s="73" t="s">
        <v>6276</v>
      </c>
      <c r="D49" s="37" t="s">
        <v>6277</v>
      </c>
      <c r="E49" s="37" t="s">
        <v>6278</v>
      </c>
      <c r="F49" s="152">
        <v>0.21</v>
      </c>
      <c r="G49" s="175" t="str">
        <f>IFERROR(VLOOKUP("PODCASTER-MKII",STOCK!$B$1:$Q$5647,3,FALSE),"SIN STOCK")</f>
        <v>SIN STOCK</v>
      </c>
    </row>
    <row r="50" ht="15.75" customHeight="1">
      <c r="A50" s="41" t="s">
        <v>6132</v>
      </c>
      <c r="B50" s="101" t="s">
        <v>6279</v>
      </c>
      <c r="C50" s="72" t="s">
        <v>6280</v>
      </c>
      <c r="D50" s="44" t="s">
        <v>6235</v>
      </c>
      <c r="E50" s="44" t="s">
        <v>6236</v>
      </c>
      <c r="F50" s="45">
        <v>0.21</v>
      </c>
      <c r="G50" s="50" t="str">
        <f>IFERROR(VLOOKUP("PODMIC",STOCK!$B$1:$Q$5647,3,FALSE),"SIN STOCK")</f>
        <v>Mayor a 5</v>
      </c>
    </row>
    <row r="51" ht="15.75" customHeight="1">
      <c r="A51" s="47" t="s">
        <v>6132</v>
      </c>
      <c r="B51" s="48" t="s">
        <v>6281</v>
      </c>
      <c r="C51" s="73" t="s">
        <v>6282</v>
      </c>
      <c r="D51" s="37" t="s">
        <v>6283</v>
      </c>
      <c r="E51" s="37" t="s">
        <v>6284</v>
      </c>
      <c r="F51" s="152">
        <v>0.21</v>
      </c>
      <c r="G51" s="50" t="str">
        <f>IFERROR(VLOOKUP("PODMICUSB",STOCK!$B$1:$Q$5647,3,FALSE),"SIN STOCK")</f>
        <v>Mayor a 5</v>
      </c>
    </row>
    <row r="52" ht="15.75" customHeight="1">
      <c r="A52" s="41" t="s">
        <v>6132</v>
      </c>
      <c r="B52" s="42" t="s">
        <v>6285</v>
      </c>
      <c r="C52" s="72" t="s">
        <v>6286</v>
      </c>
      <c r="D52" s="44" t="s">
        <v>6201</v>
      </c>
      <c r="E52" s="44" t="s">
        <v>6202</v>
      </c>
      <c r="F52" s="45">
        <v>0.21</v>
      </c>
      <c r="G52" s="53" t="str">
        <f>IFERROR(VLOOKUP("PODCASTER",STOCK!$B$1:$Q$5647,3,FALSE),"SIN STOCK")</f>
        <v>Menor a 5</v>
      </c>
    </row>
    <row r="53" ht="15.75" customHeight="1">
      <c r="A53" s="47" t="s">
        <v>6132</v>
      </c>
      <c r="B53" s="48" t="s">
        <v>6287</v>
      </c>
      <c r="C53" s="73" t="s">
        <v>6288</v>
      </c>
      <c r="D53" s="37" t="s">
        <v>6289</v>
      </c>
      <c r="E53" s="37" t="s">
        <v>6290</v>
      </c>
      <c r="F53" s="152">
        <v>0.21</v>
      </c>
      <c r="G53" s="175" t="str">
        <f>IFERROR(VLOOKUP("REPORTER",STOCK!$B$1:$Q$5647,3,FALSE),"SIN STOCK")</f>
        <v>SIN STOCK</v>
      </c>
    </row>
    <row r="54" ht="15.75" customHeight="1">
      <c r="A54" s="29" t="s">
        <v>6291</v>
      </c>
      <c r="C54" s="301"/>
      <c r="D54" s="55"/>
      <c r="E54" s="55"/>
      <c r="F54" s="177"/>
      <c r="G54" s="177"/>
    </row>
    <row r="55" ht="15.75" customHeight="1">
      <c r="A55" s="41" t="s">
        <v>6132</v>
      </c>
      <c r="B55" s="42" t="s">
        <v>6292</v>
      </c>
      <c r="C55" s="72" t="s">
        <v>6293</v>
      </c>
      <c r="D55" s="44" t="s">
        <v>6294</v>
      </c>
      <c r="E55" s="44" t="s">
        <v>6295</v>
      </c>
      <c r="F55" s="45">
        <v>0.21</v>
      </c>
      <c r="G55" s="175" t="str">
        <f>IFERROR(VLOOKUP("NTSF1",STOCK!$B$1:$Q$5647,3,FALSE),"SIN STOCK")</f>
        <v>SIN STOCK</v>
      </c>
    </row>
    <row r="56" ht="15.75" customHeight="1">
      <c r="A56" s="29" t="s">
        <v>6296</v>
      </c>
      <c r="C56" s="301"/>
      <c r="D56" s="55"/>
      <c r="E56" s="55"/>
      <c r="F56" s="177"/>
      <c r="G56" s="177"/>
    </row>
    <row r="57" ht="15.75" customHeight="1">
      <c r="A57" s="41" t="s">
        <v>6132</v>
      </c>
      <c r="B57" s="42" t="s">
        <v>6297</v>
      </c>
      <c r="C57" s="72" t="s">
        <v>6298</v>
      </c>
      <c r="D57" s="44" t="s">
        <v>6248</v>
      </c>
      <c r="E57" s="44" t="s">
        <v>6249</v>
      </c>
      <c r="F57" s="45">
        <v>0.21</v>
      </c>
      <c r="G57" s="175" t="str">
        <f>IFERROR(VLOOKUP("HS2BL",STOCK!$B$1:$Q$5647,3,FALSE),"SIN STOCK")</f>
        <v>SIN STOCK</v>
      </c>
    </row>
    <row r="58" ht="15.75" customHeight="1">
      <c r="A58" s="47" t="s">
        <v>6132</v>
      </c>
      <c r="B58" s="48" t="s">
        <v>6299</v>
      </c>
      <c r="C58" s="73" t="s">
        <v>6300</v>
      </c>
      <c r="D58" s="37" t="s">
        <v>6248</v>
      </c>
      <c r="E58" s="37" t="s">
        <v>6249</v>
      </c>
      <c r="F58" s="152">
        <v>0.21</v>
      </c>
      <c r="G58" s="175" t="str">
        <f>IFERROR(VLOOKUP("HS2PL",STOCK!$B$1:$Q$5647,3,FALSE),"SIN STOCK")</f>
        <v>SIN STOCK</v>
      </c>
    </row>
    <row r="59" ht="15.75" customHeight="1">
      <c r="A59" s="41" t="s">
        <v>6132</v>
      </c>
      <c r="B59" s="42" t="s">
        <v>6301</v>
      </c>
      <c r="C59" s="72" t="s">
        <v>6302</v>
      </c>
      <c r="D59" s="44" t="s">
        <v>6201</v>
      </c>
      <c r="E59" s="44" t="s">
        <v>6202</v>
      </c>
      <c r="F59" s="45">
        <v>0.21</v>
      </c>
      <c r="G59" s="262" t="str">
        <f>IFERROR(VLOOKUP("LAVALIER",STOCK!$B$1:$Q$5647,3,FALSE),"SIN STOCK")</f>
        <v>Mayor a 5</v>
      </c>
    </row>
    <row r="60" ht="15.75" customHeight="1">
      <c r="A60" s="47" t="s">
        <v>6132</v>
      </c>
      <c r="B60" s="48" t="s">
        <v>6303</v>
      </c>
      <c r="C60" s="73" t="s">
        <v>6304</v>
      </c>
      <c r="D60" s="37" t="s">
        <v>6143</v>
      </c>
      <c r="E60" s="37" t="s">
        <v>6144</v>
      </c>
      <c r="F60" s="152">
        <v>0.21</v>
      </c>
      <c r="G60" s="175" t="str">
        <f>IFERROR(VLOOKUP("LAVALIERII",STOCK!$B$1:$Q$5647,3,FALSE),"SIN STOCK")</f>
        <v>SIN STOCK</v>
      </c>
    </row>
    <row r="61" ht="15.75" customHeight="1">
      <c r="A61" s="41" t="s">
        <v>6132</v>
      </c>
      <c r="B61" s="42" t="s">
        <v>6305</v>
      </c>
      <c r="C61" s="72" t="s">
        <v>6306</v>
      </c>
      <c r="D61" s="44" t="s">
        <v>6307</v>
      </c>
      <c r="E61" s="44" t="s">
        <v>6308</v>
      </c>
      <c r="F61" s="45">
        <v>0.21</v>
      </c>
      <c r="G61" s="175" t="str">
        <f>IFERROR(VLOOKUP("LAVRL",STOCK!$B$1:$Q$5647,3,FALSE),"SIN STOCK")</f>
        <v>SIN STOCK</v>
      </c>
    </row>
    <row r="62" ht="15.75" customHeight="1">
      <c r="A62" s="47" t="s">
        <v>6132</v>
      </c>
      <c r="B62" s="48" t="s">
        <v>6309</v>
      </c>
      <c r="C62" s="73" t="s">
        <v>6310</v>
      </c>
      <c r="D62" s="37" t="s">
        <v>6311</v>
      </c>
      <c r="E62" s="37" t="s">
        <v>6312</v>
      </c>
      <c r="F62" s="152">
        <v>0.21</v>
      </c>
      <c r="G62" s="175" t="str">
        <f>IFERROR(VLOOKUP("Lavalier-GO",STOCK!$B$1:$Q$5647,3,FALSE),"SIN STOCK")</f>
        <v>SIN STOCK</v>
      </c>
    </row>
    <row r="63" ht="15.75" customHeight="1">
      <c r="A63" s="41" t="s">
        <v>6132</v>
      </c>
      <c r="B63" s="42" t="s">
        <v>6313</v>
      </c>
      <c r="C63" s="72" t="s">
        <v>6314</v>
      </c>
      <c r="D63" s="44" t="s">
        <v>6311</v>
      </c>
      <c r="E63" s="44" t="s">
        <v>6312</v>
      </c>
      <c r="F63" s="45">
        <v>0.21</v>
      </c>
      <c r="G63" s="50" t="str">
        <f>IFERROR(VLOOKUP("LAVGOW",STOCK!$B$1:$Q$5647,3,FALSE),"SIN STOCK")</f>
        <v>SIN STOCK</v>
      </c>
    </row>
    <row r="64" ht="15.75" customHeight="1">
      <c r="A64" s="29" t="s">
        <v>6315</v>
      </c>
      <c r="C64" s="301"/>
      <c r="D64" s="55"/>
      <c r="E64" s="55"/>
      <c r="F64" s="114"/>
      <c r="G64" s="32"/>
    </row>
    <row r="65" ht="15.75" customHeight="1">
      <c r="A65" s="41" t="s">
        <v>6132</v>
      </c>
      <c r="B65" s="42" t="s">
        <v>6316</v>
      </c>
      <c r="C65" s="72" t="s">
        <v>6317</v>
      </c>
      <c r="D65" s="44" t="s">
        <v>6318</v>
      </c>
      <c r="E65" s="44" t="s">
        <v>6319</v>
      </c>
      <c r="F65" s="45">
        <v>0.21</v>
      </c>
      <c r="G65" s="39" t="str">
        <f>IFERROR(VLOOKUP("SVMPR",STOCK!$B$1:$Q$5647,3,FALSE),"SIN STOCK")</f>
        <v>Mayor a 5</v>
      </c>
    </row>
    <row r="66" ht="15.75" customHeight="1">
      <c r="A66" s="47" t="s">
        <v>6132</v>
      </c>
      <c r="B66" s="48" t="s">
        <v>6320</v>
      </c>
      <c r="C66" s="73" t="s">
        <v>6321</v>
      </c>
      <c r="D66" s="37" t="s">
        <v>6322</v>
      </c>
      <c r="E66" s="37" t="s">
        <v>6323</v>
      </c>
      <c r="F66" s="152">
        <v>0.21</v>
      </c>
      <c r="G66" s="50" t="str">
        <f>IFERROR(VLOOKUP("SVMX",STOCK!$B$1:$Q$5647,3,FALSE),"SIN STOCK")</f>
        <v>SIN STOCK</v>
      </c>
    </row>
    <row r="67" ht="15.75" customHeight="1">
      <c r="A67" s="41" t="s">
        <v>6132</v>
      </c>
      <c r="B67" s="42" t="s">
        <v>6324</v>
      </c>
      <c r="C67" s="72" t="s">
        <v>6325</v>
      </c>
      <c r="D67" s="44" t="s">
        <v>6326</v>
      </c>
      <c r="E67" s="44" t="s">
        <v>6327</v>
      </c>
      <c r="F67" s="45">
        <v>0.21</v>
      </c>
      <c r="G67" s="175" t="str">
        <f>IFERROR(VLOOKUP("VMGO",STOCK!$B$1:$Q$5647,3,FALSE),"SIN STOCK")</f>
        <v>SIN STOCK</v>
      </c>
    </row>
    <row r="68" ht="15.75" customHeight="1">
      <c r="A68" s="47" t="s">
        <v>6132</v>
      </c>
      <c r="B68" s="48" t="s">
        <v>6328</v>
      </c>
      <c r="C68" s="73" t="s">
        <v>6329</v>
      </c>
      <c r="D68" s="37" t="s">
        <v>6143</v>
      </c>
      <c r="E68" s="37" t="s">
        <v>6144</v>
      </c>
      <c r="F68" s="152">
        <v>0.21</v>
      </c>
      <c r="G68" s="50" t="str">
        <f>IFERROR(VLOOKUP("VMGOII",STOCK!$B$1:$Q$5647,3,FALSE),"SIN STOCK")</f>
        <v>SIN STOCK</v>
      </c>
    </row>
    <row r="69" ht="15.75" customHeight="1">
      <c r="A69" s="41" t="s">
        <v>6132</v>
      </c>
      <c r="B69" s="42" t="s">
        <v>6330</v>
      </c>
      <c r="C69" s="72" t="s">
        <v>6331</v>
      </c>
      <c r="D69" s="44" t="s">
        <v>6332</v>
      </c>
      <c r="E69" s="44" t="s">
        <v>6333</v>
      </c>
      <c r="F69" s="45">
        <v>0.21</v>
      </c>
      <c r="G69" s="50" t="str">
        <f>IFERROR(VLOOKUP("VMICRO",STOCK!$B$1:$Q$5647,3,FALSE),"SIN STOCK")</f>
        <v>SIN STOCK</v>
      </c>
    </row>
    <row r="70" ht="15.75" customHeight="1">
      <c r="A70" s="47" t="s">
        <v>6132</v>
      </c>
      <c r="B70" s="48" t="s">
        <v>6334</v>
      </c>
      <c r="C70" s="73" t="s">
        <v>6331</v>
      </c>
      <c r="D70" s="37" t="s">
        <v>6335</v>
      </c>
      <c r="E70" s="37" t="s">
        <v>6336</v>
      </c>
      <c r="F70" s="152">
        <v>0.21</v>
      </c>
      <c r="G70" s="50" t="str">
        <f>IFERROR(VLOOKUP("VMICROII",STOCK!$B$1:$Q$5647,3,FALSE),"SIN STOCK")</f>
        <v>SIN STOCK</v>
      </c>
    </row>
    <row r="71" ht="15.75" customHeight="1">
      <c r="A71" s="41" t="s">
        <v>6132</v>
      </c>
      <c r="B71" s="42" t="s">
        <v>6337</v>
      </c>
      <c r="C71" s="72" t="s">
        <v>6338</v>
      </c>
      <c r="D71" s="44" t="s">
        <v>6258</v>
      </c>
      <c r="E71" s="44" t="s">
        <v>6259</v>
      </c>
      <c r="F71" s="45">
        <v>0.21</v>
      </c>
      <c r="G71" s="175" t="str">
        <f>IFERROR(VLOOKUP("VMNTG",STOCK!$B$1:$Q$5647,3,FALSE),"SIN STOCK")</f>
        <v>SIN STOCK</v>
      </c>
    </row>
    <row r="72" ht="15.75" customHeight="1">
      <c r="A72" s="47" t="s">
        <v>6132</v>
      </c>
      <c r="B72" s="48" t="s">
        <v>6339</v>
      </c>
      <c r="C72" s="73" t="s">
        <v>6340</v>
      </c>
      <c r="D72" s="37" t="s">
        <v>6341</v>
      </c>
      <c r="E72" s="37" t="s">
        <v>6342</v>
      </c>
      <c r="F72" s="152">
        <v>0.21</v>
      </c>
      <c r="G72" s="50" t="str">
        <f>IFERROR(VLOOKUP("VMP+",STOCK!$B$1:$Q$5647,3,FALSE),"SIN STOCK")</f>
        <v>SIN STOCK</v>
      </c>
    </row>
    <row r="73" ht="15.75" customHeight="1">
      <c r="A73" s="41" t="s">
        <v>6132</v>
      </c>
      <c r="B73" s="42" t="s">
        <v>6343</v>
      </c>
      <c r="C73" s="72" t="s">
        <v>6344</v>
      </c>
      <c r="D73" s="44" t="s">
        <v>6318</v>
      </c>
      <c r="E73" s="44" t="s">
        <v>6319</v>
      </c>
      <c r="F73" s="45">
        <v>0.21</v>
      </c>
      <c r="G73" s="39" t="str">
        <f>IFERROR(VLOOKUP("VMPR",STOCK!$B$1:$Q$5647,3,FALSE),"SIN STOCK")</f>
        <v>Mayor a 5</v>
      </c>
    </row>
    <row r="74" ht="15.75" customHeight="1">
      <c r="A74" s="47" t="s">
        <v>6132</v>
      </c>
      <c r="B74" s="48" t="s">
        <v>6345</v>
      </c>
      <c r="C74" s="73" t="s">
        <v>6346</v>
      </c>
      <c r="D74" s="37" t="s">
        <v>6347</v>
      </c>
      <c r="E74" s="37" t="s">
        <v>6348</v>
      </c>
      <c r="F74" s="152">
        <v>0.21</v>
      </c>
      <c r="G74" s="39" t="str">
        <f>IFERROR(VLOOKUP("VMR",STOCK!$B$1:$Q$5647,3,FALSE),"SIN STOCK")</f>
        <v>Mayor a 5</v>
      </c>
    </row>
    <row r="75" ht="15.75" customHeight="1">
      <c r="A75" s="29" t="s">
        <v>6349</v>
      </c>
      <c r="C75" s="301"/>
      <c r="D75" s="55"/>
      <c r="E75" s="55"/>
      <c r="F75" s="114"/>
      <c r="G75" s="32"/>
    </row>
    <row r="76" ht="15.75" customHeight="1">
      <c r="A76" s="41" t="s">
        <v>6132</v>
      </c>
      <c r="B76" s="42" t="s">
        <v>6350</v>
      </c>
      <c r="C76" s="72" t="s">
        <v>6351</v>
      </c>
      <c r="D76" s="44" t="s">
        <v>6352</v>
      </c>
      <c r="E76" s="44" t="s">
        <v>6353</v>
      </c>
      <c r="F76" s="45">
        <v>0.21</v>
      </c>
      <c r="G76" s="50" t="str">
        <f>IFERROR(VLOOKUP("AIMICRO",STOCK!$B$1:$Q$5647,3,FALSE),"SIN STOCK")</f>
        <v>Mayor a 5</v>
      </c>
    </row>
    <row r="77" ht="15.75" customHeight="1">
      <c r="A77" s="47" t="s">
        <v>6132</v>
      </c>
      <c r="B77" s="48" t="s">
        <v>6354</v>
      </c>
      <c r="C77" s="73" t="s">
        <v>6355</v>
      </c>
      <c r="D77" s="37" t="s">
        <v>6311</v>
      </c>
      <c r="E77" s="37" t="s">
        <v>6312</v>
      </c>
      <c r="F77" s="152">
        <v>0.21</v>
      </c>
      <c r="G77" s="262" t="str">
        <f>IFERROR(VLOOKUP("SMARTLAVP",STOCK!$B$1:$Q$5647,3,FALSE),"SIN STOCK")</f>
        <v>Mayor a 5</v>
      </c>
    </row>
    <row r="78" ht="15.75" customHeight="1">
      <c r="A78" s="41" t="s">
        <v>6132</v>
      </c>
      <c r="B78" s="57" t="s">
        <v>6356</v>
      </c>
      <c r="C78" s="72" t="s">
        <v>6357</v>
      </c>
      <c r="D78" s="44" t="s">
        <v>6358</v>
      </c>
      <c r="E78" s="44" t="s">
        <v>6359</v>
      </c>
      <c r="F78" s="45">
        <v>0.21</v>
      </c>
      <c r="G78" s="50" t="str">
        <f>IFERROR(VLOOKUP("VIDEOMICME",STOCK!$B$1:$Q$5647,3,FALSE),"SIN STOCK")</f>
        <v>SIN STOCK</v>
      </c>
    </row>
    <row r="79" ht="15.75" customHeight="1">
      <c r="A79" s="47" t="s">
        <v>6132</v>
      </c>
      <c r="B79" s="64" t="s">
        <v>6360</v>
      </c>
      <c r="C79" s="73" t="s">
        <v>6361</v>
      </c>
      <c r="D79" s="37" t="s">
        <v>6352</v>
      </c>
      <c r="E79" s="37" t="s">
        <v>6353</v>
      </c>
      <c r="F79" s="152">
        <v>0.21</v>
      </c>
      <c r="G79" s="50" t="str">
        <f>IFERROR(VLOOKUP("VMMC",STOCK!$B$1:$Q$5647,3,FALSE),"SIN STOCK")</f>
        <v>SIN STOCK</v>
      </c>
    </row>
    <row r="80" ht="15.75" customHeight="1">
      <c r="A80" s="41" t="s">
        <v>6132</v>
      </c>
      <c r="B80" s="42" t="s">
        <v>6362</v>
      </c>
      <c r="C80" s="72" t="s">
        <v>6363</v>
      </c>
      <c r="D80" s="44" t="s">
        <v>6352</v>
      </c>
      <c r="E80" s="44" t="s">
        <v>6353</v>
      </c>
      <c r="F80" s="45">
        <v>0.21</v>
      </c>
      <c r="G80" s="175" t="str">
        <f>IFERROR(VLOOKUP("VMML",STOCK!$B$1:$Q$5647,3,FALSE),"SIN STOCK")</f>
        <v>SIN STOCK</v>
      </c>
    </row>
    <row r="81" ht="15.75" customHeight="1">
      <c r="A81" s="47" t="s">
        <v>6132</v>
      </c>
      <c r="B81" s="48" t="s">
        <v>6364</v>
      </c>
      <c r="C81" s="73" t="s">
        <v>6365</v>
      </c>
      <c r="D81" s="37" t="s">
        <v>6366</v>
      </c>
      <c r="E81" s="37" t="s">
        <v>6367</v>
      </c>
      <c r="F81" s="152">
        <v>0.21</v>
      </c>
      <c r="G81" s="175" t="str">
        <f>IFERROR(VLOOKUP("VLOGVMICRO",STOCK!$B$1:$Q$5647,3,FALSE),"SIN STOCK")</f>
        <v>SIN STOCK</v>
      </c>
    </row>
    <row r="82" ht="15.75" customHeight="1">
      <c r="A82" s="41" t="s">
        <v>6132</v>
      </c>
      <c r="B82" s="42" t="s">
        <v>6368</v>
      </c>
      <c r="C82" s="72" t="s">
        <v>6369</v>
      </c>
      <c r="D82" s="44" t="s">
        <v>6366</v>
      </c>
      <c r="E82" s="44" t="s">
        <v>6367</v>
      </c>
      <c r="F82" s="45">
        <v>0.21</v>
      </c>
      <c r="G82" s="39" t="str">
        <f>IFERROR(VLOOKUP("VLOGVMML",STOCK!$B$1:$Q$5647,3,FALSE),"SIN STOCK")</f>
        <v>Mayor a 5</v>
      </c>
    </row>
    <row r="83" ht="15.75" customHeight="1">
      <c r="A83" s="47" t="s">
        <v>6132</v>
      </c>
      <c r="B83" s="48" t="s">
        <v>6370</v>
      </c>
      <c r="C83" s="73" t="s">
        <v>6371</v>
      </c>
      <c r="D83" s="37" t="s">
        <v>6366</v>
      </c>
      <c r="E83" s="37" t="s">
        <v>6367</v>
      </c>
      <c r="F83" s="152">
        <v>0.21</v>
      </c>
      <c r="G83" s="53" t="str">
        <f>IFERROR(VLOOKUP("VLOGVMMC",STOCK!$B$1:$Q$5647,3,FALSE),"SIN STOCK")</f>
        <v>Menor a 5</v>
      </c>
    </row>
    <row r="84" ht="15.75" customHeight="1">
      <c r="A84" s="29" t="s">
        <v>6372</v>
      </c>
      <c r="C84" s="301"/>
      <c r="D84" s="55"/>
      <c r="E84" s="55"/>
      <c r="F84" s="177"/>
      <c r="G84" s="177"/>
    </row>
    <row r="85" ht="15.75" customHeight="1">
      <c r="A85" s="41" t="s">
        <v>6132</v>
      </c>
      <c r="B85" s="101" t="s">
        <v>6373</v>
      </c>
      <c r="C85" s="72" t="s">
        <v>6374</v>
      </c>
      <c r="D85" s="44" t="s">
        <v>6375</v>
      </c>
      <c r="E85" s="44" t="s">
        <v>6376</v>
      </c>
      <c r="F85" s="45">
        <v>0.21</v>
      </c>
      <c r="G85" s="50" t="str">
        <f>IFERROR(VLOOKUP("WIMICROCb",STOCK!$B$1:$Q$5647,3,FALSE),"SIN STOCK")</f>
        <v>Mayor a 5</v>
      </c>
    </row>
    <row r="86" ht="15.75" customHeight="1">
      <c r="A86" s="47" t="s">
        <v>6132</v>
      </c>
      <c r="B86" s="48" t="s">
        <v>6377</v>
      </c>
      <c r="C86" s="73" t="s">
        <v>6378</v>
      </c>
      <c r="D86" s="37" t="s">
        <v>6379</v>
      </c>
      <c r="E86" s="37" t="s">
        <v>6380</v>
      </c>
      <c r="F86" s="152">
        <v>0.21</v>
      </c>
      <c r="G86" s="50" t="str">
        <f>IFERROR(VLOOKUP("WIMEDUAL",STOCK!$B$1:$Q$5647,3,FALSE),"SIN STOCK")</f>
        <v>Mayor a 5</v>
      </c>
    </row>
    <row r="87" ht="15.75" customHeight="1">
      <c r="A87" s="41" t="s">
        <v>6132</v>
      </c>
      <c r="B87" s="42" t="s">
        <v>6381</v>
      </c>
      <c r="C87" s="72" t="s">
        <v>6382</v>
      </c>
      <c r="D87" s="44" t="s">
        <v>6383</v>
      </c>
      <c r="E87" s="44" t="s">
        <v>6384</v>
      </c>
      <c r="F87" s="45">
        <v>0.21</v>
      </c>
      <c r="G87" s="50" t="str">
        <f>IFERROR(VLOOKUP("WIGOGEN3",STOCK!$B$1:$Q$5647,3,FALSE),"SIN STOCK")</f>
        <v>Mayor a 5</v>
      </c>
    </row>
    <row r="88" ht="15.75" customHeight="1">
      <c r="A88" s="47" t="s">
        <v>6132</v>
      </c>
      <c r="B88" s="48" t="s">
        <v>6385</v>
      </c>
      <c r="C88" s="73" t="s">
        <v>6386</v>
      </c>
      <c r="D88" s="37" t="s">
        <v>6387</v>
      </c>
      <c r="E88" s="37" t="s">
        <v>6388</v>
      </c>
      <c r="F88" s="152">
        <v>0.21</v>
      </c>
      <c r="G88" s="175" t="str">
        <f>IFERROR(VLOOKUP("WIGOIITX",STOCK!$B$1:$Q$5647,3,FALSE),"SIN STOCK")</f>
        <v>SIN STOCK</v>
      </c>
    </row>
    <row r="89" ht="15.75" customHeight="1">
      <c r="A89" s="41" t="s">
        <v>6132</v>
      </c>
      <c r="B89" s="42" t="s">
        <v>6389</v>
      </c>
      <c r="C89" s="72" t="s">
        <v>6390</v>
      </c>
      <c r="D89" s="44" t="s">
        <v>6391</v>
      </c>
      <c r="E89" s="44" t="s">
        <v>6392</v>
      </c>
      <c r="F89" s="45">
        <v>0.21</v>
      </c>
      <c r="G89" s="50" t="str">
        <f>IFERROR(VLOOKUP("WIGOIICHARGINGCASE",STOCK!$B$1:$Q$5647,3,FALSE),"SIN STOCK")</f>
        <v>SIN STOCK</v>
      </c>
    </row>
    <row r="90" ht="15.75" customHeight="1">
      <c r="A90" s="47" t="s">
        <v>6132</v>
      </c>
      <c r="B90" s="48" t="s">
        <v>6393</v>
      </c>
      <c r="C90" s="73" t="s">
        <v>6394</v>
      </c>
      <c r="D90" s="37" t="s">
        <v>6395</v>
      </c>
      <c r="E90" s="37" t="s">
        <v>6396</v>
      </c>
      <c r="F90" s="152">
        <v>0.21</v>
      </c>
      <c r="G90" s="50" t="str">
        <f>IFERROR(VLOOKUP("WIGOIISINGLE",STOCK!$B$1:$Q$5647,3,FALSE),"SIN STOCK")</f>
        <v>SIN STOCK</v>
      </c>
    </row>
    <row r="91" ht="15.75" customHeight="1">
      <c r="A91" s="41" t="s">
        <v>6132</v>
      </c>
      <c r="B91" s="42" t="s">
        <v>6397</v>
      </c>
      <c r="C91" s="72" t="s">
        <v>6398</v>
      </c>
      <c r="D91" s="44" t="s">
        <v>6375</v>
      </c>
      <c r="E91" s="44" t="s">
        <v>6376</v>
      </c>
      <c r="F91" s="45">
        <v>0.21</v>
      </c>
      <c r="G91" s="39" t="str">
        <f>IFERROR(VLOOKUP("WIME",STOCK!$B$1:$Q$5647,3,FALSE),"SIN STOCK")</f>
        <v>Mayor a 5</v>
      </c>
    </row>
    <row r="92" ht="15.75" customHeight="1">
      <c r="A92" s="47" t="s">
        <v>6132</v>
      </c>
      <c r="B92" s="48" t="s">
        <v>6399</v>
      </c>
      <c r="C92" s="73" t="s">
        <v>6400</v>
      </c>
      <c r="D92" s="37" t="s">
        <v>6401</v>
      </c>
      <c r="E92" s="37" t="s">
        <v>5768</v>
      </c>
      <c r="F92" s="152">
        <v>0.21</v>
      </c>
      <c r="G92" s="175" t="str">
        <f>IFERROR(VLOOKUP("WIMETX",STOCK!$B$1:$Q$5647,3,FALSE),"SIN STOCK")</f>
        <v>SIN STOCK</v>
      </c>
    </row>
    <row r="93" ht="15.75" customHeight="1">
      <c r="A93" s="41" t="s">
        <v>6132</v>
      </c>
      <c r="B93" s="42" t="s">
        <v>6402</v>
      </c>
      <c r="C93" s="72" t="s">
        <v>6403</v>
      </c>
      <c r="D93" s="44" t="s">
        <v>6404</v>
      </c>
      <c r="E93" s="44" t="s">
        <v>6405</v>
      </c>
      <c r="F93" s="45">
        <v>0.21</v>
      </c>
      <c r="G93" s="39" t="str">
        <f>IFERROR(VLOOKUP("WIPRO",STOCK!$B$1:$Q$5647,3,FALSE),"SIN STOCK")</f>
        <v>Mayor a 5</v>
      </c>
    </row>
    <row r="94" ht="15.75" customHeight="1">
      <c r="A94" s="47" t="s">
        <v>6132</v>
      </c>
      <c r="B94" s="48" t="s">
        <v>6406</v>
      </c>
      <c r="C94" s="73" t="s">
        <v>6407</v>
      </c>
      <c r="D94" s="37" t="s">
        <v>6408</v>
      </c>
      <c r="E94" s="37" t="s">
        <v>6409</v>
      </c>
      <c r="F94" s="152">
        <v>0.21</v>
      </c>
      <c r="G94" s="175" t="str">
        <f>IFERROR(VLOOKUP("RODELINKPF",STOCK!$B$1:$Q$5647,3,FALSE),"SIN STOCK")</f>
        <v>SIN STOCK</v>
      </c>
    </row>
    <row r="95" ht="15.75" customHeight="1">
      <c r="A95" s="29" t="s">
        <v>6410</v>
      </c>
      <c r="C95" s="301"/>
      <c r="D95" s="55"/>
      <c r="E95" s="55"/>
      <c r="F95" s="114"/>
      <c r="G95" s="32"/>
    </row>
    <row r="96" ht="15.75" customHeight="1">
      <c r="A96" s="41" t="s">
        <v>6132</v>
      </c>
      <c r="B96" s="42" t="s">
        <v>6411</v>
      </c>
      <c r="C96" s="72" t="s">
        <v>6412</v>
      </c>
      <c r="D96" s="44" t="s">
        <v>6413</v>
      </c>
      <c r="E96" s="44" t="s">
        <v>6414</v>
      </c>
      <c r="F96" s="45">
        <v>0.21</v>
      </c>
      <c r="G96" s="175" t="str">
        <f>IFERROR(VLOOKUP("XDM100",STOCK!$B$1:$Q$5647,3,FALSE),"SIN STOCK")</f>
        <v>SIN STOCK</v>
      </c>
    </row>
    <row r="97" ht="15.75" hidden="1" customHeight="1">
      <c r="A97" s="47" t="s">
        <v>6132</v>
      </c>
      <c r="B97" s="48" t="s">
        <v>6415</v>
      </c>
      <c r="C97" s="73" t="s">
        <v>6416</v>
      </c>
      <c r="D97" s="37" t="s">
        <v>6375</v>
      </c>
      <c r="E97" s="37" t="s">
        <v>6376</v>
      </c>
      <c r="F97" s="152">
        <v>0.21</v>
      </c>
      <c r="G97" s="50" t="str">
        <f>IFERROR(VLOOKUP("XCM50",STOCK!$B$1:$Q$5647,3,FALSE),"SIN STOCK")</f>
        <v>SIN STOCK</v>
      </c>
    </row>
    <row r="98" ht="15.75" customHeight="1">
      <c r="A98" s="29" t="s">
        <v>6417</v>
      </c>
      <c r="C98" s="301"/>
      <c r="D98" s="55"/>
      <c r="E98" s="55"/>
      <c r="F98" s="114"/>
      <c r="G98" s="32"/>
    </row>
    <row r="99" ht="15.75" customHeight="1">
      <c r="A99" s="41" t="s">
        <v>6132</v>
      </c>
      <c r="B99" s="42" t="s">
        <v>6418</v>
      </c>
      <c r="C99" s="72" t="s">
        <v>6419</v>
      </c>
      <c r="D99" s="44" t="s">
        <v>6420</v>
      </c>
      <c r="E99" s="44" t="s">
        <v>6421</v>
      </c>
      <c r="F99" s="45">
        <v>0.21</v>
      </c>
      <c r="G99" s="53" t="str">
        <f>IFERROR(VLOOKUP("RCDUO-B",STOCK!$B$1:$Q$5647,3,FALSE),"SIN STOCK")</f>
        <v>Menor a 5</v>
      </c>
    </row>
    <row r="100" ht="15.75" customHeight="1">
      <c r="A100" s="47" t="s">
        <v>6132</v>
      </c>
      <c r="B100" s="48" t="s">
        <v>6422</v>
      </c>
      <c r="C100" s="73" t="s">
        <v>6423</v>
      </c>
      <c r="D100" s="37" t="s">
        <v>6424</v>
      </c>
      <c r="E100" s="37" t="s">
        <v>6425</v>
      </c>
      <c r="F100" s="152">
        <v>0.21</v>
      </c>
      <c r="G100" s="50" t="str">
        <f>IFERROR(VLOOKUP("RCP",STOCK!$B$1:$Q$5647,3,FALSE),"SIN STOCK")</f>
        <v>SIN STOCK</v>
      </c>
    </row>
    <row r="101" ht="15.75" customHeight="1">
      <c r="A101" s="41" t="s">
        <v>6132</v>
      </c>
      <c r="B101" s="42" t="s">
        <v>6426</v>
      </c>
      <c r="C101" s="72" t="s">
        <v>6427</v>
      </c>
      <c r="D101" s="44" t="s">
        <v>6428</v>
      </c>
      <c r="E101" s="44" t="s">
        <v>6429</v>
      </c>
      <c r="F101" s="45">
        <v>0.105</v>
      </c>
      <c r="G101" s="262" t="str">
        <f>IFERROR(VLOOKUP("RCPII-B",STOCK!$B$1:$Q$5647,3,FALSE),"SIN STOCK")</f>
        <v>Mayor a 5</v>
      </c>
    </row>
    <row r="102" ht="15.75" customHeight="1">
      <c r="A102" s="47" t="s">
        <v>6132</v>
      </c>
      <c r="B102" s="48" t="s">
        <v>6430</v>
      </c>
      <c r="C102" s="73" t="s">
        <v>6431</v>
      </c>
      <c r="D102" s="37" t="s">
        <v>6432</v>
      </c>
      <c r="E102" s="37" t="s">
        <v>6429</v>
      </c>
      <c r="F102" s="152">
        <v>0.21</v>
      </c>
      <c r="G102" s="39" t="str">
        <f>IFERROR(VLOOKUP("RCV",STOCK!$B$1:$Q$5647,3,FALSE),"SIN STOCK")</f>
        <v>Mayor a 5</v>
      </c>
    </row>
    <row r="103" ht="15.75" customHeight="1">
      <c r="A103" s="41" t="s">
        <v>6132</v>
      </c>
      <c r="B103" s="42" t="s">
        <v>6433</v>
      </c>
      <c r="C103" s="72" t="s">
        <v>6434</v>
      </c>
      <c r="D103" s="44" t="s">
        <v>6435</v>
      </c>
      <c r="E103" s="44" t="s">
        <v>6436</v>
      </c>
      <c r="F103" s="45">
        <v>0.21</v>
      </c>
      <c r="G103" s="53" t="str">
        <f>IFERROR(VLOOKUP("STREAMERX",STOCK!$B$1:$Q$5647,3,FALSE),"SIN STOCK")</f>
        <v>Menor a 5</v>
      </c>
    </row>
    <row r="104" ht="15.75" customHeight="1">
      <c r="A104" s="29" t="s">
        <v>30</v>
      </c>
      <c r="C104" s="301"/>
      <c r="D104" s="55"/>
      <c r="E104" s="55"/>
      <c r="F104" s="114"/>
      <c r="G104" s="32"/>
    </row>
    <row r="105" ht="15.75" customHeight="1">
      <c r="A105" s="41" t="s">
        <v>6132</v>
      </c>
      <c r="B105" s="42" t="s">
        <v>6437</v>
      </c>
      <c r="C105" s="72" t="s">
        <v>6438</v>
      </c>
      <c r="D105" s="44" t="s">
        <v>6439</v>
      </c>
      <c r="E105" s="44" t="s">
        <v>6440</v>
      </c>
      <c r="F105" s="45">
        <v>0.21</v>
      </c>
      <c r="G105" s="50" t="str">
        <f>IFERROR(VLOOKUP("NTH100",STOCK!$B$1:$Q$5647,3,FALSE),"SIN STOCK")</f>
        <v>SIN STOCK</v>
      </c>
    </row>
    <row r="106" ht="15.75" customHeight="1">
      <c r="A106" s="47" t="s">
        <v>6132</v>
      </c>
      <c r="B106" s="48" t="s">
        <v>6441</v>
      </c>
      <c r="C106" s="73" t="s">
        <v>6442</v>
      </c>
      <c r="D106" s="37" t="s">
        <v>6443</v>
      </c>
      <c r="E106" s="37" t="s">
        <v>6444</v>
      </c>
      <c r="F106" s="152">
        <v>0.21</v>
      </c>
      <c r="G106" s="50" t="str">
        <f>IFERROR(VLOOKUP("NTH100M",STOCK!$B$1:$Q$5647,3,FALSE),"SIN STOCK")</f>
        <v>SIN STOCK</v>
      </c>
    </row>
    <row r="107" ht="15.75" customHeight="1">
      <c r="A107" s="41" t="s">
        <v>6132</v>
      </c>
      <c r="B107" s="42" t="s">
        <v>6445</v>
      </c>
      <c r="C107" s="72" t="s">
        <v>6446</v>
      </c>
      <c r="D107" s="44" t="s">
        <v>6332</v>
      </c>
      <c r="E107" s="44" t="s">
        <v>6333</v>
      </c>
      <c r="F107" s="45">
        <v>0.21</v>
      </c>
      <c r="G107" s="50" t="str">
        <f>IFERROR(VLOOKUP("NTHMIC",STOCK!$B$1:$Q$5647,3,FALSE),"SIN STOCK")</f>
        <v>SIN STOCK</v>
      </c>
    </row>
    <row r="108" ht="15.75" customHeight="1">
      <c r="A108" s="29" t="s">
        <v>6447</v>
      </c>
      <c r="C108" s="301"/>
      <c r="D108" s="55"/>
      <c r="E108" s="55"/>
      <c r="F108" s="114"/>
      <c r="G108" s="32"/>
    </row>
    <row r="109" ht="15.75" customHeight="1">
      <c r="A109" s="41" t="s">
        <v>6132</v>
      </c>
      <c r="B109" s="42" t="s">
        <v>6448</v>
      </c>
      <c r="C109" s="72" t="s">
        <v>6449</v>
      </c>
      <c r="D109" s="44" t="s">
        <v>6450</v>
      </c>
      <c r="E109" s="44" t="s">
        <v>6451</v>
      </c>
      <c r="F109" s="45">
        <v>0.21</v>
      </c>
      <c r="G109" s="50" t="str">
        <f>IFERROR(VLOOKUP("NTH-CABLE12",STOCK!$B$1:$Q$5647,3,FALSE),"SIN STOCK")</f>
        <v>SIN STOCK</v>
      </c>
    </row>
    <row r="110" ht="15.75" customHeight="1">
      <c r="A110" s="47" t="s">
        <v>6132</v>
      </c>
      <c r="B110" s="48" t="s">
        <v>6452</v>
      </c>
      <c r="C110" s="73" t="s">
        <v>6453</v>
      </c>
      <c r="D110" s="37" t="s">
        <v>6450</v>
      </c>
      <c r="E110" s="37" t="s">
        <v>6451</v>
      </c>
      <c r="F110" s="152">
        <v>0.21</v>
      </c>
      <c r="G110" s="50" t="str">
        <f>IFERROR(VLOOKUP("NTH-CABLE12O",STOCK!$B$1:$Q$5647,3,FALSE),"SIN STOCK")</f>
        <v>SIN STOCK</v>
      </c>
    </row>
    <row r="111" ht="15.75" customHeight="1">
      <c r="A111" s="41" t="s">
        <v>6132</v>
      </c>
      <c r="B111" s="42" t="s">
        <v>6454</v>
      </c>
      <c r="C111" s="72" t="s">
        <v>6455</v>
      </c>
      <c r="D111" s="44" t="s">
        <v>6450</v>
      </c>
      <c r="E111" s="44" t="s">
        <v>6451</v>
      </c>
      <c r="F111" s="45">
        <v>0.21</v>
      </c>
      <c r="G111" s="50" t="str">
        <f>IFERROR(VLOOKUP("NTH-CABLE12G",STOCK!$B$1:$Q$5647,3,FALSE),"SIN STOCK")</f>
        <v>SIN STOCK</v>
      </c>
    </row>
    <row r="112" ht="15.75" customHeight="1">
      <c r="A112" s="47" t="s">
        <v>6132</v>
      </c>
      <c r="B112" s="48" t="s">
        <v>6456</v>
      </c>
      <c r="C112" s="73" t="s">
        <v>6457</v>
      </c>
      <c r="D112" s="37" t="s">
        <v>6450</v>
      </c>
      <c r="E112" s="37" t="s">
        <v>6451</v>
      </c>
      <c r="F112" s="152">
        <v>0.21</v>
      </c>
      <c r="G112" s="50" t="str">
        <f>IFERROR(VLOOKUP("NTH-CABLE12P",STOCK!$B$1:$Q$5647,3,FALSE),"SIN STOCK")</f>
        <v>SIN STOCK</v>
      </c>
    </row>
    <row r="113" ht="15.75" customHeight="1">
      <c r="A113" s="41" t="s">
        <v>6132</v>
      </c>
      <c r="B113" s="42" t="s">
        <v>6458</v>
      </c>
      <c r="C113" s="72" t="s">
        <v>6459</v>
      </c>
      <c r="D113" s="44" t="s">
        <v>6450</v>
      </c>
      <c r="E113" s="44" t="s">
        <v>6451</v>
      </c>
      <c r="F113" s="45">
        <v>0.21</v>
      </c>
      <c r="G113" s="50" t="str">
        <f>IFERROR(VLOOKUP("NTH-CABLE12B",STOCK!$B$1:$Q$5647,3,FALSE),"SIN STOCK")</f>
        <v>SIN STOCK</v>
      </c>
    </row>
    <row r="114" ht="15.75" customHeight="1">
      <c r="A114" s="47" t="s">
        <v>6132</v>
      </c>
      <c r="B114" s="48" t="s">
        <v>6460</v>
      </c>
      <c r="C114" s="73" t="s">
        <v>6461</v>
      </c>
      <c r="D114" s="37" t="s">
        <v>6462</v>
      </c>
      <c r="E114" s="37" t="s">
        <v>6463</v>
      </c>
      <c r="F114" s="152">
        <v>0.21</v>
      </c>
      <c r="G114" s="50" t="str">
        <f>IFERROR(VLOOKUP("NTH-CABLE24",STOCK!$B$1:$Q$5647,3,FALSE),"SIN STOCK")</f>
        <v>SIN STOCK</v>
      </c>
    </row>
    <row r="115" ht="15.75" customHeight="1">
      <c r="A115" s="41" t="s">
        <v>6132</v>
      </c>
      <c r="B115" s="42" t="s">
        <v>6464</v>
      </c>
      <c r="C115" s="72" t="s">
        <v>6465</v>
      </c>
      <c r="D115" s="44" t="s">
        <v>6462</v>
      </c>
      <c r="E115" s="44" t="s">
        <v>6463</v>
      </c>
      <c r="F115" s="45">
        <v>0.21</v>
      </c>
      <c r="G115" s="50" t="str">
        <f>IFERROR(VLOOKUP("NTH-CABLE24O",STOCK!$B$1:$Q$5647,3,FALSE),"SIN STOCK")</f>
        <v>SIN STOCK</v>
      </c>
    </row>
    <row r="116" ht="15.75" customHeight="1">
      <c r="A116" s="47" t="s">
        <v>6132</v>
      </c>
      <c r="B116" s="48" t="s">
        <v>6466</v>
      </c>
      <c r="C116" s="73" t="s">
        <v>6467</v>
      </c>
      <c r="D116" s="37" t="s">
        <v>6462</v>
      </c>
      <c r="E116" s="37" t="s">
        <v>6463</v>
      </c>
      <c r="F116" s="152">
        <v>0.21</v>
      </c>
      <c r="G116" s="50" t="str">
        <f>IFERROR(VLOOKUP("NTH-CABLE24G",STOCK!$B$1:$Q$5647,3,FALSE),"SIN STOCK")</f>
        <v>SIN STOCK</v>
      </c>
    </row>
    <row r="117" ht="15.75" customHeight="1">
      <c r="A117" s="41" t="s">
        <v>6132</v>
      </c>
      <c r="B117" s="42" t="s">
        <v>6468</v>
      </c>
      <c r="C117" s="72" t="s">
        <v>6469</v>
      </c>
      <c r="D117" s="44" t="s">
        <v>6462</v>
      </c>
      <c r="E117" s="44" t="s">
        <v>6463</v>
      </c>
      <c r="F117" s="45">
        <v>0.21</v>
      </c>
      <c r="G117" s="50" t="str">
        <f>IFERROR(VLOOKUP("NTH-CABLE24P",STOCK!$B$1:$Q$5647,3,FALSE),"SIN STOCK")</f>
        <v>SIN STOCK</v>
      </c>
    </row>
    <row r="118" ht="15.75" customHeight="1">
      <c r="A118" s="47" t="s">
        <v>6132</v>
      </c>
      <c r="B118" s="48" t="s">
        <v>6470</v>
      </c>
      <c r="C118" s="73" t="s">
        <v>6471</v>
      </c>
      <c r="D118" s="37" t="s">
        <v>6462</v>
      </c>
      <c r="E118" s="37" t="s">
        <v>6463</v>
      </c>
      <c r="F118" s="152">
        <v>0.21</v>
      </c>
      <c r="G118" s="50" t="str">
        <f>IFERROR(VLOOKUP("NTH-CABLE24B",STOCK!$B$1:$Q$5647,3,FALSE),"SIN STOCK")</f>
        <v>SIN STOCK</v>
      </c>
    </row>
    <row r="119" ht="15.75" customHeight="1">
      <c r="A119" s="29" t="s">
        <v>6472</v>
      </c>
      <c r="C119" s="301"/>
      <c r="D119" s="55"/>
      <c r="E119" s="55"/>
      <c r="F119" s="114"/>
      <c r="G119" s="32"/>
    </row>
    <row r="120" ht="15.75" customHeight="1">
      <c r="A120" s="41" t="s">
        <v>6132</v>
      </c>
      <c r="B120" s="42" t="s">
        <v>6473</v>
      </c>
      <c r="C120" s="72" t="s">
        <v>6474</v>
      </c>
      <c r="D120" s="44" t="s">
        <v>537</v>
      </c>
      <c r="E120" s="44" t="s">
        <v>6475</v>
      </c>
      <c r="F120" s="45">
        <v>0.21</v>
      </c>
      <c r="G120" s="50" t="str">
        <f>IFERROR(VLOOKUP("HJA-4",STOCK!$B$1:$Q$5647,3,FALSE),"SIN STOCK")</f>
        <v>SIN STOCK</v>
      </c>
    </row>
    <row r="121" ht="15.75" customHeight="1">
      <c r="A121" s="47" t="s">
        <v>6132</v>
      </c>
      <c r="B121" s="48" t="s">
        <v>6476</v>
      </c>
      <c r="C121" s="73" t="s">
        <v>6477</v>
      </c>
      <c r="D121" s="37" t="s">
        <v>6478</v>
      </c>
      <c r="E121" s="37" t="s">
        <v>6479</v>
      </c>
      <c r="F121" s="152">
        <v>0.21</v>
      </c>
      <c r="G121" s="39" t="str">
        <f>IFERROR(VLOOKUP("SC1",STOCK!$B$1:$Q$5647,3,FALSE),"SIN STOCK")</f>
        <v>Mayor a 5</v>
      </c>
    </row>
    <row r="122" ht="15.75" customHeight="1">
      <c r="A122" s="41" t="s">
        <v>6132</v>
      </c>
      <c r="B122" s="42" t="s">
        <v>6480</v>
      </c>
      <c r="C122" s="72" t="s">
        <v>6481</v>
      </c>
      <c r="D122" s="44" t="s">
        <v>6482</v>
      </c>
      <c r="E122" s="44" t="s">
        <v>6483</v>
      </c>
      <c r="F122" s="45">
        <v>0.21</v>
      </c>
      <c r="G122" s="39" t="str">
        <f>IFERROR(VLOOKUP("SC2",STOCK!$B$1:$Q$5647,3,FALSE),"SIN STOCK")</f>
        <v>Menor a 5</v>
      </c>
    </row>
    <row r="123" ht="15.75" customHeight="1">
      <c r="A123" s="47" t="s">
        <v>6132</v>
      </c>
      <c r="B123" s="48" t="s">
        <v>6484</v>
      </c>
      <c r="C123" s="73" t="s">
        <v>6485</v>
      </c>
      <c r="D123" s="37" t="s">
        <v>6482</v>
      </c>
      <c r="E123" s="37" t="s">
        <v>6483</v>
      </c>
      <c r="F123" s="152">
        <v>0.21</v>
      </c>
      <c r="G123" s="39" t="str">
        <f>IFERROR(VLOOKUP("SC3",STOCK!$B$1:$Q$5647,3,FALSE),"SIN STOCK")</f>
        <v>Mayor a 5</v>
      </c>
    </row>
    <row r="124" ht="15.75" customHeight="1">
      <c r="A124" s="41" t="s">
        <v>6132</v>
      </c>
      <c r="B124" s="42" t="s">
        <v>6486</v>
      </c>
      <c r="C124" s="72" t="s">
        <v>6487</v>
      </c>
      <c r="D124" s="44" t="s">
        <v>6482</v>
      </c>
      <c r="E124" s="44" t="s">
        <v>6483</v>
      </c>
      <c r="F124" s="45">
        <v>0.21</v>
      </c>
      <c r="G124" s="39" t="str">
        <f>IFERROR(VLOOKUP("SC4",STOCK!$B$1:$Q$5647,3,FALSE),"SIN STOCK")</f>
        <v>Mayor a 5</v>
      </c>
    </row>
    <row r="125" ht="15.75" customHeight="1">
      <c r="A125" s="47" t="s">
        <v>6132</v>
      </c>
      <c r="B125" s="48" t="s">
        <v>6488</v>
      </c>
      <c r="C125" s="73" t="s">
        <v>6489</v>
      </c>
      <c r="D125" s="37" t="s">
        <v>6490</v>
      </c>
      <c r="E125" s="37" t="s">
        <v>6491</v>
      </c>
      <c r="F125" s="152">
        <v>0.21</v>
      </c>
      <c r="G125" s="39" t="str">
        <f>IFERROR(VLOOKUP("SC6",STOCK!$B$1:$Q$5647,3,FALSE),"SIN STOCK")</f>
        <v>Mayor a 5</v>
      </c>
    </row>
    <row r="126" ht="15.75" customHeight="1">
      <c r="A126" s="41" t="s">
        <v>6132</v>
      </c>
      <c r="B126" s="101" t="s">
        <v>6492</v>
      </c>
      <c r="C126" s="72" t="s">
        <v>6493</v>
      </c>
      <c r="D126" s="44" t="s">
        <v>6494</v>
      </c>
      <c r="E126" s="44" t="s">
        <v>6495</v>
      </c>
      <c r="F126" s="45">
        <v>0.21</v>
      </c>
      <c r="G126" s="53" t="str">
        <f>IFERROR(VLOOKUP("SC6-L",STOCK!$B$1:$Q$5647,3,FALSE),"SIN STOCK")</f>
        <v>Menor a 5</v>
      </c>
    </row>
    <row r="127" ht="15.75" customHeight="1">
      <c r="A127" s="47" t="s">
        <v>6132</v>
      </c>
      <c r="B127" s="48" t="s">
        <v>6496</v>
      </c>
      <c r="C127" s="73" t="s">
        <v>6497</v>
      </c>
      <c r="D127" s="37" t="s">
        <v>6482</v>
      </c>
      <c r="E127" s="37" t="s">
        <v>6483</v>
      </c>
      <c r="F127" s="152">
        <v>0.21</v>
      </c>
      <c r="G127" s="50" t="str">
        <f>IFERROR(VLOOKUP("SC7",STOCK!$B$1:$Q$5647,3,FALSE),"SIN STOCK")</f>
        <v>SIN STOCK</v>
      </c>
    </row>
    <row r="128" ht="15.75" customHeight="1">
      <c r="A128" s="41" t="s">
        <v>6132</v>
      </c>
      <c r="B128" s="42" t="s">
        <v>6498</v>
      </c>
      <c r="C128" s="72" t="s">
        <v>6499</v>
      </c>
      <c r="D128" s="44" t="s">
        <v>6500</v>
      </c>
      <c r="E128" s="44" t="s">
        <v>6020</v>
      </c>
      <c r="F128" s="45">
        <v>0.21</v>
      </c>
      <c r="G128" s="39" t="str">
        <f>IFERROR(VLOOKUP("SC8",STOCK!$B$1:$Q$5647,3,FALSE),"SIN STOCK")</f>
        <v>Mayor a 5</v>
      </c>
    </row>
    <row r="129" ht="15.75" customHeight="1">
      <c r="A129" s="47" t="s">
        <v>6132</v>
      </c>
      <c r="B129" s="48" t="s">
        <v>6501</v>
      </c>
      <c r="C129" s="73" t="s">
        <v>6502</v>
      </c>
      <c r="D129" s="37" t="s">
        <v>6503</v>
      </c>
      <c r="E129" s="37" t="s">
        <v>6504</v>
      </c>
      <c r="F129" s="152">
        <v>0.21</v>
      </c>
      <c r="G129" s="39" t="str">
        <f>IFERROR(VLOOKUP("SC9",STOCK!$B$1:$Q$5647,3,FALSE),"SIN STOCK")</f>
        <v>Mayor a 5</v>
      </c>
    </row>
    <row r="130" ht="15.75" customHeight="1">
      <c r="A130" s="41" t="s">
        <v>6132</v>
      </c>
      <c r="B130" s="42" t="s">
        <v>6505</v>
      </c>
      <c r="C130" s="72" t="s">
        <v>6506</v>
      </c>
      <c r="D130" s="44" t="s">
        <v>6507</v>
      </c>
      <c r="E130" s="44" t="s">
        <v>6508</v>
      </c>
      <c r="F130" s="45">
        <v>0.21</v>
      </c>
      <c r="G130" s="50" t="str">
        <f>IFERROR(VLOOKUP("SC10",STOCK!$B$1:$Q$5647,3,FALSE),"SIN STOCK")</f>
        <v>SIN STOCK</v>
      </c>
    </row>
    <row r="131" ht="15.75" customHeight="1">
      <c r="A131" s="47" t="s">
        <v>6132</v>
      </c>
      <c r="B131" s="48" t="s">
        <v>6509</v>
      </c>
      <c r="C131" s="73" t="s">
        <v>6510</v>
      </c>
      <c r="D131" s="37" t="s">
        <v>6511</v>
      </c>
      <c r="E131" s="37" t="s">
        <v>6512</v>
      </c>
      <c r="F131" s="152">
        <v>0.21</v>
      </c>
      <c r="G131" s="39" t="str">
        <f>IFERROR(VLOOKUP("SC11",STOCK!$B$1:$Q$5647,3,FALSE),"SIN STOCK")</f>
        <v>Mayor a 5</v>
      </c>
    </row>
    <row r="132" ht="15.75" customHeight="1">
      <c r="A132" s="41" t="s">
        <v>6132</v>
      </c>
      <c r="B132" s="42" t="s">
        <v>6513</v>
      </c>
      <c r="C132" s="72" t="s">
        <v>6514</v>
      </c>
      <c r="D132" s="44" t="s">
        <v>6515</v>
      </c>
      <c r="E132" s="44" t="s">
        <v>6516</v>
      </c>
      <c r="F132" s="45">
        <v>0.21</v>
      </c>
      <c r="G132" s="39" t="str">
        <f>IFERROR(VLOOKUP("VXLR",STOCK!$B$1:$Q$5647,3,FALSE),"SIN STOCK")</f>
        <v>Mayor a 5</v>
      </c>
    </row>
    <row r="133" ht="15.75" customHeight="1">
      <c r="A133" s="47" t="s">
        <v>6132</v>
      </c>
      <c r="B133" s="48" t="s">
        <v>6517</v>
      </c>
      <c r="C133" s="73" t="s">
        <v>6518</v>
      </c>
      <c r="D133" s="37" t="s">
        <v>6519</v>
      </c>
      <c r="E133" s="37" t="s">
        <v>6520</v>
      </c>
      <c r="F133" s="152">
        <v>0.21</v>
      </c>
      <c r="G133" s="50" t="str">
        <f>IFERROR(VLOOKUP("VXLR+",STOCK!$B$1:$Q$5647,3,FALSE),"SIN STOCK")</f>
        <v>SIN STOCK</v>
      </c>
    </row>
    <row r="134" ht="15.75" customHeight="1">
      <c r="A134" s="41" t="s">
        <v>6132</v>
      </c>
      <c r="B134" s="42" t="s">
        <v>6521</v>
      </c>
      <c r="C134" s="72" t="s">
        <v>6522</v>
      </c>
      <c r="D134" s="44" t="s">
        <v>6523</v>
      </c>
      <c r="E134" s="44" t="s">
        <v>6524</v>
      </c>
      <c r="F134" s="45">
        <v>0.21</v>
      </c>
      <c r="G134" s="50" t="str">
        <f>IFERROR(VLOOKUP("VXLRPRO",STOCK!$B$1:$Q$5647,3,FALSE),"SIN STOCK")</f>
        <v>SIN STOCK</v>
      </c>
    </row>
    <row r="135" ht="15.75" customHeight="1">
      <c r="A135" s="29" t="s">
        <v>6525</v>
      </c>
      <c r="C135" s="301"/>
      <c r="D135" s="55"/>
      <c r="E135" s="55"/>
      <c r="F135" s="114"/>
      <c r="G135" s="32"/>
    </row>
    <row r="136" ht="15.75" customHeight="1">
      <c r="A136" s="41" t="s">
        <v>6132</v>
      </c>
      <c r="B136" s="42" t="s">
        <v>6526</v>
      </c>
      <c r="C136" s="72" t="s">
        <v>6527</v>
      </c>
      <c r="D136" s="44" t="s">
        <v>6528</v>
      </c>
      <c r="E136" s="44" t="s">
        <v>6529</v>
      </c>
      <c r="F136" s="45">
        <v>0.21</v>
      </c>
      <c r="G136" s="39" t="str">
        <f>IFERROR(VLOOKUP("BOOMPOLE",STOCK!$B$1:$Q$5647,3,FALSE),"SIN STOCK")</f>
        <v>Mayor a 5</v>
      </c>
    </row>
    <row r="137" ht="15.75" customHeight="1">
      <c r="A137" s="47" t="s">
        <v>6132</v>
      </c>
      <c r="B137" s="48" t="s">
        <v>6530</v>
      </c>
      <c r="C137" s="73" t="s">
        <v>6531</v>
      </c>
      <c r="D137" s="37" t="s">
        <v>6482</v>
      </c>
      <c r="E137" s="37" t="s">
        <v>6483</v>
      </c>
      <c r="F137" s="152">
        <v>0.21</v>
      </c>
      <c r="G137" s="50" t="str">
        <f>IFERROR(VLOOKUP("BOOMPOLECLIPS",STOCK!$B$1:$Q$5647,3,FALSE),"SIN STOCK")</f>
        <v>SIN STOCK</v>
      </c>
    </row>
    <row r="138" ht="15.75" customHeight="1">
      <c r="A138" s="41" t="s">
        <v>6132</v>
      </c>
      <c r="B138" s="42" t="s">
        <v>6532</v>
      </c>
      <c r="C138" s="72" t="s">
        <v>6533</v>
      </c>
      <c r="D138" s="44" t="s">
        <v>6534</v>
      </c>
      <c r="E138" s="44" t="s">
        <v>6535</v>
      </c>
      <c r="F138" s="45">
        <v>0.21</v>
      </c>
      <c r="G138" s="50" t="str">
        <f>IFERROR(VLOOKUP("BOOMPOLEMICRO",STOCK!$B$1:$Q$5647,3,FALSE),"SIN STOCK")</f>
        <v>SIN STOCK</v>
      </c>
    </row>
    <row r="139" ht="15.75" customHeight="1">
      <c r="A139" s="47" t="s">
        <v>6132</v>
      </c>
      <c r="B139" s="48" t="s">
        <v>6536</v>
      </c>
      <c r="C139" s="73" t="s">
        <v>6537</v>
      </c>
      <c r="D139" s="37" t="s">
        <v>6538</v>
      </c>
      <c r="E139" s="37" t="s">
        <v>6539</v>
      </c>
      <c r="F139" s="152">
        <v>0.21</v>
      </c>
      <c r="G139" s="50" t="str">
        <f>IFERROR(VLOOKUP("BOOMPOLEMICROP",STOCK!$B$1:$Q$5647,3,FALSE),"SIN STOCK")</f>
        <v>SIN STOCK</v>
      </c>
    </row>
    <row r="140" ht="15.75" customHeight="1">
      <c r="A140" s="41" t="s">
        <v>6132</v>
      </c>
      <c r="B140" s="42" t="s">
        <v>6540</v>
      </c>
      <c r="C140" s="72" t="s">
        <v>6541</v>
      </c>
      <c r="D140" s="44" t="s">
        <v>6538</v>
      </c>
      <c r="E140" s="44" t="s">
        <v>6539</v>
      </c>
      <c r="F140" s="45">
        <v>0.21</v>
      </c>
      <c r="G140" s="50" t="str">
        <f>IFERROR(VLOOKUP("BOOMPOLEMINI",STOCK!$B$1:$Q$5647,3,FALSE),"SIN STOCK")</f>
        <v>SIN STOCK</v>
      </c>
    </row>
    <row r="141" ht="15.75" customHeight="1">
      <c r="A141" s="47" t="s">
        <v>6132</v>
      </c>
      <c r="B141" s="48" t="s">
        <v>6542</v>
      </c>
      <c r="C141" s="73" t="s">
        <v>6543</v>
      </c>
      <c r="D141" s="37" t="s">
        <v>6544</v>
      </c>
      <c r="E141" s="37" t="s">
        <v>6545</v>
      </c>
      <c r="F141" s="152">
        <v>0.21</v>
      </c>
      <c r="G141" s="39" t="str">
        <f>IFERROR(VLOOKUP("BOOMPOLEPRO",STOCK!$B$1:$Q$5647,3,FALSE),"SIN STOCK")</f>
        <v>Mayor a 5</v>
      </c>
    </row>
    <row r="142" ht="15.75" customHeight="1">
      <c r="A142" s="29" t="s">
        <v>6546</v>
      </c>
      <c r="C142" s="301"/>
      <c r="D142" s="55"/>
      <c r="E142" s="55"/>
      <c r="F142" s="114"/>
      <c r="G142" s="32"/>
    </row>
    <row r="143" ht="15.75" customHeight="1">
      <c r="A143" s="41" t="s">
        <v>6132</v>
      </c>
      <c r="B143" s="42" t="s">
        <v>6547</v>
      </c>
      <c r="C143" s="72" t="s">
        <v>6548</v>
      </c>
      <c r="D143" s="44" t="s">
        <v>3275</v>
      </c>
      <c r="E143" s="44" t="s">
        <v>3276</v>
      </c>
      <c r="F143" s="45">
        <v>0.21</v>
      </c>
      <c r="G143" s="50" t="str">
        <f>IFERROR(VLOOKUP("XLR3M",STOCK!$B$1:$Q$5647,3,FALSE),"SIN STOCK")</f>
        <v>SIN STOCK</v>
      </c>
    </row>
    <row r="144" ht="15.75" customHeight="1">
      <c r="A144" s="47" t="s">
        <v>6132</v>
      </c>
      <c r="B144" s="48" t="s">
        <v>6549</v>
      </c>
      <c r="C144" s="73" t="s">
        <v>6550</v>
      </c>
      <c r="D144" s="37" t="s">
        <v>3275</v>
      </c>
      <c r="E144" s="37" t="s">
        <v>3276</v>
      </c>
      <c r="F144" s="152">
        <v>0.21</v>
      </c>
      <c r="G144" s="50" t="str">
        <f>IFERROR(VLOOKUP("XLR3M-B",STOCK!$B$1:$Q$5647,3,FALSE),"SIN STOCK")</f>
        <v>SIN STOCK</v>
      </c>
    </row>
    <row r="145" ht="15.75" customHeight="1">
      <c r="A145" s="41" t="s">
        <v>6132</v>
      </c>
      <c r="B145" s="42" t="s">
        <v>6551</v>
      </c>
      <c r="C145" s="72" t="s">
        <v>6552</v>
      </c>
      <c r="D145" s="44" t="s">
        <v>3275</v>
      </c>
      <c r="E145" s="44" t="s">
        <v>3276</v>
      </c>
      <c r="F145" s="45">
        <v>0.21</v>
      </c>
      <c r="G145" s="50" t="str">
        <f>IFERROR(VLOOKUP("XLR3M-G",STOCK!$B$1:$Q$5647,3,FALSE),"SIN STOCK")</f>
        <v>SIN STOCK</v>
      </c>
    </row>
    <row r="146" ht="15.75" customHeight="1">
      <c r="A146" s="47" t="s">
        <v>6132</v>
      </c>
      <c r="B146" s="48" t="s">
        <v>6553</v>
      </c>
      <c r="C146" s="73" t="s">
        <v>6554</v>
      </c>
      <c r="D146" s="37" t="s">
        <v>3275</v>
      </c>
      <c r="E146" s="37" t="s">
        <v>3276</v>
      </c>
      <c r="F146" s="152">
        <v>0.21</v>
      </c>
      <c r="G146" s="50" t="str">
        <f>IFERROR(VLOOKUP("XLR3M-O",STOCK!$B$1:$Q$5647,3,FALSE),"SIN STOCK")</f>
        <v>SIN STOCK</v>
      </c>
    </row>
    <row r="147" ht="15.75" customHeight="1">
      <c r="A147" s="41" t="s">
        <v>6132</v>
      </c>
      <c r="B147" s="42" t="s">
        <v>6555</v>
      </c>
      <c r="C147" s="72" t="s">
        <v>6556</v>
      </c>
      <c r="D147" s="44" t="s">
        <v>3275</v>
      </c>
      <c r="E147" s="44" t="s">
        <v>3276</v>
      </c>
      <c r="F147" s="45">
        <v>0.21</v>
      </c>
      <c r="G147" s="50" t="str">
        <f>IFERROR(VLOOKUP("XLR3M-P",STOCK!$B$1:$Q$5647,3,FALSE),"SIN STOCK")</f>
        <v>SIN STOCK</v>
      </c>
    </row>
    <row r="148" ht="15.75" customHeight="1">
      <c r="A148" s="47" t="s">
        <v>6132</v>
      </c>
      <c r="B148" s="48" t="s">
        <v>6557</v>
      </c>
      <c r="C148" s="73" t="s">
        <v>6558</v>
      </c>
      <c r="D148" s="37" t="s">
        <v>3275</v>
      </c>
      <c r="E148" s="37" t="s">
        <v>3276</v>
      </c>
      <c r="F148" s="152">
        <v>0.21</v>
      </c>
      <c r="G148" s="50" t="str">
        <f>IFERROR(VLOOKUP("XLR3M-PU",STOCK!$B$1:$Q$5647,3,FALSE),"SIN STOCK")</f>
        <v>SIN STOCK</v>
      </c>
    </row>
    <row r="149" ht="15.75" customHeight="1">
      <c r="A149" s="41" t="s">
        <v>6132</v>
      </c>
      <c r="B149" s="42" t="s">
        <v>6559</v>
      </c>
      <c r="C149" s="72" t="s">
        <v>6560</v>
      </c>
      <c r="D149" s="44" t="s">
        <v>3275</v>
      </c>
      <c r="E149" s="44" t="s">
        <v>3276</v>
      </c>
      <c r="F149" s="45">
        <v>0.21</v>
      </c>
      <c r="G149" s="50" t="str">
        <f>IFERROR(VLOOKUP("XLR3M-R",STOCK!$B$1:$Q$5647,3,FALSE),"SIN STOCK")</f>
        <v>SIN STOCK</v>
      </c>
    </row>
    <row r="150" ht="15.75" customHeight="1">
      <c r="A150" s="47" t="s">
        <v>6132</v>
      </c>
      <c r="B150" s="48" t="s">
        <v>6561</v>
      </c>
      <c r="C150" s="73" t="s">
        <v>6562</v>
      </c>
      <c r="D150" s="37" t="s">
        <v>6563</v>
      </c>
      <c r="E150" s="37" t="s">
        <v>6001</v>
      </c>
      <c r="F150" s="152">
        <v>0.21</v>
      </c>
      <c r="G150" s="50" t="str">
        <f>IFERROR(VLOOKUP("XLR6M",STOCK!$B$1:$Q$5647,3,FALSE),"SIN STOCK")</f>
        <v>SIN STOCK</v>
      </c>
    </row>
    <row r="151" ht="15.75" customHeight="1">
      <c r="A151" s="41" t="s">
        <v>6132</v>
      </c>
      <c r="B151" s="42" t="s">
        <v>6564</v>
      </c>
      <c r="C151" s="72" t="s">
        <v>6565</v>
      </c>
      <c r="D151" s="44" t="s">
        <v>6563</v>
      </c>
      <c r="E151" s="44" t="s">
        <v>6001</v>
      </c>
      <c r="F151" s="45">
        <v>0.21</v>
      </c>
      <c r="G151" s="50" t="str">
        <f>IFERROR(VLOOKUP("XLR6M-B",STOCK!$B$1:$Q$5647,3,FALSE),"SIN STOCK")</f>
        <v>SIN STOCK</v>
      </c>
    </row>
    <row r="152" ht="15.75" customHeight="1">
      <c r="A152" s="47" t="s">
        <v>6132</v>
      </c>
      <c r="B152" s="48" t="s">
        <v>6566</v>
      </c>
      <c r="C152" s="73" t="s">
        <v>6567</v>
      </c>
      <c r="D152" s="37" t="s">
        <v>6563</v>
      </c>
      <c r="E152" s="37" t="s">
        <v>6001</v>
      </c>
      <c r="F152" s="152">
        <v>0.21</v>
      </c>
      <c r="G152" s="50" t="str">
        <f>IFERROR(VLOOKUP("XLR6M-G",STOCK!$B$1:$Q$5647,3,FALSE),"SIN STOCK")</f>
        <v>SIN STOCK</v>
      </c>
    </row>
    <row r="153" ht="15.75" customHeight="1">
      <c r="A153" s="41" t="s">
        <v>6132</v>
      </c>
      <c r="B153" s="42" t="s">
        <v>6568</v>
      </c>
      <c r="C153" s="72" t="s">
        <v>6569</v>
      </c>
      <c r="D153" s="44" t="s">
        <v>6563</v>
      </c>
      <c r="E153" s="44" t="s">
        <v>6001</v>
      </c>
      <c r="F153" s="45">
        <v>0.21</v>
      </c>
      <c r="G153" s="50" t="str">
        <f>IFERROR(VLOOKUP("XLR6M-O",STOCK!$B$1:$Q$5647,3,FALSE),"SIN STOCK")</f>
        <v>SIN STOCK</v>
      </c>
    </row>
    <row r="154" ht="15.75" customHeight="1">
      <c r="A154" s="47" t="s">
        <v>6132</v>
      </c>
      <c r="B154" s="48" t="s">
        <v>6570</v>
      </c>
      <c r="C154" s="73" t="s">
        <v>6571</v>
      </c>
      <c r="D154" s="37" t="s">
        <v>6563</v>
      </c>
      <c r="E154" s="37" t="s">
        <v>6001</v>
      </c>
      <c r="F154" s="152">
        <v>0.21</v>
      </c>
      <c r="G154" s="50" t="str">
        <f>IFERROR(VLOOKUP("XLR6M-P",STOCK!$B$1:$Q$5647,3,FALSE),"SIN STOCK")</f>
        <v>SIN STOCK</v>
      </c>
    </row>
    <row r="155" ht="15.75" customHeight="1">
      <c r="A155" s="41" t="s">
        <v>6132</v>
      </c>
      <c r="B155" s="42" t="s">
        <v>6572</v>
      </c>
      <c r="C155" s="72" t="s">
        <v>6573</v>
      </c>
      <c r="D155" s="44" t="s">
        <v>6563</v>
      </c>
      <c r="E155" s="44" t="s">
        <v>6001</v>
      </c>
      <c r="F155" s="45">
        <v>0.21</v>
      </c>
      <c r="G155" s="50" t="str">
        <f>IFERROR(VLOOKUP("XLR6M-PU",STOCK!$B$1:$Q$5647,3,FALSE),"SIN STOCK")</f>
        <v>SIN STOCK</v>
      </c>
    </row>
    <row r="156" ht="15.75" customHeight="1">
      <c r="A156" s="47" t="s">
        <v>6132</v>
      </c>
      <c r="B156" s="48" t="s">
        <v>6574</v>
      </c>
      <c r="C156" s="73" t="s">
        <v>6575</v>
      </c>
      <c r="D156" s="37" t="s">
        <v>6563</v>
      </c>
      <c r="E156" s="37" t="s">
        <v>6001</v>
      </c>
      <c r="F156" s="152">
        <v>0.21</v>
      </c>
      <c r="G156" s="50" t="str">
        <f>IFERROR(VLOOKUP("XLR6M-R",STOCK!$B$1:$Q$5647,3,FALSE),"SIN STOCK")</f>
        <v>SIN STOCK</v>
      </c>
    </row>
    <row r="157" ht="15.75" customHeight="1">
      <c r="A157" s="29" t="s">
        <v>6576</v>
      </c>
      <c r="C157" s="301"/>
      <c r="D157" s="55"/>
      <c r="E157" s="55"/>
      <c r="F157" s="114"/>
      <c r="G157" s="32"/>
    </row>
    <row r="158" ht="15.75" customHeight="1">
      <c r="A158" s="41" t="s">
        <v>6132</v>
      </c>
      <c r="B158" s="42" t="s">
        <v>6577</v>
      </c>
      <c r="C158" s="72" t="s">
        <v>6578</v>
      </c>
      <c r="D158" s="44" t="s">
        <v>6478</v>
      </c>
      <c r="E158" s="44" t="s">
        <v>6479</v>
      </c>
      <c r="F158" s="45">
        <v>0.21</v>
      </c>
      <c r="G158" s="39" t="str">
        <f>IFERROR(VLOOKUP("COLORS1",STOCK!$B$1:$Q$5647,3,FALSE),"SIN STOCK")</f>
        <v>Mayor a 5</v>
      </c>
    </row>
    <row r="159" ht="15.75" customHeight="1">
      <c r="A159" s="47" t="s">
        <v>6132</v>
      </c>
      <c r="B159" s="48" t="s">
        <v>6579</v>
      </c>
      <c r="C159" s="73" t="s">
        <v>6580</v>
      </c>
      <c r="D159" s="37" t="s">
        <v>6581</v>
      </c>
      <c r="E159" s="37" t="s">
        <v>6582</v>
      </c>
      <c r="F159" s="152">
        <v>0.21</v>
      </c>
      <c r="G159" s="50" t="str">
        <f>IFERROR(VLOOKUP("COLORS2",STOCK!$B$1:$Q$5647,3,FALSE),"SIN STOCK")</f>
        <v>SIN STOCK</v>
      </c>
    </row>
    <row r="160" ht="15.75" customHeight="1">
      <c r="A160" s="41" t="s">
        <v>6132</v>
      </c>
      <c r="B160" s="42" t="s">
        <v>6583</v>
      </c>
      <c r="C160" s="72" t="s">
        <v>6584</v>
      </c>
      <c r="D160" s="44" t="s">
        <v>6585</v>
      </c>
      <c r="E160" s="44" t="s">
        <v>6586</v>
      </c>
      <c r="F160" s="45">
        <v>0.21</v>
      </c>
      <c r="G160" s="50" t="str">
        <f>IFERROR(VLOOKUP("COLORS3",STOCK!$B$1:$Q$5647,3,FALSE),"SIN STOCK")</f>
        <v>SIN STOCK</v>
      </c>
    </row>
    <row r="161" ht="15.75" customHeight="1">
      <c r="A161" s="47" t="s">
        <v>6132</v>
      </c>
      <c r="B161" s="48" t="s">
        <v>6587</v>
      </c>
      <c r="C161" s="73" t="s">
        <v>6588</v>
      </c>
      <c r="D161" s="37" t="s">
        <v>6589</v>
      </c>
      <c r="E161" s="37" t="s">
        <v>6590</v>
      </c>
      <c r="F161" s="152">
        <v>0.21</v>
      </c>
      <c r="G161" s="39" t="str">
        <f>IFERROR(VLOOKUP("DC-USB1",STOCK!$B$1:$Q$5647,3,FALSE),"SIN STOCK")</f>
        <v>Mayor a 5</v>
      </c>
    </row>
    <row r="162" ht="15.75" customHeight="1">
      <c r="A162" s="41" t="s">
        <v>6132</v>
      </c>
      <c r="B162" s="42" t="s">
        <v>6591</v>
      </c>
      <c r="C162" s="72" t="s">
        <v>6592</v>
      </c>
      <c r="D162" s="44" t="s">
        <v>6593</v>
      </c>
      <c r="E162" s="44" t="s">
        <v>6594</v>
      </c>
      <c r="F162" s="45">
        <v>0.21</v>
      </c>
      <c r="G162" s="50" t="str">
        <f>IFERROR(VLOOKUP("PG2RCABLE",STOCK!$B$1:$Q$5647,3,FALSE),"SIN STOCK")</f>
        <v>SIN STOCK</v>
      </c>
    </row>
    <row r="163" ht="15.75" customHeight="1">
      <c r="A163" s="47" t="s">
        <v>6132</v>
      </c>
      <c r="B163" s="48" t="s">
        <v>6595</v>
      </c>
      <c r="C163" s="73" t="s">
        <v>6596</v>
      </c>
      <c r="D163" s="37" t="s">
        <v>6597</v>
      </c>
      <c r="E163" s="37" t="s">
        <v>6598</v>
      </c>
      <c r="F163" s="152">
        <v>0.21</v>
      </c>
      <c r="G163" s="39" t="str">
        <f>IFERROR(VLOOKUP("VC1",STOCK!$B$1:$Q$5647,3,FALSE),"SIN STOCK")</f>
        <v>Mayor a 5</v>
      </c>
    </row>
    <row r="164" ht="15.75" customHeight="1">
      <c r="A164" s="41" t="s">
        <v>6132</v>
      </c>
      <c r="B164" s="42" t="s">
        <v>6599</v>
      </c>
      <c r="C164" s="72" t="s">
        <v>6600</v>
      </c>
      <c r="D164" s="44" t="s">
        <v>6601</v>
      </c>
      <c r="E164" s="44" t="s">
        <v>6602</v>
      </c>
      <c r="F164" s="45">
        <v>0.21</v>
      </c>
      <c r="G164" s="39" t="str">
        <f>IFERROR(VLOOKUP("XLR-ID",STOCK!$B$1:$Q$5647,3,FALSE),"SIN STOCK")</f>
        <v>Mayor a 5</v>
      </c>
    </row>
    <row r="165" ht="15.75" customHeight="1">
      <c r="A165" s="29" t="s">
        <v>6603</v>
      </c>
      <c r="C165" s="301"/>
      <c r="D165" s="55"/>
      <c r="E165" s="55"/>
      <c r="F165" s="114"/>
      <c r="G165" s="32"/>
    </row>
    <row r="166" ht="15.75" customHeight="1">
      <c r="A166" s="41" t="s">
        <v>6132</v>
      </c>
      <c r="B166" s="42" t="s">
        <v>6604</v>
      </c>
      <c r="C166" s="72" t="s">
        <v>6605</v>
      </c>
      <c r="D166" s="44" t="s">
        <v>6507</v>
      </c>
      <c r="E166" s="44" t="s">
        <v>6508</v>
      </c>
      <c r="F166" s="45">
        <v>0.21</v>
      </c>
      <c r="G166" s="50" t="str">
        <f>IFERROR(VLOOKUP("SC15",STOCK!$B$1:$Q$5647,3,FALSE),"SIN STOCK")</f>
        <v>SIN STOCK</v>
      </c>
    </row>
    <row r="167" ht="15.75" customHeight="1">
      <c r="A167" s="47" t="s">
        <v>6132</v>
      </c>
      <c r="B167" s="48" t="s">
        <v>6606</v>
      </c>
      <c r="C167" s="73" t="s">
        <v>6607</v>
      </c>
      <c r="D167" s="37" t="s">
        <v>6490</v>
      </c>
      <c r="E167" s="37" t="s">
        <v>6491</v>
      </c>
      <c r="F167" s="152">
        <v>0.21</v>
      </c>
      <c r="G167" s="53" t="str">
        <f>IFERROR(VLOOKUP("SC16",STOCK!$B$1:$Q$5647,3,FALSE),"SIN STOCK")</f>
        <v>Mayor a 5</v>
      </c>
    </row>
    <row r="168" ht="15.75" customHeight="1">
      <c r="A168" s="41" t="s">
        <v>6132</v>
      </c>
      <c r="B168" s="42" t="s">
        <v>6608</v>
      </c>
      <c r="C168" s="72" t="s">
        <v>6609</v>
      </c>
      <c r="D168" s="44" t="s">
        <v>6478</v>
      </c>
      <c r="E168" s="44" t="s">
        <v>6479</v>
      </c>
      <c r="F168" s="45">
        <v>0.21</v>
      </c>
      <c r="G168" s="50" t="str">
        <f>IFERROR(VLOOKUP("SC17",STOCK!$B$1:$Q$5647,3,FALSE),"SIN STOCK")</f>
        <v>SIN STOCK</v>
      </c>
    </row>
    <row r="169" ht="15.75" customHeight="1">
      <c r="A169" s="47" t="s">
        <v>6132</v>
      </c>
      <c r="B169" s="48" t="s">
        <v>6610</v>
      </c>
      <c r="C169" s="73" t="s">
        <v>6611</v>
      </c>
      <c r="D169" s="37" t="s">
        <v>6490</v>
      </c>
      <c r="E169" s="37" t="s">
        <v>6491</v>
      </c>
      <c r="F169" s="152">
        <v>0.21</v>
      </c>
      <c r="G169" s="39" t="str">
        <f>IFERROR(VLOOKUP("SC18",STOCK!$B$1:$Q$5647,3,FALSE),"SIN STOCK")</f>
        <v>Mayor a 5</v>
      </c>
    </row>
    <row r="170" ht="15.75" customHeight="1">
      <c r="A170" s="41" t="s">
        <v>6132</v>
      </c>
      <c r="B170" s="42" t="s">
        <v>6612</v>
      </c>
      <c r="C170" s="72" t="s">
        <v>6613</v>
      </c>
      <c r="D170" s="44" t="s">
        <v>6519</v>
      </c>
      <c r="E170" s="44" t="s">
        <v>6520</v>
      </c>
      <c r="F170" s="45">
        <v>0.21</v>
      </c>
      <c r="G170" s="50" t="str">
        <f>IFERROR(VLOOKUP("SC21",STOCK!$B$1:$Q$5647,3,FALSE),"SIN STOCK")</f>
        <v>SIN STOCK</v>
      </c>
    </row>
    <row r="171" ht="15.75" customHeight="1">
      <c r="A171" s="47" t="s">
        <v>6132</v>
      </c>
      <c r="B171" s="48" t="s">
        <v>6614</v>
      </c>
      <c r="C171" s="73" t="s">
        <v>6615</v>
      </c>
      <c r="D171" s="37" t="s">
        <v>6490</v>
      </c>
      <c r="E171" s="37" t="s">
        <v>6491</v>
      </c>
      <c r="F171" s="152">
        <v>0.21</v>
      </c>
      <c r="G171" s="50" t="str">
        <f>IFERROR(VLOOKUP("SC22",STOCK!$B$1:$Q$5647,3,FALSE),"SIN STOCK")</f>
        <v>SIN STOCK</v>
      </c>
    </row>
    <row r="172" ht="15.75" customHeight="1">
      <c r="A172" s="41" t="s">
        <v>6132</v>
      </c>
      <c r="B172" s="42" t="s">
        <v>6616</v>
      </c>
      <c r="C172" s="72" t="s">
        <v>6617</v>
      </c>
      <c r="D172" s="44" t="s">
        <v>6618</v>
      </c>
      <c r="E172" s="44" t="s">
        <v>6619</v>
      </c>
      <c r="F172" s="45">
        <v>0.21</v>
      </c>
      <c r="G172" s="53" t="str">
        <f>IFERROR(VLOOKUP("SC19",STOCK!$B$1:$Q$5647,3,FALSE),"SIN STOCK")</f>
        <v>Menor a 5</v>
      </c>
    </row>
    <row r="173" ht="15.75" customHeight="1">
      <c r="A173" s="29" t="s">
        <v>6620</v>
      </c>
      <c r="C173" s="301"/>
      <c r="D173" s="55"/>
      <c r="E173" s="55"/>
      <c r="F173" s="114"/>
      <c r="G173" s="32"/>
    </row>
    <row r="174" ht="15.75" customHeight="1">
      <c r="A174" s="41" t="s">
        <v>6132</v>
      </c>
      <c r="B174" s="42" t="s">
        <v>6621</v>
      </c>
      <c r="C174" s="72" t="s">
        <v>6622</v>
      </c>
      <c r="D174" s="44" t="s">
        <v>6623</v>
      </c>
      <c r="E174" s="44" t="s">
        <v>6624</v>
      </c>
      <c r="F174" s="45">
        <v>0.21</v>
      </c>
      <c r="G174" s="50" t="str">
        <f>IFERROR(VLOOKUP("CLIP1",STOCK!$B$1:$Q$5647,3,FALSE),"SIN STOCK")</f>
        <v>SIN STOCK</v>
      </c>
    </row>
    <row r="175" ht="15.75" customHeight="1">
      <c r="A175" s="47" t="s">
        <v>6132</v>
      </c>
      <c r="B175" s="48" t="s">
        <v>6625</v>
      </c>
      <c r="C175" s="73" t="s">
        <v>6626</v>
      </c>
      <c r="D175" s="37" t="s">
        <v>6618</v>
      </c>
      <c r="E175" s="37" t="s">
        <v>6619</v>
      </c>
      <c r="F175" s="152">
        <v>0.21</v>
      </c>
      <c r="G175" s="50" t="str">
        <f>IFERROR(VLOOKUP("LAVCLIP",STOCK!$B$1:$Q$5647,3,FALSE),"SIN STOCK")</f>
        <v>SIN STOCK</v>
      </c>
    </row>
    <row r="176" ht="15.75" customHeight="1">
      <c r="A176" s="41" t="s">
        <v>6132</v>
      </c>
      <c r="B176" s="42" t="s">
        <v>6627</v>
      </c>
      <c r="C176" s="72" t="s">
        <v>6628</v>
      </c>
      <c r="D176" s="44" t="s">
        <v>6482</v>
      </c>
      <c r="E176" s="44" t="s">
        <v>6483</v>
      </c>
      <c r="F176" s="45">
        <v>0.21</v>
      </c>
      <c r="G176" s="50" t="str">
        <f>IFERROR(VLOOKUP("VAMPIRECLIP",STOCK!$B$1:$Q$5647,3,FALSE),"SIN STOCK")</f>
        <v>SIN STOCK</v>
      </c>
    </row>
    <row r="177" ht="15.75" customHeight="1">
      <c r="A177" s="29" t="s">
        <v>6629</v>
      </c>
      <c r="C177" s="301"/>
      <c r="D177" s="55"/>
      <c r="E177" s="55"/>
      <c r="F177" s="114"/>
      <c r="G177" s="32"/>
    </row>
    <row r="178" ht="15.75" customHeight="1">
      <c r="A178" s="41" t="s">
        <v>6132</v>
      </c>
      <c r="B178" s="42" t="s">
        <v>6630</v>
      </c>
      <c r="C178" s="72" t="s">
        <v>6631</v>
      </c>
      <c r="D178" s="44" t="s">
        <v>6632</v>
      </c>
      <c r="E178" s="44" t="s">
        <v>6633</v>
      </c>
      <c r="F178" s="45">
        <v>0.21</v>
      </c>
      <c r="G178" s="39" t="str">
        <f>IFERROR(VLOOKUP("MICON1",STOCK!$B$1:$Q$5647,3,FALSE),"SIN STOCK")</f>
        <v>Mayor a 5</v>
      </c>
    </row>
    <row r="179" ht="15.75" customHeight="1">
      <c r="A179" s="47" t="s">
        <v>6132</v>
      </c>
      <c r="B179" s="48" t="s">
        <v>6634</v>
      </c>
      <c r="C179" s="73" t="s">
        <v>6635</v>
      </c>
      <c r="D179" s="37" t="s">
        <v>6636</v>
      </c>
      <c r="E179" s="37" t="s">
        <v>6637</v>
      </c>
      <c r="F179" s="152">
        <v>0.21</v>
      </c>
      <c r="G179" s="50" t="str">
        <f>IFERROR(VLOOKUP("MICON10",STOCK!$B$1:$Q$5647,3,FALSE),"SIN STOCK")</f>
        <v>SIN STOCK</v>
      </c>
    </row>
    <row r="180" ht="15.75" customHeight="1">
      <c r="A180" s="41" t="s">
        <v>6132</v>
      </c>
      <c r="B180" s="42" t="s">
        <v>6638</v>
      </c>
      <c r="C180" s="72" t="s">
        <v>6639</v>
      </c>
      <c r="D180" s="44" t="s">
        <v>6636</v>
      </c>
      <c r="E180" s="44" t="s">
        <v>6637</v>
      </c>
      <c r="F180" s="45">
        <v>0.21</v>
      </c>
      <c r="G180" s="39" t="str">
        <f>IFERROR(VLOOKUP("MICON11",STOCK!$B$1:$Q$5647,3,FALSE),"SIN STOCK")</f>
        <v>Mayor a 5</v>
      </c>
    </row>
    <row r="181" ht="15.75" customHeight="1">
      <c r="A181" s="47" t="s">
        <v>6132</v>
      </c>
      <c r="B181" s="48" t="s">
        <v>6640</v>
      </c>
      <c r="C181" s="73" t="s">
        <v>6641</v>
      </c>
      <c r="D181" s="37" t="s">
        <v>6632</v>
      </c>
      <c r="E181" s="37" t="s">
        <v>6633</v>
      </c>
      <c r="F181" s="152">
        <v>0.21</v>
      </c>
      <c r="G181" s="39" t="str">
        <f>IFERROR(VLOOKUP("MICON2",STOCK!$B$1:$Q$5647,3,FALSE),"SIN STOCK")</f>
        <v>Mayor a 5</v>
      </c>
    </row>
    <row r="182" ht="15.75" customHeight="1">
      <c r="A182" s="41" t="s">
        <v>6132</v>
      </c>
      <c r="B182" s="42" t="s">
        <v>6642</v>
      </c>
      <c r="C182" s="72" t="s">
        <v>6643</v>
      </c>
      <c r="D182" s="44" t="s">
        <v>6636</v>
      </c>
      <c r="E182" s="44" t="s">
        <v>6637</v>
      </c>
      <c r="F182" s="45">
        <v>0.21</v>
      </c>
      <c r="G182" s="39" t="str">
        <f>IFERROR(VLOOKUP("MICON3",STOCK!$B$1:$Q$5647,3,FALSE),"SIN STOCK")</f>
        <v>Mayor a 5</v>
      </c>
    </row>
    <row r="183" ht="15.75" customHeight="1">
      <c r="A183" s="47" t="s">
        <v>6132</v>
      </c>
      <c r="B183" s="48" t="s">
        <v>6644</v>
      </c>
      <c r="C183" s="73" t="s">
        <v>6645</v>
      </c>
      <c r="D183" s="37" t="s">
        <v>6646</v>
      </c>
      <c r="E183" s="37" t="s">
        <v>6647</v>
      </c>
      <c r="F183" s="152">
        <v>0.21</v>
      </c>
      <c r="G183" s="50" t="str">
        <f>IFERROR(VLOOKUP("MICON4",STOCK!$B$1:$Q$5647,3,FALSE),"SIN STOCK")</f>
        <v>SIN STOCK</v>
      </c>
    </row>
    <row r="184" ht="15.75" customHeight="1">
      <c r="A184" s="41" t="s">
        <v>6132</v>
      </c>
      <c r="B184" s="42" t="s">
        <v>6648</v>
      </c>
      <c r="C184" s="72" t="s">
        <v>6649</v>
      </c>
      <c r="D184" s="44" t="s">
        <v>6646</v>
      </c>
      <c r="E184" s="44" t="s">
        <v>6647</v>
      </c>
      <c r="F184" s="45">
        <v>0.21</v>
      </c>
      <c r="G184" s="50" t="str">
        <f>IFERROR(VLOOKUP("MICON5",STOCK!$B$1:$Q$5647,3,FALSE),"SIN STOCK")</f>
        <v>SIN STOCK</v>
      </c>
    </row>
    <row r="185" ht="15.75" customHeight="1">
      <c r="A185" s="47" t="s">
        <v>6132</v>
      </c>
      <c r="B185" s="48" t="s">
        <v>6650</v>
      </c>
      <c r="C185" s="73" t="s">
        <v>6651</v>
      </c>
      <c r="D185" s="37" t="s">
        <v>6636</v>
      </c>
      <c r="E185" s="37" t="s">
        <v>6637</v>
      </c>
      <c r="F185" s="152">
        <v>0.21</v>
      </c>
      <c r="G185" s="50" t="str">
        <f>IFERROR(VLOOKUP("MICON6",STOCK!$B$1:$Q$5647,3,FALSE),"SIN STOCK")</f>
        <v>SIN STOCK</v>
      </c>
    </row>
    <row r="186" ht="15.75" customHeight="1">
      <c r="A186" s="41" t="s">
        <v>6132</v>
      </c>
      <c r="B186" s="42" t="s">
        <v>6652</v>
      </c>
      <c r="C186" s="72" t="s">
        <v>6653</v>
      </c>
      <c r="D186" s="44" t="s">
        <v>6636</v>
      </c>
      <c r="E186" s="44" t="s">
        <v>6637</v>
      </c>
      <c r="F186" s="45">
        <v>0.21</v>
      </c>
      <c r="G186" s="50" t="str">
        <f>IFERROR(VLOOKUP("MICON7",STOCK!$B$1:$Q$5647,3,FALSE),"SIN STOCK")</f>
        <v>SIN STOCK</v>
      </c>
    </row>
    <row r="187" ht="15.75" customHeight="1">
      <c r="A187" s="47" t="s">
        <v>6132</v>
      </c>
      <c r="B187" s="48" t="s">
        <v>6654</v>
      </c>
      <c r="C187" s="73" t="s">
        <v>6655</v>
      </c>
      <c r="D187" s="37" t="s">
        <v>6632</v>
      </c>
      <c r="E187" s="37" t="s">
        <v>6633</v>
      </c>
      <c r="F187" s="152">
        <v>0.21</v>
      </c>
      <c r="G187" s="50" t="str">
        <f>IFERROR(VLOOKUP("MICON8",STOCK!$B$1:$Q$5647,3,FALSE),"SIN STOCK")</f>
        <v>SIN STOCK</v>
      </c>
    </row>
    <row r="188" ht="15.75" customHeight="1">
      <c r="A188" s="41" t="s">
        <v>6132</v>
      </c>
      <c r="B188" s="42" t="s">
        <v>6656</v>
      </c>
      <c r="C188" s="72" t="s">
        <v>6657</v>
      </c>
      <c r="D188" s="44" t="s">
        <v>6658</v>
      </c>
      <c r="E188" s="44" t="s">
        <v>6659</v>
      </c>
      <c r="F188" s="45">
        <v>0.21</v>
      </c>
      <c r="G188" s="50" t="str">
        <f>IFERROR(VLOOKUP("MICON9",STOCK!$B$1:$Q$5647,3,FALSE),"SIN STOCK")</f>
        <v>SIN STOCK</v>
      </c>
    </row>
    <row r="189" ht="15.75" customHeight="1">
      <c r="A189" s="47" t="s">
        <v>6132</v>
      </c>
      <c r="B189" s="48" t="s">
        <v>6660</v>
      </c>
      <c r="C189" s="73" t="s">
        <v>6661</v>
      </c>
      <c r="D189" s="37" t="s">
        <v>6662</v>
      </c>
      <c r="E189" s="37" t="s">
        <v>6663</v>
      </c>
      <c r="F189" s="152">
        <v>0.21</v>
      </c>
      <c r="G189" s="50" t="str">
        <f>IFERROR(VLOOKUP("MICONCABLE3M",STOCK!$B$1:$Q$5647,3,FALSE),"SIN STOCK")</f>
        <v>SIN STOCK</v>
      </c>
    </row>
    <row r="190" ht="15.75" customHeight="1">
      <c r="A190" s="41" t="s">
        <v>6132</v>
      </c>
      <c r="B190" s="42" t="s">
        <v>6664</v>
      </c>
      <c r="C190" s="72" t="s">
        <v>6665</v>
      </c>
      <c r="D190" s="44" t="s">
        <v>6666</v>
      </c>
      <c r="E190" s="44" t="s">
        <v>6667</v>
      </c>
      <c r="F190" s="45">
        <v>0.21</v>
      </c>
      <c r="G190" s="39" t="str">
        <f>IFERROR(VLOOKUP("MICONCABLEB",STOCK!$B$1:$Q$5647,3,FALSE),"SIN STOCK")</f>
        <v>Mayor a 5</v>
      </c>
    </row>
    <row r="191" ht="15.75" customHeight="1">
      <c r="A191" s="47" t="s">
        <v>6132</v>
      </c>
      <c r="B191" s="48" t="s">
        <v>6668</v>
      </c>
      <c r="C191" s="73" t="s">
        <v>6669</v>
      </c>
      <c r="D191" s="37" t="s">
        <v>6666</v>
      </c>
      <c r="E191" s="37" t="s">
        <v>6667</v>
      </c>
      <c r="F191" s="152">
        <v>0.21</v>
      </c>
      <c r="G191" s="39" t="str">
        <f>IFERROR(VLOOKUP("MICONCABLEP",STOCK!$B$1:$Q$5647,3,FALSE),"SIN STOCK")</f>
        <v>Mayor a 5</v>
      </c>
    </row>
    <row r="192" ht="15.75" customHeight="1">
      <c r="A192" s="29" t="s">
        <v>6670</v>
      </c>
      <c r="C192" s="301"/>
      <c r="D192" s="55"/>
      <c r="E192" s="55"/>
      <c r="F192" s="114"/>
      <c r="G192" s="32"/>
    </row>
    <row r="193" ht="15.75" customHeight="1">
      <c r="A193" s="41" t="s">
        <v>6132</v>
      </c>
      <c r="B193" s="42" t="s">
        <v>6671</v>
      </c>
      <c r="C193" s="72" t="s">
        <v>6672</v>
      </c>
      <c r="D193" s="44" t="s">
        <v>6597</v>
      </c>
      <c r="E193" s="44" t="s">
        <v>6598</v>
      </c>
      <c r="F193" s="45">
        <v>0.21</v>
      </c>
      <c r="G193" s="50" t="str">
        <f>IFERROR(VLOOKUP("RM1",STOCK!$B$1:$Q$5647,3,FALSE),"SIN STOCK")</f>
        <v>SIN STOCK</v>
      </c>
    </row>
    <row r="194" ht="15.75" customHeight="1">
      <c r="A194" s="47" t="s">
        <v>6132</v>
      </c>
      <c r="B194" s="48" t="s">
        <v>6673</v>
      </c>
      <c r="C194" s="73" t="s">
        <v>6674</v>
      </c>
      <c r="D194" s="37" t="s">
        <v>6597</v>
      </c>
      <c r="E194" s="37" t="s">
        <v>6598</v>
      </c>
      <c r="F194" s="152">
        <v>0.21</v>
      </c>
      <c r="G194" s="39" t="str">
        <f>IFERROR(VLOOKUP("RM2",STOCK!$B$1:$Q$5647,3,FALSE),"SIN STOCK")</f>
        <v>Mayor a 5</v>
      </c>
    </row>
    <row r="195" ht="15.75" customHeight="1">
      <c r="A195" s="41" t="s">
        <v>6132</v>
      </c>
      <c r="B195" s="42" t="s">
        <v>6675</v>
      </c>
      <c r="C195" s="72" t="s">
        <v>6676</v>
      </c>
      <c r="D195" s="44" t="s">
        <v>6597</v>
      </c>
      <c r="E195" s="44" t="s">
        <v>6598</v>
      </c>
      <c r="F195" s="45">
        <v>0.21</v>
      </c>
      <c r="G195" s="248" t="str">
        <f>IFERROR(VLOOKUP("RM3",STOCK!$B$1:$Q$5647,3,FALSE),"SIN STOCK")</f>
        <v>Mayor a 5</v>
      </c>
    </row>
    <row r="196" ht="15.75" customHeight="1">
      <c r="A196" s="47" t="s">
        <v>6132</v>
      </c>
      <c r="B196" s="48" t="s">
        <v>5845</v>
      </c>
      <c r="C196" s="73" t="s">
        <v>6677</v>
      </c>
      <c r="D196" s="37" t="s">
        <v>6597</v>
      </c>
      <c r="E196" s="37" t="s">
        <v>6598</v>
      </c>
      <c r="F196" s="152">
        <v>0.21</v>
      </c>
      <c r="G196" s="320" t="str">
        <f>IFERROR(VLOOKUP("RM5",STOCK!$B$1:$Q$5647,3,FALSE),"SIN STOCK")</f>
        <v>Mayor a 5</v>
      </c>
    </row>
    <row r="197" ht="15.75" customHeight="1">
      <c r="A197" s="29" t="s">
        <v>6678</v>
      </c>
      <c r="C197" s="301"/>
      <c r="D197" s="55"/>
      <c r="E197" s="55"/>
      <c r="F197" s="114"/>
      <c r="G197" s="112"/>
    </row>
    <row r="198" ht="15.75" customHeight="1">
      <c r="A198" s="41" t="s">
        <v>6132</v>
      </c>
      <c r="B198" s="101" t="s">
        <v>6679</v>
      </c>
      <c r="C198" s="72" t="s">
        <v>6680</v>
      </c>
      <c r="D198" s="44" t="s">
        <v>6681</v>
      </c>
      <c r="E198" s="44" t="s">
        <v>6682</v>
      </c>
      <c r="F198" s="45">
        <v>0.21</v>
      </c>
      <c r="G198" s="321" t="str">
        <f>IFERROR(VLOOKUP("ADAPTERPIVOT",STOCK!$B$1:$Q$5647,3,FALSE),"SIN STOCK")</f>
        <v>SIN STOCK</v>
      </c>
    </row>
    <row r="199" ht="15.75" customHeight="1">
      <c r="A199" s="47" t="s">
        <v>6132</v>
      </c>
      <c r="B199" s="64" t="s">
        <v>6683</v>
      </c>
      <c r="C199" s="73" t="s">
        <v>6684</v>
      </c>
      <c r="D199" s="37" t="s">
        <v>6482</v>
      </c>
      <c r="E199" s="37" t="s">
        <v>6483</v>
      </c>
      <c r="F199" s="152">
        <v>0.21</v>
      </c>
      <c r="G199" s="321" t="str">
        <f>IFERROR(VLOOKUP("BLIMPMOUNT",STOCK!$B$1:$Q$5647,3,FALSE),"SIN STOCK")</f>
        <v>SIN STOCK</v>
      </c>
    </row>
    <row r="200" ht="15.75" customHeight="1">
      <c r="A200" s="41" t="s">
        <v>6132</v>
      </c>
      <c r="B200" s="101" t="s">
        <v>6685</v>
      </c>
      <c r="C200" s="72" t="s">
        <v>6686</v>
      </c>
      <c r="D200" s="44" t="s">
        <v>6687</v>
      </c>
      <c r="E200" s="44" t="s">
        <v>6688</v>
      </c>
      <c r="F200" s="45">
        <v>0.21</v>
      </c>
      <c r="G200" s="321" t="str">
        <f>IFERROR(VLOOKUP("DCS-1",STOCK!$B$1:$Q$5647,3,FALSE),"SIN STOCK")</f>
        <v>SIN STOCK</v>
      </c>
    </row>
    <row r="201" ht="15.75" customHeight="1">
      <c r="A201" s="47" t="s">
        <v>6132</v>
      </c>
      <c r="B201" s="64" t="s">
        <v>6689</v>
      </c>
      <c r="C201" s="73" t="s">
        <v>6690</v>
      </c>
      <c r="D201" s="37" t="s">
        <v>6623</v>
      </c>
      <c r="E201" s="37" t="s">
        <v>6624</v>
      </c>
      <c r="F201" s="152">
        <v>0.21</v>
      </c>
      <c r="G201" s="321" t="str">
        <f>IFERROR(VLOOKUP("GN1",STOCK!$B$1:$Q$5647,3,FALSE),"SIN STOCK")</f>
        <v>SIN STOCK</v>
      </c>
    </row>
    <row r="202" ht="15.75" customHeight="1">
      <c r="A202" s="41" t="s">
        <v>6132</v>
      </c>
      <c r="B202" s="101" t="s">
        <v>6691</v>
      </c>
      <c r="C202" s="72" t="s">
        <v>6692</v>
      </c>
      <c r="D202" s="44" t="s">
        <v>6519</v>
      </c>
      <c r="E202" s="44" t="s">
        <v>6520</v>
      </c>
      <c r="F202" s="45">
        <v>0.21</v>
      </c>
      <c r="G202" s="321" t="str">
        <f>IFERROR(VLOOKUP("INTERVIEWGO",STOCK!$B$1:$Q$5647,3,FALSE),"SIN STOCK")</f>
        <v>Mayor a 5</v>
      </c>
    </row>
    <row r="203" ht="15.75" customHeight="1">
      <c r="A203" s="47" t="s">
        <v>6132</v>
      </c>
      <c r="B203" s="64" t="s">
        <v>6693</v>
      </c>
      <c r="C203" s="73" t="s">
        <v>6694</v>
      </c>
      <c r="D203" s="37" t="s">
        <v>6534</v>
      </c>
      <c r="E203" s="37" t="s">
        <v>6535</v>
      </c>
      <c r="F203" s="152">
        <v>0.21</v>
      </c>
      <c r="G203" s="321" t="str">
        <f>IFERROR(VLOOKUP("INVISI10PK",STOCK!$B$1:$Q$5647,3,FALSE),"SIN STOCK")</f>
        <v>SIN STOCK</v>
      </c>
    </row>
    <row r="204" ht="15.75" customHeight="1">
      <c r="A204" s="41" t="s">
        <v>6132</v>
      </c>
      <c r="B204" s="101" t="s">
        <v>6695</v>
      </c>
      <c r="C204" s="72" t="s">
        <v>6696</v>
      </c>
      <c r="D204" s="44" t="s">
        <v>6478</v>
      </c>
      <c r="E204" s="44" t="s">
        <v>6479</v>
      </c>
      <c r="F204" s="45">
        <v>0.21</v>
      </c>
      <c r="G204" s="321" t="str">
        <f>IFERROR(VLOOKUP("INVISI3PK",STOCK!$B$1:$Q$5647,3,FALSE),"SIN STOCK")</f>
        <v>SIN STOCK</v>
      </c>
    </row>
    <row r="205" ht="15.75" customHeight="1">
      <c r="A205" s="47" t="s">
        <v>6132</v>
      </c>
      <c r="B205" s="64" t="s">
        <v>6697</v>
      </c>
      <c r="C205" s="73" t="s">
        <v>6698</v>
      </c>
      <c r="D205" s="37" t="s">
        <v>6519</v>
      </c>
      <c r="E205" s="37" t="s">
        <v>6520</v>
      </c>
      <c r="F205" s="152">
        <v>0.21</v>
      </c>
      <c r="G205" s="248" t="str">
        <f>IFERROR(VLOOKUP("LAVHSJR",STOCK!$B$1:$Q$5647,3,FALSE),"SIN STOCK")</f>
        <v>Mayor a 5</v>
      </c>
    </row>
    <row r="206" ht="15.75" customHeight="1">
      <c r="A206" s="41" t="s">
        <v>6132</v>
      </c>
      <c r="B206" s="101" t="s">
        <v>6699</v>
      </c>
      <c r="C206" s="72" t="s">
        <v>6700</v>
      </c>
      <c r="D206" s="44" t="s">
        <v>6519</v>
      </c>
      <c r="E206" s="44" t="s">
        <v>6520</v>
      </c>
      <c r="F206" s="45">
        <v>0.21</v>
      </c>
      <c r="G206" s="248" t="str">
        <f>IFERROR(VLOOKUP("LAVHSLG",STOCK!$B$1:$Q$5647,3,FALSE),"SIN STOCK")</f>
        <v>Mayor a 5</v>
      </c>
    </row>
    <row r="207" ht="15.75" customHeight="1">
      <c r="A207" s="47" t="s">
        <v>6132</v>
      </c>
      <c r="B207" s="64" t="s">
        <v>6701</v>
      </c>
      <c r="C207" s="73" t="s">
        <v>6702</v>
      </c>
      <c r="D207" s="37" t="s">
        <v>6519</v>
      </c>
      <c r="E207" s="37" t="s">
        <v>6520</v>
      </c>
      <c r="F207" s="152">
        <v>0.21</v>
      </c>
      <c r="G207" s="248" t="str">
        <f>IFERROR(VLOOKUP("LAVHSMED",STOCK!$B$1:$Q$5647,3,FALSE),"SIN STOCK")</f>
        <v>Mayor a 5</v>
      </c>
    </row>
    <row r="208" ht="15.75" customHeight="1">
      <c r="A208" s="41" t="s">
        <v>6132</v>
      </c>
      <c r="B208" s="101" t="s">
        <v>6703</v>
      </c>
      <c r="C208" s="72" t="s">
        <v>6704</v>
      </c>
      <c r="D208" s="44" t="s">
        <v>6705</v>
      </c>
      <c r="E208" s="44" t="s">
        <v>6706</v>
      </c>
      <c r="F208" s="45">
        <v>0.21</v>
      </c>
      <c r="G208" s="321" t="str">
        <f>IFERROR(VLOOKUP("FLEXCLIPGOB",STOCK!$B$1:$Q$5647,3,FALSE),"SIN STOCK")</f>
        <v>SIN STOCK</v>
      </c>
    </row>
    <row r="209" ht="15.75" customHeight="1">
      <c r="A209" s="47" t="s">
        <v>6132</v>
      </c>
      <c r="B209" s="48" t="s">
        <v>6707</v>
      </c>
      <c r="C209" s="73" t="s">
        <v>6708</v>
      </c>
      <c r="D209" s="37" t="s">
        <v>6687</v>
      </c>
      <c r="E209" s="37" t="s">
        <v>6688</v>
      </c>
      <c r="F209" s="152">
        <v>0.21</v>
      </c>
      <c r="G209" s="321" t="str">
        <f>IFERROR(VLOOKUP("MAGCLIPGO",STOCK!$B$1:$Q$5647,3,FALSE),"SIN STOCK")</f>
        <v>SIN STOCK</v>
      </c>
    </row>
    <row r="210" ht="15.75" customHeight="1">
      <c r="A210" s="41" t="s">
        <v>6132</v>
      </c>
      <c r="B210" s="42" t="s">
        <v>6709</v>
      </c>
      <c r="C210" s="72" t="s">
        <v>6710</v>
      </c>
      <c r="D210" s="44" t="s">
        <v>6490</v>
      </c>
      <c r="E210" s="44" t="s">
        <v>6491</v>
      </c>
      <c r="F210" s="45">
        <v>0.21</v>
      </c>
      <c r="G210" s="39" t="str">
        <f>IFERROR(VLOOKUP("PG1",STOCK!$B$1:$Q$5647,3,FALSE),"SIN STOCK")</f>
        <v>Mayor a 5</v>
      </c>
    </row>
    <row r="211" ht="15.75" customHeight="1">
      <c r="A211" s="47" t="s">
        <v>6132</v>
      </c>
      <c r="B211" s="48" t="s">
        <v>6711</v>
      </c>
      <c r="C211" s="73" t="s">
        <v>6712</v>
      </c>
      <c r="D211" s="37" t="s">
        <v>6713</v>
      </c>
      <c r="E211" s="37" t="s">
        <v>6714</v>
      </c>
      <c r="F211" s="152">
        <v>0.21</v>
      </c>
      <c r="G211" s="53" t="str">
        <f>IFERROR(VLOOKUP("PG2R",STOCK!$B$1:$Q$5647,3,FALSE),"SIN STOCK")</f>
        <v>Menor a 5</v>
      </c>
    </row>
    <row r="212" ht="15.75" customHeight="1">
      <c r="A212" s="41" t="s">
        <v>6132</v>
      </c>
      <c r="B212" s="42" t="s">
        <v>6715</v>
      </c>
      <c r="C212" s="72" t="s">
        <v>6716</v>
      </c>
      <c r="D212" s="44" t="s">
        <v>6717</v>
      </c>
      <c r="E212" s="44" t="s">
        <v>6718</v>
      </c>
      <c r="F212" s="45">
        <v>0.21</v>
      </c>
      <c r="G212" s="39" t="str">
        <f>IFERROR(VLOOKUP("STEREOBAR",STOCK!$B$1:$Q$5647,3,FALSE),"SIN STOCK")</f>
        <v>Mayor a 5</v>
      </c>
    </row>
    <row r="213" ht="15.75" customHeight="1">
      <c r="A213" s="29" t="s">
        <v>6719</v>
      </c>
      <c r="C213" s="301"/>
      <c r="D213" s="55"/>
      <c r="E213" s="55"/>
      <c r="F213" s="114"/>
      <c r="G213" s="32"/>
    </row>
    <row r="214" ht="15.75" customHeight="1">
      <c r="A214" s="41" t="s">
        <v>6132</v>
      </c>
      <c r="B214" s="42" t="s">
        <v>6720</v>
      </c>
      <c r="C214" s="72" t="s">
        <v>6721</v>
      </c>
      <c r="D214" s="44" t="s">
        <v>6523</v>
      </c>
      <c r="E214" s="44" t="s">
        <v>6524</v>
      </c>
      <c r="F214" s="45">
        <v>0.21</v>
      </c>
      <c r="G214" s="53" t="str">
        <f>IFERROR(VLOOKUP("PSM1",STOCK!$B$1:$Q$5647,3,FALSE),"SIN STOCK")</f>
        <v>Menor a 5</v>
      </c>
    </row>
    <row r="215" ht="15.75" customHeight="1">
      <c r="A215" s="47" t="s">
        <v>6132</v>
      </c>
      <c r="B215" s="48" t="s">
        <v>6722</v>
      </c>
      <c r="C215" s="73" t="s">
        <v>6723</v>
      </c>
      <c r="D215" s="37" t="s">
        <v>6724</v>
      </c>
      <c r="E215" s="37" t="s">
        <v>6725</v>
      </c>
      <c r="F215" s="152">
        <v>0.21</v>
      </c>
      <c r="G215" s="39" t="str">
        <f>IFERROR(VLOOKUP("SM2",STOCK!$B$1:$Q$5647,3,FALSE),"SIN STOCK")</f>
        <v>Mayor a 5</v>
      </c>
    </row>
    <row r="216" ht="15.75" customHeight="1">
      <c r="A216" s="41" t="s">
        <v>6132</v>
      </c>
      <c r="B216" s="42" t="s">
        <v>6726</v>
      </c>
      <c r="C216" s="72" t="s">
        <v>6727</v>
      </c>
      <c r="D216" s="44" t="s">
        <v>6728</v>
      </c>
      <c r="E216" s="44" t="s">
        <v>6729</v>
      </c>
      <c r="F216" s="45">
        <v>0.21</v>
      </c>
      <c r="G216" s="39" t="str">
        <f>IFERROR(VLOOKUP("SM3R",STOCK!$B$1:$Q$5647,3,FALSE),"SIN STOCK")</f>
        <v>Mayor a 5</v>
      </c>
    </row>
    <row r="217" ht="15.75" customHeight="1">
      <c r="A217" s="47" t="s">
        <v>6132</v>
      </c>
      <c r="B217" s="48" t="s">
        <v>6730</v>
      </c>
      <c r="C217" s="73" t="s">
        <v>6731</v>
      </c>
      <c r="D217" s="37" t="s">
        <v>6728</v>
      </c>
      <c r="E217" s="37" t="s">
        <v>6729</v>
      </c>
      <c r="F217" s="152">
        <v>0.21</v>
      </c>
      <c r="G217" s="39" t="str">
        <f>IFERROR(VLOOKUP("SM4R",STOCK!$B$1:$Q$5647,3,FALSE),"SIN STOCK")</f>
        <v>Mayor a 5</v>
      </c>
    </row>
    <row r="218" ht="15.75" customHeight="1">
      <c r="A218" s="41" t="s">
        <v>6132</v>
      </c>
      <c r="B218" s="42" t="s">
        <v>6732</v>
      </c>
      <c r="C218" s="72" t="s">
        <v>6733</v>
      </c>
      <c r="D218" s="44" t="s">
        <v>6534</v>
      </c>
      <c r="E218" s="44" t="s">
        <v>6535</v>
      </c>
      <c r="F218" s="45">
        <v>0.21</v>
      </c>
      <c r="G218" s="39" t="str">
        <f>IFERROR(VLOOKUP("SM5",STOCK!$B$1:$Q$5647,3,FALSE),"SIN STOCK")</f>
        <v>Mayor a 5</v>
      </c>
    </row>
    <row r="219" ht="15.75" customHeight="1">
      <c r="A219" s="47" t="s">
        <v>6132</v>
      </c>
      <c r="B219" s="48" t="s">
        <v>6734</v>
      </c>
      <c r="C219" s="73" t="s">
        <v>6735</v>
      </c>
      <c r="D219" s="37" t="s">
        <v>6736</v>
      </c>
      <c r="E219" s="37" t="s">
        <v>6737</v>
      </c>
      <c r="F219" s="152">
        <v>0.21</v>
      </c>
      <c r="G219" s="39" t="str">
        <f>IFERROR(VLOOKUP("SM6",STOCK!$B$1:$Q$5647,3,FALSE),"SIN STOCK")</f>
        <v>Mayor a 5</v>
      </c>
    </row>
    <row r="220" ht="15.75" customHeight="1">
      <c r="A220" s="41" t="s">
        <v>6132</v>
      </c>
      <c r="B220" s="42" t="s">
        <v>6738</v>
      </c>
      <c r="C220" s="72" t="s">
        <v>6739</v>
      </c>
      <c r="D220" s="44" t="s">
        <v>6534</v>
      </c>
      <c r="E220" s="44" t="s">
        <v>6535</v>
      </c>
      <c r="F220" s="45">
        <v>0.21</v>
      </c>
      <c r="G220" s="53" t="str">
        <f>IFERROR(VLOOKUP("SM8",STOCK!$B$1:$Q$5647,3,FALSE),"SIN STOCK")</f>
        <v>Menor a 5</v>
      </c>
    </row>
    <row r="221" ht="15.75" customHeight="1">
      <c r="A221" s="47" t="s">
        <v>6132</v>
      </c>
      <c r="B221" s="48" t="s">
        <v>6740</v>
      </c>
      <c r="C221" s="73" t="s">
        <v>6741</v>
      </c>
      <c r="D221" s="37" t="s">
        <v>6742</v>
      </c>
      <c r="E221" s="37" t="s">
        <v>5721</v>
      </c>
      <c r="F221" s="152">
        <v>0.21</v>
      </c>
      <c r="G221" s="53" t="str">
        <f>IFERROR(VLOOKUP("SMR",STOCK!$B$1:$Q$5647,3,FALSE),"SIN STOCK")</f>
        <v>Menor a 5</v>
      </c>
    </row>
    <row r="222" ht="15.75" customHeight="1">
      <c r="A222" s="29" t="s">
        <v>6743</v>
      </c>
      <c r="C222" s="301"/>
      <c r="D222" s="55"/>
      <c r="E222" s="55"/>
      <c r="F222" s="114"/>
      <c r="G222" s="32"/>
    </row>
    <row r="223" ht="15.75" customHeight="1">
      <c r="A223" s="41" t="s">
        <v>6132</v>
      </c>
      <c r="B223" s="42" t="s">
        <v>6744</v>
      </c>
      <c r="C223" s="72" t="s">
        <v>6745</v>
      </c>
      <c r="D223" s="44" t="s">
        <v>6618</v>
      </c>
      <c r="E223" s="44" t="s">
        <v>6619</v>
      </c>
      <c r="F223" s="45">
        <v>0.21</v>
      </c>
      <c r="G223" s="50" t="str">
        <f>IFERROR(VLOOKUP("DS1",STOCK!$B$1:$Q$5647,3,FALSE),"SIN STOCK")</f>
        <v>SIN STOCK</v>
      </c>
    </row>
    <row r="224" ht="15.75" customHeight="1">
      <c r="A224" s="47" t="s">
        <v>6132</v>
      </c>
      <c r="B224" s="48" t="s">
        <v>6746</v>
      </c>
      <c r="C224" s="73" t="s">
        <v>6747</v>
      </c>
      <c r="D224" s="37" t="s">
        <v>6748</v>
      </c>
      <c r="E224" s="37" t="s">
        <v>6749</v>
      </c>
      <c r="F224" s="152">
        <v>0.21</v>
      </c>
      <c r="G224" s="50" t="str">
        <f>IFERROR(VLOOKUP("DS2",STOCK!$B$1:$Q$5647,3,FALSE),"SIN STOCK")</f>
        <v>Mayor a 5</v>
      </c>
    </row>
    <row r="225" ht="15.75" customHeight="1">
      <c r="A225" s="41" t="s">
        <v>6132</v>
      </c>
      <c r="B225" s="42" t="s">
        <v>6750</v>
      </c>
      <c r="C225" s="72" t="s">
        <v>6751</v>
      </c>
      <c r="D225" s="44" t="s">
        <v>6752</v>
      </c>
      <c r="E225" s="44" t="s">
        <v>6753</v>
      </c>
      <c r="F225" s="45">
        <v>0.21</v>
      </c>
      <c r="G225" s="39" t="str">
        <f>IFERROR(VLOOKUP("PSA1",STOCK!$B$1:$Q$5647,3,FALSE),"SIN STOCK")</f>
        <v>Mayor a 5</v>
      </c>
    </row>
    <row r="226" ht="15.75" customHeight="1">
      <c r="A226" s="47" t="s">
        <v>6132</v>
      </c>
      <c r="B226" s="48" t="s">
        <v>6754</v>
      </c>
      <c r="C226" s="73" t="s">
        <v>6755</v>
      </c>
      <c r="D226" s="37" t="s">
        <v>6756</v>
      </c>
      <c r="E226" s="37" t="s">
        <v>6757</v>
      </c>
      <c r="F226" s="152">
        <v>0.21</v>
      </c>
      <c r="G226" s="50" t="str">
        <f>IFERROR(VLOOKUP("PSA1+",STOCK!$B$1:$Q$5647,3,FALSE),"SIN STOCK")</f>
        <v>Mayor a 5</v>
      </c>
    </row>
    <row r="227" ht="15.75" customHeight="1">
      <c r="A227" s="41" t="s">
        <v>6132</v>
      </c>
      <c r="B227" s="42" t="s">
        <v>6758</v>
      </c>
      <c r="C227" s="72" t="s">
        <v>6759</v>
      </c>
      <c r="D227" s="44" t="s">
        <v>6760</v>
      </c>
      <c r="E227" s="44" t="s">
        <v>6761</v>
      </c>
      <c r="F227" s="45">
        <v>0.21</v>
      </c>
      <c r="G227" s="50" t="str">
        <f>IFERROR(VLOOKUP("TRIPOD",STOCK!$B$1:$Q$5647,3,FALSE),"SIN STOCK")</f>
        <v>SIN STOCK</v>
      </c>
    </row>
    <row r="228" ht="15.75" customHeight="1">
      <c r="A228" s="47" t="s">
        <v>6132</v>
      </c>
      <c r="B228" s="48" t="s">
        <v>6762</v>
      </c>
      <c r="C228" s="73" t="s">
        <v>6763</v>
      </c>
      <c r="D228" s="37" t="s">
        <v>6764</v>
      </c>
      <c r="E228" s="37" t="s">
        <v>6765</v>
      </c>
      <c r="F228" s="152">
        <v>0.21</v>
      </c>
      <c r="G228" s="50" t="str">
        <f>IFERROR(VLOOKUP("TRIPOD2",STOCK!$B$1:$Q$5647,3,FALSE),"SIN STOCK")</f>
        <v>SIN STOCK</v>
      </c>
    </row>
    <row r="229" ht="15.75" customHeight="1">
      <c r="A229" s="29" t="s">
        <v>6766</v>
      </c>
      <c r="C229" s="301"/>
      <c r="D229" s="55"/>
      <c r="E229" s="55"/>
      <c r="F229" s="114"/>
      <c r="G229" s="32"/>
    </row>
    <row r="230" ht="15.75" customHeight="1">
      <c r="A230" s="41" t="s">
        <v>6132</v>
      </c>
      <c r="B230" s="42" t="s">
        <v>6767</v>
      </c>
      <c r="C230" s="72" t="s">
        <v>6768</v>
      </c>
      <c r="D230" s="44" t="s">
        <v>6769</v>
      </c>
      <c r="E230" s="44" t="s">
        <v>6770</v>
      </c>
      <c r="F230" s="45">
        <v>0.21</v>
      </c>
      <c r="G230" s="53" t="str">
        <f>IFERROR(VLOOKUP("BLIMP",STOCK!$B$1:$Q$5647,3,FALSE),"SIN STOCK")</f>
        <v>Menor a 5</v>
      </c>
    </row>
    <row r="231" ht="15.75" customHeight="1">
      <c r="A231" s="47" t="s">
        <v>6132</v>
      </c>
      <c r="B231" s="70" t="s">
        <v>6771</v>
      </c>
      <c r="C231" s="73" t="s">
        <v>6772</v>
      </c>
      <c r="D231" s="37" t="s">
        <v>6742</v>
      </c>
      <c r="E231" s="37" t="s">
        <v>5721</v>
      </c>
      <c r="F231" s="152">
        <v>0.21</v>
      </c>
      <c r="G231" s="39" t="str">
        <f>IFERROR(VLOOKUP("BLIMPEXT",STOCK!$B$1:$Q$5647,3,FALSE),"SIN STOCK")</f>
        <v>Mayor a 5</v>
      </c>
    </row>
    <row r="232" ht="15.75" customHeight="1">
      <c r="A232" s="41" t="s">
        <v>6132</v>
      </c>
      <c r="B232" s="42" t="s">
        <v>6773</v>
      </c>
      <c r="C232" s="72" t="s">
        <v>6774</v>
      </c>
      <c r="D232" s="44" t="s">
        <v>6775</v>
      </c>
      <c r="E232" s="44" t="s">
        <v>6776</v>
      </c>
      <c r="F232" s="45">
        <v>0.21</v>
      </c>
      <c r="G232" s="39" t="str">
        <f>IFERROR(VLOOKUP("DEADCAT",STOCK!$B$1:$Q$5647,3,FALSE),"SIN STOCK")</f>
        <v>Mayor a 5</v>
      </c>
    </row>
    <row r="233" ht="15.75" customHeight="1">
      <c r="A233" s="47" t="s">
        <v>6132</v>
      </c>
      <c r="B233" s="48" t="s">
        <v>6777</v>
      </c>
      <c r="C233" s="73" t="s">
        <v>6778</v>
      </c>
      <c r="D233" s="37" t="s">
        <v>6519</v>
      </c>
      <c r="E233" s="37" t="s">
        <v>6520</v>
      </c>
      <c r="F233" s="152">
        <v>0.21</v>
      </c>
      <c r="G233" s="50" t="str">
        <f>IFERROR(VLOOKUP("DEADCATGO",STOCK!$B$1:$Q$5647,3,FALSE),"SIN STOCK")</f>
        <v>SIN STOCK</v>
      </c>
    </row>
    <row r="234" ht="15.75" customHeight="1">
      <c r="A234" s="41" t="s">
        <v>6132</v>
      </c>
      <c r="B234" s="71" t="s">
        <v>6779</v>
      </c>
      <c r="C234" s="72" t="s">
        <v>6780</v>
      </c>
      <c r="D234" s="44" t="s">
        <v>6717</v>
      </c>
      <c r="E234" s="44" t="s">
        <v>6718</v>
      </c>
      <c r="F234" s="45">
        <v>0.21</v>
      </c>
      <c r="G234" s="39" t="str">
        <f>IFERROR(VLOOKUP("DEADCATVMP",STOCK!$B$1:$Q$5647,3,FALSE),"SIN STOCK")</f>
        <v>Mayor a 5</v>
      </c>
    </row>
    <row r="235" ht="15.75" customHeight="1">
      <c r="A235" s="47" t="s">
        <v>6132</v>
      </c>
      <c r="B235" s="48" t="s">
        <v>6781</v>
      </c>
      <c r="C235" s="73" t="s">
        <v>6782</v>
      </c>
      <c r="D235" s="37" t="s">
        <v>6783</v>
      </c>
      <c r="E235" s="37" t="s">
        <v>6784</v>
      </c>
      <c r="F235" s="152">
        <v>0.21</v>
      </c>
      <c r="G235" s="50" t="str">
        <f>IFERROR(VLOOKUP("DEADCATVMP+",STOCK!$B$1:$Q$5647,3,FALSE),"SIN STOCK")</f>
        <v>SIN STOCK</v>
      </c>
    </row>
    <row r="236" ht="15.75" customHeight="1">
      <c r="A236" s="41" t="s">
        <v>6132</v>
      </c>
      <c r="B236" s="42" t="s">
        <v>6785</v>
      </c>
      <c r="C236" s="72" t="s">
        <v>6774</v>
      </c>
      <c r="D236" s="44" t="s">
        <v>6717</v>
      </c>
      <c r="E236" s="44" t="s">
        <v>6718</v>
      </c>
      <c r="F236" s="45">
        <v>0.21</v>
      </c>
      <c r="G236" s="39" t="str">
        <f>IFERROR(VLOOKUP("DEADCATVMPR",STOCK!$B$1:$Q$5647,3,FALSE),"SIN STOCK")</f>
        <v>Mayor a 5</v>
      </c>
    </row>
    <row r="237" ht="15.75" customHeight="1">
      <c r="A237" s="47" t="s">
        <v>6132</v>
      </c>
      <c r="B237" s="48" t="s">
        <v>6786</v>
      </c>
      <c r="C237" s="73" t="s">
        <v>6787</v>
      </c>
      <c r="D237" s="37" t="s">
        <v>6618</v>
      </c>
      <c r="E237" s="37" t="s">
        <v>6619</v>
      </c>
      <c r="F237" s="152">
        <v>0.21</v>
      </c>
      <c r="G237" s="39" t="str">
        <f>IFERROR(VLOOKUP("DEADKITTEN",STOCK!$B$1:$Q$5647,3,FALSE),"SIN STOCK")</f>
        <v>Mayor a 5</v>
      </c>
    </row>
    <row r="238" ht="15.75" customHeight="1">
      <c r="A238" s="41" t="s">
        <v>6132</v>
      </c>
      <c r="B238" s="71" t="s">
        <v>6788</v>
      </c>
      <c r="C238" s="72" t="s">
        <v>6789</v>
      </c>
      <c r="D238" s="44" t="s">
        <v>6687</v>
      </c>
      <c r="E238" s="44" t="s">
        <v>6688</v>
      </c>
      <c r="F238" s="45">
        <v>0.21</v>
      </c>
      <c r="G238" s="50" t="str">
        <f>IFERROR(VLOOKUP("DEADMOUSE",STOCK!$B$1:$Q$5647,3,FALSE),"SIN STOCK")</f>
        <v>SIN STOCK</v>
      </c>
    </row>
    <row r="239" ht="15.75" customHeight="1">
      <c r="A239" s="47" t="s">
        <v>6132</v>
      </c>
      <c r="B239" s="48" t="s">
        <v>6790</v>
      </c>
      <c r="C239" s="73" t="s">
        <v>6791</v>
      </c>
      <c r="D239" s="37" t="s">
        <v>6534</v>
      </c>
      <c r="E239" s="37" t="s">
        <v>6535</v>
      </c>
      <c r="F239" s="152">
        <v>0.21</v>
      </c>
      <c r="G239" s="39" t="str">
        <f>IFERROR(VLOOKUP("DEADWOMBAT",STOCK!$B$1:$Q$5647,3,FALSE),"SIN STOCK")</f>
        <v>Mayor a 5</v>
      </c>
    </row>
    <row r="240" ht="15.75" customHeight="1">
      <c r="A240" s="41" t="s">
        <v>6132</v>
      </c>
      <c r="B240" s="42" t="s">
        <v>6792</v>
      </c>
      <c r="C240" s="72" t="s">
        <v>6793</v>
      </c>
      <c r="D240" s="44" t="s">
        <v>6618</v>
      </c>
      <c r="E240" s="44" t="s">
        <v>6619</v>
      </c>
      <c r="F240" s="45">
        <v>0.21</v>
      </c>
      <c r="G240" s="50" t="str">
        <f>IFERROR(VLOOKUP("MINIFURHS1",STOCK!$B$1:$Q$5647,3,FALSE),"SIN STOCK")</f>
        <v>SIN STOCK</v>
      </c>
    </row>
    <row r="241" ht="15.75" customHeight="1">
      <c r="A241" s="47" t="s">
        <v>6132</v>
      </c>
      <c r="B241" s="48" t="s">
        <v>6794</v>
      </c>
      <c r="C241" s="73" t="s">
        <v>6795</v>
      </c>
      <c r="D241" s="37" t="s">
        <v>6597</v>
      </c>
      <c r="E241" s="37" t="s">
        <v>6598</v>
      </c>
      <c r="F241" s="152">
        <v>0.21</v>
      </c>
      <c r="G241" s="39" t="str">
        <f>IFERROR(VLOOKUP("MINIFURLAV",STOCK!$B$1:$Q$5647,3,FALSE),"SIN STOCK")</f>
        <v>Mayor a 5</v>
      </c>
    </row>
    <row r="242" ht="15.75" customHeight="1">
      <c r="A242" s="41" t="s">
        <v>6132</v>
      </c>
      <c r="B242" s="42" t="s">
        <v>6796</v>
      </c>
      <c r="C242" s="72" t="s">
        <v>6797</v>
      </c>
      <c r="D242" s="44" t="s">
        <v>6597</v>
      </c>
      <c r="E242" s="44" t="s">
        <v>6598</v>
      </c>
      <c r="F242" s="45">
        <v>0.21</v>
      </c>
      <c r="G242" s="39" t="str">
        <f>IFERROR(VLOOKUP("WS2",STOCK!$B$1:$Q$5647,3,FALSE),"SIN STOCK")</f>
        <v>Mayor a 5</v>
      </c>
    </row>
    <row r="243" ht="15.75" customHeight="1">
      <c r="A243" s="47" t="s">
        <v>6132</v>
      </c>
      <c r="B243" s="48" t="s">
        <v>6798</v>
      </c>
      <c r="C243" s="73" t="s">
        <v>6797</v>
      </c>
      <c r="D243" s="37" t="s">
        <v>6490</v>
      </c>
      <c r="E243" s="37" t="s">
        <v>6491</v>
      </c>
      <c r="F243" s="152">
        <v>0.21</v>
      </c>
      <c r="G243" s="39" t="str">
        <f>IFERROR(VLOOKUP("WS3",STOCK!$B$1:$Q$5647,3,FALSE),"SIN STOCK")</f>
        <v>Mayor a 5</v>
      </c>
    </row>
    <row r="244" ht="15.75" customHeight="1">
      <c r="A244" s="41" t="s">
        <v>6132</v>
      </c>
      <c r="B244" s="42" t="s">
        <v>6799</v>
      </c>
      <c r="C244" s="72" t="s">
        <v>6800</v>
      </c>
      <c r="D244" s="44" t="s">
        <v>6597</v>
      </c>
      <c r="E244" s="44" t="s">
        <v>6598</v>
      </c>
      <c r="F244" s="45">
        <v>0.21</v>
      </c>
      <c r="G244" s="50" t="str">
        <f>IFERROR(VLOOKUP("WS4",STOCK!$B$1:$Q$5647,3,FALSE),"SIN STOCK")</f>
        <v>SIN STOCK</v>
      </c>
    </row>
    <row r="245" ht="15.75" customHeight="1">
      <c r="A245" s="47" t="s">
        <v>6132</v>
      </c>
      <c r="B245" s="48" t="s">
        <v>6801</v>
      </c>
      <c r="C245" s="73" t="s">
        <v>6797</v>
      </c>
      <c r="D245" s="37" t="s">
        <v>6490</v>
      </c>
      <c r="E245" s="37" t="s">
        <v>6491</v>
      </c>
      <c r="F245" s="152">
        <v>0.21</v>
      </c>
      <c r="G245" s="50" t="str">
        <f>IFERROR(VLOOKUP("WS5",STOCK!$B$1:$Q$5647,3,FALSE),"SIN STOCK")</f>
        <v>SIN STOCK</v>
      </c>
    </row>
    <row r="246" ht="15.75" customHeight="1">
      <c r="A246" s="41" t="s">
        <v>6132</v>
      </c>
      <c r="B246" s="42" t="s">
        <v>6802</v>
      </c>
      <c r="C246" s="72" t="s">
        <v>6803</v>
      </c>
      <c r="D246" s="44" t="s">
        <v>6804</v>
      </c>
      <c r="E246" s="44" t="s">
        <v>6805</v>
      </c>
      <c r="F246" s="45">
        <v>0.21</v>
      </c>
      <c r="G246" s="53" t="str">
        <f>IFERROR(VLOOKUP("WS6",STOCK!$B$1:$Q$5647,3,FALSE),"SIN STOCK")</f>
        <v>Menor a 5</v>
      </c>
    </row>
    <row r="247" ht="15.75" customHeight="1">
      <c r="A247" s="47" t="s">
        <v>6132</v>
      </c>
      <c r="B247" s="48" t="s">
        <v>6806</v>
      </c>
      <c r="C247" s="73" t="s">
        <v>6807</v>
      </c>
      <c r="D247" s="37" t="s">
        <v>6804</v>
      </c>
      <c r="E247" s="37" t="s">
        <v>6805</v>
      </c>
      <c r="F247" s="152">
        <v>0.21</v>
      </c>
      <c r="G247" s="39" t="str">
        <f>IFERROR(VLOOKUP("WS7",STOCK!$B$1:$Q$5647,3,FALSE),"SIN STOCK")</f>
        <v>Mayor a 5</v>
      </c>
    </row>
    <row r="248" ht="15.75" customHeight="1">
      <c r="A248" s="41" t="s">
        <v>6132</v>
      </c>
      <c r="B248" s="42" t="s">
        <v>6808</v>
      </c>
      <c r="C248" s="72" t="s">
        <v>6809</v>
      </c>
      <c r="D248" s="44" t="s">
        <v>6519</v>
      </c>
      <c r="E248" s="44" t="s">
        <v>6520</v>
      </c>
      <c r="F248" s="45">
        <v>0.21</v>
      </c>
      <c r="G248" s="50" t="str">
        <f>IFERROR(VLOOKUP("WS8",STOCK!$B$1:$Q$5647,3,FALSE),"SIN STOCK")</f>
        <v>SIN STOCK</v>
      </c>
    </row>
    <row r="249" ht="15.75" customHeight="1">
      <c r="A249" s="47" t="s">
        <v>6132</v>
      </c>
      <c r="B249" s="48" t="s">
        <v>6810</v>
      </c>
      <c r="C249" s="73" t="s">
        <v>6811</v>
      </c>
      <c r="D249" s="37" t="s">
        <v>6478</v>
      </c>
      <c r="E249" s="37" t="s">
        <v>6479</v>
      </c>
      <c r="F249" s="152">
        <v>0.21</v>
      </c>
      <c r="G249" s="39" t="str">
        <f>IFERROR(VLOOKUP("WS9",STOCK!$B$1:$Q$5647,3,FALSE),"SIN STOCK")</f>
        <v>Mayor a 5</v>
      </c>
    </row>
    <row r="250" ht="15.75" customHeight="1">
      <c r="A250" s="41" t="s">
        <v>6132</v>
      </c>
      <c r="B250" s="42" t="s">
        <v>6812</v>
      </c>
      <c r="C250" s="72" t="s">
        <v>6813</v>
      </c>
      <c r="D250" s="44" t="s">
        <v>6814</v>
      </c>
      <c r="E250" s="44" t="s">
        <v>6815</v>
      </c>
      <c r="F250" s="45">
        <v>0.21</v>
      </c>
      <c r="G250" s="50" t="str">
        <f>IFERROR(VLOOKUP("WS9-B",STOCK!$B$1:$Q$5647,3,FALSE),"SIN STOCK")</f>
        <v>SIN STOCK</v>
      </c>
    </row>
    <row r="251" ht="15.75" customHeight="1">
      <c r="A251" s="47" t="s">
        <v>6132</v>
      </c>
      <c r="B251" s="48" t="s">
        <v>6816</v>
      </c>
      <c r="C251" s="73" t="s">
        <v>6817</v>
      </c>
      <c r="D251" s="37" t="s">
        <v>6814</v>
      </c>
      <c r="E251" s="37" t="s">
        <v>6815</v>
      </c>
      <c r="F251" s="152">
        <v>0.21</v>
      </c>
      <c r="G251" s="50" t="str">
        <f>IFERROR(VLOOKUP("WS9-G",STOCK!$B$1:$Q$5647,3,FALSE),"SIN STOCK")</f>
        <v>SIN STOCK</v>
      </c>
    </row>
    <row r="252" ht="15.75" customHeight="1">
      <c r="A252" s="41" t="s">
        <v>6132</v>
      </c>
      <c r="B252" s="42" t="s">
        <v>6818</v>
      </c>
      <c r="C252" s="72" t="s">
        <v>6819</v>
      </c>
      <c r="D252" s="44" t="s">
        <v>6814</v>
      </c>
      <c r="E252" s="44" t="s">
        <v>6815</v>
      </c>
      <c r="F252" s="45">
        <v>0.21</v>
      </c>
      <c r="G252" s="50" t="str">
        <f>IFERROR(VLOOKUP("WS9-O",STOCK!$B$1:$Q$5647,3,FALSE),"SIN STOCK")</f>
        <v>SIN STOCK</v>
      </c>
    </row>
    <row r="253" ht="15.75" customHeight="1">
      <c r="A253" s="47" t="s">
        <v>6132</v>
      </c>
      <c r="B253" s="48" t="s">
        <v>6820</v>
      </c>
      <c r="C253" s="73" t="s">
        <v>6821</v>
      </c>
      <c r="D253" s="37" t="s">
        <v>6814</v>
      </c>
      <c r="E253" s="37" t="s">
        <v>6815</v>
      </c>
      <c r="F253" s="152">
        <v>0.21</v>
      </c>
      <c r="G253" s="50" t="str">
        <f>IFERROR(VLOOKUP("WS9-P",STOCK!$B$1:$Q$5647,3,FALSE),"SIN STOCK")</f>
        <v>SIN STOCK</v>
      </c>
    </row>
    <row r="254" ht="15.75" customHeight="1">
      <c r="A254" s="41" t="s">
        <v>6132</v>
      </c>
      <c r="B254" s="42" t="s">
        <v>6822</v>
      </c>
      <c r="C254" s="72" t="s">
        <v>6823</v>
      </c>
      <c r="D254" s="44" t="s">
        <v>6717</v>
      </c>
      <c r="E254" s="44" t="s">
        <v>6718</v>
      </c>
      <c r="F254" s="45">
        <v>0.21</v>
      </c>
      <c r="G254" s="50" t="str">
        <f>IFERROR(VLOOKUP("WS11",STOCK!$B$1:$Q$5647,3,FALSE),"SIN STOCK")</f>
        <v>SIN STOCK</v>
      </c>
    </row>
    <row r="255" ht="15.75" customHeight="1">
      <c r="A255" s="47" t="s">
        <v>6132</v>
      </c>
      <c r="B255" s="48" t="s">
        <v>6824</v>
      </c>
      <c r="C255" s="73" t="s">
        <v>6825</v>
      </c>
      <c r="D255" s="37" t="s">
        <v>6519</v>
      </c>
      <c r="E255" s="37" t="s">
        <v>6520</v>
      </c>
      <c r="F255" s="152">
        <v>0.21</v>
      </c>
      <c r="G255" s="50" t="str">
        <f>IFERROR(VLOOKUP("WS12",STOCK!$B$1:$Q$5647,3,FALSE),"SIN STOCK")</f>
        <v>SIN STOCK</v>
      </c>
    </row>
    <row r="256" ht="15.75" customHeight="1">
      <c r="A256" s="41" t="s">
        <v>6132</v>
      </c>
      <c r="B256" s="42" t="s">
        <v>6826</v>
      </c>
      <c r="C256" s="72" t="s">
        <v>6827</v>
      </c>
      <c r="D256" s="44" t="s">
        <v>6814</v>
      </c>
      <c r="E256" s="44" t="s">
        <v>6815</v>
      </c>
      <c r="F256" s="45">
        <v>0.21</v>
      </c>
      <c r="G256" s="53" t="str">
        <f>IFERROR(VLOOKUP("WSCHROMA",STOCK!$B$1:$Q$5647,3,FALSE),"SIN STOCK")</f>
        <v>Menor a 5</v>
      </c>
    </row>
    <row r="257" ht="15.75" customHeight="1">
      <c r="A257" s="47" t="s">
        <v>6132</v>
      </c>
      <c r="B257" s="48" t="s">
        <v>6828</v>
      </c>
      <c r="C257" s="73" t="s">
        <v>6829</v>
      </c>
      <c r="D257" s="37" t="s">
        <v>6597</v>
      </c>
      <c r="E257" s="37" t="s">
        <v>6598</v>
      </c>
      <c r="F257" s="152">
        <v>0.21</v>
      </c>
      <c r="G257" s="39" t="str">
        <f>IFERROR(VLOOKUP("WSHS1B",STOCK!$B$1:$Q$5647,3,FALSE),"SIN STOCK")</f>
        <v>Mayor a 5</v>
      </c>
    </row>
    <row r="258" ht="15.75" customHeight="1">
      <c r="A258" s="41" t="s">
        <v>6132</v>
      </c>
      <c r="B258" s="42" t="s">
        <v>6830</v>
      </c>
      <c r="C258" s="72" t="s">
        <v>6831</v>
      </c>
      <c r="D258" s="44" t="s">
        <v>6597</v>
      </c>
      <c r="E258" s="44" t="s">
        <v>6598</v>
      </c>
      <c r="F258" s="45">
        <v>0.21</v>
      </c>
      <c r="G258" s="39" t="str">
        <f>IFERROR(VLOOKUP("WSHS1P",STOCK!$B$1:$Q$5647,3,FALSE),"SIN STOCK")</f>
        <v>Mayor a 5</v>
      </c>
    </row>
    <row r="259" ht="15.75" customHeight="1">
      <c r="A259" s="47" t="s">
        <v>6132</v>
      </c>
      <c r="B259" s="48" t="s">
        <v>6832</v>
      </c>
      <c r="C259" s="73" t="s">
        <v>6833</v>
      </c>
      <c r="D259" s="37" t="s">
        <v>6597</v>
      </c>
      <c r="E259" s="37" t="s">
        <v>6598</v>
      </c>
      <c r="F259" s="152">
        <v>0.21</v>
      </c>
      <c r="G259" s="50" t="str">
        <f>IFERROR(VLOOKUP("WSLAV",STOCK!$B$1:$Q$5647,3,FALSE),"SIN STOCK")</f>
        <v>SIN STOCK</v>
      </c>
    </row>
    <row r="260" ht="15.75" customHeight="1">
      <c r="A260" s="41" t="s">
        <v>6132</v>
      </c>
      <c r="B260" s="41" t="s">
        <v>6834</v>
      </c>
      <c r="C260" s="72" t="s">
        <v>6835</v>
      </c>
      <c r="D260" s="44" t="s">
        <v>6490</v>
      </c>
      <c r="E260" s="44" t="s">
        <v>6491</v>
      </c>
      <c r="F260" s="45">
        <v>0.21</v>
      </c>
      <c r="G260" s="53" t="str">
        <f>IFERROR(VLOOKUP("WSVM",STOCK!$B$1:$Q$5647,3,FALSE),"SIN STOCK")</f>
        <v>Menor a 5</v>
      </c>
    </row>
    <row r="261" ht="15.75" customHeight="1">
      <c r="A261" s="47" t="s">
        <v>6132</v>
      </c>
      <c r="B261" s="48" t="s">
        <v>6836</v>
      </c>
      <c r="C261" s="73" t="s">
        <v>6837</v>
      </c>
      <c r="D261" s="37" t="s">
        <v>6838</v>
      </c>
      <c r="E261" s="37" t="s">
        <v>6839</v>
      </c>
      <c r="F261" s="152">
        <v>0.21</v>
      </c>
      <c r="G261" s="50" t="str">
        <f>IFERROR(VLOOKUP("WS14",STOCK!$B$1:$Q$5647,3,FALSE),"SIN STOCK")</f>
        <v>SIN STOCK</v>
      </c>
    </row>
    <row r="262" ht="15.75" customHeight="1">
      <c r="A262" s="41" t="s">
        <v>6132</v>
      </c>
      <c r="B262" s="42" t="s">
        <v>6840</v>
      </c>
      <c r="C262" s="72" t="s">
        <v>6841</v>
      </c>
      <c r="D262" s="44" t="s">
        <v>6838</v>
      </c>
      <c r="E262" s="44" t="s">
        <v>6839</v>
      </c>
      <c r="F262" s="45">
        <v>0.21</v>
      </c>
      <c r="G262" s="53" t="str">
        <f>IFERROR(VLOOKUP("WS14B",STOCK!$B$1:$Q$5647,3,FALSE),"SIN STOCK")</f>
        <v>Menor a 5</v>
      </c>
    </row>
    <row r="263" ht="15.75" customHeight="1">
      <c r="A263" s="47" t="s">
        <v>6132</v>
      </c>
      <c r="B263" s="48" t="s">
        <v>6842</v>
      </c>
      <c r="C263" s="73" t="s">
        <v>6843</v>
      </c>
      <c r="D263" s="37" t="s">
        <v>6838</v>
      </c>
      <c r="E263" s="37" t="s">
        <v>6839</v>
      </c>
      <c r="F263" s="152">
        <v>0.21</v>
      </c>
      <c r="G263" s="53" t="str">
        <f>IFERROR(VLOOKUP("WS14G",STOCK!$B$1:$Q$5647,3,FALSE),"SIN STOCK")</f>
        <v>Menor a 5</v>
      </c>
    </row>
    <row r="264" ht="15.75" customHeight="1">
      <c r="A264" s="41" t="s">
        <v>6132</v>
      </c>
      <c r="B264" s="42" t="s">
        <v>6844</v>
      </c>
      <c r="C264" s="72" t="s">
        <v>6845</v>
      </c>
      <c r="D264" s="44" t="s">
        <v>6838</v>
      </c>
      <c r="E264" s="44" t="s">
        <v>6839</v>
      </c>
      <c r="F264" s="45">
        <v>0.21</v>
      </c>
      <c r="G264" s="53" t="str">
        <f>IFERROR(VLOOKUP("WS14O",STOCK!$B$1:$Q$5647,3,FALSE),"SIN STOCK")</f>
        <v>Menor a 5</v>
      </c>
    </row>
    <row r="265" ht="15.75" customHeight="1">
      <c r="A265" s="47" t="s">
        <v>6132</v>
      </c>
      <c r="B265" s="48" t="s">
        <v>6846</v>
      </c>
      <c r="C265" s="73" t="s">
        <v>6847</v>
      </c>
      <c r="D265" s="37" t="s">
        <v>6838</v>
      </c>
      <c r="E265" s="37" t="s">
        <v>6839</v>
      </c>
      <c r="F265" s="152">
        <v>0.21</v>
      </c>
      <c r="G265" s="53" t="str">
        <f>IFERROR(VLOOKUP("WS14P",STOCK!$B$1:$Q$5647,3,FALSE),"SIN STOCK")</f>
        <v>Menor a 5</v>
      </c>
    </row>
    <row r="266" ht="15.75" customHeight="1">
      <c r="A266" s="41" t="s">
        <v>6132</v>
      </c>
      <c r="B266" s="42" t="s">
        <v>6848</v>
      </c>
      <c r="C266" s="72" t="s">
        <v>6849</v>
      </c>
      <c r="D266" s="44" t="s">
        <v>6838</v>
      </c>
      <c r="E266" s="44" t="s">
        <v>6839</v>
      </c>
      <c r="F266" s="45">
        <v>0.21</v>
      </c>
      <c r="G266" s="53" t="str">
        <f>IFERROR(VLOOKUP("WS14PU",STOCK!$B$1:$Q$5647,3,FALSE),"SIN STOCK")</f>
        <v>Menor a 5</v>
      </c>
    </row>
    <row r="267" ht="15.75" customHeight="1">
      <c r="A267" s="47" t="s">
        <v>6132</v>
      </c>
      <c r="B267" s="48" t="s">
        <v>6850</v>
      </c>
      <c r="C267" s="73" t="s">
        <v>6851</v>
      </c>
      <c r="D267" s="37" t="s">
        <v>6838</v>
      </c>
      <c r="E267" s="37" t="s">
        <v>6839</v>
      </c>
      <c r="F267" s="152">
        <v>0.21</v>
      </c>
      <c r="G267" s="53" t="str">
        <f>IFERROR(VLOOKUP("WS14R",STOCK!$B$1:$Q$5647,3,FALSE),"SIN STOCK")</f>
        <v>Menor a 5</v>
      </c>
    </row>
    <row r="268" ht="15.75" customHeight="1">
      <c r="A268" s="41" t="s">
        <v>6132</v>
      </c>
      <c r="B268" s="42" t="s">
        <v>6852</v>
      </c>
      <c r="C268" s="72" t="s">
        <v>6853</v>
      </c>
      <c r="D268" s="44" t="s">
        <v>6838</v>
      </c>
      <c r="E268" s="44" t="s">
        <v>6839</v>
      </c>
      <c r="F268" s="45">
        <v>0.21</v>
      </c>
      <c r="G268" s="53" t="str">
        <f>IFERROR(VLOOKUP("WS14W",STOCK!$B$1:$Q$5647,3,FALSE),"SIN STOCK")</f>
        <v>Menor a 5</v>
      </c>
    </row>
    <row r="269" ht="15.75" customHeight="1">
      <c r="A269" s="47" t="s">
        <v>6132</v>
      </c>
      <c r="B269" s="48" t="s">
        <v>6854</v>
      </c>
      <c r="C269" s="322"/>
      <c r="D269" s="37" t="s">
        <v>6855</v>
      </c>
      <c r="E269" s="37" t="s">
        <v>6856</v>
      </c>
      <c r="F269" s="152">
        <v>0.21</v>
      </c>
      <c r="G269" s="39" t="str">
        <f>IFERROR(VLOOKUP("I-XLR",STOCK!$B$1:$Q$5647,3,FALSE),"SIN STOCK")</f>
        <v>Mayor a 5</v>
      </c>
    </row>
    <row r="270" ht="15.75" customHeight="1">
      <c r="A270" s="41" t="s">
        <v>6132</v>
      </c>
      <c r="B270" s="42" t="s">
        <v>6857</v>
      </c>
      <c r="C270" s="319"/>
      <c r="D270" s="44" t="s">
        <v>6855</v>
      </c>
      <c r="E270" s="44" t="s">
        <v>6856</v>
      </c>
      <c r="F270" s="45">
        <v>0.21</v>
      </c>
      <c r="G270" s="39" t="str">
        <f>IFERROR(VLOOKUP("IXY",STOCK!$B$1:$Q$5647,3,FALSE),"SIN STOCK")</f>
        <v>Mayor a 5</v>
      </c>
    </row>
    <row r="271" ht="15.75" customHeight="1">
      <c r="A271" s="47" t="s">
        <v>6132</v>
      </c>
      <c r="B271" s="48" t="s">
        <v>6858</v>
      </c>
      <c r="C271" s="322"/>
      <c r="D271" s="37" t="s">
        <v>6855</v>
      </c>
      <c r="E271" s="37" t="s">
        <v>6856</v>
      </c>
      <c r="F271" s="152">
        <v>0.21</v>
      </c>
      <c r="G271" s="39" t="str">
        <f>IFERROR(VLOOKUP("PinMic",STOCK!$B$1:$Q$5647,3,FALSE),"SIN STOCK")</f>
        <v>Mayor a 5</v>
      </c>
    </row>
    <row r="272" ht="15.75" customHeight="1">
      <c r="A272" s="41" t="s">
        <v>6132</v>
      </c>
      <c r="B272" s="41" t="s">
        <v>6859</v>
      </c>
      <c r="C272" s="319"/>
      <c r="D272" s="44" t="s">
        <v>6860</v>
      </c>
      <c r="E272" s="44" t="s">
        <v>6861</v>
      </c>
      <c r="F272" s="45">
        <v>0.21</v>
      </c>
      <c r="G272" s="39"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224" t="s">
        <v>24</v>
      </c>
      <c r="C1" s="224" t="s">
        <v>25</v>
      </c>
      <c r="D1" s="131" t="s">
        <v>26</v>
      </c>
      <c r="E1" s="27" t="s">
        <v>27</v>
      </c>
      <c r="F1" s="225" t="s">
        <v>28</v>
      </c>
      <c r="G1" s="224" t="s">
        <v>29</v>
      </c>
    </row>
    <row r="2" ht="15.75" customHeight="1">
      <c r="A2" s="253" t="s">
        <v>6862</v>
      </c>
      <c r="B2" s="97"/>
      <c r="C2" s="97"/>
      <c r="D2" s="98"/>
      <c r="E2" s="98"/>
      <c r="F2" s="323"/>
      <c r="G2" s="97"/>
    </row>
    <row r="3" ht="15.75" customHeight="1">
      <c r="A3" s="324" t="s">
        <v>6863</v>
      </c>
      <c r="B3" s="108"/>
      <c r="C3" s="174"/>
      <c r="D3" s="55"/>
      <c r="E3" s="55"/>
      <c r="F3" s="133"/>
      <c r="G3" s="139"/>
    </row>
    <row r="4" ht="15.75" customHeight="1">
      <c r="A4" s="41" t="s">
        <v>6864</v>
      </c>
      <c r="B4" s="42" t="s">
        <v>6865</v>
      </c>
      <c r="C4" s="325" t="s">
        <v>6866</v>
      </c>
      <c r="D4" s="247" t="s">
        <v>6867</v>
      </c>
      <c r="E4" s="102" t="s">
        <v>6868</v>
      </c>
      <c r="F4" s="84">
        <v>0.21</v>
      </c>
      <c r="G4" s="53" t="str">
        <f>BUSCARV("CONTOUR-S1.4",STOCK!R2C2:R3649C17,3,FALSO)</f>
        <v>#ERROR!</v>
      </c>
    </row>
    <row r="5" ht="15.75" customHeight="1">
      <c r="A5" s="47" t="s">
        <v>6864</v>
      </c>
      <c r="B5" s="48" t="s">
        <v>6869</v>
      </c>
      <c r="C5" s="214" t="s">
        <v>6870</v>
      </c>
      <c r="D5" s="105" t="s">
        <v>6871</v>
      </c>
      <c r="E5" s="105" t="s">
        <v>6872</v>
      </c>
      <c r="F5" s="38">
        <v>0.21</v>
      </c>
      <c r="G5" s="53" t="str">
        <f>BUSCARV("CONTOUR-SC",STOCK!R2C2:R3649C17,3,FALSO)</f>
        <v>#ERROR!</v>
      </c>
    </row>
    <row r="6" ht="15.75" customHeight="1">
      <c r="A6" s="41" t="s">
        <v>6864</v>
      </c>
      <c r="B6" s="42" t="s">
        <v>6873</v>
      </c>
      <c r="C6" s="325" t="s">
        <v>6874</v>
      </c>
      <c r="D6" s="247" t="s">
        <v>6875</v>
      </c>
      <c r="E6" s="102" t="s">
        <v>6876</v>
      </c>
      <c r="F6" s="84">
        <v>0.21</v>
      </c>
      <c r="G6" s="53" t="str">
        <f>BUSCARV("CONTOUR-S3.4",STOCK!R2C2:R3649C17,3,FALSO)</f>
        <v>#ERROR!</v>
      </c>
    </row>
    <row r="7" ht="15.75" customHeight="1">
      <c r="A7" s="324" t="s">
        <v>6877</v>
      </c>
      <c r="B7" s="108"/>
      <c r="C7" s="174"/>
      <c r="D7" s="55"/>
      <c r="E7" s="55"/>
      <c r="F7" s="108"/>
      <c r="G7" s="108"/>
    </row>
    <row r="8" ht="15.75" customHeight="1">
      <c r="A8" s="41" t="s">
        <v>6864</v>
      </c>
      <c r="B8" s="42" t="s">
        <v>6878</v>
      </c>
      <c r="C8" s="325" t="s">
        <v>6879</v>
      </c>
      <c r="D8" s="247" t="s">
        <v>6880</v>
      </c>
      <c r="E8" s="102" t="s">
        <v>6881</v>
      </c>
      <c r="F8" s="84">
        <v>0.21</v>
      </c>
      <c r="G8" s="53" t="str">
        <f>BUSCARV("EMIT-M10",STOCK!R2C2:R3649C17,3,FALSO)</f>
        <v>#ERROR!</v>
      </c>
    </row>
    <row r="9" ht="15.75" customHeight="1">
      <c r="A9" s="47" t="s">
        <v>6864</v>
      </c>
      <c r="B9" s="48" t="s">
        <v>6882</v>
      </c>
      <c r="C9" s="214" t="s">
        <v>6883</v>
      </c>
      <c r="D9" s="105" t="s">
        <v>6884</v>
      </c>
      <c r="E9" s="105" t="s">
        <v>2703</v>
      </c>
      <c r="F9" s="38">
        <v>0.21</v>
      </c>
      <c r="G9" s="53" t="str">
        <f>BUSCARV("FOCUS-210C",STOCK!R2C2:R3649C17,3,FALSO)</f>
        <v>#ERROR!</v>
      </c>
    </row>
    <row r="10" ht="15.75" customHeight="1">
      <c r="A10" s="324" t="s">
        <v>6885</v>
      </c>
      <c r="B10" s="108"/>
      <c r="C10" s="174"/>
      <c r="D10" s="55"/>
      <c r="E10" s="55"/>
      <c r="F10" s="133"/>
      <c r="G10" s="108"/>
    </row>
    <row r="11" ht="15.75" customHeight="1">
      <c r="A11" s="41" t="s">
        <v>6864</v>
      </c>
      <c r="B11" s="42" t="s">
        <v>6886</v>
      </c>
      <c r="C11" s="325" t="s">
        <v>6887</v>
      </c>
      <c r="D11" s="247" t="s">
        <v>6888</v>
      </c>
      <c r="E11" s="102" t="s">
        <v>6889</v>
      </c>
      <c r="F11" s="84">
        <v>0.21</v>
      </c>
      <c r="G11" s="53" t="str">
        <f>BUSCARV("FOCUS-210C",STOCK!R2C2:R3649C17,3,FALSO)</f>
        <v>#ERROR!</v>
      </c>
    </row>
    <row r="12" ht="15.75" customHeight="1">
      <c r="A12" s="47" t="s">
        <v>6864</v>
      </c>
      <c r="B12" s="48" t="s">
        <v>6890</v>
      </c>
      <c r="C12" s="326"/>
      <c r="D12" s="105" t="s">
        <v>6891</v>
      </c>
      <c r="E12" s="105" t="s">
        <v>6892</v>
      </c>
      <c r="F12" s="38">
        <v>0.21</v>
      </c>
      <c r="G12" s="50" t="str">
        <f>BUSCARV("FOCUS-260",STOCK!R2C2:R3649C17,3,FALSO)</f>
        <v>#ERROR!</v>
      </c>
    </row>
    <row r="13" ht="15.75" customHeight="1">
      <c r="A13" s="324" t="s">
        <v>6893</v>
      </c>
      <c r="B13" s="108"/>
      <c r="C13" s="174"/>
      <c r="D13" s="55"/>
      <c r="E13" s="55"/>
      <c r="F13" s="133"/>
      <c r="G13" s="108"/>
    </row>
    <row r="14" ht="15.75" customHeight="1">
      <c r="A14" s="41" t="s">
        <v>6864</v>
      </c>
      <c r="B14" s="42" t="s">
        <v>6894</v>
      </c>
      <c r="C14" s="325" t="s">
        <v>6895</v>
      </c>
      <c r="D14" s="247" t="s">
        <v>6896</v>
      </c>
      <c r="E14" s="102" t="s">
        <v>6897</v>
      </c>
      <c r="F14" s="84">
        <v>0.21</v>
      </c>
      <c r="G14" s="50" t="str">
        <f>BUSCARV("DM-3/7",STOCK!R2C2:R3649C17,3,FALSO)</f>
        <v>#ERROR!</v>
      </c>
    </row>
    <row r="15" ht="15.75" customHeight="1">
      <c r="A15" s="324" t="s">
        <v>6898</v>
      </c>
      <c r="B15" s="108"/>
      <c r="C15" s="174"/>
      <c r="D15" s="55"/>
      <c r="E15" s="55"/>
      <c r="F15" s="133"/>
      <c r="G15" s="108"/>
    </row>
    <row r="16" ht="15.75" customHeight="1">
      <c r="A16" s="41" t="s">
        <v>6864</v>
      </c>
      <c r="B16" s="42" t="s">
        <v>6899</v>
      </c>
      <c r="C16" s="325" t="s">
        <v>6900</v>
      </c>
      <c r="D16" s="247" t="s">
        <v>6901</v>
      </c>
      <c r="E16" s="102" t="s">
        <v>6902</v>
      </c>
      <c r="F16" s="84">
        <v>0.21</v>
      </c>
      <c r="G16" s="50" t="str">
        <f>BUSCARV("XEO-5",STOCK!R2C2:R3649C17,3,FALSO)</f>
        <v>#ERROR!</v>
      </c>
    </row>
    <row r="17" ht="15.75" customHeight="1">
      <c r="A17" s="47" t="s">
        <v>6864</v>
      </c>
      <c r="B17" s="48" t="s">
        <v>6903</v>
      </c>
      <c r="C17" s="214" t="s">
        <v>6904</v>
      </c>
      <c r="D17" s="105" t="s">
        <v>6905</v>
      </c>
      <c r="E17" s="105" t="s">
        <v>6906</v>
      </c>
      <c r="F17" s="38">
        <v>0.21</v>
      </c>
      <c r="G17" s="175" t="str">
        <f>BUSCARV("XEO-TRANS",STOCK!R2C2:R3649C17,3,FALSO)</f>
        <v>#ERROR!</v>
      </c>
    </row>
    <row r="18" ht="15.75" customHeight="1">
      <c r="A18" s="253" t="s">
        <v>6907</v>
      </c>
      <c r="B18" s="97"/>
      <c r="C18" s="97"/>
      <c r="D18" s="98"/>
      <c r="E18" s="98"/>
      <c r="F18" s="323"/>
      <c r="G18" s="97"/>
    </row>
    <row r="19" ht="15.75" customHeight="1">
      <c r="A19" s="324" t="s">
        <v>6908</v>
      </c>
      <c r="B19" s="108"/>
      <c r="C19" s="174"/>
      <c r="D19" s="55"/>
      <c r="E19" s="55"/>
      <c r="F19" s="133"/>
      <c r="G19" s="108"/>
    </row>
    <row r="20" ht="15.75" customHeight="1">
      <c r="A20" s="41" t="s">
        <v>6864</v>
      </c>
      <c r="B20" s="42" t="s">
        <v>6909</v>
      </c>
      <c r="C20" s="325" t="s">
        <v>6910</v>
      </c>
      <c r="D20" s="247" t="s">
        <v>6911</v>
      </c>
      <c r="E20" s="102" t="s">
        <v>6912</v>
      </c>
      <c r="F20" s="84">
        <v>0.21</v>
      </c>
      <c r="G20" s="50" t="str">
        <f>BUSCARV("BM6-A BLACK",STOCK!R2C2:R3649C17,3,FALSO)</f>
        <v>#ERROR!</v>
      </c>
    </row>
    <row r="21" ht="15.75" customHeight="1">
      <c r="A21" s="47" t="s">
        <v>6864</v>
      </c>
      <c r="B21" s="48" t="s">
        <v>6913</v>
      </c>
      <c r="C21" s="214" t="s">
        <v>6914</v>
      </c>
      <c r="D21" s="105" t="s">
        <v>6915</v>
      </c>
      <c r="E21" s="105" t="s">
        <v>6916</v>
      </c>
      <c r="F21" s="38">
        <v>0.21</v>
      </c>
      <c r="G21" s="182" t="str">
        <f>BUSCARV("BM15A",STOCK!R2C2:R3649C17,3,FALSO)</f>
        <v>#ERROR!</v>
      </c>
    </row>
    <row r="22" ht="15.75" customHeight="1">
      <c r="A22" s="324" t="s">
        <v>6917</v>
      </c>
      <c r="B22" s="108"/>
      <c r="C22" s="174"/>
      <c r="D22" s="55"/>
      <c r="E22" s="55"/>
      <c r="F22" s="133"/>
      <c r="G22" s="108"/>
    </row>
    <row r="23" ht="15.75" customHeight="1">
      <c r="A23" s="41" t="s">
        <v>6864</v>
      </c>
      <c r="B23" s="42" t="s">
        <v>6918</v>
      </c>
      <c r="C23" s="41" t="s">
        <v>6919</v>
      </c>
      <c r="D23" s="247" t="s">
        <v>6920</v>
      </c>
      <c r="E23" s="102" t="s">
        <v>6921</v>
      </c>
      <c r="F23" s="84">
        <v>0.21</v>
      </c>
      <c r="G23" s="50" t="str">
        <f>BUSCARV("LYD-5",STOCK!R2C2:R3649C17,3,FALSO)</f>
        <v>#ERROR!</v>
      </c>
    </row>
    <row r="24" ht="15.75" customHeight="1">
      <c r="A24" s="47" t="s">
        <v>6864</v>
      </c>
      <c r="B24" s="48" t="s">
        <v>6922</v>
      </c>
      <c r="C24" s="214" t="s">
        <v>6923</v>
      </c>
      <c r="D24" s="105" t="s">
        <v>2743</v>
      </c>
      <c r="E24" s="105" t="s">
        <v>2744</v>
      </c>
      <c r="F24" s="38">
        <v>0.21</v>
      </c>
      <c r="G24" s="53" t="str">
        <f>BUSCARV("LYD-8",STOCK!R2C2:R3649C17,3,FALSO)</f>
        <v>#ERROR!</v>
      </c>
    </row>
    <row r="25" ht="15.75" customHeight="1">
      <c r="A25" s="327"/>
      <c r="B25" s="327"/>
      <c r="C25" s="326"/>
      <c r="D25" s="274"/>
      <c r="E25" s="274"/>
      <c r="F25" s="328"/>
      <c r="G25" s="329"/>
    </row>
    <row r="26" ht="15.75" customHeight="1">
      <c r="A26" s="327"/>
      <c r="B26" s="327"/>
      <c r="C26" s="326"/>
      <c r="D26" s="274"/>
      <c r="E26" s="274"/>
      <c r="F26" s="328"/>
      <c r="G26" s="329"/>
    </row>
    <row r="27" ht="15.75" customHeight="1">
      <c r="A27" s="327"/>
      <c r="B27" s="327"/>
      <c r="C27" s="326"/>
      <c r="D27" s="274"/>
      <c r="E27" s="274"/>
      <c r="F27" s="328"/>
      <c r="G27" s="329"/>
    </row>
    <row r="28" ht="15.75" customHeight="1">
      <c r="A28" s="327"/>
      <c r="B28" s="327"/>
      <c r="C28" s="326"/>
      <c r="D28" s="274"/>
      <c r="E28" s="274"/>
      <c r="F28" s="328"/>
      <c r="G28" s="329"/>
    </row>
    <row r="29" ht="15.75" customHeight="1">
      <c r="A29" s="327"/>
      <c r="B29" s="327"/>
      <c r="C29" s="326"/>
      <c r="D29" s="274"/>
      <c r="E29" s="274"/>
      <c r="F29" s="328"/>
      <c r="G29" s="329"/>
    </row>
    <row r="30" ht="15.75" customHeight="1">
      <c r="A30" s="327"/>
      <c r="B30" s="327"/>
      <c r="C30" s="326"/>
      <c r="D30" s="274"/>
      <c r="E30" s="274"/>
      <c r="F30" s="328"/>
      <c r="G30" s="329"/>
    </row>
    <row r="31" ht="15.75" customHeight="1">
      <c r="A31" s="327"/>
      <c r="B31" s="327"/>
      <c r="C31" s="326"/>
      <c r="D31" s="274"/>
      <c r="E31" s="274"/>
      <c r="F31" s="328"/>
      <c r="G31" s="329"/>
    </row>
    <row r="32" ht="15.75" customHeight="1">
      <c r="A32" s="327"/>
      <c r="B32" s="327"/>
      <c r="C32" s="326"/>
      <c r="D32" s="274"/>
      <c r="E32" s="274"/>
      <c r="F32" s="328"/>
      <c r="G32" s="329"/>
    </row>
    <row r="33" ht="15.75" customHeight="1">
      <c r="A33" s="327"/>
      <c r="B33" s="327"/>
      <c r="C33" s="326"/>
      <c r="D33" s="274"/>
      <c r="E33" s="274"/>
      <c r="F33" s="328"/>
      <c r="G33" s="330"/>
    </row>
    <row r="34" ht="15.75" customHeight="1">
      <c r="A34" s="327"/>
      <c r="B34" s="327"/>
      <c r="C34" s="326"/>
      <c r="D34" s="274"/>
      <c r="E34" s="274"/>
      <c r="F34" s="328"/>
      <c r="G34" s="331"/>
    </row>
    <row r="35" ht="15.75" customHeight="1">
      <c r="A35" s="327"/>
      <c r="B35" s="327"/>
      <c r="C35" s="326"/>
      <c r="D35" s="274"/>
      <c r="E35" s="274"/>
      <c r="F35" s="328"/>
      <c r="G35" s="329"/>
    </row>
    <row r="36" ht="15.75" customHeight="1">
      <c r="A36" s="327"/>
      <c r="B36" s="327"/>
      <c r="C36" s="326"/>
      <c r="D36" s="274"/>
      <c r="E36" s="274"/>
      <c r="F36" s="328"/>
      <c r="G36" s="329"/>
    </row>
    <row r="37" ht="15.75" customHeight="1">
      <c r="A37" s="327"/>
      <c r="B37" s="327"/>
      <c r="C37" s="326"/>
      <c r="D37" s="274"/>
      <c r="E37" s="274"/>
      <c r="F37" s="328"/>
      <c r="G37" s="329"/>
    </row>
    <row r="38" ht="15.75" customHeight="1">
      <c r="A38" s="327"/>
      <c r="B38" s="327"/>
      <c r="C38" s="326"/>
      <c r="D38" s="274"/>
      <c r="E38" s="274"/>
      <c r="F38" s="328"/>
      <c r="G38" s="330"/>
    </row>
    <row r="39" ht="15.75" customHeight="1">
      <c r="A39" s="327"/>
      <c r="B39" s="327"/>
      <c r="C39" s="326"/>
      <c r="D39" s="274"/>
      <c r="E39" s="274"/>
      <c r="F39" s="328"/>
      <c r="G39" s="329"/>
    </row>
    <row r="40" ht="15.75" customHeight="1">
      <c r="A40" s="327"/>
      <c r="B40" s="327"/>
      <c r="C40" s="326"/>
      <c r="D40" s="274"/>
      <c r="E40" s="274"/>
      <c r="F40" s="328"/>
      <c r="G40" s="329"/>
    </row>
    <row r="41" ht="15.75" customHeight="1">
      <c r="A41" s="327"/>
      <c r="B41" s="327"/>
      <c r="C41" s="326"/>
      <c r="D41" s="274"/>
      <c r="E41" s="274"/>
      <c r="F41" s="328"/>
      <c r="G41" s="329"/>
    </row>
    <row r="42" ht="15.75" customHeight="1">
      <c r="A42" s="327"/>
      <c r="B42" s="327"/>
      <c r="C42" s="326"/>
      <c r="D42" s="274"/>
      <c r="E42" s="274"/>
      <c r="F42" s="328"/>
      <c r="G42" s="329"/>
    </row>
    <row r="43" ht="15.75" customHeight="1">
      <c r="A43" s="327"/>
      <c r="B43" s="327"/>
      <c r="C43" s="326"/>
      <c r="D43" s="274"/>
      <c r="E43" s="274"/>
      <c r="F43" s="328"/>
      <c r="G43" s="329"/>
    </row>
    <row r="44" ht="15.75" customHeight="1">
      <c r="A44" s="327"/>
      <c r="B44" s="327"/>
      <c r="C44" s="326"/>
      <c r="D44" s="274"/>
      <c r="E44" s="274"/>
      <c r="F44" s="328"/>
      <c r="G44" s="329"/>
    </row>
    <row r="45" ht="15.75" customHeight="1">
      <c r="A45" s="327"/>
      <c r="B45" s="327"/>
      <c r="C45" s="326"/>
      <c r="D45" s="274"/>
      <c r="E45" s="274"/>
      <c r="F45" s="328"/>
      <c r="G45" s="329"/>
    </row>
    <row r="46" ht="15.75" customHeight="1">
      <c r="A46" s="327"/>
      <c r="B46" s="327"/>
      <c r="C46" s="326"/>
      <c r="D46" s="274"/>
      <c r="E46" s="274"/>
      <c r="F46" s="328"/>
      <c r="G46" s="329"/>
    </row>
    <row r="47" ht="15.75" customHeight="1">
      <c r="A47" s="327"/>
      <c r="B47" s="327"/>
      <c r="C47" s="326"/>
      <c r="D47" s="274"/>
      <c r="E47" s="274"/>
      <c r="F47" s="328"/>
      <c r="G47" s="329"/>
    </row>
    <row r="48" ht="15.75" customHeight="1">
      <c r="A48" s="327"/>
      <c r="B48" s="327"/>
      <c r="C48" s="326"/>
      <c r="D48" s="274"/>
      <c r="E48" s="274"/>
      <c r="F48" s="328"/>
      <c r="G48" s="329"/>
    </row>
    <row r="49" ht="15.75" customHeight="1">
      <c r="A49" s="327"/>
      <c r="B49" s="327"/>
      <c r="C49" s="326"/>
      <c r="D49" s="274"/>
      <c r="E49" s="274"/>
      <c r="F49" s="328"/>
      <c r="G49" s="331"/>
    </row>
    <row r="50" ht="15.75" customHeight="1">
      <c r="A50" s="327"/>
      <c r="B50" s="327"/>
      <c r="C50" s="326"/>
      <c r="D50" s="274"/>
      <c r="E50" s="274"/>
      <c r="F50" s="328"/>
      <c r="G50" s="329"/>
    </row>
    <row r="51" ht="15.75" customHeight="1">
      <c r="A51" s="327"/>
      <c r="B51" s="327"/>
      <c r="C51" s="326"/>
      <c r="D51" s="274"/>
      <c r="E51" s="274"/>
      <c r="F51" s="328"/>
      <c r="G51" s="329"/>
    </row>
    <row r="52" ht="15.75" customHeight="1">
      <c r="A52" s="327"/>
      <c r="B52" s="327"/>
      <c r="C52" s="326"/>
      <c r="D52" s="274"/>
      <c r="E52" s="274"/>
      <c r="F52" s="328"/>
      <c r="G52" s="329"/>
    </row>
    <row r="53" ht="15.75" customHeight="1">
      <c r="A53" s="327"/>
      <c r="B53" s="327"/>
      <c r="C53" s="326"/>
      <c r="D53" s="274"/>
      <c r="E53" s="274"/>
      <c r="F53" s="328"/>
      <c r="G53" s="331"/>
    </row>
    <row r="54" ht="15.75" customHeight="1">
      <c r="A54" s="327"/>
      <c r="B54" s="327"/>
      <c r="C54" s="326"/>
      <c r="D54" s="274"/>
      <c r="E54" s="274"/>
      <c r="F54" s="328"/>
      <c r="G54" s="331"/>
    </row>
    <row r="55" ht="15.75" customHeight="1">
      <c r="A55" s="327"/>
      <c r="B55" s="327"/>
      <c r="C55" s="326"/>
      <c r="D55" s="274"/>
      <c r="E55" s="274"/>
      <c r="F55" s="328"/>
      <c r="G55" s="331"/>
    </row>
    <row r="56" ht="15.75" customHeight="1">
      <c r="A56" s="327"/>
      <c r="B56" s="327"/>
      <c r="C56" s="326"/>
      <c r="D56" s="274"/>
      <c r="E56" s="274"/>
      <c r="F56" s="328"/>
      <c r="G56" s="331"/>
    </row>
    <row r="57" ht="15.75" customHeight="1">
      <c r="A57" s="327"/>
      <c r="B57" s="327"/>
      <c r="C57" s="326"/>
      <c r="D57" s="274"/>
      <c r="E57" s="274"/>
      <c r="F57" s="328"/>
      <c r="G57" s="331"/>
    </row>
    <row r="58" ht="15.75" customHeight="1">
      <c r="A58" s="327"/>
      <c r="B58" s="327"/>
      <c r="C58" s="326"/>
      <c r="D58" s="274"/>
      <c r="E58" s="274"/>
      <c r="F58" s="328"/>
      <c r="G58" s="331"/>
    </row>
    <row r="59" ht="15.75" customHeight="1">
      <c r="A59" s="327"/>
      <c r="B59" s="327"/>
      <c r="C59" s="326"/>
      <c r="D59" s="274"/>
      <c r="E59" s="274"/>
      <c r="F59" s="328"/>
      <c r="G59" s="331"/>
    </row>
    <row r="60" ht="15.75" customHeight="1">
      <c r="A60" s="327"/>
      <c r="B60" s="327"/>
      <c r="C60" s="326"/>
      <c r="D60" s="274"/>
      <c r="E60" s="274"/>
      <c r="F60" s="328"/>
      <c r="G60" s="331"/>
    </row>
    <row r="61" ht="15.75" customHeight="1">
      <c r="A61" s="327"/>
      <c r="B61" s="327"/>
      <c r="C61" s="326"/>
      <c r="D61" s="274"/>
      <c r="E61" s="274"/>
      <c r="F61" s="328"/>
      <c r="G61" s="331"/>
    </row>
    <row r="62" ht="15.75" customHeight="1">
      <c r="A62" s="327"/>
      <c r="B62" s="327"/>
      <c r="C62" s="326"/>
      <c r="D62" s="274"/>
      <c r="E62" s="274"/>
      <c r="F62" s="328"/>
      <c r="G62" s="331"/>
    </row>
    <row r="63" ht="15.75" customHeight="1">
      <c r="A63" s="327"/>
      <c r="B63" s="327"/>
      <c r="C63" s="326"/>
      <c r="D63" s="274"/>
      <c r="E63" s="274"/>
      <c r="F63" s="328"/>
      <c r="G63" s="329"/>
    </row>
    <row r="64" ht="15.75" customHeight="1">
      <c r="A64" s="327"/>
      <c r="B64" s="327"/>
      <c r="C64" s="326"/>
      <c r="D64" s="274"/>
      <c r="E64" s="274"/>
      <c r="F64" s="328"/>
      <c r="G64" s="329"/>
    </row>
    <row r="65" ht="15.75" customHeight="1">
      <c r="A65" s="327"/>
      <c r="B65" s="327"/>
      <c r="C65" s="326"/>
      <c r="D65" s="274"/>
      <c r="E65" s="274"/>
      <c r="F65" s="328"/>
      <c r="G65" s="329"/>
    </row>
    <row r="66" ht="15.75" customHeight="1">
      <c r="A66" s="327"/>
      <c r="B66" s="327"/>
      <c r="C66" s="326"/>
      <c r="D66" s="274"/>
      <c r="E66" s="274"/>
      <c r="F66" s="328"/>
      <c r="G66" s="329"/>
    </row>
    <row r="67" ht="15.75" customHeight="1">
      <c r="A67" s="327"/>
      <c r="B67" s="327"/>
      <c r="C67" s="326"/>
      <c r="D67" s="274"/>
      <c r="E67" s="274"/>
      <c r="F67" s="328"/>
      <c r="G67" s="331"/>
    </row>
    <row r="68" ht="15.75" customHeight="1">
      <c r="A68" s="327"/>
      <c r="B68" s="327"/>
      <c r="C68" s="326"/>
      <c r="D68" s="274"/>
      <c r="E68" s="274"/>
      <c r="F68" s="328"/>
      <c r="G68" s="329"/>
    </row>
    <row r="69" ht="15.75" customHeight="1">
      <c r="A69" s="327"/>
      <c r="B69" s="327"/>
      <c r="C69" s="326"/>
      <c r="D69" s="274"/>
      <c r="E69" s="274"/>
      <c r="F69" s="328"/>
      <c r="G69" s="329"/>
    </row>
    <row r="70" ht="15.75" customHeight="1">
      <c r="A70" s="327"/>
      <c r="B70" s="327"/>
      <c r="C70" s="326"/>
      <c r="D70" s="274"/>
      <c r="E70" s="274"/>
      <c r="F70" s="328"/>
      <c r="G70" s="329"/>
    </row>
    <row r="71" ht="15.75" customHeight="1">
      <c r="A71" s="327"/>
      <c r="B71" s="327"/>
      <c r="C71" s="326"/>
      <c r="D71" s="274"/>
      <c r="E71" s="274"/>
      <c r="F71" s="328"/>
      <c r="G71" s="331"/>
    </row>
    <row r="72" ht="15.75" customHeight="1">
      <c r="A72" s="327"/>
      <c r="B72" s="327"/>
      <c r="C72" s="326"/>
      <c r="D72" s="274"/>
      <c r="E72" s="274"/>
      <c r="F72" s="328"/>
      <c r="G72" s="329"/>
    </row>
    <row r="73" ht="15.75" customHeight="1">
      <c r="A73" s="327"/>
      <c r="B73" s="327"/>
      <c r="C73" s="326"/>
      <c r="D73" s="274"/>
      <c r="E73" s="274"/>
      <c r="F73" s="328"/>
      <c r="G73" s="329"/>
    </row>
    <row r="74" ht="15.75" customHeight="1">
      <c r="A74" s="327"/>
      <c r="B74" s="327"/>
      <c r="C74" s="326"/>
      <c r="D74" s="274"/>
      <c r="E74" s="274"/>
      <c r="F74" s="328"/>
      <c r="G74" s="329"/>
    </row>
    <row r="75" ht="15.75" customHeight="1">
      <c r="A75" s="327"/>
      <c r="B75" s="327"/>
      <c r="C75" s="326"/>
      <c r="D75" s="274"/>
      <c r="E75" s="274"/>
      <c r="F75" s="328"/>
      <c r="G75" s="329"/>
    </row>
    <row r="76" ht="15.75" customHeight="1">
      <c r="A76" s="327"/>
      <c r="B76" s="327"/>
      <c r="C76" s="326"/>
      <c r="D76" s="274"/>
      <c r="E76" s="274"/>
      <c r="F76" s="328"/>
      <c r="G76" s="329"/>
    </row>
    <row r="77" ht="15.75" customHeight="1">
      <c r="A77" s="327"/>
      <c r="B77" s="327"/>
      <c r="C77" s="326"/>
      <c r="D77" s="274"/>
      <c r="E77" s="274"/>
      <c r="F77" s="328"/>
      <c r="G77" s="331"/>
    </row>
    <row r="78" ht="15.75" customHeight="1">
      <c r="A78" s="327"/>
      <c r="B78" s="327"/>
      <c r="C78" s="326"/>
      <c r="D78" s="274"/>
      <c r="E78" s="274"/>
      <c r="F78" s="328"/>
      <c r="G78" s="329"/>
    </row>
    <row r="79" ht="15.75" customHeight="1">
      <c r="A79" s="327"/>
      <c r="B79" s="327"/>
      <c r="C79" s="326"/>
      <c r="D79" s="274"/>
      <c r="E79" s="274"/>
      <c r="F79" s="328"/>
      <c r="G79" s="329"/>
    </row>
    <row r="80" ht="15.75" customHeight="1">
      <c r="A80" s="327"/>
      <c r="B80" s="327"/>
      <c r="C80" s="326"/>
      <c r="D80" s="274"/>
      <c r="E80" s="274"/>
      <c r="F80" s="328"/>
      <c r="G80" s="331"/>
    </row>
    <row r="81" ht="15.75" customHeight="1">
      <c r="A81" s="327"/>
      <c r="B81" s="327"/>
      <c r="C81" s="326"/>
      <c r="D81" s="274"/>
      <c r="E81" s="274"/>
      <c r="F81" s="328"/>
      <c r="G81" s="331"/>
    </row>
    <row r="82" ht="15.75" customHeight="1">
      <c r="A82" s="327"/>
      <c r="B82" s="327"/>
      <c r="C82" s="326"/>
      <c r="D82" s="274"/>
      <c r="E82" s="274"/>
      <c r="F82" s="328"/>
      <c r="G82" s="329"/>
    </row>
    <row r="83" ht="15.75" customHeight="1">
      <c r="A83" s="327"/>
      <c r="B83" s="327"/>
      <c r="C83" s="326"/>
      <c r="D83" s="274"/>
      <c r="E83" s="274"/>
      <c r="F83" s="328"/>
      <c r="G83" s="329"/>
    </row>
    <row r="84" ht="15.75" customHeight="1">
      <c r="A84" s="327"/>
      <c r="B84" s="327"/>
      <c r="C84" s="326"/>
      <c r="D84" s="274"/>
      <c r="E84" s="274"/>
      <c r="F84" s="328"/>
      <c r="G84" s="331"/>
    </row>
    <row r="85" ht="15.75" customHeight="1">
      <c r="A85" s="327"/>
      <c r="B85" s="327"/>
      <c r="C85" s="326"/>
      <c r="D85" s="274"/>
      <c r="E85" s="274"/>
      <c r="F85" s="328"/>
      <c r="G85" s="331"/>
    </row>
    <row r="86" ht="15.75" customHeight="1">
      <c r="A86" s="327"/>
      <c r="B86" s="327"/>
      <c r="C86" s="326"/>
      <c r="D86" s="274"/>
      <c r="E86" s="274"/>
      <c r="F86" s="328"/>
      <c r="G86" s="329"/>
    </row>
    <row r="87" ht="15.75" customHeight="1">
      <c r="A87" s="327"/>
      <c r="B87" s="327"/>
      <c r="C87" s="326"/>
      <c r="D87" s="274"/>
      <c r="E87" s="274"/>
      <c r="F87" s="328"/>
      <c r="G87" s="329"/>
    </row>
    <row r="88" ht="15.75" customHeight="1">
      <c r="A88" s="327"/>
      <c r="B88" s="327"/>
      <c r="C88" s="326"/>
      <c r="D88" s="274"/>
      <c r="E88" s="274"/>
      <c r="F88" s="328"/>
      <c r="G88" s="331"/>
    </row>
    <row r="89" ht="15.75" customHeight="1">
      <c r="A89" s="327"/>
      <c r="B89" s="327"/>
      <c r="C89" s="326"/>
      <c r="D89" s="274"/>
      <c r="E89" s="274"/>
      <c r="F89" s="328"/>
      <c r="G89" s="329"/>
    </row>
    <row r="90" ht="15.75" customHeight="1">
      <c r="A90" s="327"/>
      <c r="B90" s="327"/>
      <c r="C90" s="326"/>
      <c r="D90" s="274"/>
      <c r="E90" s="274"/>
      <c r="F90" s="328"/>
      <c r="G90" s="329"/>
    </row>
    <row r="91" ht="15.75" customHeight="1">
      <c r="A91" s="327"/>
      <c r="B91" s="327"/>
      <c r="C91" s="326"/>
      <c r="D91" s="274"/>
      <c r="E91" s="274"/>
      <c r="F91" s="328"/>
      <c r="G91" s="329"/>
    </row>
    <row r="92" ht="15.75" customHeight="1">
      <c r="A92" s="327"/>
      <c r="B92" s="327"/>
      <c r="C92" s="326"/>
      <c r="D92" s="274"/>
      <c r="E92" s="274"/>
      <c r="F92" s="328"/>
      <c r="G92" s="331"/>
    </row>
    <row r="93" ht="15.75" customHeight="1">
      <c r="A93" s="327"/>
      <c r="B93" s="327"/>
      <c r="C93" s="326"/>
      <c r="D93" s="274"/>
      <c r="E93" s="274"/>
      <c r="F93" s="328"/>
      <c r="G93" s="329"/>
    </row>
    <row r="94" ht="15.75" customHeight="1">
      <c r="A94" s="327"/>
      <c r="B94" s="327"/>
      <c r="C94" s="326"/>
      <c r="D94" s="274"/>
      <c r="E94" s="274"/>
      <c r="F94" s="328"/>
      <c r="G94" s="331"/>
    </row>
    <row r="95" ht="15.75" customHeight="1">
      <c r="A95" s="327"/>
      <c r="B95" s="327"/>
      <c r="C95" s="326"/>
      <c r="D95" s="274"/>
      <c r="E95" s="274"/>
      <c r="F95" s="328"/>
      <c r="G95" s="329"/>
    </row>
    <row r="96" ht="15.75" customHeight="1">
      <c r="A96" s="327"/>
      <c r="B96" s="327"/>
      <c r="C96" s="326"/>
      <c r="D96" s="274"/>
      <c r="E96" s="274"/>
      <c r="F96" s="328"/>
      <c r="G96" s="331"/>
    </row>
    <row r="97" ht="15.75" customHeight="1">
      <c r="A97" s="327"/>
      <c r="B97" s="327"/>
      <c r="C97" s="326"/>
      <c r="D97" s="274"/>
      <c r="E97" s="274"/>
      <c r="F97" s="328"/>
      <c r="G97" s="329"/>
    </row>
    <row r="98" ht="15.75" customHeight="1">
      <c r="A98" s="327"/>
      <c r="B98" s="327"/>
      <c r="C98" s="326"/>
      <c r="D98" s="274"/>
      <c r="E98" s="274"/>
      <c r="F98" s="328"/>
      <c r="G98" s="329"/>
    </row>
    <row r="99" ht="15.75" customHeight="1">
      <c r="A99" s="327"/>
      <c r="B99" s="327"/>
      <c r="C99" s="326"/>
      <c r="D99" s="274"/>
      <c r="E99" s="274"/>
      <c r="F99" s="328"/>
      <c r="G99" s="329"/>
    </row>
    <row r="100" ht="15.75" customHeight="1">
      <c r="A100" s="327"/>
      <c r="B100" s="327"/>
      <c r="C100" s="326"/>
      <c r="D100" s="274"/>
      <c r="E100" s="274"/>
      <c r="F100" s="328"/>
      <c r="G100" s="329"/>
    </row>
    <row r="101" ht="15.75" customHeight="1">
      <c r="A101" s="327"/>
      <c r="B101" s="327"/>
      <c r="C101" s="326"/>
      <c r="D101" s="274"/>
      <c r="E101" s="274"/>
      <c r="F101" s="328"/>
      <c r="G101" s="331"/>
    </row>
    <row r="102" ht="15.75" customHeight="1">
      <c r="A102" s="327"/>
      <c r="B102" s="327"/>
      <c r="C102" s="326"/>
      <c r="D102" s="274"/>
      <c r="E102" s="274"/>
      <c r="F102" s="328"/>
      <c r="G102" s="329"/>
    </row>
    <row r="103" ht="15.75" customHeight="1">
      <c r="A103" s="327"/>
      <c r="B103" s="327"/>
      <c r="C103" s="326"/>
      <c r="D103" s="274"/>
      <c r="E103" s="274"/>
      <c r="F103" s="328"/>
      <c r="G103" s="329"/>
    </row>
    <row r="104" ht="15.75" customHeight="1">
      <c r="A104" s="327"/>
      <c r="B104" s="327"/>
      <c r="C104" s="326"/>
      <c r="D104" s="274"/>
      <c r="E104" s="274"/>
      <c r="F104" s="328"/>
      <c r="G104" s="329"/>
    </row>
    <row r="105" ht="15.75" customHeight="1">
      <c r="A105" s="327"/>
      <c r="B105" s="327"/>
      <c r="C105" s="326"/>
      <c r="D105" s="274"/>
      <c r="E105" s="274"/>
      <c r="F105" s="328"/>
      <c r="G105" s="329"/>
    </row>
    <row r="106" ht="15.75" customHeight="1">
      <c r="A106" s="327"/>
      <c r="B106" s="327"/>
      <c r="C106" s="326"/>
      <c r="D106" s="274"/>
      <c r="E106" s="274"/>
      <c r="F106" s="328"/>
      <c r="G106" s="329"/>
    </row>
    <row r="107" ht="15.75" customHeight="1">
      <c r="A107" s="327"/>
      <c r="B107" s="327"/>
      <c r="C107" s="326"/>
      <c r="D107" s="274"/>
      <c r="E107" s="274"/>
      <c r="F107" s="328"/>
      <c r="G107" s="329"/>
    </row>
    <row r="108" ht="15.75" customHeight="1">
      <c r="A108" s="327"/>
      <c r="B108" s="327"/>
      <c r="C108" s="326"/>
      <c r="D108" s="274"/>
      <c r="E108" s="274"/>
      <c r="F108" s="328"/>
      <c r="G108" s="329"/>
    </row>
    <row r="109" ht="15.75" customHeight="1">
      <c r="A109" s="327"/>
      <c r="B109" s="327"/>
      <c r="C109" s="326"/>
      <c r="D109" s="274"/>
      <c r="E109" s="274"/>
      <c r="F109" s="328"/>
      <c r="G109" s="329"/>
    </row>
    <row r="110" ht="15.75" customHeight="1">
      <c r="A110" s="327"/>
      <c r="B110" s="327"/>
      <c r="C110" s="326"/>
      <c r="D110" s="274"/>
      <c r="E110" s="274"/>
      <c r="F110" s="328"/>
      <c r="G110" s="329"/>
    </row>
    <row r="111" ht="15.75" customHeight="1">
      <c r="A111" s="327"/>
      <c r="B111" s="327"/>
      <c r="C111" s="326"/>
      <c r="D111" s="274"/>
      <c r="E111" s="274"/>
      <c r="F111" s="328"/>
      <c r="G111" s="329"/>
    </row>
    <row r="112" ht="15.75" customHeight="1">
      <c r="A112" s="327"/>
      <c r="B112" s="327"/>
      <c r="C112" s="326"/>
      <c r="D112" s="274"/>
      <c r="E112" s="274"/>
      <c r="F112" s="328"/>
      <c r="G112" s="329"/>
    </row>
    <row r="113" ht="15.75" customHeight="1">
      <c r="A113" s="327"/>
      <c r="B113" s="327"/>
      <c r="C113" s="326"/>
      <c r="D113" s="274"/>
      <c r="E113" s="274"/>
      <c r="F113" s="328"/>
      <c r="G113" s="329"/>
    </row>
    <row r="114" ht="15.75" customHeight="1">
      <c r="A114" s="327"/>
      <c r="B114" s="327"/>
      <c r="C114" s="326"/>
      <c r="D114" s="274"/>
      <c r="E114" s="274"/>
      <c r="F114" s="328"/>
      <c r="G114" s="329"/>
    </row>
    <row r="115" ht="15.75" customHeight="1">
      <c r="A115" s="327"/>
      <c r="B115" s="327"/>
      <c r="C115" s="326"/>
      <c r="D115" s="274"/>
      <c r="E115" s="274"/>
      <c r="F115" s="328"/>
      <c r="G115" s="329"/>
    </row>
    <row r="116" ht="15.75" customHeight="1">
      <c r="A116" s="327"/>
      <c r="B116" s="327"/>
      <c r="C116" s="326"/>
      <c r="D116" s="274"/>
      <c r="E116" s="274"/>
      <c r="F116" s="328"/>
      <c r="G116" s="329"/>
    </row>
    <row r="117" ht="15.75" customHeight="1">
      <c r="A117" s="327"/>
      <c r="B117" s="327"/>
      <c r="C117" s="326"/>
      <c r="D117" s="274"/>
      <c r="E117" s="274"/>
      <c r="F117" s="328"/>
      <c r="G117" s="329"/>
    </row>
    <row r="118" ht="15.75" customHeight="1">
      <c r="A118" s="327"/>
      <c r="B118" s="327"/>
      <c r="C118" s="326"/>
      <c r="D118" s="274"/>
      <c r="E118" s="274"/>
      <c r="F118" s="328"/>
      <c r="G118" s="329"/>
    </row>
    <row r="119" ht="15.75" customHeight="1">
      <c r="A119" s="327"/>
      <c r="B119" s="327"/>
      <c r="C119" s="326"/>
      <c r="D119" s="274"/>
      <c r="E119" s="274"/>
      <c r="F119" s="328"/>
      <c r="G119" s="329"/>
    </row>
    <row r="120" ht="15.75" customHeight="1">
      <c r="A120" s="327"/>
      <c r="B120" s="327"/>
      <c r="C120" s="326"/>
      <c r="D120" s="274"/>
      <c r="E120" s="274"/>
      <c r="F120" s="328"/>
      <c r="G120" s="329"/>
    </row>
    <row r="121" ht="15.75" customHeight="1">
      <c r="A121" s="327"/>
      <c r="B121" s="327"/>
      <c r="C121" s="326"/>
      <c r="D121" s="274"/>
      <c r="E121" s="274"/>
      <c r="F121" s="328"/>
      <c r="G121" s="329"/>
    </row>
    <row r="122" ht="15.75" customHeight="1">
      <c r="A122" s="327"/>
      <c r="B122" s="327"/>
      <c r="C122" s="326"/>
      <c r="D122" s="274"/>
      <c r="E122" s="274"/>
      <c r="F122" s="328"/>
      <c r="G122" s="329"/>
    </row>
    <row r="123" ht="15.75" customHeight="1">
      <c r="A123" s="327"/>
      <c r="B123" s="327"/>
      <c r="C123" s="326"/>
      <c r="D123" s="274"/>
      <c r="E123" s="274"/>
      <c r="F123" s="328"/>
      <c r="G123" s="329"/>
    </row>
    <row r="124" ht="15.75" customHeight="1">
      <c r="A124" s="327"/>
      <c r="B124" s="327"/>
      <c r="C124" s="326"/>
      <c r="D124" s="274"/>
      <c r="E124" s="274"/>
      <c r="F124" s="328"/>
      <c r="G124" s="329"/>
    </row>
    <row r="125" ht="15.75" customHeight="1">
      <c r="A125" s="327"/>
      <c r="B125" s="327"/>
      <c r="C125" s="326"/>
      <c r="D125" s="274"/>
      <c r="E125" s="274"/>
      <c r="F125" s="328"/>
      <c r="G125" s="329"/>
    </row>
    <row r="126" ht="15.75" customHeight="1">
      <c r="A126" s="327"/>
      <c r="B126" s="327"/>
      <c r="C126" s="326"/>
      <c r="D126" s="274"/>
      <c r="E126" s="274"/>
      <c r="F126" s="328"/>
      <c r="G126" s="329"/>
    </row>
    <row r="127" ht="15.75" customHeight="1">
      <c r="A127" s="327"/>
      <c r="B127" s="327"/>
      <c r="C127" s="326"/>
      <c r="D127" s="274"/>
      <c r="E127" s="274"/>
      <c r="F127" s="328"/>
      <c r="G127" s="329"/>
    </row>
    <row r="128" ht="15.75" customHeight="1">
      <c r="A128" s="327"/>
      <c r="B128" s="327"/>
      <c r="C128" s="326"/>
      <c r="D128" s="274"/>
      <c r="E128" s="274"/>
      <c r="F128" s="328"/>
      <c r="G128" s="329"/>
    </row>
    <row r="129" ht="15.75" customHeight="1">
      <c r="A129" s="327"/>
      <c r="B129" s="327"/>
      <c r="C129" s="326"/>
      <c r="D129" s="274"/>
      <c r="E129" s="274"/>
      <c r="F129" s="328"/>
      <c r="G129" s="329"/>
    </row>
    <row r="130" ht="15.75" customHeight="1">
      <c r="A130" s="327"/>
      <c r="B130" s="327"/>
      <c r="C130" s="326"/>
      <c r="D130" s="274"/>
      <c r="E130" s="274"/>
      <c r="F130" s="328"/>
      <c r="G130" s="329"/>
    </row>
    <row r="131" ht="15.75" customHeight="1">
      <c r="A131" s="327"/>
      <c r="B131" s="327"/>
      <c r="C131" s="326"/>
      <c r="D131" s="274"/>
      <c r="E131" s="274"/>
      <c r="F131" s="328"/>
      <c r="G131" s="329"/>
    </row>
    <row r="132" ht="15.75" customHeight="1">
      <c r="A132" s="327"/>
      <c r="B132" s="327"/>
      <c r="C132" s="326"/>
      <c r="D132" s="274"/>
      <c r="E132" s="274"/>
      <c r="F132" s="328"/>
      <c r="G132" s="329"/>
    </row>
    <row r="133" ht="15.75" customHeight="1">
      <c r="A133" s="327"/>
      <c r="B133" s="327"/>
      <c r="C133" s="326"/>
      <c r="D133" s="274"/>
      <c r="E133" s="274"/>
      <c r="F133" s="328"/>
      <c r="G133" s="329"/>
    </row>
    <row r="134" ht="15.75" customHeight="1">
      <c r="A134" s="327"/>
      <c r="B134" s="327"/>
      <c r="C134" s="326"/>
      <c r="D134" s="274"/>
      <c r="E134" s="274"/>
      <c r="F134" s="328"/>
      <c r="G134" s="329"/>
    </row>
    <row r="135" ht="15.75" customHeight="1">
      <c r="A135" s="327"/>
      <c r="B135" s="327"/>
      <c r="C135" s="326"/>
      <c r="D135" s="274"/>
      <c r="E135" s="274"/>
      <c r="F135" s="328"/>
      <c r="G135" s="329"/>
    </row>
    <row r="136" ht="15.75" customHeight="1">
      <c r="A136" s="327"/>
      <c r="B136" s="327"/>
      <c r="C136" s="326"/>
      <c r="D136" s="274"/>
      <c r="E136" s="274"/>
      <c r="F136" s="328"/>
      <c r="G136" s="329"/>
    </row>
    <row r="137" ht="15.75" customHeight="1">
      <c r="A137" s="327"/>
      <c r="B137" s="327"/>
      <c r="C137" s="326"/>
      <c r="D137" s="274"/>
      <c r="E137" s="274"/>
      <c r="F137" s="328"/>
      <c r="G137" s="329"/>
    </row>
    <row r="138" ht="15.75" customHeight="1">
      <c r="A138" s="327"/>
      <c r="B138" s="327"/>
      <c r="C138" s="326"/>
      <c r="D138" s="274"/>
      <c r="E138" s="274"/>
      <c r="F138" s="328"/>
      <c r="G138" s="329"/>
    </row>
    <row r="139" ht="15.75" customHeight="1">
      <c r="A139" s="327"/>
      <c r="B139" s="327"/>
      <c r="C139" s="326"/>
      <c r="D139" s="274"/>
      <c r="E139" s="274"/>
      <c r="F139" s="328"/>
      <c r="G139" s="329"/>
    </row>
    <row r="140" ht="15.75" customHeight="1">
      <c r="A140" s="327"/>
      <c r="B140" s="327"/>
      <c r="C140" s="326"/>
      <c r="D140" s="274"/>
      <c r="E140" s="274"/>
      <c r="F140" s="328"/>
      <c r="G140" s="329"/>
    </row>
    <row r="141" ht="15.75" customHeight="1">
      <c r="A141" s="327"/>
      <c r="B141" s="327"/>
      <c r="C141" s="326"/>
      <c r="D141" s="274"/>
      <c r="E141" s="274"/>
      <c r="F141" s="328"/>
      <c r="G141" s="329"/>
    </row>
    <row r="142" ht="15.75" customHeight="1">
      <c r="A142" s="327"/>
      <c r="B142" s="327"/>
      <c r="C142" s="326"/>
      <c r="D142" s="274"/>
      <c r="E142" s="274"/>
      <c r="F142" s="328"/>
      <c r="G142" s="329"/>
    </row>
    <row r="143" ht="15.75" customHeight="1">
      <c r="A143" s="327"/>
      <c r="B143" s="327"/>
      <c r="C143" s="326"/>
      <c r="D143" s="274"/>
      <c r="E143" s="274"/>
      <c r="F143" s="328"/>
      <c r="G143" s="329"/>
    </row>
    <row r="144" ht="15.75" customHeight="1">
      <c r="A144" s="327"/>
      <c r="B144" s="327"/>
      <c r="C144" s="326"/>
      <c r="D144" s="274"/>
      <c r="E144" s="274"/>
      <c r="F144" s="328"/>
      <c r="G144" s="329"/>
    </row>
    <row r="145" ht="15.75" customHeight="1">
      <c r="A145" s="327"/>
      <c r="B145" s="327"/>
      <c r="C145" s="326"/>
      <c r="D145" s="274"/>
      <c r="E145" s="274"/>
      <c r="F145" s="328"/>
      <c r="G145" s="329"/>
    </row>
    <row r="146" ht="15.75" customHeight="1">
      <c r="A146" s="327"/>
      <c r="B146" s="327"/>
      <c r="C146" s="326"/>
      <c r="D146" s="274"/>
      <c r="E146" s="274"/>
      <c r="F146" s="328"/>
      <c r="G146" s="329"/>
    </row>
    <row r="147" ht="15.75" customHeight="1">
      <c r="A147" s="327"/>
      <c r="B147" s="327"/>
      <c r="C147" s="326"/>
      <c r="D147" s="274"/>
      <c r="E147" s="274"/>
      <c r="F147" s="328"/>
      <c r="G147" s="329"/>
    </row>
    <row r="148" ht="15.75" customHeight="1">
      <c r="A148" s="327"/>
      <c r="B148" s="327"/>
      <c r="C148" s="326"/>
      <c r="D148" s="274"/>
      <c r="E148" s="274"/>
      <c r="F148" s="328"/>
      <c r="G148" s="329"/>
    </row>
    <row r="149" ht="15.75" customHeight="1">
      <c r="A149" s="327"/>
      <c r="B149" s="327"/>
      <c r="C149" s="326"/>
      <c r="D149" s="274"/>
      <c r="E149" s="274"/>
      <c r="F149" s="328"/>
      <c r="G149" s="329"/>
    </row>
    <row r="150" ht="15.75" customHeight="1">
      <c r="A150" s="327"/>
      <c r="B150" s="327"/>
      <c r="C150" s="326"/>
      <c r="D150" s="274"/>
      <c r="E150" s="274"/>
      <c r="F150" s="328"/>
      <c r="G150" s="329"/>
    </row>
    <row r="151" ht="15.75" customHeight="1">
      <c r="A151" s="327"/>
      <c r="B151" s="327"/>
      <c r="C151" s="326"/>
      <c r="D151" s="274"/>
      <c r="E151" s="274"/>
      <c r="F151" s="328"/>
      <c r="G151" s="329"/>
    </row>
    <row r="152" ht="15.75" customHeight="1">
      <c r="A152" s="327"/>
      <c r="B152" s="327"/>
      <c r="C152" s="326"/>
      <c r="D152" s="274"/>
      <c r="E152" s="274"/>
      <c r="F152" s="328"/>
      <c r="G152" s="329"/>
    </row>
    <row r="153" ht="15.75" customHeight="1">
      <c r="A153" s="327"/>
      <c r="B153" s="327"/>
      <c r="C153" s="326"/>
      <c r="D153" s="274"/>
      <c r="E153" s="274"/>
      <c r="F153" s="328"/>
      <c r="G153" s="329"/>
    </row>
    <row r="154" ht="15.75" customHeight="1">
      <c r="A154" s="327"/>
      <c r="B154" s="327"/>
      <c r="C154" s="326"/>
      <c r="D154" s="274"/>
      <c r="E154" s="274"/>
      <c r="F154" s="328"/>
      <c r="G154" s="329"/>
    </row>
    <row r="155" ht="15.75" customHeight="1">
      <c r="A155" s="327"/>
      <c r="B155" s="327"/>
      <c r="C155" s="326"/>
      <c r="D155" s="274"/>
      <c r="E155" s="274"/>
      <c r="F155" s="328"/>
      <c r="G155" s="329"/>
    </row>
    <row r="156" ht="15.75" customHeight="1">
      <c r="A156" s="327"/>
      <c r="B156" s="327"/>
      <c r="C156" s="326"/>
      <c r="D156" s="274"/>
      <c r="E156" s="274"/>
      <c r="F156" s="328"/>
      <c r="G156" s="329"/>
    </row>
    <row r="157" ht="15.75" customHeight="1">
      <c r="A157" s="327"/>
      <c r="B157" s="327"/>
      <c r="C157" s="326"/>
      <c r="D157" s="274"/>
      <c r="E157" s="274"/>
      <c r="F157" s="328"/>
      <c r="G157" s="329"/>
    </row>
    <row r="158" ht="15.75" customHeight="1">
      <c r="A158" s="327"/>
      <c r="B158" s="327"/>
      <c r="C158" s="326"/>
      <c r="D158" s="274"/>
      <c r="E158" s="274"/>
      <c r="F158" s="328"/>
      <c r="G158" s="329"/>
    </row>
    <row r="159" ht="15.75" customHeight="1">
      <c r="A159" s="327"/>
      <c r="B159" s="327"/>
      <c r="C159" s="326"/>
      <c r="D159" s="274"/>
      <c r="E159" s="274"/>
      <c r="F159" s="328"/>
      <c r="G159" s="329"/>
    </row>
    <row r="160" ht="15.75" customHeight="1">
      <c r="A160" s="327"/>
      <c r="B160" s="327"/>
      <c r="C160" s="326"/>
      <c r="D160" s="274"/>
      <c r="E160" s="274"/>
      <c r="F160" s="328"/>
      <c r="G160" s="329"/>
    </row>
    <row r="161" ht="15.75" customHeight="1">
      <c r="A161" s="327"/>
      <c r="B161" s="327"/>
      <c r="C161" s="326"/>
      <c r="D161" s="274"/>
      <c r="E161" s="274"/>
      <c r="F161" s="328"/>
      <c r="G161" s="329"/>
    </row>
    <row r="162" ht="15.75" customHeight="1">
      <c r="A162" s="327"/>
      <c r="B162" s="327"/>
      <c r="C162" s="326"/>
      <c r="D162" s="274"/>
      <c r="E162" s="274"/>
      <c r="F162" s="328"/>
      <c r="G162" s="329"/>
    </row>
    <row r="163" ht="15.75" customHeight="1">
      <c r="A163" s="327"/>
      <c r="B163" s="327"/>
      <c r="C163" s="326"/>
      <c r="D163" s="274"/>
      <c r="E163" s="274"/>
      <c r="F163" s="328"/>
      <c r="G163" s="329"/>
    </row>
    <row r="164" ht="15.75" customHeight="1">
      <c r="A164" s="327"/>
      <c r="B164" s="327"/>
      <c r="C164" s="326"/>
      <c r="D164" s="274"/>
      <c r="E164" s="274"/>
      <c r="F164" s="328"/>
      <c r="G164" s="329"/>
    </row>
    <row r="165" ht="15.75" customHeight="1">
      <c r="A165" s="327"/>
      <c r="B165" s="327"/>
      <c r="C165" s="326"/>
      <c r="D165" s="274"/>
      <c r="E165" s="274"/>
      <c r="F165" s="328"/>
      <c r="G165" s="329"/>
    </row>
    <row r="166" ht="15.75" customHeight="1">
      <c r="A166" s="327"/>
      <c r="B166" s="327"/>
      <c r="C166" s="326"/>
      <c r="D166" s="274"/>
      <c r="E166" s="274"/>
      <c r="F166" s="328"/>
      <c r="G166" s="329"/>
    </row>
    <row r="167" ht="15.75" customHeight="1">
      <c r="A167" s="327"/>
      <c r="B167" s="327"/>
      <c r="C167" s="326"/>
      <c r="D167" s="274"/>
      <c r="E167" s="274"/>
      <c r="F167" s="328"/>
      <c r="G167" s="329"/>
    </row>
    <row r="168" ht="15.75" customHeight="1">
      <c r="A168" s="327"/>
      <c r="B168" s="327"/>
      <c r="C168" s="326"/>
      <c r="D168" s="274"/>
      <c r="E168" s="274"/>
      <c r="F168" s="328"/>
      <c r="G168" s="329"/>
    </row>
    <row r="169" ht="15.75" customHeight="1">
      <c r="A169" s="327"/>
      <c r="B169" s="327"/>
      <c r="C169" s="326"/>
      <c r="D169" s="274"/>
      <c r="E169" s="274"/>
      <c r="F169" s="328"/>
      <c r="G169" s="329"/>
    </row>
    <row r="170" ht="15.75" customHeight="1">
      <c r="A170" s="327"/>
      <c r="B170" s="327"/>
      <c r="C170" s="326"/>
      <c r="D170" s="274"/>
      <c r="E170" s="274"/>
      <c r="F170" s="328"/>
      <c r="G170" s="329"/>
    </row>
    <row r="171" ht="15.75" customHeight="1">
      <c r="A171" s="327"/>
      <c r="B171" s="327"/>
      <c r="C171" s="326"/>
      <c r="D171" s="274"/>
      <c r="E171" s="274"/>
      <c r="F171" s="328"/>
      <c r="G171" s="329"/>
    </row>
    <row r="172" ht="15.75" customHeight="1">
      <c r="A172" s="327"/>
      <c r="B172" s="327"/>
      <c r="C172" s="326"/>
      <c r="D172" s="274"/>
      <c r="E172" s="274"/>
      <c r="F172" s="328"/>
      <c r="G172" s="329"/>
    </row>
    <row r="173" ht="15.75" customHeight="1">
      <c r="A173" s="327"/>
      <c r="B173" s="327"/>
      <c r="C173" s="326"/>
      <c r="D173" s="274"/>
      <c r="E173" s="274"/>
      <c r="F173" s="328"/>
      <c r="G173" s="329"/>
    </row>
    <row r="174" ht="15.75" customHeight="1">
      <c r="A174" s="327"/>
      <c r="B174" s="327"/>
      <c r="C174" s="326"/>
      <c r="D174" s="274"/>
      <c r="E174" s="274"/>
      <c r="F174" s="328"/>
      <c r="G174" s="329"/>
    </row>
    <row r="175" ht="15.75" customHeight="1">
      <c r="A175" s="327"/>
      <c r="B175" s="327"/>
      <c r="C175" s="326"/>
      <c r="D175" s="274"/>
      <c r="E175" s="274"/>
      <c r="F175" s="328"/>
      <c r="G175" s="329"/>
    </row>
    <row r="176" ht="15.75" customHeight="1">
      <c r="A176" s="327"/>
      <c r="B176" s="327"/>
      <c r="C176" s="326"/>
      <c r="D176" s="274"/>
      <c r="E176" s="274"/>
      <c r="F176" s="328"/>
      <c r="G176" s="329"/>
    </row>
    <row r="177" ht="15.75" customHeight="1">
      <c r="A177" s="327"/>
      <c r="B177" s="327"/>
      <c r="C177" s="326"/>
      <c r="D177" s="274"/>
      <c r="E177" s="274"/>
      <c r="F177" s="328"/>
      <c r="G177" s="329"/>
    </row>
    <row r="178" ht="15.75" customHeight="1">
      <c r="A178" s="327"/>
      <c r="B178" s="327"/>
      <c r="C178" s="326"/>
      <c r="D178" s="274"/>
      <c r="E178" s="274"/>
      <c r="F178" s="328"/>
      <c r="G178" s="329"/>
    </row>
    <row r="179" ht="15.75" customHeight="1">
      <c r="A179" s="327"/>
      <c r="B179" s="327"/>
      <c r="C179" s="326"/>
      <c r="D179" s="274"/>
      <c r="E179" s="274"/>
      <c r="F179" s="328"/>
      <c r="G179" s="329"/>
    </row>
    <row r="180" ht="15.75" customHeight="1">
      <c r="A180" s="327"/>
      <c r="B180" s="327"/>
      <c r="C180" s="326"/>
      <c r="D180" s="274"/>
      <c r="E180" s="274"/>
      <c r="F180" s="328"/>
      <c r="G180" s="329"/>
    </row>
    <row r="181" ht="15.75" customHeight="1">
      <c r="A181" s="327"/>
      <c r="B181" s="327"/>
      <c r="C181" s="326"/>
      <c r="D181" s="274"/>
      <c r="E181" s="274"/>
      <c r="F181" s="328"/>
      <c r="G181" s="329"/>
    </row>
    <row r="182" ht="15.75" customHeight="1">
      <c r="A182" s="327"/>
      <c r="B182" s="327"/>
      <c r="C182" s="326"/>
      <c r="D182" s="274"/>
      <c r="E182" s="274"/>
      <c r="F182" s="328"/>
      <c r="G182" s="329"/>
    </row>
    <row r="183" ht="15.75" customHeight="1">
      <c r="A183" s="327"/>
      <c r="B183" s="327"/>
      <c r="C183" s="326"/>
      <c r="D183" s="274"/>
      <c r="E183" s="274"/>
      <c r="F183" s="328"/>
      <c r="G183" s="329"/>
    </row>
    <row r="184" ht="15.75" customHeight="1">
      <c r="A184" s="327"/>
      <c r="B184" s="327"/>
      <c r="C184" s="326"/>
      <c r="D184" s="274"/>
      <c r="E184" s="274"/>
      <c r="F184" s="328"/>
      <c r="G184" s="329"/>
    </row>
    <row r="185" ht="15.75" customHeight="1">
      <c r="A185" s="327"/>
      <c r="B185" s="327"/>
      <c r="C185" s="326"/>
      <c r="D185" s="274"/>
      <c r="E185" s="274"/>
      <c r="F185" s="328"/>
      <c r="G185" s="329"/>
    </row>
    <row r="186" ht="15.75" customHeight="1">
      <c r="A186" s="327"/>
      <c r="B186" s="327"/>
      <c r="C186" s="326"/>
      <c r="D186" s="274"/>
      <c r="E186" s="274"/>
      <c r="F186" s="328"/>
      <c r="G186" s="329"/>
    </row>
    <row r="187" ht="15.75" customHeight="1">
      <c r="A187" s="327"/>
      <c r="B187" s="327"/>
      <c r="C187" s="326"/>
      <c r="D187" s="274"/>
      <c r="E187" s="274"/>
      <c r="F187" s="328"/>
      <c r="G187" s="329"/>
    </row>
    <row r="188" ht="15.75" customHeight="1">
      <c r="A188" s="327"/>
      <c r="B188" s="327"/>
      <c r="C188" s="326"/>
      <c r="D188" s="274"/>
      <c r="E188" s="274"/>
      <c r="F188" s="328"/>
      <c r="G188" s="329"/>
    </row>
    <row r="189" ht="15.75" customHeight="1">
      <c r="A189" s="327"/>
      <c r="B189" s="327"/>
      <c r="C189" s="326"/>
      <c r="D189" s="274"/>
      <c r="E189" s="274"/>
      <c r="F189" s="328"/>
      <c r="G189" s="329"/>
    </row>
    <row r="190" ht="15.75" customHeight="1">
      <c r="A190" s="327"/>
      <c r="B190" s="327"/>
      <c r="C190" s="326"/>
      <c r="D190" s="274"/>
      <c r="E190" s="274"/>
      <c r="F190" s="328"/>
      <c r="G190" s="329"/>
    </row>
    <row r="191" ht="15.75" customHeight="1">
      <c r="A191" s="327"/>
      <c r="B191" s="327"/>
      <c r="C191" s="326"/>
      <c r="D191" s="274"/>
      <c r="E191" s="274"/>
      <c r="F191" s="328"/>
      <c r="G191" s="329"/>
    </row>
    <row r="192" ht="15.75" customHeight="1">
      <c r="A192" s="327"/>
      <c r="B192" s="327"/>
      <c r="C192" s="326"/>
      <c r="D192" s="274"/>
      <c r="E192" s="274"/>
      <c r="F192" s="328"/>
      <c r="G192" s="329"/>
    </row>
    <row r="193" ht="15.75" customHeight="1">
      <c r="A193" s="327"/>
      <c r="B193" s="327"/>
      <c r="C193" s="326"/>
      <c r="D193" s="274"/>
      <c r="E193" s="274"/>
      <c r="F193" s="328"/>
      <c r="G193" s="329"/>
    </row>
    <row r="194" ht="15.75" customHeight="1">
      <c r="A194" s="327"/>
      <c r="B194" s="327"/>
      <c r="C194" s="326"/>
      <c r="D194" s="274"/>
      <c r="E194" s="274"/>
      <c r="F194" s="328"/>
      <c r="G194" s="329"/>
    </row>
    <row r="195" ht="15.75" customHeight="1">
      <c r="A195" s="327"/>
      <c r="B195" s="327"/>
      <c r="C195" s="326"/>
      <c r="D195" s="274"/>
      <c r="E195" s="274"/>
      <c r="F195" s="328"/>
      <c r="G195" s="329"/>
    </row>
    <row r="196" ht="15.75" customHeight="1">
      <c r="A196" s="327"/>
      <c r="B196" s="327"/>
      <c r="C196" s="326"/>
      <c r="D196" s="274"/>
      <c r="E196" s="274"/>
      <c r="F196" s="328"/>
      <c r="G196" s="329"/>
    </row>
    <row r="197" ht="15.75" customHeight="1">
      <c r="A197" s="327"/>
      <c r="B197" s="327"/>
      <c r="C197" s="326"/>
      <c r="D197" s="274"/>
      <c r="E197" s="274"/>
      <c r="F197" s="328"/>
      <c r="G197" s="329"/>
    </row>
    <row r="198" ht="15.75" customHeight="1">
      <c r="A198" s="327"/>
      <c r="B198" s="327"/>
      <c r="C198" s="326"/>
      <c r="D198" s="274"/>
      <c r="E198" s="274"/>
      <c r="F198" s="328"/>
      <c r="G198" s="329"/>
    </row>
    <row r="199" ht="15.75" customHeight="1">
      <c r="A199" s="327"/>
      <c r="B199" s="327"/>
      <c r="C199" s="326"/>
      <c r="D199" s="274"/>
      <c r="E199" s="274"/>
      <c r="F199" s="328"/>
      <c r="G199" s="329"/>
    </row>
    <row r="200" ht="15.75" customHeight="1">
      <c r="A200" s="327"/>
      <c r="B200" s="327"/>
      <c r="C200" s="326"/>
      <c r="D200" s="274"/>
      <c r="E200" s="274"/>
      <c r="F200" s="328"/>
      <c r="G200" s="329"/>
    </row>
    <row r="201" ht="15.75" customHeight="1">
      <c r="A201" s="327"/>
      <c r="B201" s="327"/>
      <c r="C201" s="326"/>
      <c r="D201" s="274"/>
      <c r="E201" s="274"/>
      <c r="F201" s="328"/>
      <c r="G201" s="329"/>
    </row>
    <row r="202" ht="15.75" customHeight="1">
      <c r="A202" s="327"/>
      <c r="B202" s="327"/>
      <c r="C202" s="326"/>
      <c r="D202" s="274"/>
      <c r="E202" s="274"/>
      <c r="F202" s="328"/>
      <c r="G202" s="329"/>
    </row>
    <row r="203" ht="15.75" customHeight="1">
      <c r="A203" s="327"/>
      <c r="B203" s="327"/>
      <c r="C203" s="326"/>
      <c r="D203" s="274"/>
      <c r="E203" s="274"/>
      <c r="F203" s="328"/>
      <c r="G203" s="329"/>
    </row>
    <row r="204" ht="15.75" customHeight="1">
      <c r="A204" s="327"/>
      <c r="B204" s="327"/>
      <c r="C204" s="326"/>
      <c r="D204" s="274"/>
      <c r="E204" s="274"/>
      <c r="F204" s="328"/>
      <c r="G204" s="329"/>
    </row>
    <row r="205" ht="15.75" customHeight="1">
      <c r="A205" s="327"/>
      <c r="B205" s="327"/>
      <c r="C205" s="326"/>
      <c r="D205" s="274"/>
      <c r="E205" s="274"/>
      <c r="F205" s="328"/>
      <c r="G205" s="329"/>
    </row>
    <row r="206" ht="15.75" customHeight="1">
      <c r="A206" s="327"/>
      <c r="B206" s="327"/>
      <c r="C206" s="326"/>
      <c r="D206" s="274"/>
      <c r="E206" s="274"/>
      <c r="F206" s="328"/>
      <c r="G206" s="329"/>
    </row>
    <row r="207" ht="15.75" customHeight="1">
      <c r="A207" s="327"/>
      <c r="B207" s="327"/>
      <c r="C207" s="326"/>
      <c r="D207" s="274"/>
      <c r="E207" s="274"/>
      <c r="F207" s="328"/>
      <c r="G207" s="329"/>
    </row>
    <row r="208" ht="15.75" customHeight="1">
      <c r="A208" s="327"/>
      <c r="B208" s="327"/>
      <c r="C208" s="326"/>
      <c r="D208" s="274"/>
      <c r="E208" s="274"/>
      <c r="F208" s="328"/>
      <c r="G208" s="329"/>
    </row>
    <row r="209" ht="15.75" customHeight="1">
      <c r="A209" s="327"/>
      <c r="B209" s="327"/>
      <c r="C209" s="326"/>
      <c r="D209" s="274"/>
      <c r="E209" s="274"/>
      <c r="F209" s="328"/>
      <c r="G209" s="329"/>
    </row>
    <row r="210" ht="15.75" customHeight="1">
      <c r="A210" s="327"/>
      <c r="B210" s="327"/>
      <c r="C210" s="326"/>
      <c r="D210" s="274"/>
      <c r="E210" s="274"/>
      <c r="F210" s="328"/>
      <c r="G210" s="329"/>
    </row>
    <row r="211" ht="15.75" customHeight="1">
      <c r="A211" s="327"/>
      <c r="B211" s="327"/>
      <c r="C211" s="326"/>
      <c r="D211" s="274"/>
      <c r="E211" s="274"/>
      <c r="F211" s="328"/>
      <c r="G211" s="329"/>
    </row>
    <row r="212" ht="15.75" customHeight="1">
      <c r="A212" s="327"/>
      <c r="B212" s="327"/>
      <c r="C212" s="326"/>
      <c r="D212" s="274"/>
      <c r="E212" s="274"/>
      <c r="F212" s="328"/>
      <c r="G212" s="329"/>
    </row>
    <row r="213" ht="15.75" customHeight="1">
      <c r="A213" s="327"/>
      <c r="B213" s="327"/>
      <c r="C213" s="326"/>
      <c r="D213" s="274"/>
      <c r="E213" s="274"/>
      <c r="F213" s="328"/>
      <c r="G213" s="329"/>
    </row>
    <row r="214" ht="15.75" customHeight="1">
      <c r="A214" s="327"/>
      <c r="B214" s="327"/>
      <c r="C214" s="326"/>
      <c r="D214" s="274"/>
      <c r="E214" s="274"/>
      <c r="F214" s="328"/>
      <c r="G214" s="329"/>
    </row>
    <row r="215" ht="15.75" customHeight="1">
      <c r="A215" s="327"/>
      <c r="B215" s="327"/>
      <c r="C215" s="326"/>
      <c r="D215" s="274"/>
      <c r="E215" s="274"/>
      <c r="F215" s="328"/>
      <c r="G215" s="329"/>
    </row>
    <row r="216" ht="15.75" customHeight="1">
      <c r="A216" s="327"/>
      <c r="B216" s="327"/>
      <c r="C216" s="326"/>
      <c r="D216" s="274"/>
      <c r="E216" s="274"/>
      <c r="F216" s="328"/>
      <c r="G216" s="329"/>
    </row>
    <row r="217" ht="15.75" customHeight="1">
      <c r="A217" s="327"/>
      <c r="B217" s="327"/>
      <c r="C217" s="326"/>
      <c r="D217" s="274"/>
      <c r="E217" s="274"/>
      <c r="F217" s="328"/>
      <c r="G217" s="329"/>
    </row>
    <row r="218" ht="15.75" customHeight="1">
      <c r="A218" s="327"/>
      <c r="B218" s="327"/>
      <c r="C218" s="326"/>
      <c r="D218" s="274"/>
      <c r="E218" s="274"/>
      <c r="F218" s="328"/>
      <c r="G218" s="329"/>
    </row>
    <row r="219" ht="15.75" customHeight="1">
      <c r="A219" s="327"/>
      <c r="B219" s="327"/>
      <c r="C219" s="326"/>
      <c r="D219" s="274"/>
      <c r="E219" s="274"/>
      <c r="F219" s="328"/>
      <c r="G219" s="329"/>
    </row>
    <row r="220" ht="15.75" customHeight="1">
      <c r="A220" s="327"/>
      <c r="B220" s="327"/>
      <c r="C220" s="326"/>
      <c r="D220" s="274"/>
      <c r="E220" s="274"/>
      <c r="F220" s="328"/>
      <c r="G220" s="329"/>
    </row>
    <row r="221" ht="15.75" customHeight="1">
      <c r="A221" s="327"/>
      <c r="B221" s="327"/>
      <c r="C221" s="326"/>
      <c r="D221" s="274"/>
      <c r="E221" s="274"/>
      <c r="F221" s="328"/>
      <c r="G221" s="329"/>
    </row>
    <row r="222" ht="15.75" customHeight="1">
      <c r="A222" s="327"/>
      <c r="B222" s="327"/>
      <c r="C222" s="326"/>
      <c r="D222" s="274"/>
      <c r="E222" s="274"/>
      <c r="F222" s="328"/>
      <c r="G222" s="329"/>
    </row>
    <row r="223" ht="15.75" customHeight="1">
      <c r="A223" s="327"/>
      <c r="B223" s="327"/>
      <c r="C223" s="326"/>
      <c r="D223" s="274"/>
      <c r="E223" s="274"/>
      <c r="F223" s="328"/>
      <c r="G223" s="329"/>
    </row>
    <row r="224" ht="15.75" customHeight="1">
      <c r="A224" s="327"/>
      <c r="B224" s="327"/>
      <c r="C224" s="326"/>
      <c r="D224" s="274"/>
      <c r="E224" s="274"/>
      <c r="F224" s="328"/>
      <c r="G224" s="329"/>
    </row>
    <row r="225" ht="15.75" customHeight="1">
      <c r="A225" s="327"/>
      <c r="B225" s="327"/>
      <c r="C225" s="326"/>
      <c r="D225" s="274"/>
      <c r="E225" s="274"/>
      <c r="F225" s="328"/>
      <c r="G225" s="329"/>
    </row>
    <row r="226" ht="15.75" customHeight="1">
      <c r="A226" s="327"/>
      <c r="B226" s="327"/>
      <c r="C226" s="326"/>
      <c r="D226" s="274"/>
      <c r="E226" s="274"/>
      <c r="F226" s="328"/>
      <c r="G226" s="329"/>
    </row>
    <row r="227" ht="15.75" customHeight="1">
      <c r="A227" s="327"/>
      <c r="B227" s="327"/>
      <c r="C227" s="326"/>
      <c r="D227" s="274"/>
      <c r="E227" s="274"/>
      <c r="F227" s="328"/>
      <c r="G227" s="329"/>
    </row>
    <row r="228" ht="15.75" customHeight="1">
      <c r="A228" s="327"/>
      <c r="B228" s="327"/>
      <c r="C228" s="326"/>
      <c r="D228" s="274"/>
      <c r="E228" s="274"/>
      <c r="F228" s="328"/>
      <c r="G228" s="329"/>
    </row>
    <row r="229" ht="15.75" customHeight="1">
      <c r="A229" s="327"/>
      <c r="B229" s="327"/>
      <c r="C229" s="326"/>
      <c r="D229" s="274"/>
      <c r="E229" s="274"/>
      <c r="F229" s="328"/>
      <c r="G229" s="329"/>
    </row>
    <row r="230" ht="15.75" customHeight="1">
      <c r="A230" s="327"/>
      <c r="B230" s="327"/>
      <c r="C230" s="326"/>
      <c r="D230" s="274"/>
      <c r="E230" s="274"/>
      <c r="F230" s="328"/>
      <c r="G230" s="329"/>
    </row>
    <row r="231" ht="15.75" customHeight="1">
      <c r="A231" s="327"/>
      <c r="B231" s="327"/>
      <c r="C231" s="326"/>
      <c r="D231" s="274"/>
      <c r="E231" s="274"/>
      <c r="F231" s="328"/>
      <c r="G231" s="329"/>
    </row>
    <row r="232" ht="15.75" customHeight="1">
      <c r="A232" s="327"/>
      <c r="B232" s="327"/>
      <c r="C232" s="326"/>
      <c r="D232" s="274"/>
      <c r="E232" s="274"/>
      <c r="F232" s="328"/>
      <c r="G232" s="329"/>
    </row>
    <row r="233" ht="15.75" customHeight="1">
      <c r="A233" s="327"/>
      <c r="B233" s="327"/>
      <c r="C233" s="326"/>
      <c r="D233" s="274"/>
      <c r="E233" s="274"/>
      <c r="F233" s="328"/>
      <c r="G233" s="329"/>
    </row>
    <row r="234" ht="15.75" customHeight="1">
      <c r="A234" s="327"/>
      <c r="B234" s="327"/>
      <c r="C234" s="326"/>
      <c r="D234" s="274"/>
      <c r="E234" s="274"/>
      <c r="F234" s="328"/>
      <c r="G234" s="329"/>
    </row>
    <row r="235" ht="15.75" customHeight="1">
      <c r="A235" s="327"/>
      <c r="B235" s="327"/>
      <c r="C235" s="326"/>
      <c r="D235" s="274"/>
      <c r="E235" s="274"/>
      <c r="F235" s="328"/>
      <c r="G235" s="329"/>
    </row>
    <row r="236" ht="15.75" customHeight="1">
      <c r="A236" s="327"/>
      <c r="B236" s="327"/>
      <c r="C236" s="326"/>
      <c r="D236" s="274"/>
      <c r="E236" s="274"/>
      <c r="F236" s="328"/>
      <c r="G236" s="329"/>
    </row>
    <row r="237" ht="15.75" customHeight="1">
      <c r="A237" s="327"/>
      <c r="B237" s="327"/>
      <c r="C237" s="326"/>
      <c r="D237" s="274"/>
      <c r="E237" s="274"/>
      <c r="F237" s="328"/>
      <c r="G237" s="329"/>
    </row>
    <row r="238" ht="15.75" customHeight="1">
      <c r="A238" s="327"/>
      <c r="B238" s="327"/>
      <c r="C238" s="326"/>
      <c r="D238" s="274"/>
      <c r="E238" s="274"/>
      <c r="F238" s="328"/>
      <c r="G238" s="329"/>
    </row>
    <row r="239" ht="15.75" customHeight="1">
      <c r="A239" s="327"/>
      <c r="B239" s="327"/>
      <c r="C239" s="326"/>
      <c r="D239" s="274"/>
      <c r="E239" s="274"/>
      <c r="F239" s="328"/>
      <c r="G239" s="329"/>
    </row>
    <row r="240" ht="15.75" customHeight="1">
      <c r="A240" s="327"/>
      <c r="B240" s="327"/>
      <c r="C240" s="326"/>
      <c r="D240" s="274"/>
      <c r="E240" s="274"/>
      <c r="F240" s="328"/>
      <c r="G240" s="329"/>
    </row>
    <row r="241" ht="15.75" customHeight="1">
      <c r="A241" s="327"/>
      <c r="B241" s="327"/>
      <c r="C241" s="326"/>
      <c r="D241" s="274"/>
      <c r="E241" s="274"/>
      <c r="F241" s="328"/>
      <c r="G241" s="329"/>
    </row>
    <row r="242" ht="15.75" customHeight="1">
      <c r="A242" s="327"/>
      <c r="B242" s="327"/>
      <c r="C242" s="326"/>
      <c r="D242" s="274"/>
      <c r="E242" s="274"/>
      <c r="F242" s="328"/>
      <c r="G242" s="329"/>
    </row>
    <row r="243" ht="15.75" customHeight="1">
      <c r="A243" s="327"/>
      <c r="B243" s="327"/>
      <c r="C243" s="326"/>
      <c r="D243" s="274"/>
      <c r="E243" s="274"/>
      <c r="F243" s="328"/>
      <c r="G243" s="329"/>
    </row>
    <row r="244" ht="15.75" customHeight="1">
      <c r="A244" s="327"/>
      <c r="B244" s="327"/>
      <c r="C244" s="326"/>
      <c r="D244" s="274"/>
      <c r="E244" s="274"/>
      <c r="F244" s="328"/>
      <c r="G244" s="329"/>
    </row>
    <row r="245" ht="15.75" customHeight="1">
      <c r="A245" s="327"/>
      <c r="B245" s="327"/>
      <c r="C245" s="326"/>
      <c r="D245" s="274"/>
      <c r="E245" s="274"/>
      <c r="F245" s="328"/>
      <c r="G245" s="329"/>
    </row>
    <row r="246" ht="15.75" customHeight="1">
      <c r="A246" s="327"/>
      <c r="B246" s="327"/>
      <c r="C246" s="326"/>
      <c r="D246" s="274"/>
      <c r="E246" s="274"/>
      <c r="F246" s="328"/>
      <c r="G246" s="329"/>
    </row>
    <row r="247" ht="15.75" customHeight="1">
      <c r="A247" s="327"/>
      <c r="B247" s="327"/>
      <c r="C247" s="326"/>
      <c r="D247" s="274"/>
      <c r="E247" s="274"/>
      <c r="F247" s="328"/>
      <c r="G247" s="329"/>
    </row>
    <row r="248" ht="15.75" customHeight="1">
      <c r="A248" s="327"/>
      <c r="B248" s="327"/>
      <c r="C248" s="326"/>
      <c r="D248" s="274"/>
      <c r="E248" s="274"/>
      <c r="F248" s="328"/>
      <c r="G248" s="329"/>
    </row>
    <row r="249" ht="15.75" customHeight="1">
      <c r="A249" s="327"/>
      <c r="B249" s="327"/>
      <c r="C249" s="326"/>
      <c r="D249" s="274"/>
      <c r="E249" s="274"/>
      <c r="F249" s="328"/>
      <c r="G249" s="329"/>
    </row>
    <row r="250" ht="15.75" customHeight="1">
      <c r="A250" s="327"/>
      <c r="B250" s="327"/>
      <c r="C250" s="326"/>
      <c r="D250" s="274"/>
      <c r="E250" s="274"/>
      <c r="F250" s="328"/>
      <c r="G250" s="329"/>
    </row>
    <row r="251" ht="15.75" customHeight="1">
      <c r="A251" s="327"/>
      <c r="B251" s="327"/>
      <c r="C251" s="326"/>
      <c r="D251" s="274"/>
      <c r="E251" s="274"/>
      <c r="F251" s="328"/>
      <c r="G251" s="329"/>
    </row>
    <row r="252" ht="15.75" customHeight="1">
      <c r="A252" s="327"/>
      <c r="B252" s="327"/>
      <c r="C252" s="326"/>
      <c r="D252" s="274"/>
      <c r="E252" s="274"/>
      <c r="F252" s="328"/>
      <c r="G252" s="329"/>
    </row>
    <row r="253" ht="15.75" customHeight="1">
      <c r="A253" s="327"/>
      <c r="B253" s="327"/>
      <c r="C253" s="326"/>
      <c r="D253" s="274"/>
      <c r="E253" s="274"/>
      <c r="F253" s="328"/>
      <c r="G253" s="329"/>
    </row>
    <row r="254" ht="15.75" customHeight="1">
      <c r="A254" s="327"/>
      <c r="B254" s="327"/>
      <c r="C254" s="326"/>
      <c r="D254" s="274"/>
      <c r="E254" s="274"/>
      <c r="F254" s="328"/>
      <c r="G254" s="329"/>
    </row>
    <row r="255" ht="15.75" customHeight="1">
      <c r="A255" s="327"/>
      <c r="B255" s="327"/>
      <c r="C255" s="326"/>
      <c r="D255" s="274"/>
      <c r="E255" s="274"/>
      <c r="F255" s="328"/>
      <c r="G255" s="329"/>
    </row>
    <row r="256" ht="15.75" customHeight="1">
      <c r="A256" s="327"/>
      <c r="B256" s="327"/>
      <c r="C256" s="326"/>
      <c r="D256" s="274"/>
      <c r="E256" s="274"/>
      <c r="F256" s="328"/>
      <c r="G256" s="329"/>
    </row>
    <row r="257" ht="15.75" customHeight="1">
      <c r="A257" s="327"/>
      <c r="B257" s="327"/>
      <c r="C257" s="326"/>
      <c r="D257" s="274"/>
      <c r="E257" s="274"/>
      <c r="F257" s="328"/>
      <c r="G257" s="329"/>
    </row>
    <row r="258" ht="15.75" customHeight="1">
      <c r="A258" s="327"/>
      <c r="B258" s="327"/>
      <c r="C258" s="326"/>
      <c r="D258" s="274"/>
      <c r="E258" s="274"/>
      <c r="F258" s="328"/>
      <c r="G258" s="329"/>
    </row>
    <row r="259" ht="15.75" customHeight="1">
      <c r="A259" s="327"/>
      <c r="B259" s="327"/>
      <c r="C259" s="326"/>
      <c r="D259" s="274"/>
      <c r="E259" s="274"/>
      <c r="F259" s="328"/>
      <c r="G259" s="329"/>
    </row>
    <row r="260" ht="15.75" customHeight="1">
      <c r="A260" s="327"/>
      <c r="B260" s="327"/>
      <c r="C260" s="326"/>
      <c r="D260" s="274"/>
      <c r="E260" s="274"/>
      <c r="F260" s="328"/>
      <c r="G260" s="329"/>
    </row>
    <row r="261" ht="15.75" customHeight="1">
      <c r="A261" s="327"/>
      <c r="B261" s="327"/>
      <c r="C261" s="326"/>
      <c r="D261" s="274"/>
      <c r="E261" s="274"/>
      <c r="F261" s="328"/>
      <c r="G261" s="329"/>
    </row>
    <row r="262" ht="15.75" customHeight="1">
      <c r="A262" s="327"/>
      <c r="B262" s="327"/>
      <c r="C262" s="326"/>
      <c r="D262" s="274"/>
      <c r="E262" s="274"/>
      <c r="F262" s="328"/>
      <c r="G262" s="329"/>
    </row>
    <row r="263" ht="15.75" customHeight="1">
      <c r="A263" s="327"/>
      <c r="B263" s="327"/>
      <c r="C263" s="326"/>
      <c r="D263" s="274"/>
      <c r="E263" s="274"/>
      <c r="F263" s="328"/>
      <c r="G263" s="329"/>
    </row>
    <row r="264" ht="15.75" customHeight="1">
      <c r="A264" s="327"/>
      <c r="B264" s="327"/>
      <c r="C264" s="326"/>
      <c r="D264" s="274"/>
      <c r="E264" s="274"/>
      <c r="F264" s="328"/>
      <c r="G264" s="329"/>
    </row>
    <row r="265" ht="15.75" customHeight="1">
      <c r="A265" s="327"/>
      <c r="B265" s="327"/>
      <c r="C265" s="326"/>
      <c r="D265" s="274"/>
      <c r="E265" s="274"/>
      <c r="F265" s="328"/>
      <c r="G265" s="329"/>
    </row>
    <row r="266" ht="15.75" customHeight="1">
      <c r="A266" s="327"/>
      <c r="B266" s="327"/>
      <c r="C266" s="326"/>
      <c r="D266" s="274"/>
      <c r="E266" s="274"/>
      <c r="F266" s="328"/>
      <c r="G266" s="329"/>
    </row>
    <row r="267" ht="15.75" customHeight="1">
      <c r="A267" s="327"/>
      <c r="B267" s="327"/>
      <c r="C267" s="326"/>
      <c r="D267" s="274"/>
      <c r="E267" s="274"/>
      <c r="F267" s="328"/>
      <c r="G267" s="329"/>
    </row>
    <row r="268" ht="15.75" customHeight="1">
      <c r="A268" s="327"/>
      <c r="B268" s="327"/>
      <c r="C268" s="326"/>
      <c r="D268" s="274"/>
      <c r="E268" s="274"/>
      <c r="F268" s="328"/>
      <c r="G268" s="329"/>
    </row>
    <row r="269" ht="15.75" customHeight="1">
      <c r="A269" s="327"/>
      <c r="B269" s="327"/>
      <c r="C269" s="326"/>
      <c r="D269" s="274"/>
      <c r="E269" s="274"/>
      <c r="F269" s="328"/>
      <c r="G269" s="329"/>
    </row>
    <row r="270" ht="15.75" customHeight="1">
      <c r="A270" s="327"/>
      <c r="B270" s="327"/>
      <c r="C270" s="326"/>
      <c r="D270" s="274"/>
      <c r="E270" s="274"/>
      <c r="F270" s="328"/>
      <c r="G270" s="329"/>
    </row>
    <row r="271" ht="15.75" customHeight="1">
      <c r="A271" s="327"/>
      <c r="B271" s="327"/>
      <c r="C271" s="326"/>
      <c r="D271" s="274"/>
      <c r="E271" s="274"/>
      <c r="F271" s="328"/>
      <c r="G271" s="329"/>
    </row>
    <row r="272" ht="15.75" customHeight="1">
      <c r="A272" s="327"/>
      <c r="B272" s="327"/>
      <c r="C272" s="326"/>
      <c r="D272" s="274"/>
      <c r="E272" s="274"/>
      <c r="F272" s="328"/>
      <c r="G272" s="329"/>
    </row>
    <row r="273" ht="15.75" customHeight="1">
      <c r="A273" s="327"/>
      <c r="B273" s="327"/>
      <c r="C273" s="326"/>
      <c r="D273" s="274"/>
      <c r="E273" s="274"/>
      <c r="F273" s="328"/>
      <c r="G273" s="329"/>
    </row>
    <row r="274" ht="15.75" customHeight="1">
      <c r="A274" s="327"/>
      <c r="B274" s="327"/>
      <c r="C274" s="326"/>
      <c r="D274" s="274"/>
      <c r="E274" s="274"/>
      <c r="F274" s="328"/>
      <c r="G274" s="329"/>
    </row>
    <row r="275" ht="15.75" customHeight="1">
      <c r="A275" s="327"/>
      <c r="B275" s="327"/>
      <c r="C275" s="326"/>
      <c r="D275" s="274"/>
      <c r="E275" s="274"/>
      <c r="F275" s="328"/>
      <c r="G275" s="329"/>
    </row>
    <row r="276" ht="15.75" customHeight="1">
      <c r="A276" s="327"/>
      <c r="B276" s="327"/>
      <c r="C276" s="326"/>
      <c r="D276" s="274"/>
      <c r="E276" s="274"/>
      <c r="F276" s="328"/>
      <c r="G276" s="329"/>
    </row>
    <row r="277" ht="15.75" customHeight="1">
      <c r="A277" s="327"/>
      <c r="B277" s="327"/>
      <c r="C277" s="326"/>
      <c r="D277" s="274"/>
      <c r="E277" s="274"/>
      <c r="F277" s="328"/>
      <c r="G277" s="329"/>
    </row>
    <row r="278" ht="15.75" customHeight="1">
      <c r="A278" s="327"/>
      <c r="B278" s="327"/>
      <c r="C278" s="326"/>
      <c r="D278" s="274"/>
      <c r="E278" s="274"/>
      <c r="F278" s="328"/>
      <c r="G278" s="329"/>
    </row>
    <row r="279" ht="15.75" customHeight="1">
      <c r="A279" s="327"/>
      <c r="B279" s="327"/>
      <c r="C279" s="326"/>
      <c r="D279" s="274"/>
      <c r="E279" s="274"/>
      <c r="F279" s="328"/>
      <c r="G279" s="329"/>
    </row>
    <row r="280" ht="15.75" customHeight="1">
      <c r="A280" s="327"/>
      <c r="B280" s="327"/>
      <c r="C280" s="326"/>
      <c r="D280" s="274"/>
      <c r="E280" s="274"/>
      <c r="F280" s="328"/>
      <c r="G280" s="329"/>
    </row>
    <row r="281" ht="15.75" customHeight="1">
      <c r="A281" s="327"/>
      <c r="B281" s="327"/>
      <c r="C281" s="326"/>
      <c r="D281" s="274"/>
      <c r="E281" s="274"/>
      <c r="F281" s="328"/>
      <c r="G281" s="329"/>
    </row>
    <row r="282" ht="15.75" customHeight="1">
      <c r="A282" s="327"/>
      <c r="B282" s="327"/>
      <c r="C282" s="326"/>
      <c r="D282" s="274"/>
      <c r="E282" s="274"/>
      <c r="F282" s="328"/>
      <c r="G282" s="329"/>
    </row>
    <row r="283" ht="15.75" customHeight="1">
      <c r="A283" s="327"/>
      <c r="B283" s="327"/>
      <c r="C283" s="326"/>
      <c r="D283" s="274"/>
      <c r="E283" s="274"/>
      <c r="F283" s="328"/>
      <c r="G283" s="329"/>
    </row>
    <row r="284" ht="15.75" customHeight="1">
      <c r="A284" s="327"/>
      <c r="B284" s="327"/>
      <c r="C284" s="326"/>
      <c r="D284" s="274"/>
      <c r="E284" s="274"/>
      <c r="F284" s="328"/>
      <c r="G284" s="329"/>
    </row>
    <row r="285" ht="15.75" customHeight="1">
      <c r="A285" s="327"/>
      <c r="B285" s="327"/>
      <c r="C285" s="326"/>
      <c r="D285" s="274"/>
      <c r="E285" s="274"/>
      <c r="F285" s="328"/>
      <c r="G285" s="329"/>
    </row>
    <row r="286" ht="15.75" customHeight="1">
      <c r="A286" s="327"/>
      <c r="B286" s="327"/>
      <c r="C286" s="326"/>
      <c r="D286" s="274"/>
      <c r="E286" s="274"/>
      <c r="F286" s="328"/>
      <c r="G286" s="329"/>
    </row>
    <row r="287" ht="15.75" customHeight="1">
      <c r="A287" s="327"/>
      <c r="B287" s="327"/>
      <c r="C287" s="326"/>
      <c r="D287" s="274"/>
      <c r="E287" s="274"/>
      <c r="F287" s="328"/>
      <c r="G287" s="329"/>
    </row>
    <row r="288" ht="15.75" customHeight="1">
      <c r="A288" s="327"/>
      <c r="B288" s="327"/>
      <c r="C288" s="326"/>
      <c r="D288" s="274"/>
      <c r="E288" s="274"/>
      <c r="F288" s="328"/>
      <c r="G288" s="329"/>
    </row>
    <row r="289" ht="15.75" customHeight="1">
      <c r="A289" s="327"/>
      <c r="B289" s="327"/>
      <c r="C289" s="326"/>
      <c r="D289" s="274"/>
      <c r="E289" s="274"/>
      <c r="F289" s="328"/>
      <c r="G289" s="329"/>
    </row>
    <row r="290" ht="15.75" customHeight="1">
      <c r="A290" s="327"/>
      <c r="B290" s="327"/>
      <c r="C290" s="326"/>
      <c r="D290" s="274"/>
      <c r="E290" s="274"/>
      <c r="F290" s="328"/>
      <c r="G290" s="329"/>
    </row>
    <row r="291" ht="15.75" customHeight="1">
      <c r="A291" s="327"/>
      <c r="B291" s="327"/>
      <c r="C291" s="326"/>
      <c r="D291" s="274"/>
      <c r="E291" s="274"/>
      <c r="F291" s="328"/>
      <c r="G291" s="329"/>
    </row>
    <row r="292" ht="15.75" customHeight="1">
      <c r="A292" s="327"/>
      <c r="B292" s="327"/>
      <c r="C292" s="326"/>
      <c r="D292" s="274"/>
      <c r="E292" s="274"/>
      <c r="F292" s="328"/>
      <c r="G292" s="329"/>
    </row>
    <row r="293" ht="15.75" customHeight="1">
      <c r="A293" s="327"/>
      <c r="B293" s="327"/>
      <c r="C293" s="326"/>
      <c r="D293" s="274"/>
      <c r="E293" s="274"/>
      <c r="F293" s="328"/>
      <c r="G293" s="329"/>
    </row>
    <row r="294" ht="15.75" customHeight="1">
      <c r="A294" s="327"/>
      <c r="B294" s="327"/>
      <c r="C294" s="326"/>
      <c r="D294" s="274"/>
      <c r="E294" s="274"/>
      <c r="F294" s="328"/>
      <c r="G294" s="329"/>
    </row>
    <row r="295" ht="15.75" customHeight="1">
      <c r="A295" s="327"/>
      <c r="B295" s="327"/>
      <c r="C295" s="326"/>
      <c r="D295" s="274"/>
      <c r="E295" s="274"/>
      <c r="F295" s="328"/>
      <c r="G295" s="329"/>
    </row>
    <row r="296" ht="15.75" customHeight="1">
      <c r="A296" s="327"/>
      <c r="B296" s="327"/>
      <c r="C296" s="326"/>
      <c r="D296" s="274"/>
      <c r="E296" s="274"/>
      <c r="F296" s="328"/>
      <c r="G296" s="329"/>
    </row>
    <row r="297" ht="15.75" customHeight="1">
      <c r="A297" s="327"/>
      <c r="B297" s="327"/>
      <c r="C297" s="326"/>
      <c r="D297" s="274"/>
      <c r="E297" s="274"/>
      <c r="F297" s="328"/>
      <c r="G297" s="329"/>
    </row>
    <row r="298" ht="15.75" customHeight="1">
      <c r="A298" s="327"/>
      <c r="B298" s="327"/>
      <c r="C298" s="326"/>
      <c r="D298" s="274"/>
      <c r="E298" s="274"/>
      <c r="F298" s="328"/>
      <c r="G298" s="329"/>
    </row>
    <row r="299" ht="15.75" customHeight="1">
      <c r="A299" s="327"/>
      <c r="B299" s="327"/>
      <c r="C299" s="326"/>
      <c r="D299" s="274"/>
      <c r="E299" s="274"/>
      <c r="F299" s="328"/>
      <c r="G299" s="329"/>
    </row>
    <row r="300" ht="15.75" customHeight="1">
      <c r="A300" s="327"/>
      <c r="B300" s="327"/>
      <c r="C300" s="326"/>
      <c r="D300" s="274"/>
      <c r="E300" s="274"/>
      <c r="F300" s="328"/>
      <c r="G300" s="329"/>
    </row>
    <row r="301" ht="15.75" customHeight="1">
      <c r="A301" s="327"/>
      <c r="B301" s="327"/>
      <c r="C301" s="326"/>
      <c r="D301" s="274"/>
      <c r="E301" s="274"/>
      <c r="F301" s="328"/>
      <c r="G301" s="329"/>
    </row>
    <row r="302" ht="15.75" customHeight="1">
      <c r="A302" s="327"/>
      <c r="B302" s="327"/>
      <c r="C302" s="326"/>
      <c r="D302" s="274"/>
      <c r="E302" s="274"/>
      <c r="F302" s="328"/>
      <c r="G302" s="329"/>
    </row>
    <row r="303" ht="15.75" customHeight="1">
      <c r="A303" s="327"/>
      <c r="B303" s="327"/>
      <c r="C303" s="326"/>
      <c r="D303" s="274"/>
      <c r="E303" s="274"/>
      <c r="F303" s="328"/>
      <c r="G303" s="329"/>
    </row>
    <row r="304" ht="15.75" customHeight="1">
      <c r="A304" s="327"/>
      <c r="B304" s="327"/>
      <c r="C304" s="326"/>
      <c r="D304" s="274"/>
      <c r="E304" s="274"/>
      <c r="F304" s="328"/>
      <c r="G304" s="329"/>
    </row>
    <row r="305" ht="15.75" customHeight="1">
      <c r="A305" s="327"/>
      <c r="B305" s="327"/>
      <c r="C305" s="326"/>
      <c r="D305" s="274"/>
      <c r="E305" s="274"/>
      <c r="F305" s="328"/>
      <c r="G305" s="329"/>
    </row>
    <row r="306" ht="15.75" customHeight="1">
      <c r="A306" s="327"/>
      <c r="B306" s="327"/>
      <c r="C306" s="326"/>
      <c r="D306" s="274"/>
      <c r="E306" s="274"/>
      <c r="F306" s="328"/>
      <c r="G306" s="329"/>
    </row>
    <row r="307" ht="15.75" customHeight="1">
      <c r="A307" s="327"/>
      <c r="B307" s="327"/>
      <c r="C307" s="326"/>
      <c r="D307" s="274"/>
      <c r="E307" s="274"/>
      <c r="F307" s="328"/>
      <c r="G307" s="329"/>
    </row>
    <row r="308" ht="15.75" customHeight="1">
      <c r="A308" s="327"/>
      <c r="B308" s="327"/>
      <c r="C308" s="326"/>
      <c r="D308" s="274"/>
      <c r="E308" s="274"/>
      <c r="F308" s="328"/>
      <c r="G308" s="329"/>
    </row>
    <row r="309" ht="15.75" customHeight="1">
      <c r="A309" s="327"/>
      <c r="B309" s="327"/>
      <c r="C309" s="326"/>
      <c r="D309" s="274"/>
      <c r="E309" s="274"/>
      <c r="F309" s="328"/>
      <c r="G309" s="329"/>
    </row>
    <row r="310" ht="15.75" customHeight="1">
      <c r="A310" s="327"/>
      <c r="B310" s="327"/>
      <c r="C310" s="326"/>
      <c r="D310" s="274"/>
      <c r="E310" s="274"/>
      <c r="F310" s="328"/>
      <c r="G310" s="329"/>
    </row>
    <row r="311" ht="15.75" customHeight="1">
      <c r="A311" s="327"/>
      <c r="B311" s="327"/>
      <c r="C311" s="326"/>
      <c r="D311" s="274"/>
      <c r="E311" s="274"/>
      <c r="F311" s="328"/>
      <c r="G311" s="329"/>
    </row>
    <row r="312" ht="15.75" customHeight="1">
      <c r="A312" s="327"/>
      <c r="B312" s="327"/>
      <c r="C312" s="326"/>
      <c r="D312" s="274"/>
      <c r="E312" s="274"/>
      <c r="F312" s="328"/>
      <c r="G312" s="329"/>
    </row>
    <row r="313" ht="15.75" customHeight="1">
      <c r="A313" s="327"/>
      <c r="B313" s="327"/>
      <c r="C313" s="326"/>
      <c r="D313" s="274"/>
      <c r="E313" s="274"/>
      <c r="F313" s="328"/>
      <c r="G313" s="329"/>
    </row>
    <row r="314" ht="15.75" customHeight="1">
      <c r="A314" s="327"/>
      <c r="B314" s="327"/>
      <c r="C314" s="326"/>
      <c r="D314" s="274"/>
      <c r="E314" s="274"/>
      <c r="F314" s="328"/>
      <c r="G314" s="329"/>
    </row>
    <row r="315" ht="15.75" customHeight="1">
      <c r="A315" s="327"/>
      <c r="B315" s="327"/>
      <c r="C315" s="326"/>
      <c r="D315" s="274"/>
      <c r="E315" s="274"/>
      <c r="F315" s="328"/>
      <c r="G315" s="329"/>
    </row>
    <row r="316" ht="15.75" customHeight="1">
      <c r="A316" s="327"/>
      <c r="B316" s="327"/>
      <c r="C316" s="326"/>
      <c r="D316" s="274"/>
      <c r="E316" s="274"/>
      <c r="F316" s="328"/>
      <c r="G316" s="329"/>
    </row>
    <row r="317" ht="15.75" customHeight="1">
      <c r="A317" s="327"/>
      <c r="B317" s="327"/>
      <c r="C317" s="326"/>
      <c r="D317" s="274"/>
      <c r="E317" s="274"/>
      <c r="F317" s="328"/>
      <c r="G317" s="329"/>
    </row>
    <row r="318" ht="15.75" customHeight="1">
      <c r="A318" s="327"/>
      <c r="B318" s="327"/>
      <c r="C318" s="326"/>
      <c r="D318" s="274"/>
      <c r="E318" s="274"/>
      <c r="F318" s="328"/>
      <c r="G318" s="329"/>
    </row>
    <row r="319" ht="15.75" customHeight="1">
      <c r="A319" s="327"/>
      <c r="B319" s="327"/>
      <c r="C319" s="326"/>
      <c r="D319" s="274"/>
      <c r="E319" s="274"/>
      <c r="F319" s="328"/>
      <c r="G319" s="329"/>
    </row>
    <row r="320" ht="15.75" customHeight="1">
      <c r="A320" s="327"/>
      <c r="B320" s="327"/>
      <c r="C320" s="326"/>
      <c r="D320" s="274"/>
      <c r="E320" s="274"/>
      <c r="F320" s="328"/>
      <c r="G320" s="329"/>
    </row>
    <row r="321" ht="15.75" customHeight="1">
      <c r="A321" s="327"/>
      <c r="B321" s="327"/>
      <c r="C321" s="326"/>
      <c r="D321" s="274"/>
      <c r="E321" s="274"/>
      <c r="F321" s="328"/>
      <c r="G321" s="329"/>
    </row>
    <row r="322" ht="15.75" customHeight="1">
      <c r="A322" s="327"/>
      <c r="B322" s="327"/>
      <c r="C322" s="326"/>
      <c r="D322" s="274"/>
      <c r="E322" s="274"/>
      <c r="F322" s="328"/>
      <c r="G322" s="329"/>
    </row>
    <row r="323" ht="15.75" customHeight="1">
      <c r="A323" s="327"/>
      <c r="B323" s="327"/>
      <c r="C323" s="326"/>
      <c r="D323" s="274"/>
      <c r="E323" s="274"/>
      <c r="F323" s="328"/>
      <c r="G323" s="329"/>
    </row>
    <row r="324" ht="15.75" customHeight="1">
      <c r="A324" s="327"/>
      <c r="B324" s="327"/>
      <c r="C324" s="326"/>
      <c r="D324" s="274"/>
      <c r="E324" s="274"/>
      <c r="F324" s="328"/>
      <c r="G324" s="329"/>
    </row>
    <row r="325" ht="15.75" customHeight="1">
      <c r="A325" s="327"/>
      <c r="B325" s="327"/>
      <c r="C325" s="326"/>
      <c r="D325" s="274"/>
      <c r="E325" s="274"/>
      <c r="F325" s="328"/>
      <c r="G325" s="329"/>
    </row>
    <row r="326" ht="15.75" customHeight="1">
      <c r="A326" s="327"/>
      <c r="B326" s="327"/>
      <c r="C326" s="326"/>
      <c r="D326" s="274"/>
      <c r="E326" s="274"/>
      <c r="F326" s="328"/>
      <c r="G326" s="329"/>
    </row>
    <row r="327" ht="15.75" customHeight="1">
      <c r="A327" s="327"/>
      <c r="B327" s="327"/>
      <c r="C327" s="326"/>
      <c r="D327" s="274"/>
      <c r="E327" s="274"/>
      <c r="F327" s="328"/>
      <c r="G327" s="329"/>
    </row>
    <row r="328" ht="15.75" customHeight="1">
      <c r="A328" s="327"/>
      <c r="B328" s="327"/>
      <c r="C328" s="326"/>
      <c r="D328" s="274"/>
      <c r="E328" s="274"/>
      <c r="F328" s="328"/>
      <c r="G328" s="329"/>
    </row>
    <row r="329" ht="15.75" customHeight="1">
      <c r="A329" s="327"/>
      <c r="B329" s="327"/>
      <c r="C329" s="326"/>
      <c r="D329" s="274"/>
      <c r="E329" s="274"/>
      <c r="F329" s="328"/>
      <c r="G329" s="329"/>
    </row>
    <row r="330" ht="15.75" customHeight="1">
      <c r="A330" s="327"/>
      <c r="B330" s="327"/>
      <c r="C330" s="326"/>
      <c r="D330" s="274"/>
      <c r="E330" s="274"/>
      <c r="F330" s="328"/>
      <c r="G330" s="329"/>
    </row>
    <row r="331" ht="15.75" customHeight="1">
      <c r="A331" s="327"/>
      <c r="B331" s="327"/>
      <c r="C331" s="326"/>
      <c r="D331" s="274"/>
      <c r="E331" s="274"/>
      <c r="F331" s="328"/>
      <c r="G331" s="329"/>
    </row>
    <row r="332" ht="15.75" customHeight="1">
      <c r="A332" s="327"/>
      <c r="B332" s="327"/>
      <c r="C332" s="326"/>
      <c r="D332" s="274"/>
      <c r="E332" s="274"/>
      <c r="F332" s="328"/>
      <c r="G332" s="329"/>
    </row>
    <row r="333" ht="15.75" customHeight="1">
      <c r="A333" s="327"/>
      <c r="B333" s="327"/>
      <c r="C333" s="326"/>
      <c r="D333" s="274"/>
      <c r="E333" s="274"/>
      <c r="F333" s="328"/>
      <c r="G333" s="329"/>
    </row>
    <row r="334" ht="15.75" customHeight="1">
      <c r="A334" s="327"/>
      <c r="B334" s="327"/>
      <c r="C334" s="326"/>
      <c r="D334" s="274"/>
      <c r="E334" s="274"/>
      <c r="F334" s="328"/>
      <c r="G334" s="329"/>
    </row>
    <row r="335" ht="15.75" customHeight="1">
      <c r="A335" s="327"/>
      <c r="B335" s="327"/>
      <c r="C335" s="326"/>
      <c r="D335" s="274"/>
      <c r="E335" s="274"/>
      <c r="F335" s="328"/>
      <c r="G335" s="329"/>
    </row>
    <row r="336" ht="15.75" customHeight="1">
      <c r="A336" s="327"/>
      <c r="B336" s="327"/>
      <c r="C336" s="326"/>
      <c r="D336" s="274"/>
      <c r="E336" s="274"/>
      <c r="F336" s="328"/>
      <c r="G336" s="329"/>
    </row>
    <row r="337" ht="15.75" customHeight="1">
      <c r="A337" s="327"/>
      <c r="B337" s="327"/>
      <c r="C337" s="326"/>
      <c r="D337" s="274"/>
      <c r="E337" s="274"/>
      <c r="F337" s="328"/>
      <c r="G337" s="329"/>
    </row>
    <row r="338" ht="15.75" customHeight="1">
      <c r="A338" s="327"/>
      <c r="B338" s="327"/>
      <c r="C338" s="326"/>
      <c r="D338" s="274"/>
      <c r="E338" s="274"/>
      <c r="F338" s="328"/>
      <c r="G338" s="329"/>
    </row>
    <row r="339" ht="15.75" customHeight="1">
      <c r="A339" s="327"/>
      <c r="B339" s="327"/>
      <c r="C339" s="326"/>
      <c r="D339" s="274"/>
      <c r="E339" s="274"/>
      <c r="F339" s="328"/>
      <c r="G339" s="329"/>
    </row>
    <row r="340" ht="15.75" customHeight="1">
      <c r="A340" s="327"/>
      <c r="B340" s="327"/>
      <c r="C340" s="326"/>
      <c r="D340" s="274"/>
      <c r="E340" s="274"/>
      <c r="F340" s="328"/>
      <c r="G340" s="329"/>
    </row>
    <row r="341" ht="15.75" customHeight="1">
      <c r="A341" s="327"/>
      <c r="B341" s="327"/>
      <c r="C341" s="326"/>
      <c r="D341" s="274"/>
      <c r="E341" s="274"/>
      <c r="F341" s="328"/>
      <c r="G341" s="329"/>
    </row>
    <row r="342" ht="15.75" customHeight="1">
      <c r="A342" s="327"/>
      <c r="B342" s="327"/>
      <c r="C342" s="326"/>
      <c r="D342" s="274"/>
      <c r="E342" s="274"/>
      <c r="F342" s="328"/>
      <c r="G342" s="329"/>
    </row>
    <row r="343" ht="15.75" customHeight="1">
      <c r="A343" s="327"/>
      <c r="B343" s="327"/>
      <c r="C343" s="326"/>
      <c r="D343" s="274"/>
      <c r="E343" s="274"/>
      <c r="F343" s="328"/>
      <c r="G343" s="329"/>
    </row>
    <row r="344" ht="15.75" customHeight="1">
      <c r="A344" s="327"/>
      <c r="B344" s="327"/>
      <c r="C344" s="326"/>
      <c r="D344" s="274"/>
      <c r="E344" s="274"/>
      <c r="F344" s="328"/>
      <c r="G344" s="329"/>
    </row>
    <row r="345" ht="15.75" customHeight="1">
      <c r="A345" s="327"/>
      <c r="B345" s="327"/>
      <c r="C345" s="326"/>
      <c r="D345" s="274"/>
      <c r="E345" s="274"/>
      <c r="F345" s="328"/>
      <c r="G345" s="329"/>
    </row>
    <row r="346" ht="15.75" customHeight="1">
      <c r="A346" s="327"/>
      <c r="B346" s="327"/>
      <c r="C346" s="326"/>
      <c r="D346" s="274"/>
      <c r="E346" s="274"/>
      <c r="F346" s="328"/>
      <c r="G346" s="329"/>
    </row>
    <row r="347" ht="15.75" customHeight="1">
      <c r="A347" s="327"/>
      <c r="B347" s="327"/>
      <c r="C347" s="326"/>
      <c r="D347" s="274"/>
      <c r="E347" s="274"/>
      <c r="F347" s="328"/>
      <c r="G347" s="329"/>
    </row>
    <row r="348" ht="15.75" customHeight="1">
      <c r="A348" s="327"/>
      <c r="B348" s="327"/>
      <c r="C348" s="326"/>
      <c r="D348" s="274"/>
      <c r="E348" s="274"/>
      <c r="F348" s="328"/>
      <c r="G348" s="329"/>
    </row>
    <row r="349" ht="15.75" customHeight="1">
      <c r="A349" s="327"/>
      <c r="B349" s="327"/>
      <c r="C349" s="326"/>
      <c r="D349" s="274"/>
      <c r="E349" s="274"/>
      <c r="F349" s="328"/>
      <c r="G349" s="329"/>
    </row>
    <row r="350" ht="15.75" customHeight="1">
      <c r="A350" s="327"/>
      <c r="B350" s="327"/>
      <c r="C350" s="326"/>
      <c r="D350" s="274"/>
      <c r="E350" s="274"/>
      <c r="F350" s="328"/>
      <c r="G350" s="329"/>
    </row>
    <row r="351" ht="15.75" customHeight="1">
      <c r="A351" s="327"/>
      <c r="B351" s="327"/>
      <c r="C351" s="326"/>
      <c r="D351" s="274"/>
      <c r="E351" s="274"/>
      <c r="F351" s="328"/>
      <c r="G351" s="329"/>
    </row>
    <row r="352" ht="15.75" customHeight="1">
      <c r="A352" s="327"/>
      <c r="B352" s="327"/>
      <c r="C352" s="326"/>
      <c r="D352" s="274"/>
      <c r="E352" s="274"/>
      <c r="F352" s="328"/>
      <c r="G352" s="329"/>
    </row>
    <row r="353" ht="15.75" customHeight="1">
      <c r="A353" s="327"/>
      <c r="B353" s="327"/>
      <c r="C353" s="326"/>
      <c r="D353" s="274"/>
      <c r="E353" s="274"/>
      <c r="F353" s="328"/>
      <c r="G353" s="329"/>
    </row>
    <row r="354" ht="15.75" customHeight="1">
      <c r="A354" s="327"/>
      <c r="B354" s="327"/>
      <c r="C354" s="326"/>
      <c r="D354" s="274"/>
      <c r="E354" s="274"/>
      <c r="F354" s="328"/>
      <c r="G354" s="329"/>
    </row>
    <row r="355" ht="15.75" customHeight="1">
      <c r="A355" s="327"/>
      <c r="B355" s="327"/>
      <c r="C355" s="326"/>
      <c r="D355" s="274"/>
      <c r="E355" s="274"/>
      <c r="F355" s="328"/>
      <c r="G355" s="329"/>
    </row>
    <row r="356" ht="15.75" customHeight="1">
      <c r="A356" s="327"/>
      <c r="B356" s="327"/>
      <c r="C356" s="326"/>
      <c r="D356" s="274"/>
      <c r="E356" s="274"/>
      <c r="F356" s="328"/>
      <c r="G356" s="329"/>
    </row>
    <row r="357" ht="15.75" customHeight="1">
      <c r="A357" s="327"/>
      <c r="B357" s="327"/>
      <c r="C357" s="326"/>
      <c r="D357" s="274"/>
      <c r="E357" s="274"/>
      <c r="F357" s="328"/>
      <c r="G357" s="329"/>
    </row>
    <row r="358" ht="15.75" customHeight="1">
      <c r="A358" s="327"/>
      <c r="B358" s="327"/>
      <c r="C358" s="326"/>
      <c r="D358" s="274"/>
      <c r="E358" s="274"/>
      <c r="F358" s="328"/>
      <c r="G358" s="329"/>
    </row>
    <row r="359" ht="15.75" customHeight="1">
      <c r="A359" s="327"/>
      <c r="B359" s="327"/>
      <c r="C359" s="326"/>
      <c r="D359" s="274"/>
      <c r="E359" s="274"/>
      <c r="F359" s="328"/>
      <c r="G359" s="329"/>
    </row>
    <row r="360" ht="15.75" customHeight="1">
      <c r="A360" s="327"/>
      <c r="B360" s="327"/>
      <c r="C360" s="326"/>
      <c r="D360" s="274"/>
      <c r="E360" s="274"/>
      <c r="F360" s="328"/>
      <c r="G360" s="329"/>
    </row>
    <row r="361" ht="15.75" customHeight="1">
      <c r="A361" s="327"/>
      <c r="B361" s="327"/>
      <c r="C361" s="326"/>
      <c r="D361" s="274"/>
      <c r="E361" s="274"/>
      <c r="F361" s="328"/>
      <c r="G361" s="329"/>
    </row>
    <row r="362" ht="15.75" customHeight="1">
      <c r="A362" s="327"/>
      <c r="B362" s="327"/>
      <c r="C362" s="326"/>
      <c r="D362" s="274"/>
      <c r="E362" s="274"/>
      <c r="F362" s="328"/>
      <c r="G362" s="329"/>
    </row>
    <row r="363" ht="15.75" customHeight="1">
      <c r="A363" s="327"/>
      <c r="B363" s="327"/>
      <c r="C363" s="326"/>
      <c r="D363" s="274"/>
      <c r="E363" s="274"/>
      <c r="F363" s="328"/>
      <c r="G363" s="329"/>
    </row>
    <row r="364" ht="15.75" customHeight="1">
      <c r="A364" s="327"/>
      <c r="B364" s="327"/>
      <c r="C364" s="326"/>
      <c r="D364" s="274"/>
      <c r="E364" s="274"/>
      <c r="F364" s="328"/>
      <c r="G364" s="329"/>
    </row>
    <row r="365" ht="15.75" customHeight="1">
      <c r="A365" s="327"/>
      <c r="B365" s="327"/>
      <c r="C365" s="326"/>
      <c r="D365" s="274"/>
      <c r="E365" s="274"/>
      <c r="F365" s="328"/>
      <c r="G365" s="329"/>
    </row>
    <row r="366" ht="15.75" customHeight="1">
      <c r="A366" s="327"/>
      <c r="B366" s="327"/>
      <c r="C366" s="326"/>
      <c r="D366" s="274"/>
      <c r="E366" s="274"/>
      <c r="F366" s="328"/>
      <c r="G366" s="329"/>
    </row>
    <row r="367" ht="15.75" customHeight="1">
      <c r="A367" s="327"/>
      <c r="B367" s="327"/>
      <c r="C367" s="326"/>
      <c r="D367" s="274"/>
      <c r="E367" s="274"/>
      <c r="F367" s="328"/>
      <c r="G367" s="329"/>
    </row>
    <row r="368" ht="15.75" customHeight="1">
      <c r="A368" s="327"/>
      <c r="B368" s="327"/>
      <c r="C368" s="326"/>
      <c r="D368" s="274"/>
      <c r="E368" s="274"/>
      <c r="F368" s="328"/>
      <c r="G368" s="329"/>
    </row>
    <row r="369" ht="15.75" customHeight="1">
      <c r="A369" s="327"/>
      <c r="B369" s="327"/>
      <c r="C369" s="326"/>
      <c r="D369" s="274"/>
      <c r="E369" s="274"/>
      <c r="F369" s="328"/>
      <c r="G369" s="329"/>
    </row>
    <row r="370" ht="15.75" customHeight="1">
      <c r="A370" s="327"/>
      <c r="B370" s="327"/>
      <c r="C370" s="326"/>
      <c r="D370" s="274"/>
      <c r="E370" s="274"/>
      <c r="F370" s="328"/>
      <c r="G370" s="329"/>
    </row>
    <row r="371" ht="15.75" customHeight="1">
      <c r="A371" s="327"/>
      <c r="B371" s="327"/>
      <c r="C371" s="326"/>
      <c r="D371" s="274"/>
      <c r="E371" s="274"/>
      <c r="F371" s="328"/>
      <c r="G371" s="329"/>
    </row>
    <row r="372" ht="15.75" customHeight="1">
      <c r="A372" s="327"/>
      <c r="B372" s="327"/>
      <c r="C372" s="326"/>
      <c r="D372" s="274"/>
      <c r="E372" s="274"/>
      <c r="F372" s="328"/>
      <c r="G372" s="329"/>
    </row>
    <row r="373" ht="15.75" customHeight="1">
      <c r="A373" s="327"/>
      <c r="B373" s="327"/>
      <c r="C373" s="326"/>
      <c r="D373" s="274"/>
      <c r="E373" s="274"/>
      <c r="F373" s="328"/>
      <c r="G373" s="329"/>
    </row>
    <row r="374" ht="15.75" customHeight="1">
      <c r="A374" s="327"/>
      <c r="B374" s="327"/>
      <c r="C374" s="326"/>
      <c r="D374" s="274"/>
      <c r="E374" s="274"/>
      <c r="F374" s="328"/>
      <c r="G374" s="329"/>
    </row>
    <row r="375" ht="15.75" customHeight="1">
      <c r="A375" s="327"/>
      <c r="B375" s="327"/>
      <c r="C375" s="326"/>
      <c r="D375" s="274"/>
      <c r="E375" s="274"/>
      <c r="F375" s="328"/>
      <c r="G375" s="329"/>
    </row>
    <row r="376" ht="15.75" customHeight="1">
      <c r="A376" s="327"/>
      <c r="B376" s="327"/>
      <c r="C376" s="326"/>
      <c r="D376" s="274"/>
      <c r="E376" s="274"/>
      <c r="F376" s="328"/>
      <c r="G376" s="329"/>
    </row>
    <row r="377" ht="15.75" customHeight="1">
      <c r="A377" s="327"/>
      <c r="B377" s="327"/>
      <c r="C377" s="326"/>
      <c r="D377" s="274"/>
      <c r="E377" s="274"/>
      <c r="F377" s="328"/>
      <c r="G377" s="329"/>
    </row>
    <row r="378" ht="15.75" customHeight="1">
      <c r="A378" s="327"/>
      <c r="B378" s="327"/>
      <c r="C378" s="326"/>
      <c r="D378" s="274"/>
      <c r="E378" s="274"/>
      <c r="F378" s="328"/>
      <c r="G378" s="329"/>
    </row>
    <row r="379" ht="15.75" customHeight="1">
      <c r="A379" s="327"/>
      <c r="B379" s="327"/>
      <c r="C379" s="326"/>
      <c r="D379" s="274"/>
      <c r="E379" s="274"/>
      <c r="F379" s="328"/>
      <c r="G379" s="329"/>
    </row>
    <row r="380" ht="15.75" customHeight="1">
      <c r="A380" s="327"/>
      <c r="B380" s="327"/>
      <c r="C380" s="326"/>
      <c r="D380" s="274"/>
      <c r="E380" s="274"/>
      <c r="F380" s="328"/>
      <c r="G380" s="329"/>
    </row>
    <row r="381" ht="15.75" customHeight="1">
      <c r="A381" s="327"/>
      <c r="B381" s="327"/>
      <c r="C381" s="326"/>
      <c r="D381" s="274"/>
      <c r="E381" s="274"/>
      <c r="F381" s="328"/>
      <c r="G381" s="329"/>
    </row>
    <row r="382" ht="15.75" customHeight="1">
      <c r="A382" s="327"/>
      <c r="B382" s="327"/>
      <c r="C382" s="326"/>
      <c r="D382" s="274"/>
      <c r="E382" s="274"/>
      <c r="F382" s="328"/>
      <c r="G382" s="329"/>
    </row>
    <row r="383" ht="15.75" customHeight="1">
      <c r="A383" s="327"/>
      <c r="B383" s="327"/>
      <c r="C383" s="326"/>
      <c r="D383" s="274"/>
      <c r="E383" s="274"/>
      <c r="F383" s="328"/>
      <c r="G383" s="329"/>
    </row>
    <row r="384" ht="15.75" customHeight="1">
      <c r="A384" s="327"/>
      <c r="B384" s="327"/>
      <c r="C384" s="326"/>
      <c r="D384" s="274"/>
      <c r="E384" s="274"/>
      <c r="F384" s="328"/>
      <c r="G384" s="329"/>
    </row>
    <row r="385" ht="15.75" customHeight="1">
      <c r="A385" s="327"/>
      <c r="B385" s="327"/>
      <c r="C385" s="326"/>
      <c r="D385" s="274"/>
      <c r="E385" s="274"/>
      <c r="F385" s="328"/>
      <c r="G385" s="329"/>
    </row>
    <row r="386" ht="15.75" customHeight="1">
      <c r="A386" s="327"/>
      <c r="B386" s="327"/>
      <c r="C386" s="326"/>
      <c r="D386" s="274"/>
      <c r="E386" s="274"/>
      <c r="F386" s="328"/>
      <c r="G386" s="329"/>
    </row>
    <row r="387" ht="15.75" customHeight="1">
      <c r="A387" s="327"/>
      <c r="B387" s="327"/>
      <c r="C387" s="326"/>
      <c r="D387" s="274"/>
      <c r="E387" s="274"/>
      <c r="F387" s="328"/>
      <c r="G387" s="329"/>
    </row>
    <row r="388" ht="15.75" customHeight="1">
      <c r="A388" s="327"/>
      <c r="B388" s="327"/>
      <c r="C388" s="326"/>
      <c r="D388" s="274"/>
      <c r="E388" s="274"/>
      <c r="F388" s="328"/>
      <c r="G388" s="329"/>
    </row>
    <row r="389" ht="15.75" customHeight="1">
      <c r="A389" s="327"/>
      <c r="B389" s="327"/>
      <c r="C389" s="326"/>
      <c r="D389" s="274"/>
      <c r="E389" s="274"/>
      <c r="F389" s="328"/>
      <c r="G389" s="329"/>
    </row>
    <row r="390" ht="15.75" customHeight="1">
      <c r="A390" s="327"/>
      <c r="B390" s="327"/>
      <c r="C390" s="326"/>
      <c r="D390" s="274"/>
      <c r="E390" s="274"/>
      <c r="F390" s="328"/>
      <c r="G390" s="329"/>
    </row>
    <row r="391" ht="15.75" customHeight="1">
      <c r="A391" s="327"/>
      <c r="B391" s="327"/>
      <c r="C391" s="326"/>
      <c r="D391" s="274"/>
      <c r="E391" s="274"/>
      <c r="F391" s="328"/>
      <c r="G391" s="329"/>
    </row>
    <row r="392" ht="15.75" customHeight="1">
      <c r="A392" s="327"/>
      <c r="B392" s="327"/>
      <c r="C392" s="326"/>
      <c r="D392" s="274"/>
      <c r="E392" s="274"/>
      <c r="F392" s="328"/>
      <c r="G392" s="329"/>
    </row>
    <row r="393" ht="15.75" customHeight="1">
      <c r="A393" s="327"/>
      <c r="B393" s="327"/>
      <c r="C393" s="326"/>
      <c r="D393" s="274"/>
      <c r="E393" s="274"/>
      <c r="F393" s="328"/>
      <c r="G393" s="329"/>
    </row>
    <row r="394" ht="15.75" customHeight="1">
      <c r="A394" s="327"/>
      <c r="B394" s="327"/>
      <c r="C394" s="326"/>
      <c r="D394" s="274"/>
      <c r="E394" s="274"/>
      <c r="F394" s="328"/>
      <c r="G394" s="329"/>
    </row>
    <row r="395" ht="15.75" customHeight="1">
      <c r="A395" s="327"/>
      <c r="B395" s="327"/>
      <c r="C395" s="326"/>
      <c r="D395" s="274"/>
      <c r="E395" s="274"/>
      <c r="F395" s="328"/>
      <c r="G395" s="329"/>
    </row>
    <row r="396" ht="15.75" customHeight="1">
      <c r="A396" s="327"/>
      <c r="B396" s="327"/>
      <c r="C396" s="326"/>
      <c r="D396" s="274"/>
      <c r="E396" s="274"/>
      <c r="F396" s="328"/>
      <c r="G396" s="329"/>
    </row>
    <row r="397" ht="15.75" customHeight="1">
      <c r="A397" s="327"/>
      <c r="B397" s="327"/>
      <c r="C397" s="326"/>
      <c r="D397" s="274"/>
      <c r="E397" s="274"/>
      <c r="F397" s="328"/>
      <c r="G397" s="329"/>
    </row>
    <row r="398" ht="15.75" customHeight="1">
      <c r="A398" s="327"/>
      <c r="B398" s="327"/>
      <c r="C398" s="326"/>
      <c r="D398" s="274"/>
      <c r="E398" s="274"/>
      <c r="F398" s="328"/>
      <c r="G398" s="329"/>
    </row>
    <row r="399" ht="15.75" customHeight="1">
      <c r="A399" s="327"/>
      <c r="B399" s="327"/>
      <c r="C399" s="326"/>
      <c r="D399" s="274"/>
      <c r="E399" s="274"/>
      <c r="F399" s="328"/>
      <c r="G399" s="329"/>
    </row>
    <row r="400" ht="15.75" customHeight="1">
      <c r="A400" s="327"/>
      <c r="B400" s="327"/>
      <c r="C400" s="326"/>
      <c r="D400" s="274"/>
      <c r="E400" s="274"/>
      <c r="F400" s="328"/>
      <c r="G400" s="329"/>
    </row>
    <row r="401" ht="15.75" customHeight="1">
      <c r="A401" s="327"/>
      <c r="B401" s="327"/>
      <c r="C401" s="326"/>
      <c r="D401" s="274"/>
      <c r="E401" s="274"/>
      <c r="F401" s="328"/>
      <c r="G401" s="329"/>
    </row>
    <row r="402" ht="15.75" customHeight="1">
      <c r="A402" s="327"/>
      <c r="B402" s="327"/>
      <c r="C402" s="326"/>
      <c r="D402" s="274"/>
      <c r="E402" s="274"/>
      <c r="F402" s="328"/>
      <c r="G402" s="329"/>
    </row>
    <row r="403" ht="15.75" customHeight="1">
      <c r="A403" s="327"/>
      <c r="B403" s="327"/>
      <c r="C403" s="326"/>
      <c r="D403" s="274"/>
      <c r="E403" s="274"/>
      <c r="F403" s="328"/>
      <c r="G403" s="329"/>
    </row>
    <row r="404" ht="15.75" customHeight="1">
      <c r="A404" s="327"/>
      <c r="B404" s="327"/>
      <c r="C404" s="326"/>
      <c r="D404" s="274"/>
      <c r="E404" s="274"/>
      <c r="F404" s="328"/>
      <c r="G404" s="329"/>
    </row>
    <row r="405" ht="15.75" customHeight="1">
      <c r="A405" s="327"/>
      <c r="B405" s="327"/>
      <c r="C405" s="326"/>
      <c r="D405" s="274"/>
      <c r="E405" s="274"/>
      <c r="F405" s="328"/>
      <c r="G405" s="329"/>
    </row>
    <row r="406" ht="15.75" customHeight="1">
      <c r="A406" s="327"/>
      <c r="B406" s="327"/>
      <c r="C406" s="326"/>
      <c r="D406" s="274"/>
      <c r="E406" s="274"/>
      <c r="F406" s="328"/>
      <c r="G406" s="329"/>
    </row>
    <row r="407" ht="15.75" customHeight="1">
      <c r="A407" s="327"/>
      <c r="B407" s="327"/>
      <c r="C407" s="326"/>
      <c r="D407" s="274"/>
      <c r="E407" s="274"/>
      <c r="F407" s="328"/>
      <c r="G407" s="329"/>
    </row>
    <row r="408" ht="15.75" customHeight="1">
      <c r="A408" s="327"/>
      <c r="B408" s="327"/>
      <c r="C408" s="326"/>
      <c r="D408" s="274"/>
      <c r="E408" s="274"/>
      <c r="F408" s="328"/>
      <c r="G408" s="329"/>
    </row>
    <row r="409" ht="15.75" customHeight="1">
      <c r="A409" s="327"/>
      <c r="B409" s="327"/>
      <c r="C409" s="326"/>
      <c r="D409" s="274"/>
      <c r="E409" s="274"/>
      <c r="F409" s="328"/>
      <c r="G409" s="329"/>
    </row>
    <row r="410" ht="15.75" customHeight="1">
      <c r="A410" s="327"/>
      <c r="B410" s="327"/>
      <c r="C410" s="326"/>
      <c r="D410" s="274"/>
      <c r="E410" s="274"/>
      <c r="F410" s="328"/>
      <c r="G410" s="329"/>
    </row>
    <row r="411" ht="15.75" customHeight="1">
      <c r="A411" s="327"/>
      <c r="B411" s="327"/>
      <c r="C411" s="326"/>
      <c r="D411" s="274"/>
      <c r="E411" s="274"/>
      <c r="F411" s="328"/>
      <c r="G411" s="329"/>
    </row>
    <row r="412" ht="15.75" customHeight="1">
      <c r="A412" s="327"/>
      <c r="B412" s="327"/>
      <c r="C412" s="326"/>
      <c r="D412" s="274"/>
      <c r="E412" s="274"/>
      <c r="F412" s="328"/>
      <c r="G412" s="329"/>
    </row>
    <row r="413" ht="15.75" customHeight="1">
      <c r="A413" s="327"/>
      <c r="B413" s="327"/>
      <c r="C413" s="326"/>
      <c r="D413" s="274"/>
      <c r="E413" s="274"/>
      <c r="F413" s="328"/>
      <c r="G413" s="329"/>
    </row>
    <row r="414" ht="15.75" customHeight="1">
      <c r="A414" s="327"/>
      <c r="B414" s="327"/>
      <c r="C414" s="326"/>
      <c r="D414" s="274"/>
      <c r="E414" s="274"/>
      <c r="F414" s="328"/>
      <c r="G414" s="329"/>
    </row>
    <row r="415" ht="15.75" customHeight="1">
      <c r="A415" s="327"/>
      <c r="B415" s="327"/>
      <c r="C415" s="326"/>
      <c r="D415" s="274"/>
      <c r="E415" s="274"/>
      <c r="F415" s="328"/>
      <c r="G415" s="329"/>
    </row>
    <row r="416" ht="15.75" customHeight="1">
      <c r="A416" s="327"/>
      <c r="B416" s="327"/>
      <c r="C416" s="326"/>
      <c r="D416" s="274"/>
      <c r="E416" s="274"/>
      <c r="F416" s="328"/>
      <c r="G416" s="329"/>
    </row>
    <row r="417" ht="15.75" customHeight="1">
      <c r="A417" s="327"/>
      <c r="B417" s="327"/>
      <c r="C417" s="326"/>
      <c r="D417" s="274"/>
      <c r="E417" s="274"/>
      <c r="F417" s="328"/>
      <c r="G417" s="329"/>
    </row>
    <row r="418" ht="15.75" customHeight="1">
      <c r="A418" s="327"/>
      <c r="B418" s="327"/>
      <c r="C418" s="326"/>
      <c r="D418" s="274"/>
      <c r="E418" s="274"/>
      <c r="F418" s="328"/>
      <c r="G418" s="329"/>
    </row>
    <row r="419" ht="15.75" customHeight="1">
      <c r="A419" s="327"/>
      <c r="B419" s="327"/>
      <c r="C419" s="326"/>
      <c r="D419" s="274"/>
      <c r="E419" s="274"/>
      <c r="F419" s="328"/>
      <c r="G419" s="329"/>
    </row>
    <row r="420" ht="15.75" customHeight="1">
      <c r="A420" s="327"/>
      <c r="B420" s="327"/>
      <c r="C420" s="326"/>
      <c r="D420" s="274"/>
      <c r="E420" s="274"/>
      <c r="F420" s="328"/>
      <c r="G420" s="329"/>
    </row>
    <row r="421" ht="15.75" customHeight="1">
      <c r="A421" s="327"/>
      <c r="B421" s="327"/>
      <c r="C421" s="326"/>
      <c r="D421" s="274"/>
      <c r="E421" s="274"/>
      <c r="F421" s="328"/>
      <c r="G421" s="329"/>
    </row>
    <row r="422" ht="15.75" customHeight="1">
      <c r="A422" s="327"/>
      <c r="B422" s="327"/>
      <c r="C422" s="326"/>
      <c r="D422" s="274"/>
      <c r="E422" s="274"/>
      <c r="F422" s="328"/>
      <c r="G422" s="329"/>
    </row>
    <row r="423" ht="15.75" customHeight="1">
      <c r="A423" s="327"/>
      <c r="B423" s="327"/>
      <c r="C423" s="326"/>
      <c r="D423" s="274"/>
      <c r="E423" s="274"/>
      <c r="F423" s="328"/>
      <c r="G423" s="329"/>
    </row>
    <row r="424" ht="15.75" customHeight="1">
      <c r="A424" s="327"/>
      <c r="B424" s="327"/>
      <c r="C424" s="326"/>
      <c r="D424" s="274"/>
      <c r="E424" s="274"/>
      <c r="F424" s="328"/>
      <c r="G424" s="329"/>
    </row>
    <row r="425" ht="15.75" customHeight="1">
      <c r="A425" s="327"/>
      <c r="B425" s="327"/>
      <c r="C425" s="326"/>
      <c r="D425" s="274"/>
      <c r="E425" s="274"/>
      <c r="F425" s="328"/>
      <c r="G425" s="329"/>
    </row>
    <row r="426" ht="15.75" customHeight="1">
      <c r="A426" s="327"/>
      <c r="B426" s="327"/>
      <c r="C426" s="326"/>
      <c r="D426" s="274"/>
      <c r="E426" s="274"/>
      <c r="F426" s="328"/>
      <c r="G426" s="329"/>
    </row>
    <row r="427" ht="15.75" customHeight="1">
      <c r="A427" s="327"/>
      <c r="B427" s="327"/>
      <c r="C427" s="326"/>
      <c r="D427" s="274"/>
      <c r="E427" s="274"/>
      <c r="F427" s="328"/>
      <c r="G427" s="329"/>
    </row>
    <row r="428" ht="15.75" customHeight="1">
      <c r="A428" s="327"/>
      <c r="B428" s="327"/>
      <c r="C428" s="326"/>
      <c r="D428" s="274"/>
      <c r="E428" s="274"/>
      <c r="F428" s="328"/>
      <c r="G428" s="329"/>
    </row>
    <row r="429" ht="15.75" customHeight="1">
      <c r="A429" s="327"/>
      <c r="B429" s="327"/>
      <c r="C429" s="326"/>
      <c r="D429" s="274"/>
      <c r="E429" s="274"/>
      <c r="F429" s="328"/>
      <c r="G429" s="329"/>
    </row>
    <row r="430" ht="15.75" customHeight="1">
      <c r="A430" s="327"/>
      <c r="B430" s="327"/>
      <c r="C430" s="326"/>
      <c r="D430" s="274"/>
      <c r="E430" s="274"/>
      <c r="F430" s="328"/>
      <c r="G430" s="329"/>
    </row>
    <row r="431" ht="15.75" customHeight="1">
      <c r="A431" s="327"/>
      <c r="B431" s="327"/>
      <c r="C431" s="326"/>
      <c r="D431" s="274"/>
      <c r="E431" s="274"/>
      <c r="F431" s="328"/>
      <c r="G431" s="329"/>
    </row>
    <row r="432" ht="15.75" customHeight="1">
      <c r="A432" s="327"/>
      <c r="B432" s="327"/>
      <c r="C432" s="326"/>
      <c r="D432" s="274"/>
      <c r="E432" s="274"/>
      <c r="F432" s="328"/>
      <c r="G432" s="329"/>
    </row>
    <row r="433" ht="15.75" customHeight="1">
      <c r="A433" s="327"/>
      <c r="B433" s="327"/>
      <c r="C433" s="326"/>
      <c r="D433" s="274"/>
      <c r="E433" s="274"/>
      <c r="F433" s="328"/>
      <c r="G433" s="329"/>
    </row>
    <row r="434" ht="15.75" customHeight="1">
      <c r="A434" s="327"/>
      <c r="B434" s="327"/>
      <c r="C434" s="326"/>
      <c r="D434" s="274"/>
      <c r="E434" s="274"/>
      <c r="F434" s="328"/>
      <c r="G434" s="329"/>
    </row>
    <row r="435" ht="15.75" customHeight="1">
      <c r="A435" s="327"/>
      <c r="B435" s="327"/>
      <c r="C435" s="326"/>
      <c r="D435" s="274"/>
      <c r="E435" s="274"/>
      <c r="F435" s="328"/>
      <c r="G435" s="329"/>
    </row>
    <row r="436" ht="15.75" customHeight="1">
      <c r="A436" s="327"/>
      <c r="B436" s="327"/>
      <c r="C436" s="326"/>
      <c r="D436" s="274"/>
      <c r="E436" s="274"/>
      <c r="F436" s="328"/>
      <c r="G436" s="329"/>
    </row>
    <row r="437" ht="15.75" customHeight="1">
      <c r="A437" s="327"/>
      <c r="B437" s="327"/>
      <c r="C437" s="326"/>
      <c r="D437" s="274"/>
      <c r="E437" s="274"/>
      <c r="F437" s="328"/>
      <c r="G437" s="329"/>
    </row>
    <row r="438" ht="15.75" customHeight="1">
      <c r="A438" s="327"/>
      <c r="B438" s="327"/>
      <c r="C438" s="326"/>
      <c r="D438" s="274"/>
      <c r="E438" s="274"/>
      <c r="F438" s="328"/>
      <c r="G438" s="329"/>
    </row>
    <row r="439" ht="15.75" customHeight="1">
      <c r="A439" s="327"/>
      <c r="B439" s="327"/>
      <c r="C439" s="326"/>
      <c r="D439" s="274"/>
      <c r="E439" s="274"/>
      <c r="F439" s="328"/>
      <c r="G439" s="329"/>
    </row>
    <row r="440" ht="15.75" customHeight="1">
      <c r="A440" s="327"/>
      <c r="B440" s="327"/>
      <c r="C440" s="326"/>
      <c r="D440" s="274"/>
      <c r="E440" s="274"/>
      <c r="F440" s="328"/>
      <c r="G440" s="329"/>
    </row>
    <row r="441" ht="15.75" customHeight="1">
      <c r="A441" s="327"/>
      <c r="B441" s="327"/>
      <c r="C441" s="326"/>
      <c r="D441" s="274"/>
      <c r="E441" s="274"/>
      <c r="F441" s="328"/>
      <c r="G441" s="329"/>
    </row>
    <row r="442" ht="15.75" customHeight="1">
      <c r="A442" s="327"/>
      <c r="B442" s="327"/>
      <c r="C442" s="326"/>
      <c r="D442" s="274"/>
      <c r="E442" s="274"/>
      <c r="F442" s="328"/>
      <c r="G442" s="329"/>
    </row>
    <row r="443" ht="15.75" customHeight="1">
      <c r="A443" s="327"/>
      <c r="B443" s="327"/>
      <c r="C443" s="326"/>
      <c r="D443" s="274"/>
      <c r="E443" s="274"/>
      <c r="F443" s="328"/>
      <c r="G443" s="329"/>
    </row>
    <row r="444" ht="15.75" customHeight="1">
      <c r="A444" s="327"/>
      <c r="B444" s="327"/>
      <c r="C444" s="326"/>
      <c r="D444" s="274"/>
      <c r="E444" s="274"/>
      <c r="F444" s="328"/>
      <c r="G444" s="329"/>
    </row>
    <row r="445" ht="15.75" customHeight="1">
      <c r="A445" s="327"/>
      <c r="B445" s="327"/>
      <c r="C445" s="326"/>
      <c r="D445" s="274"/>
      <c r="E445" s="274"/>
      <c r="F445" s="328"/>
      <c r="G445" s="329"/>
    </row>
    <row r="446" ht="15.75" customHeight="1">
      <c r="A446" s="327"/>
      <c r="B446" s="327"/>
      <c r="C446" s="326"/>
      <c r="D446" s="274"/>
      <c r="E446" s="274"/>
      <c r="F446" s="328"/>
      <c r="G446" s="329"/>
    </row>
    <row r="447" ht="15.75" customHeight="1">
      <c r="A447" s="327"/>
      <c r="B447" s="327"/>
      <c r="C447" s="326"/>
      <c r="D447" s="274"/>
      <c r="E447" s="274"/>
      <c r="F447" s="328"/>
      <c r="G447" s="329"/>
    </row>
    <row r="448" ht="15.75" customHeight="1">
      <c r="A448" s="327"/>
      <c r="B448" s="327"/>
      <c r="C448" s="326"/>
      <c r="D448" s="274"/>
      <c r="E448" s="274"/>
      <c r="F448" s="328"/>
      <c r="G448" s="329"/>
    </row>
    <row r="449" ht="15.75" customHeight="1">
      <c r="A449" s="327"/>
      <c r="B449" s="327"/>
      <c r="C449" s="326"/>
      <c r="D449" s="274"/>
      <c r="E449" s="274"/>
      <c r="F449" s="328"/>
      <c r="G449" s="329"/>
    </row>
    <row r="450" ht="15.75" customHeight="1">
      <c r="A450" s="327"/>
      <c r="B450" s="327"/>
      <c r="C450" s="326"/>
      <c r="D450" s="274"/>
      <c r="E450" s="274"/>
      <c r="F450" s="328"/>
      <c r="G450" s="329"/>
    </row>
    <row r="451" ht="15.75" customHeight="1">
      <c r="A451" s="327"/>
      <c r="B451" s="327"/>
      <c r="C451" s="326"/>
      <c r="D451" s="274"/>
      <c r="E451" s="274"/>
      <c r="F451" s="328"/>
      <c r="G451" s="329"/>
    </row>
    <row r="452" ht="15.75" customHeight="1">
      <c r="A452" s="327"/>
      <c r="B452" s="327"/>
      <c r="C452" s="326"/>
      <c r="D452" s="274"/>
      <c r="E452" s="274"/>
      <c r="F452" s="328"/>
      <c r="G452" s="329"/>
    </row>
    <row r="453" ht="15.75" customHeight="1">
      <c r="A453" s="327"/>
      <c r="B453" s="327"/>
      <c r="C453" s="326"/>
      <c r="D453" s="274"/>
      <c r="E453" s="274"/>
      <c r="F453" s="328"/>
      <c r="G453" s="329"/>
    </row>
    <row r="454" ht="15.75" customHeight="1">
      <c r="A454" s="327"/>
      <c r="B454" s="327"/>
      <c r="C454" s="326"/>
      <c r="D454" s="274"/>
      <c r="E454" s="274"/>
      <c r="F454" s="328"/>
      <c r="G454" s="329"/>
    </row>
    <row r="455" ht="15.75" customHeight="1">
      <c r="A455" s="327"/>
      <c r="B455" s="327"/>
      <c r="C455" s="326"/>
      <c r="D455" s="274"/>
      <c r="E455" s="274"/>
      <c r="F455" s="328"/>
      <c r="G455" s="329"/>
    </row>
    <row r="456" ht="15.75" customHeight="1">
      <c r="A456" s="327"/>
      <c r="B456" s="327"/>
      <c r="C456" s="326"/>
      <c r="D456" s="274"/>
      <c r="E456" s="274"/>
      <c r="F456" s="328"/>
      <c r="G456" s="329"/>
    </row>
    <row r="457" ht="15.75" customHeight="1">
      <c r="A457" s="327"/>
      <c r="B457" s="327"/>
      <c r="C457" s="326"/>
      <c r="D457" s="274"/>
      <c r="E457" s="274"/>
      <c r="F457" s="328"/>
      <c r="G457" s="329"/>
    </row>
    <row r="458" ht="15.75" customHeight="1">
      <c r="A458" s="327"/>
      <c r="B458" s="327"/>
      <c r="C458" s="326"/>
      <c r="D458" s="274"/>
      <c r="E458" s="274"/>
      <c r="F458" s="328"/>
      <c r="G458" s="329"/>
    </row>
    <row r="459" ht="15.75" customHeight="1">
      <c r="A459" s="327"/>
      <c r="B459" s="327"/>
      <c r="C459" s="326"/>
      <c r="D459" s="274"/>
      <c r="E459" s="274"/>
      <c r="F459" s="328"/>
      <c r="G459" s="329"/>
    </row>
    <row r="460" ht="15.75" customHeight="1">
      <c r="A460" s="327"/>
      <c r="B460" s="327"/>
      <c r="C460" s="326"/>
      <c r="D460" s="274"/>
      <c r="E460" s="274"/>
      <c r="F460" s="328"/>
      <c r="G460" s="329"/>
    </row>
    <row r="461" ht="15.75" customHeight="1">
      <c r="A461" s="327"/>
      <c r="B461" s="327"/>
      <c r="C461" s="326"/>
      <c r="D461" s="274"/>
      <c r="E461" s="274"/>
      <c r="F461" s="328"/>
      <c r="G461" s="329"/>
    </row>
    <row r="462" ht="15.75" customHeight="1">
      <c r="A462" s="327"/>
      <c r="B462" s="327"/>
      <c r="C462" s="326"/>
      <c r="D462" s="274"/>
      <c r="E462" s="274"/>
      <c r="F462" s="328"/>
      <c r="G462" s="329"/>
    </row>
    <row r="463" ht="15.75" customHeight="1">
      <c r="A463" s="327"/>
      <c r="B463" s="327"/>
      <c r="C463" s="326"/>
      <c r="D463" s="274"/>
      <c r="E463" s="274"/>
      <c r="F463" s="328"/>
      <c r="G463" s="329"/>
    </row>
    <row r="464" ht="15.75" customHeight="1">
      <c r="A464" s="327"/>
      <c r="B464" s="327"/>
      <c r="C464" s="326"/>
      <c r="D464" s="274"/>
      <c r="E464" s="274"/>
      <c r="F464" s="328"/>
      <c r="G464" s="329"/>
    </row>
    <row r="465" ht="15.75" customHeight="1">
      <c r="A465" s="327"/>
      <c r="B465" s="327"/>
      <c r="C465" s="326"/>
      <c r="D465" s="274"/>
      <c r="E465" s="274"/>
      <c r="F465" s="328"/>
      <c r="G465" s="329"/>
    </row>
    <row r="466" ht="15.75" customHeight="1">
      <c r="A466" s="327"/>
      <c r="B466" s="327"/>
      <c r="C466" s="326"/>
      <c r="D466" s="274"/>
      <c r="E466" s="274"/>
      <c r="F466" s="328"/>
      <c r="G466" s="329"/>
    </row>
    <row r="467" ht="15.75" customHeight="1">
      <c r="A467" s="327"/>
      <c r="B467" s="327"/>
      <c r="C467" s="326"/>
      <c r="D467" s="274"/>
      <c r="E467" s="274"/>
      <c r="F467" s="328"/>
      <c r="G467" s="329"/>
    </row>
    <row r="468" ht="15.75" customHeight="1">
      <c r="A468" s="327"/>
      <c r="B468" s="327"/>
      <c r="C468" s="326"/>
      <c r="D468" s="274"/>
      <c r="E468" s="274"/>
      <c r="F468" s="328"/>
      <c r="G468" s="329"/>
    </row>
    <row r="469" ht="15.75" customHeight="1">
      <c r="A469" s="327"/>
      <c r="B469" s="327"/>
      <c r="C469" s="326"/>
      <c r="D469" s="274"/>
      <c r="E469" s="274"/>
      <c r="F469" s="328"/>
      <c r="G469" s="329"/>
    </row>
    <row r="470" ht="15.75" customHeight="1">
      <c r="A470" s="327"/>
      <c r="B470" s="327"/>
      <c r="C470" s="326"/>
      <c r="D470" s="274"/>
      <c r="E470" s="274"/>
      <c r="F470" s="328"/>
      <c r="G470" s="329"/>
    </row>
    <row r="471" ht="15.75" customHeight="1">
      <c r="A471" s="327"/>
      <c r="B471" s="327"/>
      <c r="C471" s="326"/>
      <c r="D471" s="274"/>
      <c r="E471" s="274"/>
      <c r="F471" s="328"/>
      <c r="G471" s="329"/>
    </row>
    <row r="472" ht="15.75" customHeight="1">
      <c r="A472" s="327"/>
      <c r="B472" s="327"/>
      <c r="C472" s="326"/>
      <c r="D472" s="274"/>
      <c r="E472" s="274"/>
      <c r="F472" s="328"/>
      <c r="G472" s="329"/>
    </row>
    <row r="473" ht="15.75" customHeight="1">
      <c r="A473" s="327"/>
      <c r="B473" s="327"/>
      <c r="C473" s="326"/>
      <c r="D473" s="274"/>
      <c r="E473" s="274"/>
      <c r="F473" s="328"/>
      <c r="G473" s="329"/>
    </row>
    <row r="474" ht="15.75" customHeight="1">
      <c r="A474" s="327"/>
      <c r="B474" s="327"/>
      <c r="C474" s="326"/>
      <c r="D474" s="274"/>
      <c r="E474" s="274"/>
      <c r="F474" s="328"/>
      <c r="G474" s="329"/>
    </row>
    <row r="475" ht="15.75" customHeight="1">
      <c r="A475" s="327"/>
      <c r="B475" s="327"/>
      <c r="C475" s="326"/>
      <c r="D475" s="274"/>
      <c r="E475" s="274"/>
      <c r="F475" s="328"/>
      <c r="G475" s="329"/>
    </row>
    <row r="476" ht="15.75" customHeight="1">
      <c r="A476" s="327"/>
      <c r="B476" s="327"/>
      <c r="C476" s="326"/>
      <c r="D476" s="274"/>
      <c r="E476" s="274"/>
      <c r="F476" s="328"/>
      <c r="G476" s="329"/>
    </row>
    <row r="477" ht="15.75" customHeight="1">
      <c r="A477" s="327"/>
      <c r="B477" s="327"/>
      <c r="C477" s="326"/>
      <c r="D477" s="274"/>
      <c r="E477" s="274"/>
      <c r="F477" s="328"/>
      <c r="G477" s="329"/>
    </row>
    <row r="478" ht="15.75" customHeight="1">
      <c r="A478" s="327"/>
      <c r="B478" s="327"/>
      <c r="C478" s="326"/>
      <c r="D478" s="274"/>
      <c r="E478" s="274"/>
      <c r="F478" s="328"/>
      <c r="G478" s="329"/>
    </row>
    <row r="479" ht="15.75" customHeight="1">
      <c r="A479" s="327"/>
      <c r="B479" s="327"/>
      <c r="C479" s="326"/>
      <c r="D479" s="274"/>
      <c r="E479" s="274"/>
      <c r="F479" s="328"/>
      <c r="G479" s="329"/>
    </row>
    <row r="480" ht="15.75" customHeight="1">
      <c r="A480" s="327"/>
      <c r="B480" s="327"/>
      <c r="C480" s="326"/>
      <c r="D480" s="274"/>
      <c r="E480" s="274"/>
      <c r="F480" s="328"/>
      <c r="G480" s="329"/>
    </row>
    <row r="481" ht="15.75" customHeight="1">
      <c r="A481" s="327"/>
      <c r="B481" s="327"/>
      <c r="C481" s="326"/>
      <c r="D481" s="274"/>
      <c r="E481" s="274"/>
      <c r="F481" s="328"/>
      <c r="G481" s="329"/>
    </row>
    <row r="482" ht="15.75" customHeight="1">
      <c r="A482" s="327"/>
      <c r="B482" s="327"/>
      <c r="C482" s="326"/>
      <c r="D482" s="274"/>
      <c r="E482" s="274"/>
      <c r="F482" s="328"/>
      <c r="G482" s="329"/>
    </row>
    <row r="483" ht="15.75" customHeight="1">
      <c r="A483" s="327"/>
      <c r="B483" s="327"/>
      <c r="C483" s="326"/>
      <c r="D483" s="274"/>
      <c r="E483" s="274"/>
      <c r="F483" s="328"/>
      <c r="G483" s="329"/>
    </row>
    <row r="484" ht="15.75" customHeight="1">
      <c r="A484" s="327"/>
      <c r="B484" s="327"/>
      <c r="C484" s="326"/>
      <c r="D484" s="274"/>
      <c r="E484" s="274"/>
      <c r="F484" s="328"/>
      <c r="G484" s="329"/>
    </row>
    <row r="485" ht="15.75" customHeight="1">
      <c r="A485" s="327"/>
      <c r="B485" s="327"/>
      <c r="C485" s="326"/>
      <c r="D485" s="274"/>
      <c r="E485" s="274"/>
      <c r="F485" s="328"/>
      <c r="G485" s="329"/>
    </row>
    <row r="486" ht="15.75" customHeight="1">
      <c r="A486" s="327"/>
      <c r="B486" s="327"/>
      <c r="C486" s="326"/>
      <c r="D486" s="274"/>
      <c r="E486" s="274"/>
      <c r="F486" s="328"/>
      <c r="G486" s="329"/>
    </row>
    <row r="487" ht="15.75" customHeight="1">
      <c r="A487" s="327"/>
      <c r="B487" s="327"/>
      <c r="C487" s="326"/>
      <c r="D487" s="274"/>
      <c r="E487" s="274"/>
      <c r="F487" s="328"/>
      <c r="G487" s="329"/>
    </row>
    <row r="488" ht="15.75" customHeight="1">
      <c r="A488" s="327"/>
      <c r="B488" s="327"/>
      <c r="C488" s="326"/>
      <c r="D488" s="274"/>
      <c r="E488" s="274"/>
      <c r="F488" s="328"/>
      <c r="G488" s="329"/>
    </row>
    <row r="489" ht="15.75" customHeight="1">
      <c r="A489" s="327"/>
      <c r="B489" s="327"/>
      <c r="C489" s="326"/>
      <c r="D489" s="274"/>
      <c r="E489" s="274"/>
      <c r="F489" s="328"/>
      <c r="G489" s="329"/>
    </row>
    <row r="490" ht="15.75" customHeight="1">
      <c r="A490" s="327"/>
      <c r="B490" s="327"/>
      <c r="C490" s="326"/>
      <c r="D490" s="274"/>
      <c r="E490" s="274"/>
      <c r="F490" s="328"/>
      <c r="G490" s="329"/>
    </row>
    <row r="491" ht="15.75" customHeight="1">
      <c r="A491" s="327"/>
      <c r="B491" s="327"/>
      <c r="C491" s="326"/>
      <c r="D491" s="274"/>
      <c r="E491" s="274"/>
      <c r="F491" s="328"/>
      <c r="G491" s="329"/>
    </row>
    <row r="492" ht="15.75" customHeight="1">
      <c r="A492" s="327"/>
      <c r="B492" s="327"/>
      <c r="C492" s="326"/>
      <c r="D492" s="274"/>
      <c r="E492" s="274"/>
      <c r="F492" s="328"/>
      <c r="G492" s="329"/>
    </row>
    <row r="493" ht="15.75" customHeight="1">
      <c r="A493" s="327"/>
      <c r="B493" s="327"/>
      <c r="C493" s="326"/>
      <c r="D493" s="274"/>
      <c r="E493" s="274"/>
      <c r="F493" s="328"/>
      <c r="G493" s="329"/>
    </row>
    <row r="494" ht="15.75" customHeight="1">
      <c r="A494" s="327"/>
      <c r="B494" s="327"/>
      <c r="C494" s="326"/>
      <c r="D494" s="274"/>
      <c r="E494" s="274"/>
      <c r="F494" s="328"/>
      <c r="G494" s="329"/>
    </row>
    <row r="495" ht="15.75" customHeight="1">
      <c r="A495" s="327"/>
      <c r="B495" s="327"/>
      <c r="C495" s="326"/>
      <c r="D495" s="274"/>
      <c r="E495" s="274"/>
      <c r="F495" s="328"/>
      <c r="G495" s="329"/>
    </row>
    <row r="496" ht="15.75" customHeight="1">
      <c r="A496" s="327"/>
      <c r="B496" s="327"/>
      <c r="C496" s="326"/>
      <c r="D496" s="274"/>
      <c r="E496" s="274"/>
      <c r="F496" s="328"/>
      <c r="G496" s="329"/>
    </row>
    <row r="497" ht="15.75" customHeight="1">
      <c r="A497" s="327"/>
      <c r="B497" s="327"/>
      <c r="C497" s="326"/>
      <c r="D497" s="274"/>
      <c r="E497" s="274"/>
      <c r="F497" s="328"/>
      <c r="G497" s="329"/>
    </row>
    <row r="498" ht="15.75" customHeight="1">
      <c r="A498" s="327"/>
      <c r="B498" s="327"/>
      <c r="C498" s="326"/>
      <c r="D498" s="274"/>
      <c r="E498" s="274"/>
      <c r="F498" s="328"/>
      <c r="G498" s="329"/>
    </row>
    <row r="499" ht="15.75" customHeight="1">
      <c r="A499" s="327"/>
      <c r="B499" s="327"/>
      <c r="C499" s="326"/>
      <c r="D499" s="274"/>
      <c r="E499" s="274"/>
      <c r="F499" s="328"/>
      <c r="G499" s="329"/>
    </row>
    <row r="500" ht="15.75" customHeight="1">
      <c r="A500" s="327"/>
      <c r="B500" s="327"/>
      <c r="C500" s="326"/>
      <c r="D500" s="274"/>
      <c r="E500" s="274"/>
      <c r="F500" s="328"/>
      <c r="G500" s="329"/>
    </row>
    <row r="501" ht="15.75" customHeight="1">
      <c r="A501" s="327"/>
      <c r="B501" s="327"/>
      <c r="C501" s="326"/>
      <c r="D501" s="274"/>
      <c r="E501" s="274"/>
      <c r="F501" s="328"/>
      <c r="G501" s="329"/>
    </row>
    <row r="502" ht="15.75" customHeight="1">
      <c r="A502" s="327"/>
      <c r="B502" s="327"/>
      <c r="C502" s="326"/>
      <c r="D502" s="274"/>
      <c r="E502" s="274"/>
      <c r="F502" s="328"/>
      <c r="G502" s="329"/>
    </row>
    <row r="503" ht="15.75" customHeight="1">
      <c r="A503" s="327"/>
      <c r="B503" s="327"/>
      <c r="C503" s="326"/>
      <c r="D503" s="274"/>
      <c r="E503" s="274"/>
      <c r="F503" s="328"/>
      <c r="G503" s="329"/>
    </row>
    <row r="504" ht="15.75" customHeight="1">
      <c r="A504" s="327"/>
      <c r="B504" s="327"/>
      <c r="C504" s="326"/>
      <c r="D504" s="274"/>
      <c r="E504" s="274"/>
      <c r="F504" s="328"/>
      <c r="G504" s="329"/>
    </row>
    <row r="505" ht="15.75" customHeight="1">
      <c r="A505" s="327"/>
      <c r="B505" s="327"/>
      <c r="C505" s="326"/>
      <c r="D505" s="274"/>
      <c r="E505" s="274"/>
      <c r="F505" s="328"/>
      <c r="G505" s="329"/>
    </row>
    <row r="506" ht="15.75" customHeight="1">
      <c r="A506" s="327"/>
      <c r="B506" s="327"/>
      <c r="C506" s="326"/>
      <c r="D506" s="274"/>
      <c r="E506" s="274"/>
      <c r="F506" s="328"/>
      <c r="G506" s="329"/>
    </row>
    <row r="507" ht="15.75" customHeight="1">
      <c r="A507" s="327"/>
      <c r="B507" s="327"/>
      <c r="C507" s="326"/>
      <c r="D507" s="274"/>
      <c r="E507" s="274"/>
      <c r="F507" s="328"/>
      <c r="G507" s="329"/>
    </row>
    <row r="508" ht="15.75" customHeight="1">
      <c r="A508" s="327"/>
      <c r="B508" s="327"/>
      <c r="C508" s="326"/>
      <c r="D508" s="274"/>
      <c r="E508" s="274"/>
      <c r="F508" s="328"/>
      <c r="G508" s="329"/>
    </row>
    <row r="509" ht="15.75" customHeight="1">
      <c r="A509" s="327"/>
      <c r="B509" s="327"/>
      <c r="C509" s="326"/>
      <c r="D509" s="274"/>
      <c r="E509" s="274"/>
      <c r="F509" s="328"/>
      <c r="G509" s="329"/>
    </row>
    <row r="510" ht="15.75" customHeight="1">
      <c r="A510" s="327"/>
      <c r="B510" s="327"/>
      <c r="C510" s="326"/>
      <c r="D510" s="274"/>
      <c r="E510" s="274"/>
      <c r="F510" s="328"/>
      <c r="G510" s="329"/>
    </row>
    <row r="511" ht="15.75" customHeight="1">
      <c r="A511" s="327"/>
      <c r="B511" s="327"/>
      <c r="C511" s="326"/>
      <c r="D511" s="274"/>
      <c r="E511" s="274"/>
      <c r="F511" s="328"/>
      <c r="G511" s="329"/>
    </row>
    <row r="512" ht="15.75" customHeight="1">
      <c r="A512" s="327"/>
      <c r="B512" s="327"/>
      <c r="C512" s="326"/>
      <c r="D512" s="274"/>
      <c r="E512" s="274"/>
      <c r="F512" s="328"/>
      <c r="G512" s="329"/>
    </row>
    <row r="513" ht="15.75" customHeight="1">
      <c r="A513" s="327"/>
      <c r="B513" s="327"/>
      <c r="C513" s="326"/>
      <c r="D513" s="274"/>
      <c r="E513" s="274"/>
      <c r="F513" s="328"/>
      <c r="G513" s="329"/>
    </row>
    <row r="514" ht="15.75" customHeight="1">
      <c r="A514" s="327"/>
      <c r="B514" s="327"/>
      <c r="C514" s="326"/>
      <c r="D514" s="274"/>
      <c r="E514" s="274"/>
      <c r="F514" s="328"/>
      <c r="G514" s="329"/>
    </row>
    <row r="515" ht="15.75" customHeight="1">
      <c r="A515" s="327"/>
      <c r="B515" s="327"/>
      <c r="C515" s="326"/>
      <c r="D515" s="274"/>
      <c r="E515" s="274"/>
      <c r="F515" s="328"/>
      <c r="G515" s="329"/>
    </row>
    <row r="516" ht="15.75" customHeight="1">
      <c r="A516" s="327"/>
      <c r="B516" s="327"/>
      <c r="C516" s="326"/>
      <c r="D516" s="274"/>
      <c r="E516" s="274"/>
      <c r="F516" s="328"/>
      <c r="G516" s="329"/>
    </row>
    <row r="517" ht="15.75" customHeight="1">
      <c r="A517" s="327"/>
      <c r="B517" s="327"/>
      <c r="C517" s="326"/>
      <c r="D517" s="274"/>
      <c r="E517" s="274"/>
      <c r="F517" s="328"/>
      <c r="G517" s="329"/>
    </row>
    <row r="518" ht="15.75" customHeight="1">
      <c r="A518" s="327"/>
      <c r="B518" s="327"/>
      <c r="C518" s="326"/>
      <c r="D518" s="274"/>
      <c r="E518" s="274"/>
      <c r="F518" s="328"/>
      <c r="G518" s="329"/>
    </row>
    <row r="519" ht="15.75" customHeight="1">
      <c r="A519" s="327"/>
      <c r="B519" s="327"/>
      <c r="C519" s="326"/>
      <c r="D519" s="274"/>
      <c r="E519" s="274"/>
      <c r="F519" s="328"/>
      <c r="G519" s="329"/>
    </row>
    <row r="520" ht="15.75" customHeight="1">
      <c r="A520" s="327"/>
      <c r="B520" s="327"/>
      <c r="C520" s="326"/>
      <c r="D520" s="274"/>
      <c r="E520" s="274"/>
      <c r="F520" s="328"/>
      <c r="G520" s="329"/>
    </row>
    <row r="521" ht="15.75" customHeight="1">
      <c r="A521" s="327"/>
      <c r="B521" s="327"/>
      <c r="C521" s="326"/>
      <c r="D521" s="274"/>
      <c r="E521" s="274"/>
      <c r="F521" s="328"/>
      <c r="G521" s="329"/>
    </row>
    <row r="522" ht="15.75" customHeight="1">
      <c r="A522" s="327"/>
      <c r="B522" s="327"/>
      <c r="C522" s="326"/>
      <c r="D522" s="274"/>
      <c r="E522" s="274"/>
      <c r="F522" s="328"/>
      <c r="G522" s="329"/>
    </row>
    <row r="523" ht="15.75" customHeight="1">
      <c r="A523" s="327"/>
      <c r="B523" s="327"/>
      <c r="C523" s="326"/>
      <c r="D523" s="274"/>
      <c r="E523" s="274"/>
      <c r="F523" s="328"/>
      <c r="G523" s="329"/>
    </row>
    <row r="524" ht="15.75" customHeight="1">
      <c r="A524" s="327"/>
      <c r="B524" s="327"/>
      <c r="C524" s="326"/>
      <c r="D524" s="274"/>
      <c r="E524" s="274"/>
      <c r="F524" s="328"/>
      <c r="G524" s="329"/>
    </row>
    <row r="525" ht="15.75" customHeight="1">
      <c r="A525" s="327"/>
      <c r="B525" s="327"/>
      <c r="C525" s="326"/>
      <c r="D525" s="274"/>
      <c r="E525" s="274"/>
      <c r="F525" s="328"/>
      <c r="G525" s="329"/>
    </row>
    <row r="526" ht="15.75" customHeight="1">
      <c r="A526" s="327"/>
      <c r="B526" s="327"/>
      <c r="C526" s="326"/>
      <c r="D526" s="274"/>
      <c r="E526" s="274"/>
      <c r="F526" s="328"/>
      <c r="G526" s="329"/>
    </row>
    <row r="527" ht="15.75" customHeight="1">
      <c r="A527" s="327"/>
      <c r="B527" s="327"/>
      <c r="C527" s="326"/>
      <c r="D527" s="274"/>
      <c r="E527" s="274"/>
      <c r="F527" s="328"/>
      <c r="G527" s="329"/>
    </row>
    <row r="528" ht="15.75" customHeight="1">
      <c r="A528" s="327"/>
      <c r="B528" s="327"/>
      <c r="C528" s="326"/>
      <c r="D528" s="274"/>
      <c r="E528" s="274"/>
      <c r="F528" s="328"/>
      <c r="G528" s="329"/>
    </row>
    <row r="529" ht="15.75" customHeight="1">
      <c r="A529" s="327"/>
      <c r="B529" s="327"/>
      <c r="C529" s="326"/>
      <c r="D529" s="274"/>
      <c r="E529" s="274"/>
      <c r="F529" s="328"/>
      <c r="G529" s="329"/>
    </row>
    <row r="530" ht="15.75" customHeight="1">
      <c r="A530" s="327"/>
      <c r="B530" s="327"/>
      <c r="C530" s="326"/>
      <c r="D530" s="274"/>
      <c r="E530" s="274"/>
      <c r="F530" s="328"/>
      <c r="G530" s="329"/>
    </row>
    <row r="531" ht="15.75" customHeight="1">
      <c r="A531" s="327"/>
      <c r="B531" s="327"/>
      <c r="C531" s="326"/>
      <c r="D531" s="274"/>
      <c r="E531" s="274"/>
      <c r="F531" s="328"/>
      <c r="G531" s="329"/>
    </row>
    <row r="532" ht="15.75" customHeight="1">
      <c r="A532" s="327"/>
      <c r="B532" s="327"/>
      <c r="C532" s="326"/>
      <c r="D532" s="274"/>
      <c r="E532" s="274"/>
      <c r="F532" s="328"/>
      <c r="G532" s="329"/>
    </row>
    <row r="533" ht="15.75" customHeight="1">
      <c r="A533" s="327"/>
      <c r="B533" s="327"/>
      <c r="C533" s="326"/>
      <c r="D533" s="274"/>
      <c r="E533" s="274"/>
      <c r="F533" s="328"/>
      <c r="G533" s="329"/>
    </row>
    <row r="534" ht="15.75" customHeight="1">
      <c r="A534" s="327"/>
      <c r="B534" s="327"/>
      <c r="C534" s="326"/>
      <c r="D534" s="274"/>
      <c r="E534" s="274"/>
      <c r="F534" s="328"/>
      <c r="G534" s="329"/>
    </row>
    <row r="535" ht="15.75" customHeight="1">
      <c r="A535" s="327"/>
      <c r="B535" s="327"/>
      <c r="C535" s="326"/>
      <c r="D535" s="274"/>
      <c r="E535" s="274"/>
      <c r="F535" s="328"/>
      <c r="G535" s="329"/>
    </row>
    <row r="536" ht="15.75" customHeight="1">
      <c r="A536" s="327"/>
      <c r="B536" s="327"/>
      <c r="C536" s="326"/>
      <c r="D536" s="274"/>
      <c r="E536" s="274"/>
      <c r="F536" s="328"/>
      <c r="G536" s="329"/>
    </row>
    <row r="537" ht="15.75" customHeight="1">
      <c r="A537" s="327"/>
      <c r="B537" s="327"/>
      <c r="C537" s="326"/>
      <c r="D537" s="274"/>
      <c r="E537" s="274"/>
      <c r="F537" s="328"/>
      <c r="G537" s="329"/>
    </row>
    <row r="538" ht="15.75" customHeight="1">
      <c r="A538" s="327"/>
      <c r="B538" s="327"/>
      <c r="C538" s="326"/>
      <c r="D538" s="274"/>
      <c r="E538" s="274"/>
      <c r="F538" s="328"/>
      <c r="G538" s="329"/>
    </row>
    <row r="539" ht="15.75" customHeight="1">
      <c r="A539" s="327"/>
      <c r="B539" s="327"/>
      <c r="C539" s="326"/>
      <c r="D539" s="274"/>
      <c r="E539" s="274"/>
      <c r="F539" s="328"/>
      <c r="G539" s="329"/>
    </row>
    <row r="540" ht="15.75" customHeight="1">
      <c r="A540" s="327"/>
      <c r="B540" s="327"/>
      <c r="C540" s="326"/>
      <c r="D540" s="274"/>
      <c r="E540" s="274"/>
      <c r="F540" s="328"/>
      <c r="G540" s="329"/>
    </row>
    <row r="541" ht="15.75" customHeight="1">
      <c r="A541" s="327"/>
      <c r="B541" s="327"/>
      <c r="C541" s="326"/>
      <c r="D541" s="274"/>
      <c r="E541" s="274"/>
      <c r="F541" s="328"/>
      <c r="G541" s="329"/>
    </row>
    <row r="542" ht="15.75" customHeight="1">
      <c r="A542" s="327"/>
      <c r="B542" s="327"/>
      <c r="C542" s="326"/>
      <c r="D542" s="274"/>
      <c r="E542" s="274"/>
      <c r="F542" s="328"/>
      <c r="G542" s="329"/>
    </row>
    <row r="543" ht="15.75" customHeight="1">
      <c r="A543" s="327"/>
      <c r="B543" s="327"/>
      <c r="C543" s="326"/>
      <c r="D543" s="274"/>
      <c r="E543" s="274"/>
      <c r="F543" s="328"/>
      <c r="G543" s="329"/>
    </row>
    <row r="544" ht="15.75" customHeight="1">
      <c r="A544" s="327"/>
      <c r="B544" s="327"/>
      <c r="C544" s="326"/>
      <c r="D544" s="274"/>
      <c r="E544" s="274"/>
      <c r="F544" s="328"/>
      <c r="G544" s="329"/>
    </row>
    <row r="545" ht="15.75" customHeight="1">
      <c r="A545" s="327"/>
      <c r="B545" s="327"/>
      <c r="C545" s="326"/>
      <c r="D545" s="274"/>
      <c r="E545" s="274"/>
      <c r="F545" s="328"/>
      <c r="G545" s="329"/>
    </row>
    <row r="546" ht="15.75" customHeight="1">
      <c r="A546" s="327"/>
      <c r="B546" s="327"/>
      <c r="C546" s="326"/>
      <c r="D546" s="274"/>
      <c r="E546" s="274"/>
      <c r="F546" s="328"/>
      <c r="G546" s="329"/>
    </row>
    <row r="547" ht="15.75" customHeight="1">
      <c r="A547" s="327"/>
      <c r="B547" s="327"/>
      <c r="C547" s="326"/>
      <c r="D547" s="274"/>
      <c r="E547" s="274"/>
      <c r="F547" s="328"/>
      <c r="G547" s="329"/>
    </row>
    <row r="548" ht="15.75" customHeight="1">
      <c r="A548" s="327"/>
      <c r="B548" s="327"/>
      <c r="C548" s="326"/>
      <c r="D548" s="274"/>
      <c r="E548" s="274"/>
      <c r="F548" s="328"/>
      <c r="G548" s="329"/>
    </row>
    <row r="549" ht="15.75" customHeight="1">
      <c r="A549" s="327"/>
      <c r="B549" s="327"/>
      <c r="C549" s="326"/>
      <c r="D549" s="274"/>
      <c r="E549" s="274"/>
      <c r="F549" s="328"/>
      <c r="G549" s="329"/>
    </row>
    <row r="550" ht="15.75" customHeight="1">
      <c r="A550" s="327"/>
      <c r="B550" s="327"/>
      <c r="C550" s="326"/>
      <c r="D550" s="274"/>
      <c r="E550" s="274"/>
      <c r="F550" s="328"/>
      <c r="G550" s="329"/>
    </row>
    <row r="551" ht="15.75" customHeight="1">
      <c r="A551" s="327"/>
      <c r="B551" s="327"/>
      <c r="C551" s="326"/>
      <c r="D551" s="274"/>
      <c r="E551" s="274"/>
      <c r="F551" s="328"/>
      <c r="G551" s="329"/>
    </row>
    <row r="552" ht="15.75" customHeight="1">
      <c r="A552" s="327"/>
      <c r="B552" s="327"/>
      <c r="C552" s="326"/>
      <c r="D552" s="274"/>
      <c r="E552" s="274"/>
      <c r="F552" s="328"/>
      <c r="G552" s="329"/>
    </row>
    <row r="553" ht="15.75" customHeight="1">
      <c r="A553" s="327"/>
      <c r="B553" s="327"/>
      <c r="C553" s="326"/>
      <c r="D553" s="274"/>
      <c r="E553" s="274"/>
      <c r="F553" s="328"/>
      <c r="G553" s="329"/>
    </row>
    <row r="554" ht="15.75" customHeight="1">
      <c r="A554" s="327"/>
      <c r="B554" s="327"/>
      <c r="C554" s="326"/>
      <c r="D554" s="274"/>
      <c r="E554" s="274"/>
      <c r="F554" s="328"/>
      <c r="G554" s="329"/>
    </row>
    <row r="555" ht="15.75" customHeight="1">
      <c r="A555" s="327"/>
      <c r="B555" s="327"/>
      <c r="C555" s="326"/>
      <c r="D555" s="274"/>
      <c r="E555" s="274"/>
      <c r="F555" s="328"/>
      <c r="G555" s="329"/>
    </row>
    <row r="556" ht="15.75" customHeight="1">
      <c r="A556" s="327"/>
      <c r="B556" s="327"/>
      <c r="C556" s="326"/>
      <c r="D556" s="274"/>
      <c r="E556" s="274"/>
      <c r="F556" s="328"/>
      <c r="G556" s="329"/>
    </row>
    <row r="557" ht="15.75" customHeight="1">
      <c r="A557" s="327"/>
      <c r="B557" s="327"/>
      <c r="C557" s="326"/>
      <c r="D557" s="274"/>
      <c r="E557" s="274"/>
      <c r="F557" s="328"/>
      <c r="G557" s="329"/>
    </row>
    <row r="558" ht="15.75" customHeight="1">
      <c r="A558" s="327"/>
      <c r="B558" s="327"/>
      <c r="C558" s="326"/>
      <c r="D558" s="274"/>
      <c r="E558" s="274"/>
      <c r="F558" s="328"/>
      <c r="G558" s="329"/>
    </row>
    <row r="559" ht="15.75" customHeight="1">
      <c r="A559" s="327"/>
      <c r="B559" s="327"/>
      <c r="C559" s="326"/>
      <c r="D559" s="274"/>
      <c r="E559" s="274"/>
      <c r="F559" s="328"/>
      <c r="G559" s="329"/>
    </row>
    <row r="560" ht="15.75" customHeight="1">
      <c r="A560" s="327"/>
      <c r="B560" s="327"/>
      <c r="C560" s="326"/>
      <c r="D560" s="274"/>
      <c r="E560" s="274"/>
      <c r="F560" s="328"/>
      <c r="G560" s="329"/>
    </row>
    <row r="561" ht="15.75" customHeight="1">
      <c r="A561" s="327"/>
      <c r="B561" s="327"/>
      <c r="C561" s="326"/>
      <c r="D561" s="274"/>
      <c r="E561" s="274"/>
      <c r="F561" s="328"/>
      <c r="G561" s="329"/>
    </row>
    <row r="562" ht="15.75" customHeight="1">
      <c r="A562" s="327"/>
      <c r="B562" s="327"/>
      <c r="C562" s="326"/>
      <c r="D562" s="274"/>
      <c r="E562" s="274"/>
      <c r="F562" s="328"/>
      <c r="G562" s="329"/>
    </row>
    <row r="563" ht="15.75" customHeight="1">
      <c r="A563" s="327"/>
      <c r="B563" s="327"/>
      <c r="C563" s="326"/>
      <c r="D563" s="274"/>
      <c r="E563" s="274"/>
      <c r="F563" s="328"/>
      <c r="G563" s="329"/>
    </row>
    <row r="564" ht="15.75" customHeight="1">
      <c r="A564" s="327"/>
      <c r="B564" s="327"/>
      <c r="C564" s="326"/>
      <c r="D564" s="274"/>
      <c r="E564" s="274"/>
      <c r="F564" s="328"/>
      <c r="G564" s="329"/>
    </row>
    <row r="565" ht="15.75" customHeight="1">
      <c r="A565" s="327"/>
      <c r="B565" s="327"/>
      <c r="C565" s="326"/>
      <c r="D565" s="274"/>
      <c r="E565" s="274"/>
      <c r="F565" s="328"/>
      <c r="G565" s="329"/>
    </row>
    <row r="566" ht="15.75" customHeight="1">
      <c r="A566" s="327"/>
      <c r="B566" s="327"/>
      <c r="C566" s="326"/>
      <c r="D566" s="274"/>
      <c r="E566" s="274"/>
      <c r="F566" s="328"/>
      <c r="G566" s="329"/>
    </row>
    <row r="567" ht="15.75" customHeight="1">
      <c r="A567" s="327"/>
      <c r="B567" s="327"/>
      <c r="C567" s="326"/>
      <c r="D567" s="274"/>
      <c r="E567" s="274"/>
      <c r="F567" s="328"/>
      <c r="G567" s="329"/>
    </row>
    <row r="568" ht="15.75" customHeight="1">
      <c r="A568" s="327"/>
      <c r="B568" s="327"/>
      <c r="C568" s="326"/>
      <c r="D568" s="274"/>
      <c r="E568" s="274"/>
      <c r="F568" s="328"/>
      <c r="G568" s="329"/>
    </row>
    <row r="569" ht="15.75" customHeight="1">
      <c r="A569" s="327"/>
      <c r="B569" s="327"/>
      <c r="C569" s="326"/>
      <c r="D569" s="274"/>
      <c r="E569" s="274"/>
      <c r="F569" s="328"/>
      <c r="G569" s="329"/>
    </row>
    <row r="570" ht="15.75" customHeight="1">
      <c r="A570" s="327"/>
      <c r="B570" s="327"/>
      <c r="C570" s="326"/>
      <c r="D570" s="274"/>
      <c r="E570" s="274"/>
      <c r="F570" s="328"/>
      <c r="G570" s="329"/>
    </row>
    <row r="571" ht="15.75" customHeight="1">
      <c r="A571" s="327"/>
      <c r="B571" s="327"/>
      <c r="C571" s="326"/>
      <c r="D571" s="274"/>
      <c r="E571" s="274"/>
      <c r="F571" s="328"/>
      <c r="G571" s="329"/>
    </row>
    <row r="572" ht="15.75" customHeight="1">
      <c r="A572" s="327"/>
      <c r="B572" s="327"/>
      <c r="C572" s="326"/>
      <c r="D572" s="274"/>
      <c r="E572" s="274"/>
      <c r="F572" s="328"/>
      <c r="G572" s="329"/>
    </row>
    <row r="573" ht="15.75" customHeight="1">
      <c r="A573" s="327"/>
      <c r="B573" s="327"/>
      <c r="C573" s="326"/>
      <c r="D573" s="274"/>
      <c r="E573" s="274"/>
      <c r="F573" s="328"/>
      <c r="G573" s="329"/>
    </row>
    <row r="574" ht="15.75" customHeight="1">
      <c r="A574" s="327"/>
      <c r="B574" s="327"/>
      <c r="C574" s="326"/>
      <c r="D574" s="274"/>
      <c r="E574" s="274"/>
      <c r="F574" s="328"/>
      <c r="G574" s="329"/>
    </row>
    <row r="575" ht="15.75" customHeight="1">
      <c r="A575" s="327"/>
      <c r="B575" s="327"/>
      <c r="C575" s="326"/>
      <c r="D575" s="274"/>
      <c r="E575" s="274"/>
      <c r="F575" s="328"/>
      <c r="G575" s="329"/>
    </row>
    <row r="576" ht="15.75" customHeight="1">
      <c r="A576" s="327"/>
      <c r="B576" s="327"/>
      <c r="C576" s="326"/>
      <c r="D576" s="274"/>
      <c r="E576" s="274"/>
      <c r="F576" s="328"/>
      <c r="G576" s="329"/>
    </row>
    <row r="577" ht="15.75" customHeight="1">
      <c r="A577" s="327"/>
      <c r="B577" s="327"/>
      <c r="C577" s="326"/>
      <c r="D577" s="274"/>
      <c r="E577" s="274"/>
      <c r="F577" s="328"/>
      <c r="G577" s="329"/>
    </row>
    <row r="578" ht="15.75" customHeight="1">
      <c r="A578" s="327"/>
      <c r="B578" s="327"/>
      <c r="C578" s="326"/>
      <c r="D578" s="274"/>
      <c r="E578" s="274"/>
      <c r="F578" s="328"/>
      <c r="G578" s="329"/>
    </row>
    <row r="579" ht="15.75" customHeight="1">
      <c r="A579" s="327"/>
      <c r="B579" s="327"/>
      <c r="C579" s="326"/>
      <c r="D579" s="274"/>
      <c r="E579" s="274"/>
      <c r="F579" s="328"/>
      <c r="G579" s="329"/>
    </row>
    <row r="580" ht="15.75" customHeight="1">
      <c r="A580" s="327"/>
      <c r="B580" s="327"/>
      <c r="C580" s="326"/>
      <c r="D580" s="274"/>
      <c r="E580" s="274"/>
      <c r="F580" s="328"/>
      <c r="G580" s="329"/>
    </row>
    <row r="581" ht="15.75" customHeight="1">
      <c r="A581" s="327"/>
      <c r="B581" s="327"/>
      <c r="C581" s="326"/>
      <c r="D581" s="274"/>
      <c r="E581" s="274"/>
      <c r="F581" s="328"/>
      <c r="G581" s="329"/>
    </row>
    <row r="582" ht="15.75" customHeight="1">
      <c r="A582" s="327"/>
      <c r="B582" s="327"/>
      <c r="C582" s="326"/>
      <c r="D582" s="274"/>
      <c r="E582" s="274"/>
      <c r="F582" s="328"/>
      <c r="G582" s="329"/>
    </row>
    <row r="583" ht="15.75" customHeight="1">
      <c r="A583" s="327"/>
      <c r="B583" s="327"/>
      <c r="C583" s="326"/>
      <c r="D583" s="274"/>
      <c r="E583" s="274"/>
      <c r="F583" s="328"/>
      <c r="G583" s="329"/>
    </row>
    <row r="584" ht="15.75" customHeight="1">
      <c r="A584" s="327"/>
      <c r="B584" s="327"/>
      <c r="C584" s="326"/>
      <c r="D584" s="274"/>
      <c r="E584" s="274"/>
      <c r="F584" s="328"/>
      <c r="G584" s="329"/>
    </row>
    <row r="585" ht="15.75" customHeight="1">
      <c r="A585" s="327"/>
      <c r="B585" s="327"/>
      <c r="C585" s="326"/>
      <c r="D585" s="274"/>
      <c r="E585" s="274"/>
      <c r="F585" s="328"/>
      <c r="G585" s="329"/>
    </row>
    <row r="586" ht="15.75" customHeight="1">
      <c r="A586" s="327"/>
      <c r="B586" s="327"/>
      <c r="C586" s="326"/>
      <c r="D586" s="274"/>
      <c r="E586" s="274"/>
      <c r="F586" s="328"/>
      <c r="G586" s="329"/>
    </row>
    <row r="587" ht="15.75" customHeight="1">
      <c r="A587" s="327"/>
      <c r="B587" s="327"/>
      <c r="C587" s="326"/>
      <c r="D587" s="274"/>
      <c r="E587" s="274"/>
      <c r="F587" s="328"/>
      <c r="G587" s="329"/>
    </row>
    <row r="588" ht="15.75" customHeight="1">
      <c r="A588" s="327"/>
      <c r="B588" s="327"/>
      <c r="C588" s="326"/>
      <c r="D588" s="274"/>
      <c r="E588" s="274"/>
      <c r="F588" s="328"/>
      <c r="G588" s="329"/>
    </row>
    <row r="589" ht="15.75" customHeight="1">
      <c r="A589" s="327"/>
      <c r="B589" s="327"/>
      <c r="C589" s="326"/>
      <c r="D589" s="274"/>
      <c r="E589" s="274"/>
      <c r="F589" s="328"/>
      <c r="G589" s="329"/>
    </row>
    <row r="590" ht="15.75" customHeight="1">
      <c r="A590" s="327"/>
      <c r="B590" s="327"/>
      <c r="C590" s="326"/>
      <c r="D590" s="274"/>
      <c r="E590" s="274"/>
      <c r="F590" s="328"/>
      <c r="G590" s="329"/>
    </row>
    <row r="591" ht="15.75" customHeight="1">
      <c r="A591" s="327"/>
      <c r="B591" s="327"/>
      <c r="C591" s="326"/>
      <c r="D591" s="274"/>
      <c r="E591" s="274"/>
      <c r="F591" s="328"/>
      <c r="G591" s="329"/>
    </row>
    <row r="592" ht="15.75" customHeight="1">
      <c r="A592" s="327"/>
      <c r="B592" s="327"/>
      <c r="C592" s="326"/>
      <c r="D592" s="274"/>
      <c r="E592" s="274"/>
      <c r="F592" s="328"/>
      <c r="G592" s="329"/>
    </row>
    <row r="593" ht="15.75" customHeight="1">
      <c r="A593" s="327"/>
      <c r="B593" s="327"/>
      <c r="C593" s="326"/>
      <c r="D593" s="274"/>
      <c r="E593" s="274"/>
      <c r="F593" s="328"/>
      <c r="G593" s="329"/>
    </row>
    <row r="594" ht="15.75" customHeight="1">
      <c r="A594" s="327"/>
      <c r="B594" s="327"/>
      <c r="C594" s="326"/>
      <c r="D594" s="274"/>
      <c r="E594" s="274"/>
      <c r="F594" s="328"/>
      <c r="G594" s="329"/>
    </row>
    <row r="595" ht="15.75" customHeight="1">
      <c r="A595" s="327"/>
      <c r="B595" s="327"/>
      <c r="C595" s="326"/>
      <c r="D595" s="274"/>
      <c r="E595" s="274"/>
      <c r="F595" s="328"/>
      <c r="G595" s="329"/>
    </row>
    <row r="596" ht="15.75" customHeight="1">
      <c r="A596" s="327"/>
      <c r="B596" s="327"/>
      <c r="C596" s="326"/>
      <c r="D596" s="274"/>
      <c r="E596" s="274"/>
      <c r="F596" s="328"/>
      <c r="G596" s="329"/>
    </row>
    <row r="597" ht="15.75" customHeight="1">
      <c r="A597" s="327"/>
      <c r="B597" s="327"/>
      <c r="C597" s="326"/>
      <c r="D597" s="274"/>
      <c r="E597" s="274"/>
      <c r="F597" s="328"/>
      <c r="G597" s="329"/>
    </row>
    <row r="598" ht="15.75" customHeight="1">
      <c r="A598" s="327"/>
      <c r="B598" s="327"/>
      <c r="C598" s="326"/>
      <c r="D598" s="274"/>
      <c r="E598" s="274"/>
      <c r="F598" s="328"/>
      <c r="G598" s="329"/>
    </row>
    <row r="599" ht="15.75" customHeight="1">
      <c r="A599" s="327"/>
      <c r="B599" s="327"/>
      <c r="C599" s="326"/>
      <c r="D599" s="274"/>
      <c r="E599" s="274"/>
      <c r="F599" s="328"/>
      <c r="G599" s="329"/>
    </row>
    <row r="600" ht="15.75" customHeight="1">
      <c r="A600" s="327"/>
      <c r="B600" s="327"/>
      <c r="C600" s="326"/>
      <c r="D600" s="274"/>
      <c r="E600" s="274"/>
      <c r="F600" s="328"/>
      <c r="G600" s="329"/>
    </row>
    <row r="601" ht="15.75" customHeight="1">
      <c r="A601" s="327"/>
      <c r="B601" s="327"/>
      <c r="C601" s="326"/>
      <c r="D601" s="274"/>
      <c r="E601" s="274"/>
      <c r="F601" s="328"/>
      <c r="G601" s="329"/>
    </row>
    <row r="602" ht="15.75" customHeight="1">
      <c r="A602" s="327"/>
      <c r="B602" s="327"/>
      <c r="C602" s="326"/>
      <c r="D602" s="274"/>
      <c r="E602" s="274"/>
      <c r="F602" s="328"/>
      <c r="G602" s="329"/>
    </row>
    <row r="603" ht="15.75" customHeight="1">
      <c r="A603" s="327"/>
      <c r="B603" s="327"/>
      <c r="C603" s="326"/>
      <c r="D603" s="274"/>
      <c r="E603" s="274"/>
      <c r="F603" s="328"/>
      <c r="G603" s="329"/>
    </row>
    <row r="604" ht="15.75" customHeight="1">
      <c r="A604" s="327"/>
      <c r="B604" s="327"/>
      <c r="C604" s="326"/>
      <c r="D604" s="274"/>
      <c r="E604" s="274"/>
      <c r="F604" s="328"/>
      <c r="G604" s="329"/>
    </row>
    <row r="605" ht="15.75" customHeight="1">
      <c r="A605" s="327"/>
      <c r="B605" s="327"/>
      <c r="C605" s="326"/>
      <c r="D605" s="274"/>
      <c r="E605" s="274"/>
      <c r="F605" s="328"/>
      <c r="G605" s="329"/>
    </row>
    <row r="606" ht="15.75" customHeight="1">
      <c r="A606" s="327"/>
      <c r="B606" s="327"/>
      <c r="C606" s="326"/>
      <c r="D606" s="274"/>
      <c r="E606" s="274"/>
      <c r="F606" s="328"/>
      <c r="G606" s="329"/>
    </row>
    <row r="607" ht="15.75" customHeight="1">
      <c r="A607" s="327"/>
      <c r="B607" s="327"/>
      <c r="C607" s="326"/>
      <c r="D607" s="274"/>
      <c r="E607" s="274"/>
      <c r="F607" s="328"/>
      <c r="G607" s="329"/>
    </row>
    <row r="608" ht="15.75" customHeight="1">
      <c r="A608" s="327"/>
      <c r="B608" s="327"/>
      <c r="C608" s="326"/>
      <c r="D608" s="274"/>
      <c r="E608" s="274"/>
      <c r="F608" s="328"/>
      <c r="G608" s="329"/>
    </row>
    <row r="609" ht="15.75" customHeight="1">
      <c r="A609" s="327"/>
      <c r="B609" s="327"/>
      <c r="C609" s="326"/>
      <c r="D609" s="274"/>
      <c r="E609" s="274"/>
      <c r="F609" s="328"/>
      <c r="G609" s="329"/>
    </row>
    <row r="610" ht="15.75" customHeight="1">
      <c r="A610" s="327"/>
      <c r="B610" s="327"/>
      <c r="C610" s="326"/>
      <c r="D610" s="274"/>
      <c r="E610" s="274"/>
      <c r="F610" s="328"/>
      <c r="G610" s="329"/>
    </row>
    <row r="611" ht="15.75" customHeight="1">
      <c r="A611" s="327"/>
      <c r="B611" s="327"/>
      <c r="C611" s="326"/>
      <c r="D611" s="274"/>
      <c r="E611" s="274"/>
      <c r="F611" s="328"/>
      <c r="G611" s="329"/>
    </row>
    <row r="612" ht="15.75" customHeight="1">
      <c r="A612" s="327"/>
      <c r="B612" s="327"/>
      <c r="C612" s="326"/>
      <c r="D612" s="274"/>
      <c r="E612" s="274"/>
      <c r="F612" s="328"/>
      <c r="G612" s="329"/>
    </row>
    <row r="613" ht="15.75" customHeight="1">
      <c r="A613" s="327"/>
      <c r="B613" s="327"/>
      <c r="C613" s="326"/>
      <c r="D613" s="274"/>
      <c r="E613" s="274"/>
      <c r="F613" s="328"/>
      <c r="G613" s="329"/>
    </row>
    <row r="614" ht="15.75" customHeight="1">
      <c r="A614" s="327"/>
      <c r="B614" s="327"/>
      <c r="C614" s="326"/>
      <c r="D614" s="274"/>
      <c r="E614" s="274"/>
      <c r="F614" s="328"/>
      <c r="G614" s="329"/>
    </row>
    <row r="615" ht="15.75" customHeight="1">
      <c r="A615" s="327"/>
      <c r="B615" s="327"/>
      <c r="C615" s="326"/>
      <c r="D615" s="274"/>
      <c r="E615" s="274"/>
      <c r="F615" s="328"/>
      <c r="G615" s="329"/>
    </row>
    <row r="616" ht="15.75" customHeight="1">
      <c r="A616" s="327"/>
      <c r="B616" s="327"/>
      <c r="C616" s="326"/>
      <c r="D616" s="274"/>
      <c r="E616" s="274"/>
      <c r="F616" s="328"/>
      <c r="G616" s="329"/>
    </row>
    <row r="617" ht="15.75" customHeight="1">
      <c r="A617" s="327"/>
      <c r="B617" s="327"/>
      <c r="C617" s="326"/>
      <c r="D617" s="274"/>
      <c r="E617" s="274"/>
      <c r="F617" s="328"/>
      <c r="G617" s="329"/>
    </row>
    <row r="618" ht="15.75" customHeight="1">
      <c r="A618" s="327"/>
      <c r="B618" s="327"/>
      <c r="C618" s="326"/>
      <c r="D618" s="274"/>
      <c r="E618" s="274"/>
      <c r="F618" s="328"/>
      <c r="G618" s="329"/>
    </row>
    <row r="619" ht="15.75" customHeight="1">
      <c r="A619" s="327"/>
      <c r="B619" s="327"/>
      <c r="C619" s="326"/>
      <c r="D619" s="274"/>
      <c r="E619" s="274"/>
      <c r="F619" s="328"/>
      <c r="G619" s="329"/>
    </row>
    <row r="620" ht="15.75" customHeight="1">
      <c r="A620" s="327"/>
      <c r="B620" s="327"/>
      <c r="C620" s="326"/>
      <c r="D620" s="274"/>
      <c r="E620" s="274"/>
      <c r="F620" s="328"/>
      <c r="G620" s="329"/>
    </row>
    <row r="621" ht="15.75" customHeight="1">
      <c r="A621" s="327"/>
      <c r="B621" s="327"/>
      <c r="C621" s="326"/>
      <c r="D621" s="274"/>
      <c r="E621" s="274"/>
      <c r="F621" s="328"/>
      <c r="G621" s="329"/>
    </row>
    <row r="622" ht="15.75" customHeight="1">
      <c r="A622" s="327"/>
      <c r="B622" s="327"/>
      <c r="C622" s="326"/>
      <c r="D622" s="274"/>
      <c r="E622" s="274"/>
      <c r="F622" s="328"/>
      <c r="G622" s="329"/>
    </row>
    <row r="623" ht="15.75" customHeight="1">
      <c r="A623" s="327"/>
      <c r="B623" s="327"/>
      <c r="C623" s="326"/>
      <c r="D623" s="274"/>
      <c r="E623" s="274"/>
      <c r="F623" s="328"/>
      <c r="G623" s="329"/>
    </row>
    <row r="624" ht="15.75" customHeight="1">
      <c r="A624" s="327"/>
      <c r="B624" s="327"/>
      <c r="C624" s="326"/>
      <c r="D624" s="274"/>
      <c r="E624" s="274"/>
      <c r="F624" s="328"/>
      <c r="G624" s="329"/>
    </row>
    <row r="625" ht="15.75" customHeight="1">
      <c r="A625" s="327"/>
      <c r="B625" s="327"/>
      <c r="C625" s="326"/>
      <c r="D625" s="274"/>
      <c r="E625" s="274"/>
      <c r="F625" s="328"/>
      <c r="G625" s="329"/>
    </row>
    <row r="626" ht="15.75" customHeight="1">
      <c r="A626" s="327"/>
      <c r="B626" s="327"/>
      <c r="C626" s="326"/>
      <c r="D626" s="274"/>
      <c r="E626" s="274"/>
      <c r="F626" s="328"/>
      <c r="G626" s="329"/>
    </row>
    <row r="627" ht="15.75" customHeight="1">
      <c r="A627" s="327"/>
      <c r="B627" s="327"/>
      <c r="C627" s="326"/>
      <c r="D627" s="274"/>
      <c r="E627" s="274"/>
      <c r="F627" s="328"/>
      <c r="G627" s="329"/>
    </row>
    <row r="628" ht="15.75" customHeight="1">
      <c r="A628" s="327"/>
      <c r="B628" s="327"/>
      <c r="C628" s="326"/>
      <c r="D628" s="274"/>
      <c r="E628" s="274"/>
      <c r="F628" s="328"/>
      <c r="G628" s="329"/>
    </row>
    <row r="629" ht="15.75" customHeight="1">
      <c r="A629" s="327"/>
      <c r="B629" s="327"/>
      <c r="C629" s="326"/>
      <c r="D629" s="274"/>
      <c r="E629" s="274"/>
      <c r="F629" s="328"/>
      <c r="G629" s="329"/>
    </row>
    <row r="630" ht="15.75" customHeight="1">
      <c r="A630" s="327"/>
      <c r="B630" s="327"/>
      <c r="C630" s="326"/>
      <c r="D630" s="274"/>
      <c r="E630" s="274"/>
      <c r="F630" s="328"/>
      <c r="G630" s="329"/>
    </row>
    <row r="631" ht="15.75" customHeight="1">
      <c r="A631" s="327"/>
      <c r="B631" s="327"/>
      <c r="C631" s="326"/>
      <c r="D631" s="274"/>
      <c r="E631" s="274"/>
      <c r="F631" s="328"/>
      <c r="G631" s="329"/>
    </row>
    <row r="632" ht="15.75" customHeight="1">
      <c r="A632" s="327"/>
      <c r="B632" s="327"/>
      <c r="C632" s="326"/>
      <c r="D632" s="274"/>
      <c r="E632" s="274"/>
      <c r="F632" s="328"/>
      <c r="G632" s="329"/>
    </row>
    <row r="633" ht="15.75" customHeight="1">
      <c r="A633" s="327"/>
      <c r="B633" s="327"/>
      <c r="C633" s="326"/>
      <c r="D633" s="274"/>
      <c r="E633" s="274"/>
      <c r="F633" s="328"/>
      <c r="G633" s="329"/>
    </row>
    <row r="634" ht="15.75" customHeight="1">
      <c r="A634" s="327"/>
      <c r="B634" s="327"/>
      <c r="C634" s="326"/>
      <c r="D634" s="274"/>
      <c r="E634" s="274"/>
      <c r="F634" s="328"/>
      <c r="G634" s="329"/>
    </row>
    <row r="635" ht="15.75" customHeight="1">
      <c r="A635" s="327"/>
      <c r="B635" s="327"/>
      <c r="C635" s="326"/>
      <c r="D635" s="274"/>
      <c r="E635" s="274"/>
      <c r="F635" s="328"/>
      <c r="G635" s="329"/>
    </row>
    <row r="636" ht="15.75" customHeight="1">
      <c r="A636" s="327"/>
      <c r="B636" s="327"/>
      <c r="C636" s="326"/>
      <c r="D636" s="274"/>
      <c r="E636" s="274"/>
      <c r="F636" s="328"/>
      <c r="G636" s="329"/>
    </row>
    <row r="637" ht="15.75" customHeight="1">
      <c r="A637" s="327"/>
      <c r="B637" s="327"/>
      <c r="C637" s="326"/>
      <c r="D637" s="274"/>
      <c r="E637" s="274"/>
      <c r="F637" s="328"/>
      <c r="G637" s="329"/>
    </row>
    <row r="638" ht="15.75" customHeight="1">
      <c r="A638" s="327"/>
      <c r="B638" s="327"/>
      <c r="C638" s="326"/>
      <c r="D638" s="274"/>
      <c r="E638" s="274"/>
      <c r="F638" s="328"/>
      <c r="G638" s="329"/>
    </row>
    <row r="639" ht="15.75" customHeight="1">
      <c r="A639" s="327"/>
      <c r="B639" s="327"/>
      <c r="C639" s="326"/>
      <c r="D639" s="274"/>
      <c r="E639" s="274"/>
      <c r="F639" s="328"/>
      <c r="G639" s="329"/>
    </row>
    <row r="640" ht="15.75" customHeight="1">
      <c r="A640" s="327"/>
      <c r="B640" s="327"/>
      <c r="C640" s="326"/>
      <c r="D640" s="274"/>
      <c r="E640" s="274"/>
      <c r="F640" s="328"/>
      <c r="G640" s="329"/>
    </row>
    <row r="641" ht="15.75" customHeight="1">
      <c r="A641" s="327"/>
      <c r="B641" s="327"/>
      <c r="C641" s="326"/>
      <c r="D641" s="274"/>
      <c r="E641" s="274"/>
      <c r="F641" s="328"/>
      <c r="G641" s="329"/>
    </row>
    <row r="642" ht="15.75" customHeight="1">
      <c r="A642" s="327"/>
      <c r="B642" s="327"/>
      <c r="C642" s="326"/>
      <c r="D642" s="274"/>
      <c r="E642" s="274"/>
      <c r="F642" s="328"/>
      <c r="G642" s="329"/>
    </row>
    <row r="643" ht="15.75" customHeight="1">
      <c r="A643" s="327"/>
      <c r="B643" s="327"/>
      <c r="C643" s="326"/>
      <c r="D643" s="274"/>
      <c r="E643" s="274"/>
      <c r="F643" s="328"/>
      <c r="G643" s="329"/>
    </row>
    <row r="644" ht="15.75" customHeight="1">
      <c r="A644" s="327"/>
      <c r="B644" s="327"/>
      <c r="C644" s="326"/>
      <c r="D644" s="274"/>
      <c r="E644" s="274"/>
      <c r="F644" s="328"/>
      <c r="G644" s="329"/>
    </row>
    <row r="645" ht="15.75" customHeight="1">
      <c r="A645" s="327"/>
      <c r="B645" s="327"/>
      <c r="C645" s="326"/>
      <c r="D645" s="274"/>
      <c r="E645" s="274"/>
      <c r="F645" s="328"/>
      <c r="G645" s="329"/>
    </row>
    <row r="646" ht="15.75" customHeight="1">
      <c r="A646" s="327"/>
      <c r="B646" s="327"/>
      <c r="C646" s="326"/>
      <c r="D646" s="274"/>
      <c r="E646" s="274"/>
      <c r="F646" s="328"/>
      <c r="G646" s="329"/>
    </row>
    <row r="647" ht="15.75" customHeight="1">
      <c r="A647" s="327"/>
      <c r="B647" s="327"/>
      <c r="C647" s="326"/>
      <c r="D647" s="274"/>
      <c r="E647" s="274"/>
      <c r="F647" s="328"/>
      <c r="G647" s="329"/>
    </row>
    <row r="648" ht="15.75" customHeight="1">
      <c r="A648" s="327"/>
      <c r="B648" s="327"/>
      <c r="C648" s="326"/>
      <c r="D648" s="274"/>
      <c r="E648" s="274"/>
      <c r="F648" s="328"/>
      <c r="G648" s="329"/>
    </row>
    <row r="649" ht="15.75" customHeight="1">
      <c r="A649" s="327"/>
      <c r="B649" s="327"/>
      <c r="C649" s="326"/>
      <c r="D649" s="274"/>
      <c r="E649" s="274"/>
      <c r="F649" s="328"/>
      <c r="G649" s="329"/>
    </row>
    <row r="650" ht="15.75" customHeight="1">
      <c r="A650" s="327"/>
      <c r="B650" s="327"/>
      <c r="C650" s="326"/>
      <c r="D650" s="274"/>
      <c r="E650" s="274"/>
      <c r="F650" s="328"/>
      <c r="G650" s="329"/>
    </row>
    <row r="651" ht="15.75" customHeight="1">
      <c r="A651" s="327"/>
      <c r="B651" s="327"/>
      <c r="C651" s="326"/>
      <c r="D651" s="274"/>
      <c r="E651" s="274"/>
      <c r="F651" s="328"/>
      <c r="G651" s="329"/>
    </row>
    <row r="652" ht="15.75" customHeight="1">
      <c r="A652" s="327"/>
      <c r="B652" s="327"/>
      <c r="C652" s="326"/>
      <c r="D652" s="274"/>
      <c r="E652" s="274"/>
      <c r="F652" s="328"/>
      <c r="G652" s="329"/>
    </row>
    <row r="653" ht="15.75" customHeight="1">
      <c r="A653" s="327"/>
      <c r="B653" s="327"/>
      <c r="C653" s="326"/>
      <c r="D653" s="274"/>
      <c r="E653" s="274"/>
      <c r="F653" s="328"/>
      <c r="G653" s="329"/>
    </row>
    <row r="654" ht="15.75" customHeight="1">
      <c r="A654" s="327"/>
      <c r="B654" s="327"/>
      <c r="C654" s="326"/>
      <c r="D654" s="274"/>
      <c r="E654" s="274"/>
      <c r="F654" s="328"/>
      <c r="G654" s="329"/>
    </row>
    <row r="655" ht="15.75" customHeight="1">
      <c r="A655" s="327"/>
      <c r="B655" s="327"/>
      <c r="C655" s="326"/>
      <c r="D655" s="274"/>
      <c r="E655" s="274"/>
      <c r="F655" s="328"/>
      <c r="G655" s="329"/>
    </row>
    <row r="656" ht="15.75" customHeight="1">
      <c r="A656" s="327"/>
      <c r="B656" s="327"/>
      <c r="C656" s="326"/>
      <c r="D656" s="274"/>
      <c r="E656" s="274"/>
      <c r="F656" s="328"/>
      <c r="G656" s="329"/>
    </row>
    <row r="657" ht="15.75" customHeight="1">
      <c r="A657" s="327"/>
      <c r="B657" s="327"/>
      <c r="C657" s="326"/>
      <c r="D657" s="274"/>
      <c r="E657" s="274"/>
      <c r="F657" s="328"/>
      <c r="G657" s="329"/>
    </row>
    <row r="658" ht="15.75" customHeight="1">
      <c r="A658" s="327"/>
      <c r="B658" s="327"/>
      <c r="C658" s="326"/>
      <c r="D658" s="274"/>
      <c r="E658" s="274"/>
      <c r="F658" s="328"/>
      <c r="G658" s="329"/>
    </row>
    <row r="659" ht="15.75" customHeight="1">
      <c r="A659" s="327"/>
      <c r="B659" s="327"/>
      <c r="C659" s="326"/>
      <c r="D659" s="274"/>
      <c r="E659" s="274"/>
      <c r="F659" s="328"/>
      <c r="G659" s="329"/>
    </row>
    <row r="660" ht="15.75" customHeight="1">
      <c r="A660" s="327"/>
      <c r="B660" s="327"/>
      <c r="C660" s="326"/>
      <c r="D660" s="274"/>
      <c r="E660" s="274"/>
      <c r="F660" s="328"/>
      <c r="G660" s="329"/>
    </row>
    <row r="661" ht="15.75" customHeight="1">
      <c r="A661" s="327"/>
      <c r="B661" s="327"/>
      <c r="C661" s="326"/>
      <c r="D661" s="274"/>
      <c r="E661" s="274"/>
      <c r="F661" s="328"/>
      <c r="G661" s="329"/>
    </row>
    <row r="662" ht="15.75" customHeight="1">
      <c r="A662" s="327"/>
      <c r="B662" s="327"/>
      <c r="C662" s="326"/>
      <c r="D662" s="274"/>
      <c r="E662" s="274"/>
      <c r="F662" s="328"/>
      <c r="G662" s="329"/>
    </row>
    <row r="663" ht="15.75" customHeight="1">
      <c r="A663" s="327"/>
      <c r="B663" s="327"/>
      <c r="C663" s="326"/>
      <c r="D663" s="274"/>
      <c r="E663" s="274"/>
      <c r="F663" s="328"/>
      <c r="G663" s="329"/>
    </row>
    <row r="664" ht="15.75" customHeight="1">
      <c r="A664" s="327"/>
      <c r="B664" s="327"/>
      <c r="C664" s="326"/>
      <c r="D664" s="274"/>
      <c r="E664" s="274"/>
      <c r="F664" s="328"/>
      <c r="G664" s="329"/>
    </row>
    <row r="665" ht="15.75" customHeight="1">
      <c r="A665" s="327"/>
      <c r="B665" s="327"/>
      <c r="C665" s="326"/>
      <c r="D665" s="274"/>
      <c r="E665" s="274"/>
      <c r="F665" s="328"/>
      <c r="G665" s="329"/>
    </row>
    <row r="666" ht="15.75" customHeight="1">
      <c r="A666" s="327"/>
      <c r="B666" s="327"/>
      <c r="C666" s="326"/>
      <c r="D666" s="274"/>
      <c r="E666" s="274"/>
      <c r="F666" s="328"/>
      <c r="G666" s="329"/>
    </row>
    <row r="667" ht="15.75" customHeight="1">
      <c r="A667" s="327"/>
      <c r="B667" s="327"/>
      <c r="C667" s="326"/>
      <c r="D667" s="274"/>
      <c r="E667" s="274"/>
      <c r="F667" s="328"/>
      <c r="G667" s="329"/>
    </row>
    <row r="668" ht="15.75" customHeight="1">
      <c r="A668" s="327"/>
      <c r="B668" s="327"/>
      <c r="C668" s="326"/>
      <c r="D668" s="274"/>
      <c r="E668" s="274"/>
      <c r="F668" s="328"/>
      <c r="G668" s="329"/>
    </row>
    <row r="669" ht="15.75" customHeight="1">
      <c r="A669" s="327"/>
      <c r="B669" s="327"/>
      <c r="C669" s="326"/>
      <c r="D669" s="274"/>
      <c r="E669" s="274"/>
      <c r="F669" s="328"/>
      <c r="G669" s="329"/>
    </row>
    <row r="670" ht="15.75" customHeight="1">
      <c r="A670" s="327"/>
      <c r="B670" s="327"/>
      <c r="C670" s="326"/>
      <c r="D670" s="274"/>
      <c r="E670" s="274"/>
      <c r="F670" s="328"/>
      <c r="G670" s="329"/>
    </row>
    <row r="671" ht="15.75" customHeight="1">
      <c r="A671" s="327"/>
      <c r="B671" s="327"/>
      <c r="C671" s="326"/>
      <c r="D671" s="274"/>
      <c r="E671" s="274"/>
      <c r="F671" s="328"/>
      <c r="G671" s="329"/>
    </row>
    <row r="672" ht="15.75" customHeight="1">
      <c r="A672" s="327"/>
      <c r="B672" s="327"/>
      <c r="C672" s="326"/>
      <c r="D672" s="274"/>
      <c r="E672" s="274"/>
      <c r="F672" s="328"/>
      <c r="G672" s="329"/>
    </row>
    <row r="673" ht="15.75" customHeight="1">
      <c r="A673" s="327"/>
      <c r="B673" s="327"/>
      <c r="C673" s="326"/>
      <c r="D673" s="274"/>
      <c r="E673" s="274"/>
      <c r="F673" s="328"/>
      <c r="G673" s="329"/>
    </row>
    <row r="674" ht="15.75" customHeight="1">
      <c r="A674" s="327"/>
      <c r="B674" s="327"/>
      <c r="C674" s="326"/>
      <c r="D674" s="274"/>
      <c r="E674" s="274"/>
      <c r="F674" s="328"/>
      <c r="G674" s="329"/>
    </row>
    <row r="675" ht="15.75" customHeight="1">
      <c r="A675" s="327"/>
      <c r="B675" s="327"/>
      <c r="C675" s="326"/>
      <c r="D675" s="274"/>
      <c r="E675" s="274"/>
      <c r="F675" s="328"/>
      <c r="G675" s="329"/>
    </row>
    <row r="676" ht="15.75" customHeight="1">
      <c r="A676" s="327"/>
      <c r="B676" s="327"/>
      <c r="C676" s="326"/>
      <c r="D676" s="274"/>
      <c r="E676" s="274"/>
      <c r="F676" s="328"/>
      <c r="G676" s="329"/>
    </row>
    <row r="677" ht="15.75" customHeight="1">
      <c r="A677" s="327"/>
      <c r="B677" s="327"/>
      <c r="C677" s="326"/>
      <c r="D677" s="274"/>
      <c r="E677" s="274"/>
      <c r="F677" s="328"/>
      <c r="G677" s="329"/>
    </row>
    <row r="678" ht="15.75" customHeight="1">
      <c r="A678" s="327"/>
      <c r="B678" s="327"/>
      <c r="C678" s="326"/>
      <c r="D678" s="274"/>
      <c r="E678" s="274"/>
      <c r="F678" s="328"/>
      <c r="G678" s="329"/>
    </row>
    <row r="679" ht="15.75" customHeight="1">
      <c r="A679" s="327"/>
      <c r="B679" s="327"/>
      <c r="C679" s="326"/>
      <c r="D679" s="274"/>
      <c r="E679" s="274"/>
      <c r="F679" s="328"/>
      <c r="G679" s="329"/>
    </row>
    <row r="680" ht="15.75" customHeight="1">
      <c r="A680" s="327"/>
      <c r="B680" s="327"/>
      <c r="C680" s="326"/>
      <c r="D680" s="274"/>
      <c r="E680" s="274"/>
      <c r="F680" s="328"/>
      <c r="G680" s="329"/>
    </row>
    <row r="681" ht="15.75" customHeight="1">
      <c r="A681" s="327"/>
      <c r="B681" s="327"/>
      <c r="C681" s="326"/>
      <c r="D681" s="274"/>
      <c r="E681" s="274"/>
      <c r="F681" s="328"/>
      <c r="G681" s="329"/>
    </row>
    <row r="682" ht="15.75" customHeight="1">
      <c r="A682" s="327"/>
      <c r="B682" s="327"/>
      <c r="C682" s="326"/>
      <c r="D682" s="274"/>
      <c r="E682" s="274"/>
      <c r="F682" s="328"/>
      <c r="G682" s="329"/>
    </row>
    <row r="683" ht="15.75" customHeight="1">
      <c r="A683" s="327"/>
      <c r="B683" s="327"/>
      <c r="C683" s="326"/>
      <c r="D683" s="274"/>
      <c r="E683" s="274"/>
      <c r="F683" s="328"/>
      <c r="G683" s="329"/>
    </row>
    <row r="684" ht="15.75" customHeight="1">
      <c r="A684" s="327"/>
      <c r="B684" s="327"/>
      <c r="C684" s="326"/>
      <c r="D684" s="274"/>
      <c r="E684" s="274"/>
      <c r="F684" s="328"/>
      <c r="G684" s="329"/>
    </row>
    <row r="685" ht="15.75" customHeight="1">
      <c r="A685" s="327"/>
      <c r="B685" s="327"/>
      <c r="C685" s="326"/>
      <c r="D685" s="274"/>
      <c r="E685" s="274"/>
      <c r="F685" s="328"/>
      <c r="G685" s="329"/>
    </row>
    <row r="686" ht="15.75" customHeight="1">
      <c r="A686" s="327"/>
      <c r="B686" s="327"/>
      <c r="C686" s="326"/>
      <c r="D686" s="274"/>
      <c r="E686" s="274"/>
      <c r="F686" s="328"/>
      <c r="G686" s="329"/>
    </row>
    <row r="687" ht="15.75" customHeight="1">
      <c r="A687" s="327"/>
      <c r="B687" s="327"/>
      <c r="C687" s="326"/>
      <c r="D687" s="274"/>
      <c r="E687" s="274"/>
      <c r="F687" s="328"/>
      <c r="G687" s="329"/>
    </row>
    <row r="688" ht="15.75" customHeight="1">
      <c r="A688" s="327"/>
      <c r="B688" s="327"/>
      <c r="C688" s="326"/>
      <c r="D688" s="274"/>
      <c r="E688" s="274"/>
      <c r="F688" s="328"/>
      <c r="G688" s="329"/>
    </row>
    <row r="689" ht="15.75" customHeight="1">
      <c r="A689" s="327"/>
      <c r="B689" s="327"/>
      <c r="C689" s="326"/>
      <c r="D689" s="274"/>
      <c r="E689" s="274"/>
      <c r="F689" s="328"/>
      <c r="G689" s="329"/>
    </row>
    <row r="690" ht="15.75" customHeight="1">
      <c r="A690" s="327"/>
      <c r="B690" s="327"/>
      <c r="C690" s="326"/>
      <c r="D690" s="274"/>
      <c r="E690" s="274"/>
      <c r="F690" s="328"/>
      <c r="G690" s="329"/>
    </row>
    <row r="691" ht="15.75" customHeight="1">
      <c r="A691" s="327"/>
      <c r="B691" s="327"/>
      <c r="C691" s="326"/>
      <c r="D691" s="274"/>
      <c r="E691" s="274"/>
      <c r="F691" s="328"/>
      <c r="G691" s="329"/>
    </row>
    <row r="692" ht="15.75" customHeight="1">
      <c r="A692" s="327"/>
      <c r="B692" s="327"/>
      <c r="C692" s="326"/>
      <c r="D692" s="274"/>
      <c r="E692" s="274"/>
      <c r="F692" s="328"/>
      <c r="G692" s="329"/>
    </row>
    <row r="693" ht="15.75" customHeight="1">
      <c r="A693" s="327"/>
      <c r="B693" s="327"/>
      <c r="C693" s="326"/>
      <c r="D693" s="274"/>
      <c r="E693" s="274"/>
      <c r="F693" s="328"/>
      <c r="G693" s="329"/>
    </row>
    <row r="694" ht="15.75" customHeight="1">
      <c r="A694" s="327"/>
      <c r="B694" s="327"/>
      <c r="C694" s="326"/>
      <c r="D694" s="274"/>
      <c r="E694" s="274"/>
      <c r="F694" s="328"/>
      <c r="G694" s="329"/>
    </row>
    <row r="695" ht="15.75" customHeight="1">
      <c r="A695" s="327"/>
      <c r="B695" s="327"/>
      <c r="C695" s="326"/>
      <c r="D695" s="274"/>
      <c r="E695" s="274"/>
      <c r="F695" s="328"/>
      <c r="G695" s="329"/>
    </row>
    <row r="696" ht="15.75" customHeight="1">
      <c r="A696" s="327"/>
      <c r="B696" s="327"/>
      <c r="C696" s="326"/>
      <c r="D696" s="274"/>
      <c r="E696" s="274"/>
      <c r="F696" s="328"/>
      <c r="G696" s="329"/>
    </row>
    <row r="697" ht="15.75" customHeight="1">
      <c r="A697" s="327"/>
      <c r="B697" s="327"/>
      <c r="C697" s="326"/>
      <c r="D697" s="274"/>
      <c r="E697" s="274"/>
      <c r="F697" s="328"/>
      <c r="G697" s="329"/>
    </row>
    <row r="698" ht="15.75" customHeight="1">
      <c r="A698" s="327"/>
      <c r="B698" s="327"/>
      <c r="C698" s="326"/>
      <c r="D698" s="274"/>
      <c r="E698" s="274"/>
      <c r="F698" s="328"/>
      <c r="G698" s="329"/>
    </row>
    <row r="699" ht="15.75" customHeight="1">
      <c r="A699" s="327"/>
      <c r="B699" s="327"/>
      <c r="C699" s="326"/>
      <c r="D699" s="274"/>
      <c r="E699" s="274"/>
      <c r="F699" s="328"/>
      <c r="G699" s="329"/>
    </row>
    <row r="700" ht="15.75" customHeight="1">
      <c r="A700" s="327"/>
      <c r="B700" s="327"/>
      <c r="C700" s="326"/>
      <c r="D700" s="274"/>
      <c r="E700" s="274"/>
      <c r="F700" s="328"/>
      <c r="G700" s="329"/>
    </row>
    <row r="701" ht="15.75" customHeight="1">
      <c r="A701" s="327"/>
      <c r="B701" s="327"/>
      <c r="C701" s="326"/>
      <c r="D701" s="274"/>
      <c r="E701" s="274"/>
      <c r="F701" s="328"/>
      <c r="G701" s="329"/>
    </row>
    <row r="702" ht="15.75" customHeight="1">
      <c r="A702" s="327"/>
      <c r="B702" s="327"/>
      <c r="C702" s="326"/>
      <c r="D702" s="274"/>
      <c r="E702" s="274"/>
      <c r="F702" s="328"/>
      <c r="G702" s="329"/>
    </row>
    <row r="703" ht="15.75" customHeight="1">
      <c r="A703" s="327"/>
      <c r="B703" s="327"/>
      <c r="C703" s="326"/>
      <c r="D703" s="274"/>
      <c r="E703" s="274"/>
      <c r="F703" s="328"/>
      <c r="G703" s="329"/>
    </row>
    <row r="704" ht="15.75" customHeight="1">
      <c r="A704" s="327"/>
      <c r="B704" s="327"/>
      <c r="C704" s="326"/>
      <c r="D704" s="274"/>
      <c r="E704" s="274"/>
      <c r="F704" s="328"/>
      <c r="G704" s="329"/>
    </row>
    <row r="705" ht="15.75" customHeight="1">
      <c r="A705" s="327"/>
      <c r="B705" s="327"/>
      <c r="C705" s="326"/>
      <c r="D705" s="274"/>
      <c r="E705" s="274"/>
      <c r="F705" s="328"/>
      <c r="G705" s="329"/>
    </row>
    <row r="706" ht="15.75" customHeight="1">
      <c r="A706" s="327"/>
      <c r="B706" s="327"/>
      <c r="C706" s="326"/>
      <c r="D706" s="274"/>
      <c r="E706" s="274"/>
      <c r="F706" s="328"/>
      <c r="G706" s="329"/>
    </row>
    <row r="707" ht="15.75" customHeight="1">
      <c r="A707" s="327"/>
      <c r="B707" s="327"/>
      <c r="C707" s="326"/>
      <c r="D707" s="274"/>
      <c r="E707" s="274"/>
      <c r="F707" s="328"/>
      <c r="G707" s="329"/>
    </row>
    <row r="708" ht="15.75" customHeight="1">
      <c r="A708" s="327"/>
      <c r="B708" s="327"/>
      <c r="C708" s="326"/>
      <c r="D708" s="274"/>
      <c r="E708" s="274"/>
      <c r="F708" s="328"/>
      <c r="G708" s="329"/>
    </row>
    <row r="709" ht="15.75" customHeight="1">
      <c r="A709" s="327"/>
      <c r="B709" s="327"/>
      <c r="C709" s="326"/>
      <c r="D709" s="274"/>
      <c r="E709" s="274"/>
      <c r="F709" s="328"/>
      <c r="G709" s="329"/>
    </row>
    <row r="710" ht="15.75" customHeight="1">
      <c r="A710" s="327"/>
      <c r="B710" s="327"/>
      <c r="C710" s="326"/>
      <c r="D710" s="274"/>
      <c r="E710" s="274"/>
      <c r="F710" s="328"/>
      <c r="G710" s="329"/>
    </row>
    <row r="711" ht="15.75" customHeight="1">
      <c r="A711" s="327"/>
      <c r="B711" s="327"/>
      <c r="C711" s="326"/>
      <c r="D711" s="274"/>
      <c r="E711" s="274"/>
      <c r="F711" s="328"/>
      <c r="G711" s="329"/>
    </row>
    <row r="712" ht="15.75" customHeight="1">
      <c r="A712" s="327"/>
      <c r="B712" s="327"/>
      <c r="C712" s="326"/>
      <c r="D712" s="274"/>
      <c r="E712" s="274"/>
      <c r="F712" s="328"/>
      <c r="G712" s="329"/>
    </row>
    <row r="713" ht="15.75" customHeight="1">
      <c r="A713" s="327"/>
      <c r="B713" s="327"/>
      <c r="C713" s="326"/>
      <c r="D713" s="274"/>
      <c r="E713" s="274"/>
      <c r="F713" s="328"/>
      <c r="G713" s="329"/>
    </row>
    <row r="714" ht="15.75" customHeight="1">
      <c r="A714" s="327"/>
      <c r="B714" s="327"/>
      <c r="C714" s="326"/>
      <c r="D714" s="274"/>
      <c r="E714" s="274"/>
      <c r="F714" s="328"/>
      <c r="G714" s="329"/>
    </row>
    <row r="715" ht="15.75" customHeight="1">
      <c r="A715" s="327"/>
      <c r="B715" s="327"/>
      <c r="C715" s="326"/>
      <c r="D715" s="274"/>
      <c r="E715" s="274"/>
      <c r="F715" s="328"/>
      <c r="G715" s="329"/>
    </row>
    <row r="716" ht="15.75" customHeight="1">
      <c r="A716" s="327"/>
      <c r="B716" s="327"/>
      <c r="C716" s="326"/>
      <c r="D716" s="274"/>
      <c r="E716" s="274"/>
      <c r="F716" s="328"/>
      <c r="G716" s="329"/>
    </row>
    <row r="717" ht="15.75" customHeight="1">
      <c r="A717" s="327"/>
      <c r="B717" s="327"/>
      <c r="C717" s="326"/>
      <c r="D717" s="274"/>
      <c r="E717" s="274"/>
      <c r="F717" s="328"/>
      <c r="G717" s="329"/>
    </row>
    <row r="718" ht="15.75" customHeight="1">
      <c r="A718" s="327"/>
      <c r="B718" s="327"/>
      <c r="C718" s="326"/>
      <c r="D718" s="274"/>
      <c r="E718" s="274"/>
      <c r="F718" s="328"/>
      <c r="G718" s="329"/>
    </row>
    <row r="719" ht="15.75" customHeight="1">
      <c r="A719" s="327"/>
      <c r="B719" s="327"/>
      <c r="C719" s="326"/>
      <c r="D719" s="274"/>
      <c r="E719" s="274"/>
      <c r="F719" s="328"/>
      <c r="G719" s="329"/>
    </row>
    <row r="720" ht="15.75" customHeight="1">
      <c r="A720" s="327"/>
      <c r="B720" s="327"/>
      <c r="C720" s="326"/>
      <c r="D720" s="274"/>
      <c r="E720" s="274"/>
      <c r="F720" s="328"/>
      <c r="G720" s="329"/>
    </row>
    <row r="721" ht="15.75" customHeight="1">
      <c r="A721" s="327"/>
      <c r="B721" s="327"/>
      <c r="C721" s="326"/>
      <c r="D721" s="274"/>
      <c r="E721" s="274"/>
      <c r="F721" s="328"/>
      <c r="G721" s="329"/>
    </row>
    <row r="722" ht="15.75" customHeight="1">
      <c r="A722" s="327"/>
      <c r="B722" s="327"/>
      <c r="C722" s="326"/>
      <c r="D722" s="274"/>
      <c r="E722" s="274"/>
      <c r="F722" s="328"/>
      <c r="G722" s="329"/>
    </row>
    <row r="723" ht="15.75" customHeight="1">
      <c r="A723" s="327"/>
      <c r="B723" s="327"/>
      <c r="C723" s="326"/>
      <c r="D723" s="274"/>
      <c r="E723" s="274"/>
      <c r="F723" s="328"/>
      <c r="G723" s="329"/>
    </row>
    <row r="724" ht="15.75" customHeight="1">
      <c r="A724" s="327"/>
      <c r="B724" s="327"/>
      <c r="C724" s="326"/>
      <c r="D724" s="274"/>
      <c r="E724" s="274"/>
      <c r="F724" s="328"/>
      <c r="G724" s="329"/>
    </row>
    <row r="725" ht="15.75" customHeight="1">
      <c r="A725" s="327"/>
      <c r="B725" s="327"/>
      <c r="C725" s="326"/>
      <c r="D725" s="274"/>
      <c r="E725" s="274"/>
      <c r="F725" s="328"/>
      <c r="G725" s="329"/>
    </row>
    <row r="726" ht="15.75" customHeight="1">
      <c r="A726" s="327"/>
      <c r="B726" s="327"/>
      <c r="C726" s="326"/>
      <c r="D726" s="274"/>
      <c r="E726" s="274"/>
      <c r="F726" s="328"/>
      <c r="G726" s="329"/>
    </row>
    <row r="727" ht="15.75" customHeight="1">
      <c r="A727" s="327"/>
      <c r="B727" s="327"/>
      <c r="C727" s="326"/>
      <c r="D727" s="274"/>
      <c r="E727" s="274"/>
      <c r="F727" s="328"/>
      <c r="G727" s="329"/>
    </row>
    <row r="728" ht="15.75" customHeight="1">
      <c r="A728" s="327"/>
      <c r="B728" s="327"/>
      <c r="C728" s="326"/>
      <c r="D728" s="274"/>
      <c r="E728" s="274"/>
      <c r="F728" s="328"/>
      <c r="G728" s="329"/>
    </row>
    <row r="729" ht="15.75" customHeight="1">
      <c r="A729" s="327"/>
      <c r="B729" s="327"/>
      <c r="C729" s="326"/>
      <c r="D729" s="274"/>
      <c r="E729" s="274"/>
      <c r="F729" s="328"/>
      <c r="G729" s="329"/>
    </row>
    <row r="730" ht="15.75" customHeight="1">
      <c r="A730" s="327"/>
      <c r="B730" s="327"/>
      <c r="C730" s="326"/>
      <c r="D730" s="274"/>
      <c r="E730" s="274"/>
      <c r="F730" s="328"/>
      <c r="G730" s="329"/>
    </row>
    <row r="731" ht="15.75" customHeight="1">
      <c r="A731" s="327"/>
      <c r="B731" s="327"/>
      <c r="C731" s="326"/>
      <c r="D731" s="274"/>
      <c r="E731" s="274"/>
      <c r="F731" s="328"/>
      <c r="G731" s="329"/>
    </row>
    <row r="732" ht="15.75" customHeight="1">
      <c r="A732" s="327"/>
      <c r="B732" s="327"/>
      <c r="C732" s="326"/>
      <c r="D732" s="274"/>
      <c r="E732" s="274"/>
      <c r="F732" s="328"/>
      <c r="G732" s="329"/>
    </row>
    <row r="733" ht="15.75" customHeight="1">
      <c r="A733" s="327"/>
      <c r="B733" s="327"/>
      <c r="C733" s="326"/>
      <c r="D733" s="274"/>
      <c r="E733" s="274"/>
      <c r="F733" s="328"/>
      <c r="G733" s="329"/>
    </row>
    <row r="734" ht="15.75" customHeight="1">
      <c r="A734" s="327"/>
      <c r="B734" s="327"/>
      <c r="C734" s="326"/>
      <c r="D734" s="274"/>
      <c r="E734" s="274"/>
      <c r="F734" s="328"/>
      <c r="G734" s="329"/>
    </row>
    <row r="735" ht="15.75" customHeight="1">
      <c r="A735" s="327"/>
      <c r="B735" s="327"/>
      <c r="C735" s="326"/>
      <c r="D735" s="274"/>
      <c r="E735" s="274"/>
      <c r="F735" s="328"/>
      <c r="G735" s="329"/>
    </row>
    <row r="736" ht="15.75" customHeight="1">
      <c r="A736" s="327"/>
      <c r="B736" s="327"/>
      <c r="C736" s="326"/>
      <c r="D736" s="274"/>
      <c r="E736" s="274"/>
      <c r="F736" s="328"/>
      <c r="G736" s="329"/>
    </row>
    <row r="737" ht="15.75" customHeight="1">
      <c r="A737" s="327"/>
      <c r="B737" s="327"/>
      <c r="C737" s="326"/>
      <c r="D737" s="274"/>
      <c r="E737" s="274"/>
      <c r="F737" s="328"/>
      <c r="G737" s="329"/>
    </row>
    <row r="738" ht="15.75" customHeight="1">
      <c r="A738" s="327"/>
      <c r="B738" s="327"/>
      <c r="C738" s="326"/>
      <c r="D738" s="274"/>
      <c r="E738" s="274"/>
      <c r="F738" s="328"/>
      <c r="G738" s="329"/>
    </row>
    <row r="739" ht="15.75" customHeight="1">
      <c r="A739" s="327"/>
      <c r="B739" s="327"/>
      <c r="C739" s="326"/>
      <c r="D739" s="274"/>
      <c r="E739" s="274"/>
      <c r="F739" s="328"/>
      <c r="G739" s="329"/>
    </row>
    <row r="740" ht="15.75" customHeight="1">
      <c r="A740" s="327"/>
      <c r="B740" s="327"/>
      <c r="C740" s="326"/>
      <c r="D740" s="274"/>
      <c r="E740" s="274"/>
      <c r="F740" s="328"/>
      <c r="G740" s="329"/>
    </row>
    <row r="741" ht="15.75" customHeight="1">
      <c r="A741" s="327"/>
      <c r="B741" s="327"/>
      <c r="C741" s="326"/>
      <c r="D741" s="274"/>
      <c r="E741" s="274"/>
      <c r="F741" s="328"/>
      <c r="G741" s="329"/>
    </row>
    <row r="742" ht="15.75" customHeight="1">
      <c r="A742" s="327"/>
      <c r="B742" s="327"/>
      <c r="C742" s="326"/>
      <c r="D742" s="274"/>
      <c r="E742" s="274"/>
      <c r="F742" s="328"/>
      <c r="G742" s="329"/>
    </row>
    <row r="743" ht="15.75" customHeight="1">
      <c r="A743" s="327"/>
      <c r="B743" s="327"/>
      <c r="C743" s="326"/>
      <c r="D743" s="274"/>
      <c r="E743" s="274"/>
      <c r="F743" s="328"/>
      <c r="G743" s="329"/>
    </row>
    <row r="744" ht="15.75" customHeight="1">
      <c r="A744" s="327"/>
      <c r="B744" s="327"/>
      <c r="C744" s="326"/>
      <c r="D744" s="274"/>
      <c r="E744" s="274"/>
      <c r="F744" s="328"/>
      <c r="G744" s="329"/>
    </row>
    <row r="745" ht="15.75" customHeight="1">
      <c r="A745" s="327"/>
      <c r="B745" s="327"/>
      <c r="C745" s="326"/>
      <c r="D745" s="274"/>
      <c r="E745" s="274"/>
      <c r="F745" s="328"/>
      <c r="G745" s="329"/>
    </row>
    <row r="746" ht="15.75" customHeight="1">
      <c r="A746" s="327"/>
      <c r="B746" s="327"/>
      <c r="C746" s="326"/>
      <c r="D746" s="274"/>
      <c r="E746" s="274"/>
      <c r="F746" s="328"/>
      <c r="G746" s="329"/>
    </row>
    <row r="747" ht="15.75" customHeight="1">
      <c r="A747" s="327"/>
      <c r="B747" s="327"/>
      <c r="C747" s="326"/>
      <c r="D747" s="274"/>
      <c r="E747" s="274"/>
      <c r="F747" s="328"/>
      <c r="G747" s="329"/>
    </row>
    <row r="748" ht="15.75" customHeight="1">
      <c r="A748" s="327"/>
      <c r="B748" s="327"/>
      <c r="C748" s="326"/>
      <c r="D748" s="274"/>
      <c r="E748" s="274"/>
      <c r="F748" s="328"/>
      <c r="G748" s="329"/>
    </row>
    <row r="749" ht="15.75" customHeight="1">
      <c r="A749" s="327"/>
      <c r="B749" s="327"/>
      <c r="C749" s="326"/>
      <c r="D749" s="274"/>
      <c r="E749" s="274"/>
      <c r="F749" s="328"/>
      <c r="G749" s="329"/>
    </row>
    <row r="750" ht="15.75" customHeight="1">
      <c r="A750" s="327"/>
      <c r="B750" s="327"/>
      <c r="C750" s="326"/>
      <c r="D750" s="274"/>
      <c r="E750" s="274"/>
      <c r="F750" s="328"/>
      <c r="G750" s="329"/>
    </row>
    <row r="751" ht="15.75" customHeight="1">
      <c r="A751" s="327"/>
      <c r="B751" s="327"/>
      <c r="C751" s="326"/>
      <c r="D751" s="274"/>
      <c r="E751" s="274"/>
      <c r="F751" s="328"/>
      <c r="G751" s="329"/>
    </row>
    <row r="752" ht="15.75" customHeight="1">
      <c r="A752" s="327"/>
      <c r="B752" s="327"/>
      <c r="C752" s="326"/>
      <c r="D752" s="274"/>
      <c r="E752" s="274"/>
      <c r="F752" s="328"/>
      <c r="G752" s="329"/>
    </row>
    <row r="753" ht="15.75" customHeight="1">
      <c r="A753" s="327"/>
      <c r="B753" s="327"/>
      <c r="C753" s="326"/>
      <c r="D753" s="274"/>
      <c r="E753" s="274"/>
      <c r="F753" s="328"/>
      <c r="G753" s="329"/>
    </row>
    <row r="754" ht="15.75" customHeight="1">
      <c r="A754" s="327"/>
      <c r="B754" s="327"/>
      <c r="C754" s="326"/>
      <c r="D754" s="274"/>
      <c r="E754" s="274"/>
      <c r="F754" s="328"/>
      <c r="G754" s="329"/>
    </row>
    <row r="755" ht="15.75" customHeight="1">
      <c r="A755" s="327"/>
      <c r="B755" s="327"/>
      <c r="C755" s="326"/>
      <c r="D755" s="274"/>
      <c r="E755" s="274"/>
      <c r="F755" s="328"/>
      <c r="G755" s="329"/>
    </row>
    <row r="756" ht="15.75" customHeight="1">
      <c r="A756" s="327"/>
      <c r="B756" s="327"/>
      <c r="C756" s="326"/>
      <c r="D756" s="274"/>
      <c r="E756" s="274"/>
      <c r="F756" s="328"/>
      <c r="G756" s="329"/>
    </row>
    <row r="757" ht="15.75" customHeight="1">
      <c r="A757" s="327"/>
      <c r="B757" s="327"/>
      <c r="C757" s="326"/>
      <c r="D757" s="274"/>
      <c r="E757" s="274"/>
      <c r="F757" s="328"/>
      <c r="G757" s="329"/>
    </row>
    <row r="758" ht="15.75" customHeight="1">
      <c r="A758" s="327"/>
      <c r="B758" s="327"/>
      <c r="C758" s="326"/>
      <c r="D758" s="274"/>
      <c r="E758" s="274"/>
      <c r="F758" s="328"/>
      <c r="G758" s="329"/>
    </row>
    <row r="759" ht="15.75" customHeight="1">
      <c r="A759" s="327"/>
      <c r="B759" s="327"/>
      <c r="C759" s="326"/>
      <c r="D759" s="274"/>
      <c r="E759" s="274"/>
      <c r="F759" s="328"/>
      <c r="G759" s="329"/>
    </row>
    <row r="760" ht="15.75" customHeight="1">
      <c r="A760" s="327"/>
      <c r="B760" s="327"/>
      <c r="C760" s="326"/>
      <c r="D760" s="274"/>
      <c r="E760" s="274"/>
      <c r="F760" s="328"/>
      <c r="G760" s="329"/>
    </row>
    <row r="761" ht="15.75" customHeight="1">
      <c r="A761" s="327"/>
      <c r="B761" s="327"/>
      <c r="C761" s="326"/>
      <c r="D761" s="274"/>
      <c r="E761" s="274"/>
      <c r="F761" s="328"/>
      <c r="G761" s="329"/>
    </row>
    <row r="762" ht="15.75" customHeight="1">
      <c r="A762" s="327"/>
      <c r="B762" s="327"/>
      <c r="C762" s="326"/>
      <c r="D762" s="274"/>
      <c r="E762" s="274"/>
      <c r="F762" s="328"/>
      <c r="G762" s="329"/>
    </row>
    <row r="763" ht="15.75" customHeight="1">
      <c r="A763" s="327"/>
      <c r="B763" s="327"/>
      <c r="C763" s="326"/>
      <c r="D763" s="274"/>
      <c r="E763" s="274"/>
      <c r="F763" s="328"/>
      <c r="G763" s="329"/>
    </row>
    <row r="764" ht="15.75" customHeight="1">
      <c r="A764" s="327"/>
      <c r="B764" s="327"/>
      <c r="C764" s="326"/>
      <c r="D764" s="274"/>
      <c r="E764" s="274"/>
      <c r="F764" s="328"/>
      <c r="G764" s="329"/>
    </row>
    <row r="765" ht="15.75" customHeight="1">
      <c r="A765" s="327"/>
      <c r="B765" s="327"/>
      <c r="C765" s="326"/>
      <c r="D765" s="274"/>
      <c r="E765" s="274"/>
      <c r="F765" s="328"/>
      <c r="G765" s="329"/>
    </row>
    <row r="766" ht="15.75" customHeight="1">
      <c r="A766" s="327"/>
      <c r="B766" s="327"/>
      <c r="C766" s="326"/>
      <c r="D766" s="274"/>
      <c r="E766" s="274"/>
      <c r="F766" s="328"/>
      <c r="G766" s="329"/>
    </row>
    <row r="767" ht="15.75" customHeight="1">
      <c r="A767" s="327"/>
      <c r="B767" s="327"/>
      <c r="C767" s="326"/>
      <c r="D767" s="274"/>
      <c r="E767" s="274"/>
      <c r="F767" s="328"/>
      <c r="G767" s="329"/>
    </row>
    <row r="768" ht="15.75" customHeight="1">
      <c r="A768" s="327"/>
      <c r="B768" s="327"/>
      <c r="C768" s="326"/>
      <c r="D768" s="274"/>
      <c r="E768" s="274"/>
      <c r="F768" s="328"/>
      <c r="G768" s="329"/>
    </row>
    <row r="769" ht="15.75" customHeight="1">
      <c r="A769" s="327"/>
      <c r="B769" s="327"/>
      <c r="C769" s="326"/>
      <c r="D769" s="274"/>
      <c r="E769" s="274"/>
      <c r="F769" s="328"/>
      <c r="G769" s="329"/>
    </row>
    <row r="770" ht="15.75" customHeight="1">
      <c r="A770" s="327"/>
      <c r="B770" s="327"/>
      <c r="C770" s="326"/>
      <c r="D770" s="274"/>
      <c r="E770" s="274"/>
      <c r="F770" s="328"/>
      <c r="G770" s="329"/>
    </row>
    <row r="771" ht="15.75" customHeight="1">
      <c r="A771" s="327"/>
      <c r="B771" s="327"/>
      <c r="C771" s="326"/>
      <c r="D771" s="274"/>
      <c r="E771" s="274"/>
      <c r="F771" s="328"/>
      <c r="G771" s="329"/>
    </row>
    <row r="772" ht="15.75" customHeight="1">
      <c r="A772" s="327"/>
      <c r="B772" s="327"/>
      <c r="C772" s="326"/>
      <c r="D772" s="274"/>
      <c r="E772" s="274"/>
      <c r="F772" s="328"/>
      <c r="G772" s="329"/>
    </row>
    <row r="773" ht="15.75" customHeight="1">
      <c r="A773" s="327"/>
      <c r="B773" s="327"/>
      <c r="C773" s="326"/>
      <c r="D773" s="274"/>
      <c r="E773" s="274"/>
      <c r="F773" s="328"/>
      <c r="G773" s="329"/>
    </row>
    <row r="774" ht="15.75" customHeight="1">
      <c r="A774" s="327"/>
      <c r="B774" s="327"/>
      <c r="C774" s="326"/>
      <c r="D774" s="274"/>
      <c r="E774" s="274"/>
      <c r="F774" s="328"/>
      <c r="G774" s="329"/>
    </row>
    <row r="775" ht="15.75" customHeight="1">
      <c r="A775" s="327"/>
      <c r="B775" s="327"/>
      <c r="C775" s="326"/>
      <c r="D775" s="274"/>
      <c r="E775" s="274"/>
      <c r="F775" s="328"/>
      <c r="G775" s="329"/>
    </row>
    <row r="776" ht="15.75" customHeight="1">
      <c r="A776" s="327"/>
      <c r="B776" s="327"/>
      <c r="C776" s="326"/>
      <c r="D776" s="274"/>
      <c r="E776" s="274"/>
      <c r="F776" s="328"/>
      <c r="G776" s="329"/>
    </row>
    <row r="777" ht="15.75" customHeight="1">
      <c r="A777" s="327"/>
      <c r="B777" s="327"/>
      <c r="C777" s="326"/>
      <c r="D777" s="274"/>
      <c r="E777" s="274"/>
      <c r="F777" s="328"/>
      <c r="G777" s="329"/>
    </row>
    <row r="778" ht="15.75" customHeight="1">
      <c r="A778" s="327"/>
      <c r="B778" s="327"/>
      <c r="C778" s="326"/>
      <c r="D778" s="274"/>
      <c r="E778" s="274"/>
      <c r="F778" s="328"/>
      <c r="G778" s="329"/>
    </row>
    <row r="779" ht="15.75" customHeight="1">
      <c r="A779" s="327"/>
      <c r="B779" s="327"/>
      <c r="C779" s="326"/>
      <c r="D779" s="274"/>
      <c r="E779" s="274"/>
      <c r="F779" s="328"/>
      <c r="G779" s="329"/>
    </row>
    <row r="780" ht="15.75" customHeight="1">
      <c r="A780" s="327"/>
      <c r="B780" s="327"/>
      <c r="C780" s="326"/>
      <c r="D780" s="274"/>
      <c r="E780" s="274"/>
      <c r="F780" s="328"/>
      <c r="G780" s="329"/>
    </row>
    <row r="781" ht="15.75" customHeight="1">
      <c r="A781" s="327"/>
      <c r="B781" s="327"/>
      <c r="C781" s="326"/>
      <c r="D781" s="274"/>
      <c r="E781" s="274"/>
      <c r="F781" s="328"/>
      <c r="G781" s="329"/>
    </row>
    <row r="782" ht="15.75" customHeight="1">
      <c r="A782" s="327"/>
      <c r="B782" s="327"/>
      <c r="C782" s="326"/>
      <c r="D782" s="274"/>
      <c r="E782" s="274"/>
      <c r="F782" s="328"/>
      <c r="G782" s="329"/>
    </row>
    <row r="783" ht="15.75" customHeight="1">
      <c r="A783" s="327"/>
      <c r="B783" s="327"/>
      <c r="C783" s="326"/>
      <c r="D783" s="274"/>
      <c r="E783" s="274"/>
      <c r="F783" s="328"/>
      <c r="G783" s="329"/>
    </row>
    <row r="784" ht="15.75" customHeight="1">
      <c r="A784" s="327"/>
      <c r="B784" s="327"/>
      <c r="C784" s="326"/>
      <c r="D784" s="274"/>
      <c r="E784" s="274"/>
      <c r="F784" s="328"/>
      <c r="G784" s="329"/>
    </row>
    <row r="785" ht="15.75" customHeight="1">
      <c r="A785" s="327"/>
      <c r="B785" s="327"/>
      <c r="C785" s="326"/>
      <c r="D785" s="274"/>
      <c r="E785" s="274"/>
      <c r="F785" s="328"/>
      <c r="G785" s="329"/>
    </row>
    <row r="786" ht="15.75" customHeight="1">
      <c r="A786" s="327"/>
      <c r="B786" s="327"/>
      <c r="C786" s="326"/>
      <c r="D786" s="274"/>
      <c r="E786" s="274"/>
      <c r="F786" s="328"/>
      <c r="G786" s="329"/>
    </row>
    <row r="787" ht="15.75" customHeight="1">
      <c r="A787" s="327"/>
      <c r="B787" s="327"/>
      <c r="C787" s="326"/>
      <c r="D787" s="274"/>
      <c r="E787" s="274"/>
      <c r="F787" s="328"/>
      <c r="G787" s="329"/>
    </row>
    <row r="788" ht="15.75" customHeight="1">
      <c r="A788" s="327"/>
      <c r="B788" s="327"/>
      <c r="C788" s="326"/>
      <c r="D788" s="274"/>
      <c r="E788" s="274"/>
      <c r="F788" s="328"/>
      <c r="G788" s="329"/>
    </row>
    <row r="789" ht="15.75" customHeight="1">
      <c r="A789" s="327"/>
      <c r="B789" s="327"/>
      <c r="C789" s="326"/>
      <c r="D789" s="274"/>
      <c r="E789" s="274"/>
      <c r="F789" s="328"/>
      <c r="G789" s="329"/>
    </row>
    <row r="790" ht="15.75" customHeight="1">
      <c r="A790" s="327"/>
      <c r="B790" s="327"/>
      <c r="C790" s="326"/>
      <c r="D790" s="274"/>
      <c r="E790" s="274"/>
      <c r="F790" s="328"/>
      <c r="G790" s="329"/>
    </row>
    <row r="791" ht="15.75" customHeight="1">
      <c r="A791" s="327"/>
      <c r="B791" s="327"/>
      <c r="C791" s="326"/>
      <c r="D791" s="274"/>
      <c r="E791" s="274"/>
      <c r="F791" s="328"/>
      <c r="G791" s="329"/>
    </row>
    <row r="792" ht="15.75" customHeight="1">
      <c r="A792" s="327"/>
      <c r="B792" s="327"/>
      <c r="C792" s="326"/>
      <c r="D792" s="274"/>
      <c r="E792" s="274"/>
      <c r="F792" s="328"/>
      <c r="G792" s="329"/>
    </row>
    <row r="793" ht="15.75" customHeight="1">
      <c r="A793" s="327"/>
      <c r="B793" s="327"/>
      <c r="C793" s="326"/>
      <c r="D793" s="274"/>
      <c r="E793" s="274"/>
      <c r="F793" s="328"/>
      <c r="G793" s="329"/>
    </row>
    <row r="794" ht="15.75" customHeight="1">
      <c r="A794" s="327"/>
      <c r="B794" s="327"/>
      <c r="C794" s="326"/>
      <c r="D794" s="274"/>
      <c r="E794" s="274"/>
      <c r="F794" s="328"/>
      <c r="G794" s="329"/>
    </row>
    <row r="795" ht="15.75" customHeight="1">
      <c r="A795" s="327"/>
      <c r="B795" s="327"/>
      <c r="C795" s="326"/>
      <c r="D795" s="274"/>
      <c r="E795" s="274"/>
      <c r="F795" s="328"/>
      <c r="G795" s="329"/>
    </row>
    <row r="796" ht="15.75" customHeight="1">
      <c r="A796" s="327"/>
      <c r="B796" s="327"/>
      <c r="C796" s="326"/>
      <c r="D796" s="274"/>
      <c r="E796" s="274"/>
      <c r="F796" s="328"/>
      <c r="G796" s="329"/>
    </row>
    <row r="797" ht="15.75" customHeight="1">
      <c r="A797" s="327"/>
      <c r="B797" s="327"/>
      <c r="C797" s="326"/>
      <c r="D797" s="274"/>
      <c r="E797" s="274"/>
      <c r="F797" s="328"/>
      <c r="G797" s="329"/>
    </row>
    <row r="798" ht="15.75" customHeight="1">
      <c r="A798" s="327"/>
      <c r="B798" s="327"/>
      <c r="C798" s="326"/>
      <c r="D798" s="274"/>
      <c r="E798" s="274"/>
      <c r="F798" s="328"/>
      <c r="G798" s="329"/>
    </row>
    <row r="799" ht="15.75" customHeight="1">
      <c r="A799" s="327"/>
      <c r="B799" s="327"/>
      <c r="C799" s="326"/>
      <c r="D799" s="274"/>
      <c r="E799" s="274"/>
      <c r="F799" s="328"/>
      <c r="G799" s="329"/>
    </row>
    <row r="800" ht="15.75" customHeight="1">
      <c r="A800" s="327"/>
      <c r="B800" s="327"/>
      <c r="C800" s="326"/>
      <c r="D800" s="274"/>
      <c r="E800" s="274"/>
      <c r="F800" s="328"/>
      <c r="G800" s="329"/>
    </row>
    <row r="801" ht="15.75" customHeight="1">
      <c r="A801" s="327"/>
      <c r="B801" s="327"/>
      <c r="C801" s="326"/>
      <c r="D801" s="274"/>
      <c r="E801" s="274"/>
      <c r="F801" s="328"/>
      <c r="G801" s="329"/>
    </row>
    <row r="802" ht="15.75" customHeight="1">
      <c r="A802" s="327"/>
      <c r="B802" s="327"/>
      <c r="C802" s="326"/>
      <c r="D802" s="274"/>
      <c r="E802" s="274"/>
      <c r="F802" s="328"/>
      <c r="G802" s="329"/>
    </row>
    <row r="803" ht="15.75" customHeight="1">
      <c r="A803" s="327"/>
      <c r="B803" s="327"/>
      <c r="C803" s="326"/>
      <c r="D803" s="274"/>
      <c r="E803" s="274"/>
      <c r="F803" s="328"/>
      <c r="G803" s="329"/>
    </row>
    <row r="804" ht="15.75" customHeight="1">
      <c r="A804" s="327"/>
      <c r="B804" s="327"/>
      <c r="C804" s="326"/>
      <c r="D804" s="274"/>
      <c r="E804" s="274"/>
      <c r="F804" s="328"/>
      <c r="G804" s="329"/>
    </row>
    <row r="805" ht="15.75" customHeight="1">
      <c r="A805" s="327"/>
      <c r="B805" s="327"/>
      <c r="C805" s="326"/>
      <c r="D805" s="274"/>
      <c r="E805" s="274"/>
      <c r="F805" s="328"/>
      <c r="G805" s="329"/>
    </row>
    <row r="806" ht="15.75" customHeight="1">
      <c r="A806" s="327"/>
      <c r="B806" s="327"/>
      <c r="C806" s="326"/>
      <c r="D806" s="274"/>
      <c r="E806" s="274"/>
      <c r="F806" s="328"/>
      <c r="G806" s="329"/>
    </row>
    <row r="807" ht="15.75" customHeight="1">
      <c r="A807" s="327"/>
      <c r="B807" s="327"/>
      <c r="C807" s="326"/>
      <c r="D807" s="274"/>
      <c r="E807" s="274"/>
      <c r="F807" s="328"/>
      <c r="G807" s="329"/>
    </row>
    <row r="808" ht="15.75" customHeight="1">
      <c r="A808" s="327"/>
      <c r="B808" s="327"/>
      <c r="C808" s="326"/>
      <c r="D808" s="274"/>
      <c r="E808" s="274"/>
      <c r="F808" s="328"/>
      <c r="G808" s="329"/>
    </row>
    <row r="809" ht="15.75" customHeight="1">
      <c r="A809" s="327"/>
      <c r="B809" s="327"/>
      <c r="C809" s="326"/>
      <c r="D809" s="274"/>
      <c r="E809" s="274"/>
      <c r="F809" s="328"/>
      <c r="G809" s="329"/>
    </row>
    <row r="810" ht="15.75" customHeight="1">
      <c r="A810" s="327"/>
      <c r="B810" s="327"/>
      <c r="C810" s="326"/>
      <c r="D810" s="274"/>
      <c r="E810" s="274"/>
      <c r="F810" s="328"/>
      <c r="G810" s="329"/>
    </row>
    <row r="811" ht="15.75" customHeight="1">
      <c r="A811" s="327"/>
      <c r="B811" s="327"/>
      <c r="C811" s="326"/>
      <c r="D811" s="274"/>
      <c r="E811" s="274"/>
      <c r="F811" s="328"/>
      <c r="G811" s="329"/>
    </row>
    <row r="812" ht="15.75" customHeight="1">
      <c r="A812" s="327"/>
      <c r="B812" s="327"/>
      <c r="C812" s="326"/>
      <c r="D812" s="274"/>
      <c r="E812" s="274"/>
      <c r="F812" s="328"/>
      <c r="G812" s="329"/>
    </row>
    <row r="813" ht="15.75" customHeight="1">
      <c r="A813" s="327"/>
      <c r="B813" s="327"/>
      <c r="C813" s="326"/>
      <c r="D813" s="274"/>
      <c r="E813" s="274"/>
      <c r="F813" s="328"/>
      <c r="G813" s="329"/>
    </row>
    <row r="814" ht="15.75" customHeight="1">
      <c r="A814" s="327"/>
      <c r="B814" s="327"/>
      <c r="C814" s="326"/>
      <c r="D814" s="274"/>
      <c r="E814" s="274"/>
      <c r="F814" s="328"/>
      <c r="G814" s="329"/>
    </row>
    <row r="815" ht="15.75" customHeight="1">
      <c r="A815" s="327"/>
      <c r="B815" s="327"/>
      <c r="C815" s="326"/>
      <c r="D815" s="274"/>
      <c r="E815" s="274"/>
      <c r="F815" s="328"/>
      <c r="G815" s="329"/>
    </row>
    <row r="816" ht="15.75" customHeight="1">
      <c r="A816" s="327"/>
      <c r="B816" s="327"/>
      <c r="C816" s="326"/>
      <c r="D816" s="274"/>
      <c r="E816" s="274"/>
      <c r="F816" s="328"/>
      <c r="G816" s="329"/>
    </row>
    <row r="817" ht="15.75" customHeight="1">
      <c r="A817" s="327"/>
      <c r="B817" s="327"/>
      <c r="C817" s="326"/>
      <c r="D817" s="274"/>
      <c r="E817" s="274"/>
      <c r="F817" s="328"/>
      <c r="G817" s="329"/>
    </row>
    <row r="818" ht="15.75" customHeight="1">
      <c r="A818" s="327"/>
      <c r="B818" s="327"/>
      <c r="C818" s="326"/>
      <c r="D818" s="274"/>
      <c r="E818" s="274"/>
      <c r="F818" s="328"/>
      <c r="G818" s="329"/>
    </row>
    <row r="819" ht="15.75" customHeight="1">
      <c r="A819" s="327"/>
      <c r="B819" s="327"/>
      <c r="C819" s="326"/>
      <c r="D819" s="274"/>
      <c r="E819" s="274"/>
      <c r="F819" s="328"/>
      <c r="G819" s="329"/>
    </row>
    <row r="820" ht="15.75" customHeight="1">
      <c r="A820" s="327"/>
      <c r="B820" s="327"/>
      <c r="C820" s="326"/>
      <c r="D820" s="274"/>
      <c r="E820" s="274"/>
      <c r="F820" s="328"/>
      <c r="G820" s="329"/>
    </row>
    <row r="821" ht="15.75" customHeight="1">
      <c r="A821" s="327"/>
      <c r="B821" s="327"/>
      <c r="C821" s="326"/>
      <c r="D821" s="274"/>
      <c r="E821" s="274"/>
      <c r="F821" s="328"/>
      <c r="G821" s="329"/>
    </row>
    <row r="822" ht="15.75" customHeight="1">
      <c r="A822" s="327"/>
      <c r="B822" s="327"/>
      <c r="C822" s="326"/>
      <c r="D822" s="274"/>
      <c r="E822" s="274"/>
      <c r="F822" s="328"/>
      <c r="G822" s="329"/>
    </row>
    <row r="823" ht="15.75" customHeight="1">
      <c r="A823" s="327"/>
      <c r="B823" s="327"/>
      <c r="C823" s="326"/>
      <c r="D823" s="274"/>
      <c r="E823" s="274"/>
      <c r="F823" s="328"/>
      <c r="G823" s="329"/>
    </row>
    <row r="824" ht="15.75" customHeight="1">
      <c r="A824" s="327"/>
      <c r="B824" s="327"/>
      <c r="C824" s="326"/>
      <c r="D824" s="274"/>
      <c r="E824" s="274"/>
      <c r="F824" s="328"/>
      <c r="G824" s="329"/>
    </row>
    <row r="825" ht="15.75" customHeight="1">
      <c r="A825" s="327"/>
      <c r="B825" s="327"/>
      <c r="C825" s="326"/>
      <c r="D825" s="274"/>
      <c r="E825" s="274"/>
      <c r="F825" s="328"/>
      <c r="G825" s="329"/>
    </row>
    <row r="826" ht="15.75" customHeight="1">
      <c r="A826" s="327"/>
      <c r="B826" s="327"/>
      <c r="C826" s="326"/>
      <c r="D826" s="274"/>
      <c r="E826" s="274"/>
      <c r="F826" s="328"/>
      <c r="G826" s="329"/>
    </row>
    <row r="827" ht="15.75" customHeight="1">
      <c r="A827" s="327"/>
      <c r="B827" s="327"/>
      <c r="C827" s="326"/>
      <c r="D827" s="274"/>
      <c r="E827" s="274"/>
      <c r="F827" s="328"/>
      <c r="G827" s="329"/>
    </row>
    <row r="828" ht="15.75" customHeight="1">
      <c r="A828" s="327"/>
      <c r="B828" s="327"/>
      <c r="C828" s="326"/>
      <c r="D828" s="274"/>
      <c r="E828" s="274"/>
      <c r="F828" s="328"/>
      <c r="G828" s="329"/>
    </row>
    <row r="829" ht="15.75" customHeight="1">
      <c r="A829" s="327"/>
      <c r="B829" s="327"/>
      <c r="C829" s="326"/>
      <c r="D829" s="274"/>
      <c r="E829" s="274"/>
      <c r="F829" s="328"/>
      <c r="G829" s="329"/>
    </row>
    <row r="830" ht="15.75" customHeight="1">
      <c r="A830" s="327"/>
      <c r="B830" s="327"/>
      <c r="C830" s="326"/>
      <c r="D830" s="274"/>
      <c r="E830" s="274"/>
      <c r="F830" s="328"/>
      <c r="G830" s="329"/>
    </row>
    <row r="831" ht="15.75" customHeight="1">
      <c r="A831" s="327"/>
      <c r="B831" s="327"/>
      <c r="C831" s="326"/>
      <c r="D831" s="274"/>
      <c r="E831" s="274"/>
      <c r="F831" s="328"/>
      <c r="G831" s="329"/>
    </row>
    <row r="832" ht="15.75" customHeight="1">
      <c r="A832" s="327"/>
      <c r="B832" s="327"/>
      <c r="C832" s="326"/>
      <c r="D832" s="274"/>
      <c r="E832" s="274"/>
      <c r="F832" s="328"/>
      <c r="G832" s="329"/>
    </row>
    <row r="833" ht="15.75" customHeight="1">
      <c r="A833" s="327"/>
      <c r="B833" s="327"/>
      <c r="C833" s="326"/>
      <c r="D833" s="274"/>
      <c r="E833" s="274"/>
      <c r="F833" s="328"/>
      <c r="G833" s="329"/>
    </row>
    <row r="834" ht="15.75" customHeight="1">
      <c r="A834" s="327"/>
      <c r="B834" s="327"/>
      <c r="C834" s="326"/>
      <c r="D834" s="274"/>
      <c r="E834" s="274"/>
      <c r="F834" s="328"/>
      <c r="G834" s="329"/>
    </row>
    <row r="835" ht="15.75" customHeight="1">
      <c r="A835" s="327"/>
      <c r="B835" s="327"/>
      <c r="C835" s="326"/>
      <c r="D835" s="274"/>
      <c r="E835" s="274"/>
      <c r="F835" s="328"/>
      <c r="G835" s="329"/>
    </row>
    <row r="836" ht="15.75" customHeight="1">
      <c r="A836" s="327"/>
      <c r="B836" s="327"/>
      <c r="C836" s="326"/>
      <c r="D836" s="274"/>
      <c r="E836" s="274"/>
      <c r="F836" s="328"/>
      <c r="G836" s="329"/>
    </row>
    <row r="837" ht="15.75" customHeight="1">
      <c r="A837" s="327"/>
      <c r="B837" s="327"/>
      <c r="C837" s="326"/>
      <c r="D837" s="274"/>
      <c r="E837" s="274"/>
      <c r="F837" s="328"/>
      <c r="G837" s="329"/>
    </row>
    <row r="838" ht="15.75" customHeight="1">
      <c r="A838" s="327"/>
      <c r="B838" s="327"/>
      <c r="C838" s="326"/>
      <c r="D838" s="274"/>
      <c r="E838" s="274"/>
      <c r="F838" s="328"/>
      <c r="G838" s="329"/>
    </row>
    <row r="839" ht="15.75" customHeight="1">
      <c r="A839" s="327"/>
      <c r="B839" s="327"/>
      <c r="C839" s="326"/>
      <c r="D839" s="274"/>
      <c r="E839" s="274"/>
      <c r="F839" s="328"/>
      <c r="G839" s="329"/>
    </row>
    <row r="840" ht="15.75" customHeight="1">
      <c r="A840" s="327"/>
      <c r="B840" s="327"/>
      <c r="C840" s="326"/>
      <c r="D840" s="274"/>
      <c r="E840" s="274"/>
      <c r="F840" s="328"/>
      <c r="G840" s="329"/>
    </row>
    <row r="841" ht="15.75" customHeight="1">
      <c r="A841" s="327"/>
      <c r="B841" s="327"/>
      <c r="C841" s="326"/>
      <c r="D841" s="274"/>
      <c r="E841" s="274"/>
      <c r="F841" s="328"/>
      <c r="G841" s="329"/>
    </row>
    <row r="842" ht="15.75" customHeight="1">
      <c r="A842" s="327"/>
      <c r="B842" s="327"/>
      <c r="C842" s="326"/>
      <c r="D842" s="274"/>
      <c r="E842" s="274"/>
      <c r="F842" s="328"/>
      <c r="G842" s="329"/>
    </row>
    <row r="843" ht="15.75" customHeight="1">
      <c r="A843" s="327"/>
      <c r="B843" s="327"/>
      <c r="C843" s="326"/>
      <c r="D843" s="274"/>
      <c r="E843" s="274"/>
      <c r="F843" s="328"/>
      <c r="G843" s="329"/>
    </row>
    <row r="844" ht="15.75" customHeight="1">
      <c r="A844" s="327"/>
      <c r="B844" s="327"/>
      <c r="C844" s="326"/>
      <c r="D844" s="274"/>
      <c r="E844" s="274"/>
      <c r="F844" s="328"/>
      <c r="G844" s="329"/>
    </row>
    <row r="845" ht="15.75" customHeight="1">
      <c r="A845" s="327"/>
      <c r="B845" s="327"/>
      <c r="C845" s="326"/>
      <c r="D845" s="274"/>
      <c r="E845" s="274"/>
      <c r="F845" s="328"/>
      <c r="G845" s="329"/>
    </row>
    <row r="846" ht="15.75" customHeight="1">
      <c r="A846" s="327"/>
      <c r="B846" s="327"/>
      <c r="C846" s="326"/>
      <c r="D846" s="274"/>
      <c r="E846" s="274"/>
      <c r="F846" s="328"/>
      <c r="G846" s="329"/>
    </row>
    <row r="847" ht="15.75" customHeight="1">
      <c r="A847" s="327"/>
      <c r="B847" s="327"/>
      <c r="C847" s="326"/>
      <c r="D847" s="274"/>
      <c r="E847" s="274"/>
      <c r="F847" s="328"/>
      <c r="G847" s="329"/>
    </row>
    <row r="848" ht="15.75" customHeight="1">
      <c r="A848" s="327"/>
      <c r="B848" s="327"/>
      <c r="C848" s="326"/>
      <c r="D848" s="274"/>
      <c r="E848" s="274"/>
      <c r="F848" s="328"/>
      <c r="G848" s="329"/>
    </row>
    <row r="849" ht="15.75" customHeight="1">
      <c r="A849" s="327"/>
      <c r="B849" s="327"/>
      <c r="C849" s="326"/>
      <c r="D849" s="274"/>
      <c r="E849" s="274"/>
      <c r="F849" s="328"/>
      <c r="G849" s="329"/>
    </row>
    <row r="850" ht="15.75" customHeight="1">
      <c r="A850" s="327"/>
      <c r="B850" s="327"/>
      <c r="C850" s="326"/>
      <c r="D850" s="274"/>
      <c r="E850" s="274"/>
      <c r="F850" s="328"/>
      <c r="G850" s="329"/>
    </row>
    <row r="851" ht="15.75" customHeight="1">
      <c r="A851" s="327"/>
      <c r="B851" s="327"/>
      <c r="C851" s="326"/>
      <c r="D851" s="274"/>
      <c r="E851" s="274"/>
      <c r="F851" s="328"/>
      <c r="G851" s="329"/>
    </row>
    <row r="852" ht="15.75" customHeight="1">
      <c r="A852" s="327"/>
      <c r="B852" s="327"/>
      <c r="C852" s="326"/>
      <c r="D852" s="274"/>
      <c r="E852" s="274"/>
      <c r="F852" s="328"/>
      <c r="G852" s="329"/>
    </row>
    <row r="853" ht="15.75" customHeight="1">
      <c r="A853" s="327"/>
      <c r="B853" s="327"/>
      <c r="C853" s="326"/>
      <c r="D853" s="274"/>
      <c r="E853" s="274"/>
      <c r="F853" s="328"/>
      <c r="G853" s="329"/>
    </row>
    <row r="854" ht="15.75" customHeight="1">
      <c r="A854" s="327"/>
      <c r="B854" s="327"/>
      <c r="C854" s="326"/>
      <c r="D854" s="274"/>
      <c r="E854" s="274"/>
      <c r="F854" s="328"/>
      <c r="G854" s="329"/>
    </row>
    <row r="855" ht="15.75" customHeight="1">
      <c r="A855" s="327"/>
      <c r="B855" s="327"/>
      <c r="C855" s="326"/>
      <c r="D855" s="274"/>
      <c r="E855" s="274"/>
      <c r="F855" s="328"/>
      <c r="G855" s="329"/>
    </row>
    <row r="856" ht="15.75" customHeight="1">
      <c r="A856" s="327"/>
      <c r="B856" s="327"/>
      <c r="C856" s="326"/>
      <c r="D856" s="274"/>
      <c r="E856" s="274"/>
      <c r="F856" s="328"/>
      <c r="G856" s="329"/>
    </row>
    <row r="857" ht="15.75" customHeight="1">
      <c r="A857" s="327"/>
      <c r="B857" s="327"/>
      <c r="C857" s="326"/>
      <c r="D857" s="274"/>
      <c r="E857" s="274"/>
      <c r="F857" s="328"/>
      <c r="G857" s="329"/>
    </row>
    <row r="858" ht="15.75" customHeight="1">
      <c r="A858" s="327"/>
      <c r="B858" s="327"/>
      <c r="C858" s="326"/>
      <c r="D858" s="274"/>
      <c r="E858" s="274"/>
      <c r="F858" s="328"/>
      <c r="G858" s="329"/>
    </row>
    <row r="859" ht="15.75" customHeight="1">
      <c r="A859" s="327"/>
      <c r="B859" s="327"/>
      <c r="C859" s="326"/>
      <c r="D859" s="274"/>
      <c r="E859" s="274"/>
      <c r="F859" s="328"/>
      <c r="G859" s="329"/>
    </row>
    <row r="860" ht="15.75" customHeight="1">
      <c r="A860" s="327"/>
      <c r="B860" s="327"/>
      <c r="C860" s="326"/>
      <c r="D860" s="274"/>
      <c r="E860" s="274"/>
      <c r="F860" s="328"/>
      <c r="G860" s="329"/>
    </row>
    <row r="861" ht="15.75" customHeight="1">
      <c r="A861" s="327"/>
      <c r="B861" s="327"/>
      <c r="C861" s="326"/>
      <c r="D861" s="274"/>
      <c r="E861" s="274"/>
      <c r="F861" s="328"/>
      <c r="G861" s="329"/>
    </row>
    <row r="862" ht="15.75" customHeight="1">
      <c r="A862" s="327"/>
      <c r="B862" s="327"/>
      <c r="C862" s="326"/>
      <c r="D862" s="274"/>
      <c r="E862" s="274"/>
      <c r="F862" s="328"/>
      <c r="G862" s="329"/>
    </row>
    <row r="863" ht="15.75" customHeight="1">
      <c r="A863" s="327"/>
      <c r="B863" s="327"/>
      <c r="C863" s="326"/>
      <c r="D863" s="274"/>
      <c r="E863" s="274"/>
      <c r="F863" s="328"/>
      <c r="G863" s="329"/>
    </row>
    <row r="864" ht="15.75" customHeight="1">
      <c r="A864" s="327"/>
      <c r="B864" s="327"/>
      <c r="C864" s="326"/>
      <c r="D864" s="274"/>
      <c r="E864" s="274"/>
      <c r="F864" s="328"/>
      <c r="G864" s="329"/>
    </row>
    <row r="865" ht="15.75" customHeight="1">
      <c r="A865" s="327"/>
      <c r="B865" s="327"/>
      <c r="C865" s="326"/>
      <c r="D865" s="274"/>
      <c r="E865" s="274"/>
      <c r="F865" s="328"/>
      <c r="G865" s="329"/>
    </row>
    <row r="866" ht="15.75" customHeight="1">
      <c r="A866" s="327"/>
      <c r="B866" s="327"/>
      <c r="C866" s="326"/>
      <c r="D866" s="274"/>
      <c r="E866" s="274"/>
      <c r="F866" s="328"/>
      <c r="G866" s="329"/>
    </row>
    <row r="867" ht="15.75" customHeight="1">
      <c r="A867" s="327"/>
      <c r="B867" s="327"/>
      <c r="C867" s="326"/>
      <c r="D867" s="274"/>
      <c r="E867" s="274"/>
      <c r="F867" s="328"/>
      <c r="G867" s="329"/>
    </row>
    <row r="868" ht="15.75" customHeight="1">
      <c r="A868" s="327"/>
      <c r="B868" s="327"/>
      <c r="C868" s="326"/>
      <c r="D868" s="274"/>
      <c r="E868" s="274"/>
      <c r="F868" s="328"/>
      <c r="G868" s="329"/>
    </row>
    <row r="869" ht="15.75" customHeight="1">
      <c r="A869" s="327"/>
      <c r="B869" s="327"/>
      <c r="C869" s="326"/>
      <c r="D869" s="274"/>
      <c r="E869" s="274"/>
      <c r="F869" s="328"/>
      <c r="G869" s="329"/>
    </row>
    <row r="870" ht="15.75" customHeight="1">
      <c r="A870" s="327"/>
      <c r="B870" s="327"/>
      <c r="C870" s="326"/>
      <c r="D870" s="274"/>
      <c r="E870" s="274"/>
      <c r="F870" s="328"/>
      <c r="G870" s="329"/>
    </row>
    <row r="871" ht="15.75" customHeight="1">
      <c r="A871" s="327"/>
      <c r="B871" s="327"/>
      <c r="C871" s="326"/>
      <c r="D871" s="274"/>
      <c r="E871" s="274"/>
      <c r="F871" s="328"/>
      <c r="G871" s="329"/>
    </row>
    <row r="872" ht="15.75" customHeight="1">
      <c r="A872" s="327"/>
      <c r="B872" s="327"/>
      <c r="C872" s="326"/>
      <c r="D872" s="274"/>
      <c r="E872" s="274"/>
      <c r="F872" s="328"/>
      <c r="G872" s="329"/>
    </row>
    <row r="873" ht="15.75" customHeight="1">
      <c r="A873" s="327"/>
      <c r="B873" s="327"/>
      <c r="C873" s="326"/>
      <c r="D873" s="274"/>
      <c r="E873" s="274"/>
      <c r="F873" s="328"/>
      <c r="G873" s="329"/>
    </row>
    <row r="874" ht="15.75" customHeight="1">
      <c r="A874" s="327"/>
      <c r="B874" s="327"/>
      <c r="C874" s="326"/>
      <c r="D874" s="274"/>
      <c r="E874" s="274"/>
      <c r="F874" s="328"/>
      <c r="G874" s="329"/>
    </row>
    <row r="875" ht="15.75" customHeight="1">
      <c r="A875" s="327"/>
      <c r="B875" s="327"/>
      <c r="C875" s="326"/>
      <c r="D875" s="274"/>
      <c r="E875" s="274"/>
      <c r="F875" s="328"/>
      <c r="G875" s="329"/>
    </row>
    <row r="876" ht="15.75" customHeight="1">
      <c r="A876" s="327"/>
      <c r="B876" s="327"/>
      <c r="C876" s="326"/>
      <c r="D876" s="274"/>
      <c r="E876" s="274"/>
      <c r="F876" s="328"/>
      <c r="G876" s="329"/>
    </row>
    <row r="877" ht="15.75" customHeight="1">
      <c r="A877" s="327"/>
      <c r="B877" s="327"/>
      <c r="C877" s="326"/>
      <c r="D877" s="274"/>
      <c r="E877" s="274"/>
      <c r="F877" s="328"/>
      <c r="G877" s="329"/>
    </row>
    <row r="878" ht="15.75" customHeight="1">
      <c r="A878" s="327"/>
      <c r="B878" s="327"/>
      <c r="C878" s="326"/>
      <c r="D878" s="274"/>
      <c r="E878" s="274"/>
      <c r="F878" s="328"/>
      <c r="G878" s="329"/>
    </row>
    <row r="879" ht="15.75" customHeight="1">
      <c r="A879" s="327"/>
      <c r="B879" s="327"/>
      <c r="C879" s="326"/>
      <c r="D879" s="274"/>
      <c r="E879" s="274"/>
      <c r="F879" s="328"/>
      <c r="G879" s="329"/>
    </row>
    <row r="880" ht="15.75" customHeight="1">
      <c r="A880" s="327"/>
      <c r="B880" s="327"/>
      <c r="C880" s="326"/>
      <c r="D880" s="274"/>
      <c r="E880" s="274"/>
      <c r="F880" s="328"/>
      <c r="G880" s="329"/>
    </row>
    <row r="881" ht="15.75" customHeight="1">
      <c r="A881" s="327"/>
      <c r="B881" s="327"/>
      <c r="C881" s="326"/>
      <c r="D881" s="274"/>
      <c r="E881" s="274"/>
      <c r="F881" s="328"/>
      <c r="G881" s="329"/>
    </row>
    <row r="882" ht="15.75" customHeight="1">
      <c r="A882" s="327"/>
      <c r="B882" s="327"/>
      <c r="C882" s="326"/>
      <c r="D882" s="274"/>
      <c r="E882" s="274"/>
      <c r="F882" s="328"/>
      <c r="G882" s="329"/>
    </row>
    <row r="883" ht="15.75" customHeight="1">
      <c r="A883" s="327"/>
      <c r="B883" s="327"/>
      <c r="C883" s="326"/>
      <c r="D883" s="274"/>
      <c r="E883" s="274"/>
      <c r="F883" s="328"/>
      <c r="G883" s="329"/>
    </row>
    <row r="884" ht="15.75" customHeight="1">
      <c r="A884" s="327"/>
      <c r="B884" s="327"/>
      <c r="C884" s="326"/>
      <c r="D884" s="274"/>
      <c r="E884" s="274"/>
      <c r="F884" s="328"/>
      <c r="G884" s="329"/>
    </row>
    <row r="885" ht="15.75" customHeight="1">
      <c r="A885" s="327"/>
      <c r="B885" s="327"/>
      <c r="C885" s="326"/>
      <c r="D885" s="274"/>
      <c r="E885" s="274"/>
      <c r="F885" s="328"/>
      <c r="G885" s="329"/>
    </row>
    <row r="886" ht="15.75" customHeight="1">
      <c r="A886" s="327"/>
      <c r="B886" s="327"/>
      <c r="C886" s="326"/>
      <c r="D886" s="274"/>
      <c r="E886" s="274"/>
      <c r="F886" s="328"/>
      <c r="G886" s="329"/>
    </row>
    <row r="887" ht="15.75" customHeight="1">
      <c r="A887" s="327"/>
      <c r="B887" s="327"/>
      <c r="C887" s="326"/>
      <c r="D887" s="274"/>
      <c r="E887" s="274"/>
      <c r="F887" s="328"/>
      <c r="G887" s="329"/>
    </row>
    <row r="888" ht="15.75" customHeight="1">
      <c r="A888" s="327"/>
      <c r="B888" s="327"/>
      <c r="C888" s="326"/>
      <c r="D888" s="274"/>
      <c r="E888" s="274"/>
      <c r="F888" s="328"/>
      <c r="G888" s="329"/>
    </row>
    <row r="889" ht="15.75" customHeight="1">
      <c r="A889" s="327"/>
      <c r="B889" s="327"/>
      <c r="C889" s="326"/>
      <c r="D889" s="274"/>
      <c r="E889" s="274"/>
      <c r="F889" s="328"/>
      <c r="G889" s="329"/>
    </row>
    <row r="890" ht="15.75" customHeight="1">
      <c r="A890" s="327"/>
      <c r="B890" s="327"/>
      <c r="C890" s="326"/>
      <c r="D890" s="274"/>
      <c r="E890" s="274"/>
      <c r="F890" s="328"/>
      <c r="G890" s="329"/>
    </row>
    <row r="891" ht="15.75" customHeight="1">
      <c r="A891" s="327"/>
      <c r="B891" s="327"/>
      <c r="C891" s="326"/>
      <c r="D891" s="274"/>
      <c r="E891" s="274"/>
      <c r="F891" s="328"/>
      <c r="G891" s="329"/>
    </row>
    <row r="892" ht="15.75" customHeight="1">
      <c r="A892" s="327"/>
      <c r="B892" s="327"/>
      <c r="C892" s="326"/>
      <c r="D892" s="274"/>
      <c r="E892" s="274"/>
      <c r="F892" s="328"/>
      <c r="G892" s="329"/>
    </row>
    <row r="893" ht="15.75" customHeight="1">
      <c r="A893" s="327"/>
      <c r="B893" s="327"/>
      <c r="C893" s="326"/>
      <c r="D893" s="274"/>
      <c r="E893" s="274"/>
      <c r="F893" s="328"/>
      <c r="G893" s="329"/>
    </row>
    <row r="894" ht="15.75" customHeight="1">
      <c r="A894" s="327"/>
      <c r="B894" s="327"/>
      <c r="C894" s="326"/>
      <c r="D894" s="274"/>
      <c r="E894" s="274"/>
      <c r="F894" s="328"/>
      <c r="G894" s="329"/>
    </row>
    <row r="895" ht="15.75" customHeight="1">
      <c r="A895" s="327"/>
      <c r="B895" s="327"/>
      <c r="C895" s="326"/>
      <c r="D895" s="274"/>
      <c r="E895" s="274"/>
      <c r="F895" s="328"/>
      <c r="G895" s="329"/>
    </row>
    <row r="896" ht="15.75" customHeight="1">
      <c r="A896" s="327"/>
      <c r="B896" s="327"/>
      <c r="C896" s="326"/>
      <c r="D896" s="274"/>
      <c r="E896" s="274"/>
      <c r="F896" s="328"/>
      <c r="G896" s="329"/>
    </row>
    <row r="897" ht="15.75" customHeight="1">
      <c r="A897" s="327"/>
      <c r="B897" s="327"/>
      <c r="C897" s="326"/>
      <c r="D897" s="274"/>
      <c r="E897" s="274"/>
      <c r="F897" s="328"/>
      <c r="G897" s="329"/>
    </row>
    <row r="898" ht="15.75" customHeight="1">
      <c r="A898" s="327"/>
      <c r="B898" s="327"/>
      <c r="C898" s="326"/>
      <c r="D898" s="274"/>
      <c r="E898" s="274"/>
      <c r="F898" s="328"/>
      <c r="G898" s="329"/>
    </row>
    <row r="899" ht="15.75" customHeight="1">
      <c r="A899" s="327"/>
      <c r="B899" s="327"/>
      <c r="C899" s="326"/>
      <c r="D899" s="274"/>
      <c r="E899" s="274"/>
      <c r="F899" s="328"/>
      <c r="G899" s="329"/>
    </row>
    <row r="900" ht="15.75" customHeight="1">
      <c r="A900" s="327"/>
      <c r="B900" s="327"/>
      <c r="C900" s="326"/>
      <c r="D900" s="274"/>
      <c r="E900" s="274"/>
      <c r="F900" s="328"/>
      <c r="G900" s="329"/>
    </row>
    <row r="901" ht="15.75" customHeight="1">
      <c r="A901" s="327"/>
      <c r="B901" s="327"/>
      <c r="C901" s="326"/>
      <c r="D901" s="274"/>
      <c r="E901" s="274"/>
      <c r="F901" s="328"/>
      <c r="G901" s="329"/>
    </row>
    <row r="902" ht="15.75" customHeight="1">
      <c r="A902" s="327"/>
      <c r="B902" s="327"/>
      <c r="C902" s="326"/>
      <c r="D902" s="274"/>
      <c r="E902" s="274"/>
      <c r="F902" s="328"/>
      <c r="G902" s="329"/>
    </row>
    <row r="903" ht="15.75" customHeight="1">
      <c r="A903" s="327"/>
      <c r="B903" s="327"/>
      <c r="C903" s="326"/>
      <c r="D903" s="274"/>
      <c r="E903" s="274"/>
      <c r="F903" s="328"/>
      <c r="G903" s="329"/>
    </row>
    <row r="904" ht="15.75" customHeight="1">
      <c r="A904" s="327"/>
      <c r="B904" s="327"/>
      <c r="C904" s="326"/>
      <c r="D904" s="274"/>
      <c r="E904" s="274"/>
      <c r="F904" s="328"/>
      <c r="G904" s="329"/>
    </row>
    <row r="905" ht="15.75" customHeight="1">
      <c r="A905" s="327"/>
      <c r="B905" s="327"/>
      <c r="C905" s="326"/>
      <c r="D905" s="274"/>
      <c r="E905" s="274"/>
      <c r="F905" s="328"/>
      <c r="G905" s="329"/>
    </row>
    <row r="906" ht="15.75" customHeight="1">
      <c r="A906" s="327"/>
      <c r="B906" s="327"/>
      <c r="C906" s="326"/>
      <c r="D906" s="274"/>
      <c r="E906" s="274"/>
      <c r="F906" s="328"/>
      <c r="G906" s="329"/>
    </row>
    <row r="907" ht="15.75" customHeight="1">
      <c r="A907" s="327"/>
      <c r="B907" s="327"/>
      <c r="C907" s="326"/>
      <c r="D907" s="274"/>
      <c r="E907" s="274"/>
      <c r="F907" s="328"/>
      <c r="G907" s="329"/>
    </row>
    <row r="908" ht="15.75" customHeight="1">
      <c r="A908" s="327"/>
      <c r="B908" s="327"/>
      <c r="C908" s="326"/>
      <c r="D908" s="274"/>
      <c r="E908" s="274"/>
      <c r="F908" s="328"/>
      <c r="G908" s="329"/>
    </row>
    <row r="909" ht="15.75" customHeight="1">
      <c r="A909" s="327"/>
      <c r="B909" s="327"/>
      <c r="C909" s="326"/>
      <c r="D909" s="274"/>
      <c r="E909" s="274"/>
      <c r="F909" s="328"/>
      <c r="G909" s="329"/>
    </row>
    <row r="910" ht="15.75" customHeight="1">
      <c r="A910" s="327"/>
      <c r="B910" s="327"/>
      <c r="C910" s="326"/>
      <c r="D910" s="274"/>
      <c r="E910" s="274"/>
      <c r="F910" s="328"/>
      <c r="G910" s="329"/>
    </row>
    <row r="911" ht="15.75" customHeight="1">
      <c r="A911" s="327"/>
      <c r="B911" s="327"/>
      <c r="C911" s="326"/>
      <c r="D911" s="274"/>
      <c r="E911" s="274"/>
      <c r="F911" s="328"/>
      <c r="G911" s="329"/>
    </row>
    <row r="912" ht="15.75" customHeight="1">
      <c r="A912" s="327"/>
      <c r="B912" s="327"/>
      <c r="C912" s="326"/>
      <c r="D912" s="274"/>
      <c r="E912" s="274"/>
      <c r="F912" s="328"/>
      <c r="G912" s="329"/>
    </row>
    <row r="913" ht="15.75" customHeight="1">
      <c r="A913" s="327"/>
      <c r="B913" s="327"/>
      <c r="C913" s="326"/>
      <c r="D913" s="274"/>
      <c r="E913" s="274"/>
      <c r="F913" s="328"/>
      <c r="G913" s="329"/>
    </row>
    <row r="914" ht="15.75" customHeight="1">
      <c r="A914" s="327"/>
      <c r="B914" s="327"/>
      <c r="C914" s="326"/>
      <c r="D914" s="274"/>
      <c r="E914" s="274"/>
      <c r="F914" s="328"/>
      <c r="G914" s="329"/>
    </row>
    <row r="915" ht="15.75" customHeight="1">
      <c r="A915" s="327"/>
      <c r="B915" s="327"/>
      <c r="C915" s="326"/>
      <c r="D915" s="274"/>
      <c r="E915" s="274"/>
      <c r="F915" s="328"/>
      <c r="G915" s="329"/>
    </row>
    <row r="916" ht="15.75" customHeight="1">
      <c r="A916" s="327"/>
      <c r="B916" s="327"/>
      <c r="C916" s="326"/>
      <c r="D916" s="274"/>
      <c r="E916" s="274"/>
      <c r="F916" s="328"/>
      <c r="G916" s="329"/>
    </row>
    <row r="917" ht="15.75" customHeight="1">
      <c r="A917" s="327"/>
      <c r="B917" s="327"/>
      <c r="C917" s="326"/>
      <c r="D917" s="274"/>
      <c r="E917" s="274"/>
      <c r="F917" s="328"/>
      <c r="G917" s="329"/>
    </row>
    <row r="918" ht="15.75" customHeight="1">
      <c r="A918" s="327"/>
      <c r="B918" s="327"/>
      <c r="C918" s="326"/>
      <c r="D918" s="274"/>
      <c r="E918" s="274"/>
      <c r="F918" s="328"/>
      <c r="G918" s="329"/>
    </row>
    <row r="919" ht="15.75" customHeight="1">
      <c r="A919" s="327"/>
      <c r="B919" s="327"/>
      <c r="C919" s="326"/>
      <c r="D919" s="274"/>
      <c r="E919" s="274"/>
      <c r="F919" s="328"/>
      <c r="G919" s="329"/>
    </row>
    <row r="920" ht="15.75" customHeight="1">
      <c r="A920" s="327"/>
      <c r="B920" s="327"/>
      <c r="C920" s="326"/>
      <c r="D920" s="274"/>
      <c r="E920" s="274"/>
      <c r="F920" s="328"/>
      <c r="G920" s="329"/>
    </row>
    <row r="921" ht="15.75" customHeight="1">
      <c r="A921" s="327"/>
      <c r="B921" s="327"/>
      <c r="C921" s="326"/>
      <c r="D921" s="274"/>
      <c r="E921" s="274"/>
      <c r="F921" s="328"/>
      <c r="G921" s="329"/>
    </row>
    <row r="922" ht="15.75" customHeight="1">
      <c r="A922" s="327"/>
      <c r="B922" s="327"/>
      <c r="C922" s="326"/>
      <c r="D922" s="274"/>
      <c r="E922" s="274"/>
      <c r="F922" s="328"/>
      <c r="G922" s="329"/>
    </row>
    <row r="923" ht="15.75" customHeight="1">
      <c r="A923" s="327"/>
      <c r="B923" s="327"/>
      <c r="C923" s="326"/>
      <c r="D923" s="274"/>
      <c r="E923" s="274"/>
      <c r="F923" s="328"/>
      <c r="G923" s="329"/>
    </row>
    <row r="924" ht="15.75" customHeight="1">
      <c r="A924" s="327"/>
      <c r="B924" s="327"/>
      <c r="C924" s="326"/>
      <c r="D924" s="274"/>
      <c r="E924" s="274"/>
      <c r="F924" s="328"/>
      <c r="G924" s="329"/>
    </row>
    <row r="925" ht="15.75" customHeight="1">
      <c r="A925" s="327"/>
      <c r="B925" s="327"/>
      <c r="C925" s="326"/>
      <c r="D925" s="274"/>
      <c r="E925" s="274"/>
      <c r="F925" s="328"/>
      <c r="G925" s="329"/>
    </row>
    <row r="926" ht="15.75" customHeight="1">
      <c r="A926" s="327"/>
      <c r="B926" s="327"/>
      <c r="C926" s="326"/>
      <c r="D926" s="274"/>
      <c r="E926" s="274"/>
      <c r="F926" s="328"/>
      <c r="G926" s="329"/>
    </row>
    <row r="927" ht="15.75" customHeight="1">
      <c r="A927" s="327"/>
      <c r="B927" s="327"/>
      <c r="C927" s="326"/>
      <c r="D927" s="274"/>
      <c r="E927" s="274"/>
      <c r="F927" s="328"/>
      <c r="G927" s="329"/>
    </row>
    <row r="928" ht="15.75" customHeight="1">
      <c r="A928" s="327"/>
      <c r="B928" s="327"/>
      <c r="C928" s="326"/>
      <c r="D928" s="274"/>
      <c r="E928" s="274"/>
      <c r="F928" s="328"/>
      <c r="G928" s="329"/>
    </row>
    <row r="929" ht="15.75" customHeight="1">
      <c r="A929" s="327"/>
      <c r="B929" s="327"/>
      <c r="C929" s="326"/>
      <c r="D929" s="274"/>
      <c r="E929" s="274"/>
      <c r="F929" s="328"/>
      <c r="G929" s="329"/>
    </row>
    <row r="930" ht="15.75" customHeight="1">
      <c r="A930" s="327"/>
      <c r="B930" s="327"/>
      <c r="C930" s="326"/>
      <c r="D930" s="274"/>
      <c r="E930" s="274"/>
      <c r="F930" s="328"/>
      <c r="G930" s="329"/>
    </row>
    <row r="931" ht="15.75" customHeight="1">
      <c r="A931" s="327"/>
      <c r="B931" s="327"/>
      <c r="C931" s="326"/>
      <c r="D931" s="274"/>
      <c r="E931" s="274"/>
      <c r="F931" s="328"/>
      <c r="G931" s="329"/>
    </row>
    <row r="932" ht="15.75" customHeight="1">
      <c r="A932" s="327"/>
      <c r="B932" s="327"/>
      <c r="C932" s="326"/>
      <c r="D932" s="274"/>
      <c r="E932" s="274"/>
      <c r="F932" s="328"/>
      <c r="G932" s="329"/>
    </row>
    <row r="933" ht="15.75" customHeight="1">
      <c r="A933" s="327"/>
      <c r="B933" s="327"/>
      <c r="C933" s="326"/>
      <c r="D933" s="274"/>
      <c r="E933" s="274"/>
      <c r="F933" s="328"/>
      <c r="G933" s="329"/>
    </row>
    <row r="934" ht="15.75" customHeight="1">
      <c r="A934" s="327"/>
      <c r="B934" s="327"/>
      <c r="C934" s="326"/>
      <c r="D934" s="274"/>
      <c r="E934" s="274"/>
      <c r="F934" s="328"/>
      <c r="G934" s="329"/>
    </row>
    <row r="935" ht="15.75" customHeight="1">
      <c r="A935" s="327"/>
      <c r="B935" s="327"/>
      <c r="C935" s="326"/>
      <c r="D935" s="274"/>
      <c r="E935" s="274"/>
      <c r="F935" s="328"/>
      <c r="G935" s="329"/>
    </row>
    <row r="936" ht="15.75" customHeight="1">
      <c r="A936" s="327"/>
      <c r="B936" s="327"/>
      <c r="C936" s="326"/>
      <c r="D936" s="274"/>
      <c r="E936" s="274"/>
      <c r="F936" s="328"/>
      <c r="G936" s="329"/>
    </row>
    <row r="937" ht="15.75" customHeight="1">
      <c r="A937" s="327"/>
      <c r="B937" s="327"/>
      <c r="C937" s="326"/>
      <c r="D937" s="274"/>
      <c r="E937" s="274"/>
      <c r="F937" s="328"/>
      <c r="G937" s="329"/>
    </row>
    <row r="938" ht="15.75" customHeight="1">
      <c r="A938" s="327"/>
      <c r="B938" s="327"/>
      <c r="C938" s="326"/>
      <c r="D938" s="274"/>
      <c r="E938" s="274"/>
      <c r="F938" s="328"/>
      <c r="G938" s="329"/>
    </row>
    <row r="939" ht="15.75" customHeight="1">
      <c r="A939" s="327"/>
      <c r="B939" s="327"/>
      <c r="C939" s="326"/>
      <c r="D939" s="274"/>
      <c r="E939" s="274"/>
      <c r="F939" s="328"/>
      <c r="G939" s="329"/>
    </row>
    <row r="940" ht="15.75" customHeight="1">
      <c r="A940" s="327"/>
      <c r="B940" s="327"/>
      <c r="C940" s="326"/>
      <c r="D940" s="274"/>
      <c r="E940" s="274"/>
      <c r="F940" s="328"/>
      <c r="G940" s="329"/>
    </row>
    <row r="941" ht="15.75" customHeight="1">
      <c r="A941" s="327"/>
      <c r="B941" s="327"/>
      <c r="C941" s="326"/>
      <c r="D941" s="274"/>
      <c r="E941" s="274"/>
      <c r="F941" s="328"/>
      <c r="G941" s="329"/>
    </row>
    <row r="942" ht="15.75" customHeight="1">
      <c r="A942" s="327"/>
      <c r="B942" s="327"/>
      <c r="C942" s="326"/>
      <c r="D942" s="274"/>
      <c r="E942" s="274"/>
      <c r="F942" s="328"/>
      <c r="G942" s="329"/>
    </row>
    <row r="943" ht="15.75" customHeight="1">
      <c r="A943" s="327"/>
      <c r="B943" s="327"/>
      <c r="C943" s="326"/>
      <c r="D943" s="274"/>
      <c r="E943" s="274"/>
      <c r="F943" s="328"/>
      <c r="G943" s="329"/>
    </row>
    <row r="944" ht="15.75" customHeight="1">
      <c r="A944" s="327"/>
      <c r="B944" s="327"/>
      <c r="C944" s="326"/>
      <c r="D944" s="274"/>
      <c r="E944" s="274"/>
      <c r="F944" s="328"/>
      <c r="G944" s="329"/>
    </row>
    <row r="945" ht="15.75" customHeight="1">
      <c r="A945" s="327"/>
      <c r="B945" s="327"/>
      <c r="C945" s="326"/>
      <c r="D945" s="274"/>
      <c r="E945" s="274"/>
      <c r="F945" s="328"/>
      <c r="G945" s="329"/>
    </row>
    <row r="946" ht="15.75" customHeight="1">
      <c r="A946" s="327"/>
      <c r="B946" s="327"/>
      <c r="C946" s="326"/>
      <c r="D946" s="274"/>
      <c r="E946" s="274"/>
      <c r="F946" s="328"/>
      <c r="G946" s="329"/>
    </row>
    <row r="947" ht="15.75" customHeight="1">
      <c r="A947" s="327"/>
      <c r="B947" s="327"/>
      <c r="C947" s="326"/>
      <c r="D947" s="274"/>
      <c r="E947" s="274"/>
      <c r="F947" s="328"/>
      <c r="G947" s="329"/>
    </row>
    <row r="948" ht="15.75" customHeight="1">
      <c r="A948" s="327"/>
      <c r="B948" s="327"/>
      <c r="C948" s="326"/>
      <c r="D948" s="274"/>
      <c r="E948" s="274"/>
      <c r="F948" s="328"/>
      <c r="G948" s="329"/>
    </row>
    <row r="949" ht="15.75" customHeight="1">
      <c r="A949" s="327"/>
      <c r="B949" s="327"/>
      <c r="C949" s="326"/>
      <c r="D949" s="274"/>
      <c r="E949" s="274"/>
      <c r="F949" s="328"/>
      <c r="G949" s="329"/>
    </row>
    <row r="950" ht="15.75" customHeight="1">
      <c r="A950" s="327"/>
      <c r="B950" s="327"/>
      <c r="C950" s="326"/>
      <c r="D950" s="274"/>
      <c r="E950" s="274"/>
      <c r="F950" s="328"/>
      <c r="G950" s="329"/>
    </row>
    <row r="951" ht="15.75" customHeight="1">
      <c r="A951" s="327"/>
      <c r="B951" s="327"/>
      <c r="C951" s="326"/>
      <c r="D951" s="274"/>
      <c r="E951" s="274"/>
      <c r="F951" s="328"/>
      <c r="G951" s="329"/>
    </row>
    <row r="952" ht="15.75" customHeight="1">
      <c r="A952" s="327"/>
      <c r="B952" s="327"/>
      <c r="C952" s="326"/>
      <c r="D952" s="274"/>
      <c r="E952" s="274"/>
      <c r="F952" s="328"/>
      <c r="G952" s="329"/>
    </row>
    <row r="953" ht="15.75" customHeight="1">
      <c r="A953" s="327"/>
      <c r="B953" s="327"/>
      <c r="C953" s="326"/>
      <c r="D953" s="274"/>
      <c r="E953" s="274"/>
      <c r="F953" s="328"/>
      <c r="G953" s="329"/>
    </row>
    <row r="954" ht="15.75" customHeight="1">
      <c r="A954" s="327"/>
      <c r="B954" s="327"/>
      <c r="C954" s="326"/>
      <c r="D954" s="274"/>
      <c r="E954" s="274"/>
      <c r="F954" s="328"/>
      <c r="G954" s="329"/>
    </row>
    <row r="955" ht="15.75" customHeight="1">
      <c r="A955" s="327"/>
      <c r="B955" s="327"/>
      <c r="C955" s="326"/>
      <c r="D955" s="274"/>
      <c r="E955" s="274"/>
      <c r="F955" s="328"/>
      <c r="G955" s="329"/>
    </row>
    <row r="956" ht="15.75" customHeight="1">
      <c r="A956" s="327"/>
      <c r="B956" s="327"/>
      <c r="C956" s="326"/>
      <c r="D956" s="274"/>
      <c r="E956" s="274"/>
      <c r="F956" s="328"/>
      <c r="G956" s="329"/>
    </row>
    <row r="957" ht="15.75" customHeight="1">
      <c r="A957" s="327"/>
      <c r="B957" s="327"/>
      <c r="C957" s="326"/>
      <c r="D957" s="274"/>
      <c r="E957" s="274"/>
      <c r="F957" s="328"/>
      <c r="G957" s="329"/>
    </row>
    <row r="958" ht="15.75" customHeight="1">
      <c r="A958" s="327"/>
      <c r="B958" s="327"/>
      <c r="C958" s="326"/>
      <c r="D958" s="274"/>
      <c r="E958" s="274"/>
      <c r="F958" s="328"/>
      <c r="G958" s="329"/>
    </row>
    <row r="959" ht="15.75" customHeight="1">
      <c r="A959" s="327"/>
      <c r="B959" s="327"/>
      <c r="C959" s="326"/>
      <c r="D959" s="274"/>
      <c r="E959" s="274"/>
      <c r="F959" s="328"/>
      <c r="G959" s="329"/>
    </row>
    <row r="960" ht="15.75" customHeight="1">
      <c r="A960" s="327"/>
      <c r="B960" s="327"/>
      <c r="C960" s="326"/>
      <c r="D960" s="274"/>
      <c r="E960" s="274"/>
      <c r="F960" s="328"/>
      <c r="G960" s="329"/>
    </row>
    <row r="961" ht="15.75" customHeight="1">
      <c r="A961" s="327"/>
      <c r="B961" s="327"/>
      <c r="C961" s="326"/>
      <c r="D961" s="274"/>
      <c r="E961" s="274"/>
      <c r="F961" s="328"/>
      <c r="G961" s="329"/>
    </row>
    <row r="962" ht="15.75" customHeight="1">
      <c r="A962" s="327"/>
      <c r="B962" s="327"/>
      <c r="C962" s="326"/>
      <c r="D962" s="274"/>
      <c r="E962" s="274"/>
      <c r="F962" s="328"/>
      <c r="G962" s="329"/>
    </row>
    <row r="963" ht="15.75" customHeight="1">
      <c r="A963" s="327"/>
      <c r="B963" s="327"/>
      <c r="C963" s="326"/>
      <c r="D963" s="274"/>
      <c r="E963" s="274"/>
      <c r="F963" s="328"/>
      <c r="G963" s="329"/>
    </row>
    <row r="964" ht="15.75" customHeight="1">
      <c r="A964" s="327"/>
      <c r="B964" s="327"/>
      <c r="C964" s="326"/>
      <c r="D964" s="274"/>
      <c r="E964" s="274"/>
      <c r="F964" s="328"/>
      <c r="G964" s="329"/>
    </row>
    <row r="965" ht="15.75" customHeight="1">
      <c r="A965" s="327"/>
      <c r="B965" s="327"/>
      <c r="C965" s="326"/>
      <c r="D965" s="274"/>
      <c r="E965" s="274"/>
      <c r="F965" s="328"/>
      <c r="G965" s="329"/>
    </row>
    <row r="966" ht="15.75" customHeight="1">
      <c r="A966" s="327"/>
      <c r="B966" s="327"/>
      <c r="C966" s="326"/>
      <c r="D966" s="274"/>
      <c r="E966" s="274"/>
      <c r="F966" s="328"/>
      <c r="G966" s="329"/>
    </row>
    <row r="967" ht="15.75" customHeight="1">
      <c r="A967" s="327"/>
      <c r="B967" s="327"/>
      <c r="C967" s="326"/>
      <c r="D967" s="274"/>
      <c r="E967" s="274"/>
      <c r="F967" s="328"/>
      <c r="G967" s="329"/>
    </row>
    <row r="968" ht="15.75" customHeight="1">
      <c r="A968" s="327"/>
      <c r="B968" s="327"/>
      <c r="C968" s="326"/>
      <c r="D968" s="274"/>
      <c r="E968" s="274"/>
      <c r="F968" s="328"/>
      <c r="G968" s="329"/>
    </row>
    <row r="969" ht="15.75" customHeight="1">
      <c r="A969" s="327"/>
      <c r="B969" s="327"/>
      <c r="C969" s="326"/>
      <c r="D969" s="274"/>
      <c r="E969" s="274"/>
      <c r="F969" s="328"/>
      <c r="G969" s="329"/>
    </row>
    <row r="970" ht="15.75" customHeight="1">
      <c r="A970" s="327"/>
      <c r="B970" s="327"/>
      <c r="C970" s="326"/>
      <c r="D970" s="274"/>
      <c r="E970" s="274"/>
      <c r="F970" s="328"/>
      <c r="G970" s="329"/>
    </row>
    <row r="971" ht="15.75" customHeight="1">
      <c r="A971" s="327"/>
      <c r="B971" s="327"/>
      <c r="C971" s="326"/>
      <c r="D971" s="274"/>
      <c r="E971" s="274"/>
      <c r="F971" s="328"/>
      <c r="G971" s="329"/>
    </row>
    <row r="972" ht="15.75" customHeight="1">
      <c r="A972" s="327"/>
      <c r="B972" s="327"/>
      <c r="C972" s="326"/>
      <c r="D972" s="274"/>
      <c r="E972" s="274"/>
      <c r="F972" s="328"/>
      <c r="G972" s="329"/>
    </row>
    <row r="973" ht="15.75" customHeight="1">
      <c r="A973" s="327"/>
      <c r="B973" s="327"/>
      <c r="C973" s="326"/>
      <c r="D973" s="274"/>
      <c r="E973" s="274"/>
      <c r="F973" s="328"/>
      <c r="G973" s="329"/>
    </row>
    <row r="974" ht="15.75" customHeight="1">
      <c r="A974" s="327"/>
      <c r="B974" s="327"/>
      <c r="C974" s="326"/>
      <c r="D974" s="274"/>
      <c r="E974" s="274"/>
      <c r="F974" s="328"/>
      <c r="G974" s="329"/>
    </row>
    <row r="975" ht="15.75" customHeight="1">
      <c r="A975" s="327"/>
      <c r="B975" s="327"/>
      <c r="C975" s="326"/>
      <c r="D975" s="274"/>
      <c r="E975" s="274"/>
      <c r="F975" s="328"/>
      <c r="G975" s="329"/>
    </row>
    <row r="976" ht="15.75" customHeight="1">
      <c r="A976" s="327"/>
      <c r="B976" s="327"/>
      <c r="C976" s="326"/>
      <c r="D976" s="274"/>
      <c r="E976" s="274"/>
      <c r="F976" s="328"/>
      <c r="G976" s="329"/>
    </row>
    <row r="977" ht="15.75" customHeight="1">
      <c r="A977" s="327"/>
      <c r="B977" s="327"/>
      <c r="C977" s="326"/>
      <c r="D977" s="274"/>
      <c r="E977" s="274"/>
      <c r="F977" s="328"/>
      <c r="G977" s="329"/>
    </row>
    <row r="978" ht="15.75" customHeight="1">
      <c r="A978" s="327"/>
      <c r="B978" s="327"/>
      <c r="C978" s="326"/>
      <c r="D978" s="274"/>
      <c r="E978" s="274"/>
      <c r="F978" s="328"/>
      <c r="G978" s="329"/>
    </row>
    <row r="979" ht="15.75" customHeight="1">
      <c r="A979" s="327"/>
      <c r="B979" s="327"/>
      <c r="C979" s="326"/>
      <c r="D979" s="274"/>
      <c r="E979" s="274"/>
      <c r="F979" s="328"/>
      <c r="G979" s="329"/>
    </row>
    <row r="980" ht="15.75" customHeight="1">
      <c r="A980" s="327"/>
      <c r="B980" s="327"/>
      <c r="C980" s="326"/>
      <c r="D980" s="274"/>
      <c r="E980" s="274"/>
      <c r="F980" s="328"/>
      <c r="G980" s="329"/>
    </row>
    <row r="981" ht="15.75" customHeight="1">
      <c r="A981" s="188"/>
      <c r="B981" s="188"/>
      <c r="C981" s="189"/>
      <c r="D981" s="332"/>
      <c r="E981" s="332"/>
      <c r="F981" s="237"/>
      <c r="G981" s="288"/>
    </row>
    <row r="982" ht="15.75" customHeight="1">
      <c r="A982" s="188"/>
      <c r="B982" s="188"/>
      <c r="C982" s="189"/>
      <c r="D982" s="332"/>
      <c r="E982" s="332"/>
      <c r="F982" s="237"/>
      <c r="G982" s="288"/>
    </row>
    <row r="983" ht="15.75" customHeight="1">
      <c r="A983" s="188"/>
      <c r="B983" s="188"/>
      <c r="C983" s="189"/>
      <c r="D983" s="332"/>
      <c r="E983" s="332"/>
      <c r="F983" s="237"/>
      <c r="G983" s="288"/>
    </row>
    <row r="984" ht="15.75" customHeight="1">
      <c r="A984" s="188"/>
      <c r="B984" s="188"/>
      <c r="C984" s="189"/>
      <c r="D984" s="332"/>
      <c r="E984" s="332"/>
      <c r="F984" s="237"/>
      <c r="G984" s="288"/>
    </row>
    <row r="985" ht="15.75" customHeight="1">
      <c r="A985" s="188"/>
      <c r="B985" s="188"/>
      <c r="C985" s="189"/>
      <c r="D985" s="332"/>
      <c r="E985" s="332"/>
      <c r="F985" s="237"/>
      <c r="G985" s="288"/>
    </row>
    <row r="986" ht="15.75" customHeight="1">
      <c r="A986" s="188"/>
      <c r="B986" s="188"/>
      <c r="C986" s="189"/>
      <c r="D986" s="332"/>
      <c r="E986" s="332"/>
      <c r="F986" s="237"/>
      <c r="G986" s="288"/>
    </row>
    <row r="987" ht="15.75" customHeight="1">
      <c r="A987" s="188"/>
      <c r="B987" s="188"/>
      <c r="C987" s="189"/>
      <c r="D987" s="332"/>
      <c r="E987" s="332"/>
      <c r="F987" s="237"/>
      <c r="G987" s="288"/>
    </row>
    <row r="988" ht="15.75" customHeight="1">
      <c r="A988" s="188"/>
      <c r="B988" s="188"/>
      <c r="C988" s="189"/>
      <c r="D988" s="332"/>
      <c r="E988" s="332"/>
      <c r="F988" s="237"/>
      <c r="G988" s="288"/>
    </row>
    <row r="989" ht="15.75" customHeight="1">
      <c r="A989" s="188"/>
      <c r="B989" s="188"/>
      <c r="C989" s="189"/>
      <c r="D989" s="332"/>
      <c r="E989" s="332"/>
      <c r="F989" s="237"/>
      <c r="G989" s="288"/>
    </row>
    <row r="990" ht="15.75" customHeight="1">
      <c r="A990" s="188"/>
      <c r="B990" s="188"/>
      <c r="C990" s="189"/>
      <c r="D990" s="332"/>
      <c r="E990" s="332"/>
      <c r="F990" s="237"/>
      <c r="G990" s="288"/>
    </row>
    <row r="991" ht="15.75" customHeight="1">
      <c r="A991" s="188"/>
      <c r="B991" s="188"/>
      <c r="C991" s="189"/>
      <c r="D991" s="332"/>
      <c r="E991" s="332"/>
      <c r="F991" s="237"/>
      <c r="G991" s="288"/>
    </row>
    <row r="992" ht="15.75" customHeight="1">
      <c r="A992" s="188"/>
      <c r="B992" s="188"/>
      <c r="C992" s="189"/>
      <c r="D992" s="332"/>
      <c r="E992" s="332"/>
      <c r="F992" s="237"/>
      <c r="G992" s="288"/>
    </row>
    <row r="993" ht="15.75" customHeight="1">
      <c r="A993" s="188"/>
      <c r="B993" s="188"/>
      <c r="C993" s="189"/>
      <c r="D993" s="332"/>
      <c r="E993" s="332"/>
      <c r="F993" s="237"/>
      <c r="G993" s="288"/>
    </row>
    <row r="994" ht="15.75" customHeight="1">
      <c r="A994" s="188"/>
      <c r="B994" s="188"/>
      <c r="C994" s="189"/>
      <c r="D994" s="332"/>
      <c r="E994" s="332"/>
      <c r="F994" s="237"/>
      <c r="G994" s="288"/>
    </row>
    <row r="995" ht="15.75" customHeight="1">
      <c r="A995" s="188"/>
      <c r="B995" s="188"/>
      <c r="C995" s="189"/>
      <c r="D995" s="332"/>
      <c r="E995" s="332"/>
      <c r="F995" s="237"/>
      <c r="G995" s="288"/>
    </row>
    <row r="996" ht="15.75" customHeight="1">
      <c r="A996" s="188"/>
      <c r="B996" s="188"/>
      <c r="C996" s="189"/>
      <c r="D996" s="332"/>
      <c r="E996" s="332"/>
      <c r="F996" s="237"/>
      <c r="G996" s="288"/>
    </row>
    <row r="997" ht="15.75" customHeight="1">
      <c r="A997" s="188"/>
      <c r="B997" s="188"/>
      <c r="C997" s="189"/>
      <c r="D997" s="332"/>
      <c r="E997" s="332"/>
      <c r="F997" s="237"/>
      <c r="G997" s="288"/>
    </row>
    <row r="998" ht="15.75" customHeight="1">
      <c r="A998" s="188"/>
      <c r="B998" s="188"/>
      <c r="C998" s="189"/>
      <c r="D998" s="332"/>
      <c r="E998" s="332"/>
      <c r="F998" s="237"/>
      <c r="G998" s="288"/>
    </row>
    <row r="999" ht="15.75" customHeight="1">
      <c r="A999" s="188"/>
      <c r="B999" s="188"/>
      <c r="C999" s="189"/>
      <c r="D999" s="332"/>
      <c r="E999" s="332"/>
      <c r="F999" s="237"/>
      <c r="G999" s="288"/>
    </row>
    <row r="1000" ht="15.75" customHeight="1">
      <c r="A1000" s="188"/>
      <c r="B1000" s="188"/>
      <c r="C1000" s="189"/>
      <c r="D1000" s="332"/>
      <c r="E1000" s="332"/>
      <c r="F1000" s="237"/>
      <c r="G1000" s="288"/>
    </row>
    <row r="1001" ht="15.75" customHeight="1">
      <c r="A1001" s="188"/>
      <c r="B1001" s="188"/>
      <c r="C1001" s="189"/>
      <c r="D1001" s="332"/>
      <c r="E1001" s="332"/>
      <c r="F1001" s="237"/>
      <c r="G1001" s="288"/>
    </row>
    <row r="1002" ht="15.75" customHeight="1">
      <c r="A1002" s="188"/>
      <c r="B1002" s="188"/>
      <c r="C1002" s="189"/>
      <c r="D1002" s="332"/>
      <c r="E1002" s="332"/>
      <c r="F1002" s="237"/>
      <c r="G1002" s="288"/>
    </row>
    <row r="1003" ht="15.75" customHeight="1">
      <c r="A1003" s="188"/>
      <c r="B1003" s="188"/>
      <c r="C1003" s="189"/>
      <c r="D1003" s="332"/>
      <c r="E1003" s="332"/>
      <c r="F1003" s="237"/>
      <c r="G1003" s="288"/>
    </row>
    <row r="1004" ht="15.75" customHeight="1">
      <c r="A1004" s="188"/>
      <c r="B1004" s="188"/>
      <c r="C1004" s="189"/>
      <c r="D1004" s="332"/>
      <c r="E1004" s="332"/>
      <c r="F1004" s="237"/>
      <c r="G1004" s="288"/>
    </row>
    <row r="1005" ht="15.75" customHeight="1">
      <c r="A1005" s="188"/>
      <c r="B1005" s="188"/>
      <c r="C1005" s="189"/>
      <c r="D1005" s="332"/>
      <c r="E1005" s="332"/>
      <c r="F1005" s="237"/>
      <c r="G1005" s="288"/>
    </row>
    <row r="1006" ht="15.75" customHeight="1">
      <c r="A1006" s="188"/>
      <c r="B1006" s="188"/>
      <c r="C1006" s="189"/>
      <c r="D1006" s="332"/>
      <c r="E1006" s="332"/>
      <c r="F1006" s="237"/>
      <c r="G1006" s="288"/>
    </row>
    <row r="1007" ht="15.75" customHeight="1">
      <c r="A1007" s="188"/>
      <c r="B1007" s="188"/>
      <c r="C1007" s="189"/>
      <c r="D1007" s="332"/>
      <c r="E1007" s="332"/>
      <c r="F1007" s="237"/>
      <c r="G1007" s="288"/>
    </row>
    <row r="1008" ht="15.75" customHeight="1">
      <c r="A1008" s="188"/>
      <c r="B1008" s="188"/>
      <c r="C1008" s="189"/>
      <c r="D1008" s="332"/>
      <c r="E1008" s="332"/>
      <c r="F1008" s="237"/>
      <c r="G1008" s="288"/>
    </row>
    <row r="1009" ht="15.75" customHeight="1">
      <c r="A1009" s="188"/>
      <c r="B1009" s="188"/>
      <c r="C1009" s="189"/>
      <c r="D1009" s="332"/>
      <c r="E1009" s="332"/>
      <c r="F1009" s="237"/>
      <c r="G1009" s="288"/>
    </row>
    <row r="1010" ht="15.75" customHeight="1">
      <c r="A1010" s="188"/>
      <c r="B1010" s="188"/>
      <c r="C1010" s="189"/>
      <c r="D1010" s="332"/>
      <c r="E1010" s="332"/>
      <c r="F1010" s="237"/>
      <c r="G1010" s="288"/>
    </row>
    <row r="1011" ht="15.75" customHeight="1">
      <c r="A1011" s="188"/>
      <c r="B1011" s="188"/>
      <c r="C1011" s="189"/>
      <c r="D1011" s="332"/>
      <c r="E1011" s="332"/>
      <c r="F1011" s="237"/>
      <c r="G1011" s="288"/>
    </row>
    <row r="1012" ht="15.75" customHeight="1">
      <c r="A1012" s="188"/>
      <c r="B1012" s="188"/>
      <c r="C1012" s="189"/>
      <c r="D1012" s="332"/>
      <c r="E1012" s="332"/>
      <c r="F1012" s="237"/>
      <c r="G1012" s="288"/>
    </row>
    <row r="1013" ht="15.75" customHeight="1">
      <c r="A1013" s="188"/>
      <c r="B1013" s="188"/>
      <c r="C1013" s="189"/>
      <c r="D1013" s="332"/>
      <c r="E1013" s="332"/>
      <c r="F1013" s="237"/>
      <c r="G1013" s="288"/>
    </row>
    <row r="1014" ht="15.75" customHeight="1">
      <c r="A1014" s="188"/>
      <c r="B1014" s="188"/>
      <c r="C1014" s="189"/>
      <c r="D1014" s="332"/>
      <c r="E1014" s="332"/>
      <c r="F1014" s="237"/>
      <c r="G1014" s="288"/>
    </row>
    <row r="1015" ht="15.75" customHeight="1">
      <c r="A1015" s="188"/>
      <c r="B1015" s="188"/>
      <c r="C1015" s="189"/>
      <c r="D1015" s="332"/>
      <c r="E1015" s="332"/>
      <c r="F1015" s="237"/>
      <c r="G1015" s="288"/>
    </row>
    <row r="1016" ht="15.75" customHeight="1">
      <c r="A1016" s="188"/>
      <c r="B1016" s="188"/>
      <c r="C1016" s="189"/>
      <c r="D1016" s="332"/>
      <c r="E1016" s="332"/>
      <c r="F1016" s="237"/>
      <c r="G1016" s="288"/>
    </row>
    <row r="1017" ht="15.75" customHeight="1">
      <c r="A1017" s="188"/>
      <c r="B1017" s="188"/>
      <c r="C1017" s="189"/>
      <c r="D1017" s="332"/>
      <c r="E1017" s="332"/>
      <c r="F1017" s="237"/>
      <c r="G1017" s="288"/>
    </row>
    <row r="1018" ht="15.75" customHeight="1">
      <c r="A1018" s="188"/>
      <c r="B1018" s="188"/>
      <c r="C1018" s="189"/>
      <c r="D1018" s="332"/>
      <c r="E1018" s="332"/>
      <c r="F1018" s="237"/>
      <c r="G1018" s="288"/>
    </row>
    <row r="1019" ht="15.75" customHeight="1">
      <c r="A1019" s="188"/>
      <c r="B1019" s="188"/>
      <c r="C1019" s="189"/>
      <c r="D1019" s="332"/>
      <c r="E1019" s="332"/>
      <c r="F1019" s="237"/>
      <c r="G1019" s="288"/>
    </row>
    <row r="1020" ht="15.75" customHeight="1">
      <c r="A1020" s="188"/>
      <c r="B1020" s="188"/>
      <c r="C1020" s="189"/>
      <c r="D1020" s="332"/>
      <c r="E1020" s="332"/>
      <c r="F1020" s="237"/>
      <c r="G1020" s="288"/>
    </row>
    <row r="1021" ht="15.75" customHeight="1">
      <c r="A1021" s="188"/>
      <c r="B1021" s="188"/>
      <c r="C1021" s="189"/>
      <c r="D1021" s="332"/>
      <c r="E1021" s="332"/>
      <c r="F1021" s="237"/>
      <c r="G1021" s="288"/>
    </row>
    <row r="1022" ht="15.75" customHeight="1">
      <c r="A1022" s="188"/>
      <c r="B1022" s="188"/>
      <c r="C1022" s="189"/>
      <c r="D1022" s="332"/>
      <c r="E1022" s="332"/>
      <c r="F1022" s="237"/>
      <c r="G1022" s="288"/>
    </row>
    <row r="1023" ht="15.75" customHeight="1">
      <c r="A1023" s="188"/>
      <c r="B1023" s="188"/>
      <c r="C1023" s="189"/>
      <c r="D1023" s="332"/>
      <c r="E1023" s="332"/>
      <c r="F1023" s="237"/>
      <c r="G1023" s="288"/>
    </row>
    <row r="1024" ht="15.75" customHeight="1">
      <c r="A1024" s="188"/>
      <c r="B1024" s="188"/>
      <c r="C1024" s="189"/>
      <c r="D1024" s="332"/>
      <c r="E1024" s="332"/>
      <c r="F1024" s="237"/>
      <c r="G1024" s="288"/>
    </row>
    <row r="1025" ht="15.75" customHeight="1">
      <c r="A1025" s="188"/>
      <c r="B1025" s="188"/>
      <c r="C1025" s="189"/>
      <c r="D1025" s="332"/>
      <c r="E1025" s="332"/>
      <c r="F1025" s="237"/>
      <c r="G1025" s="288"/>
    </row>
    <row r="1026" ht="15.75" customHeight="1">
      <c r="A1026" s="188"/>
      <c r="B1026" s="188"/>
      <c r="C1026" s="189"/>
      <c r="D1026" s="332"/>
      <c r="E1026" s="332"/>
      <c r="F1026" s="237"/>
      <c r="G1026" s="288"/>
    </row>
    <row r="1027" ht="15.75" customHeight="1">
      <c r="A1027" s="188"/>
      <c r="B1027" s="188"/>
      <c r="C1027" s="189"/>
      <c r="D1027" s="332"/>
      <c r="E1027" s="332"/>
      <c r="F1027" s="237"/>
      <c r="G1027" s="288"/>
    </row>
    <row r="1028" ht="15.75" customHeight="1">
      <c r="A1028" s="188"/>
      <c r="B1028" s="188"/>
      <c r="C1028" s="189"/>
      <c r="D1028" s="332"/>
      <c r="E1028" s="332"/>
      <c r="F1028" s="237"/>
      <c r="G1028" s="288"/>
    </row>
    <row r="1029" ht="15.75" customHeight="1">
      <c r="A1029" s="188"/>
      <c r="B1029" s="188"/>
      <c r="C1029" s="189"/>
      <c r="D1029" s="332"/>
      <c r="E1029" s="332"/>
      <c r="F1029" s="237"/>
      <c r="G1029" s="288"/>
    </row>
    <row r="1030" ht="15.75" customHeight="1">
      <c r="A1030" s="188"/>
      <c r="B1030" s="188"/>
      <c r="C1030" s="189"/>
      <c r="D1030" s="332"/>
      <c r="E1030" s="332"/>
      <c r="F1030" s="237"/>
      <c r="G1030" s="288"/>
    </row>
    <row r="1031" ht="15.75" customHeight="1">
      <c r="A1031" s="188"/>
      <c r="B1031" s="188"/>
      <c r="C1031" s="189"/>
      <c r="D1031" s="332"/>
      <c r="E1031" s="332"/>
      <c r="F1031" s="237"/>
      <c r="G1031" s="288"/>
    </row>
    <row r="1032" ht="15.75" customHeight="1">
      <c r="A1032" s="188"/>
      <c r="B1032" s="188"/>
      <c r="C1032" s="189"/>
      <c r="D1032" s="332"/>
      <c r="E1032" s="332"/>
      <c r="F1032" s="237"/>
      <c r="G1032" s="288"/>
    </row>
    <row r="1033" ht="15.75" customHeight="1">
      <c r="A1033" s="188"/>
      <c r="B1033" s="188"/>
      <c r="C1033" s="189"/>
      <c r="D1033" s="332"/>
      <c r="E1033" s="332"/>
      <c r="F1033" s="237"/>
      <c r="G1033" s="288"/>
    </row>
    <row r="1034" ht="15.75" customHeight="1">
      <c r="A1034" s="188"/>
      <c r="B1034" s="188"/>
      <c r="C1034" s="189"/>
      <c r="D1034" s="332"/>
      <c r="E1034" s="332"/>
      <c r="F1034" s="237"/>
      <c r="G1034" s="288"/>
    </row>
    <row r="1035" ht="15.75" customHeight="1">
      <c r="A1035" s="188"/>
      <c r="B1035" s="188"/>
      <c r="C1035" s="189"/>
      <c r="D1035" s="332"/>
      <c r="E1035" s="332"/>
      <c r="F1035" s="237"/>
      <c r="G1035" s="288"/>
    </row>
    <row r="1036" ht="15.75" customHeight="1">
      <c r="A1036" s="188"/>
      <c r="B1036" s="188"/>
      <c r="C1036" s="189"/>
      <c r="D1036" s="332"/>
      <c r="E1036" s="332"/>
      <c r="F1036" s="237"/>
      <c r="G1036" s="288"/>
    </row>
    <row r="1037" ht="15.75" customHeight="1">
      <c r="A1037" s="188"/>
      <c r="B1037" s="188"/>
      <c r="C1037" s="189"/>
      <c r="D1037" s="332"/>
      <c r="E1037" s="332"/>
      <c r="F1037" s="237"/>
      <c r="G1037" s="288"/>
    </row>
    <row r="1038" ht="15.75" customHeight="1">
      <c r="A1038" s="188"/>
      <c r="B1038" s="188"/>
      <c r="C1038" s="189"/>
      <c r="D1038" s="332"/>
      <c r="E1038" s="332"/>
      <c r="F1038" s="237"/>
      <c r="G1038" s="288"/>
    </row>
    <row r="1039" ht="15.75" customHeight="1">
      <c r="A1039" s="188"/>
      <c r="B1039" s="188"/>
      <c r="C1039" s="189"/>
      <c r="D1039" s="332"/>
      <c r="E1039" s="332"/>
      <c r="F1039" s="237"/>
      <c r="G1039" s="288"/>
    </row>
    <row r="1040" ht="15.75" customHeight="1">
      <c r="A1040" s="188"/>
      <c r="B1040" s="188"/>
      <c r="C1040" s="189"/>
      <c r="D1040" s="332"/>
      <c r="E1040" s="332"/>
      <c r="F1040" s="237"/>
      <c r="G1040" s="288"/>
    </row>
    <row r="1041" ht="15.75" customHeight="1">
      <c r="A1041" s="188"/>
      <c r="B1041" s="188"/>
      <c r="C1041" s="189"/>
      <c r="D1041" s="332"/>
      <c r="E1041" s="332"/>
      <c r="F1041" s="237"/>
      <c r="G1041" s="288"/>
    </row>
    <row r="1042" ht="15.75" customHeight="1">
      <c r="A1042" s="188"/>
      <c r="B1042" s="188"/>
      <c r="C1042" s="189"/>
      <c r="D1042" s="332"/>
      <c r="E1042" s="332"/>
      <c r="F1042" s="237"/>
      <c r="G1042" s="288"/>
    </row>
    <row r="1043" ht="15.75" customHeight="1">
      <c r="A1043" s="188"/>
      <c r="B1043" s="188"/>
      <c r="C1043" s="189"/>
      <c r="D1043" s="332"/>
      <c r="E1043" s="332"/>
      <c r="F1043" s="237"/>
      <c r="G1043" s="288"/>
    </row>
    <row r="1044" ht="15.75" customHeight="1">
      <c r="A1044" s="188"/>
      <c r="B1044" s="188"/>
      <c r="C1044" s="189"/>
      <c r="D1044" s="332"/>
      <c r="E1044" s="332"/>
      <c r="F1044" s="237"/>
      <c r="G1044" s="288"/>
    </row>
    <row r="1045" ht="15.75" customHeight="1">
      <c r="A1045" s="188"/>
      <c r="B1045" s="188"/>
      <c r="C1045" s="189"/>
      <c r="D1045" s="332"/>
      <c r="E1045" s="332"/>
      <c r="F1045" s="237"/>
      <c r="G1045" s="288"/>
    </row>
    <row r="1046" ht="15.75" customHeight="1">
      <c r="A1046" s="188"/>
      <c r="B1046" s="188"/>
      <c r="C1046" s="189"/>
      <c r="D1046" s="332"/>
      <c r="E1046" s="332"/>
      <c r="F1046" s="237"/>
      <c r="G1046" s="288"/>
    </row>
    <row r="1047" ht="15.75" customHeight="1">
      <c r="A1047" s="188"/>
      <c r="B1047" s="188"/>
      <c r="C1047" s="189"/>
      <c r="D1047" s="332"/>
      <c r="E1047" s="332"/>
      <c r="F1047" s="237"/>
      <c r="G1047" s="288"/>
    </row>
    <row r="1048" ht="15.75" customHeight="1">
      <c r="A1048" s="188"/>
      <c r="B1048" s="188"/>
      <c r="C1048" s="189"/>
      <c r="D1048" s="332"/>
      <c r="E1048" s="332"/>
      <c r="F1048" s="237"/>
      <c r="G1048" s="288"/>
    </row>
    <row r="1049" ht="15.75" customHeight="1">
      <c r="A1049" s="188"/>
      <c r="B1049" s="188"/>
      <c r="C1049" s="189"/>
      <c r="D1049" s="332"/>
      <c r="E1049" s="332"/>
      <c r="F1049" s="237"/>
      <c r="G1049" s="288"/>
    </row>
    <row r="1050" ht="15.75" customHeight="1">
      <c r="A1050" s="188"/>
      <c r="B1050" s="188"/>
      <c r="C1050" s="189"/>
      <c r="D1050" s="332"/>
      <c r="E1050" s="332"/>
      <c r="F1050" s="237"/>
      <c r="G1050" s="288"/>
    </row>
    <row r="1051" ht="15.75" customHeight="1">
      <c r="A1051" s="188"/>
      <c r="B1051" s="188"/>
      <c r="C1051" s="189"/>
      <c r="D1051" s="332"/>
      <c r="E1051" s="332"/>
      <c r="F1051" s="237"/>
      <c r="G1051" s="288"/>
    </row>
    <row r="1052" ht="15.75" customHeight="1">
      <c r="A1052" s="188"/>
      <c r="B1052" s="188"/>
      <c r="C1052" s="189"/>
      <c r="D1052" s="332"/>
      <c r="E1052" s="332"/>
      <c r="F1052" s="237"/>
      <c r="G1052" s="288"/>
    </row>
    <row r="1053" ht="15.75" customHeight="1">
      <c r="A1053" s="188"/>
      <c r="B1053" s="188"/>
      <c r="C1053" s="189"/>
      <c r="D1053" s="332"/>
      <c r="E1053" s="332"/>
      <c r="F1053" s="237"/>
      <c r="G1053" s="288"/>
    </row>
    <row r="1054" ht="15.75" customHeight="1">
      <c r="A1054" s="188"/>
      <c r="B1054" s="188"/>
      <c r="C1054" s="189"/>
      <c r="D1054" s="332"/>
      <c r="E1054" s="332"/>
      <c r="F1054" s="237"/>
      <c r="G1054" s="288"/>
    </row>
    <row r="1055" ht="15.75" customHeight="1">
      <c r="A1055" s="188"/>
      <c r="B1055" s="188"/>
      <c r="C1055" s="189"/>
      <c r="D1055" s="332"/>
      <c r="E1055" s="332"/>
      <c r="F1055" s="237"/>
      <c r="G1055" s="288"/>
    </row>
    <row r="1056" ht="15.75" customHeight="1">
      <c r="A1056" s="188"/>
      <c r="B1056" s="188"/>
      <c r="C1056" s="189"/>
      <c r="D1056" s="332"/>
      <c r="E1056" s="332"/>
      <c r="F1056" s="237"/>
      <c r="G1056" s="288"/>
    </row>
    <row r="1057" ht="15.75" customHeight="1">
      <c r="A1057" s="188"/>
      <c r="B1057" s="188"/>
      <c r="C1057" s="189"/>
      <c r="D1057" s="332"/>
      <c r="E1057" s="332"/>
      <c r="F1057" s="237"/>
      <c r="G1057" s="288"/>
    </row>
    <row r="1058" ht="15.75" customHeight="1">
      <c r="A1058" s="188"/>
      <c r="B1058" s="188"/>
      <c r="C1058" s="189"/>
      <c r="D1058" s="332"/>
      <c r="E1058" s="332"/>
      <c r="F1058" s="237"/>
      <c r="G1058" s="288"/>
    </row>
    <row r="1059" ht="15.75" customHeight="1">
      <c r="A1059" s="188"/>
      <c r="B1059" s="188"/>
      <c r="C1059" s="189"/>
      <c r="D1059" s="332"/>
      <c r="E1059" s="332"/>
      <c r="F1059" s="237"/>
      <c r="G1059" s="288"/>
    </row>
    <row r="1060" ht="15.75" customHeight="1">
      <c r="A1060" s="188"/>
      <c r="B1060" s="188"/>
      <c r="C1060" s="189"/>
      <c r="D1060" s="332"/>
      <c r="E1060" s="332"/>
      <c r="F1060" s="237"/>
      <c r="G1060" s="288"/>
    </row>
    <row r="1061" ht="15.75" customHeight="1">
      <c r="A1061" s="188"/>
      <c r="B1061" s="188"/>
      <c r="C1061" s="189"/>
      <c r="D1061" s="332"/>
      <c r="E1061" s="332"/>
      <c r="F1061" s="237"/>
      <c r="G1061" s="288"/>
    </row>
    <row r="1062" ht="15.75" customHeight="1">
      <c r="A1062" s="188"/>
      <c r="B1062" s="188"/>
      <c r="C1062" s="189"/>
      <c r="D1062" s="332"/>
      <c r="E1062" s="332"/>
      <c r="F1062" s="237"/>
      <c r="G1062" s="288"/>
    </row>
    <row r="1063" ht="15.75" customHeight="1">
      <c r="A1063" s="188"/>
      <c r="B1063" s="188"/>
      <c r="C1063" s="189"/>
      <c r="D1063" s="332"/>
      <c r="E1063" s="332"/>
      <c r="F1063" s="237"/>
      <c r="G1063" s="288"/>
    </row>
    <row r="1064" ht="15.75" customHeight="1">
      <c r="A1064" s="188"/>
      <c r="B1064" s="188"/>
      <c r="C1064" s="189"/>
      <c r="D1064" s="332"/>
      <c r="E1064" s="332"/>
      <c r="F1064" s="237"/>
      <c r="G1064" s="288"/>
    </row>
    <row r="1065" ht="15.75" customHeight="1">
      <c r="A1065" s="188"/>
      <c r="B1065" s="188"/>
      <c r="C1065" s="189"/>
      <c r="D1065" s="332"/>
      <c r="E1065" s="332"/>
      <c r="F1065" s="237"/>
      <c r="G1065" s="288"/>
    </row>
    <row r="1066" ht="15.75" customHeight="1">
      <c r="A1066" s="188"/>
      <c r="B1066" s="188"/>
      <c r="C1066" s="189"/>
      <c r="D1066" s="332"/>
      <c r="E1066" s="332"/>
      <c r="F1066" s="237"/>
      <c r="G1066" s="288"/>
    </row>
    <row r="1067" ht="15.75" customHeight="1">
      <c r="A1067" s="188"/>
      <c r="B1067" s="188"/>
      <c r="C1067" s="189"/>
      <c r="D1067" s="332"/>
      <c r="E1067" s="332"/>
      <c r="F1067" s="237"/>
      <c r="G1067" s="288"/>
    </row>
    <row r="1068" ht="15.75" customHeight="1">
      <c r="A1068" s="188"/>
      <c r="B1068" s="188"/>
      <c r="C1068" s="189"/>
      <c r="D1068" s="332"/>
      <c r="E1068" s="332"/>
      <c r="F1068" s="237"/>
      <c r="G1068" s="288"/>
    </row>
    <row r="1069" ht="15.75" customHeight="1">
      <c r="A1069" s="188"/>
      <c r="B1069" s="188"/>
      <c r="C1069" s="189"/>
      <c r="D1069" s="332"/>
      <c r="E1069" s="332"/>
      <c r="F1069" s="237"/>
      <c r="G1069" s="288"/>
    </row>
    <row r="1070" ht="15.75" customHeight="1">
      <c r="A1070" s="188"/>
      <c r="B1070" s="188"/>
      <c r="C1070" s="189"/>
      <c r="D1070" s="332"/>
      <c r="E1070" s="332"/>
      <c r="F1070" s="237"/>
      <c r="G1070" s="288"/>
    </row>
    <row r="1071" ht="15.75" customHeight="1">
      <c r="A1071" s="188"/>
      <c r="B1071" s="188"/>
      <c r="C1071" s="189"/>
      <c r="D1071" s="332"/>
      <c r="E1071" s="332"/>
      <c r="F1071" s="237"/>
      <c r="G1071" s="288"/>
    </row>
    <row r="1072" ht="15.75" customHeight="1">
      <c r="A1072" s="188"/>
      <c r="B1072" s="188"/>
      <c r="C1072" s="189"/>
      <c r="D1072" s="332"/>
      <c r="E1072" s="332"/>
      <c r="F1072" s="237"/>
      <c r="G1072" s="288"/>
    </row>
    <row r="1073" ht="15.75" customHeight="1">
      <c r="A1073" s="188"/>
      <c r="B1073" s="188"/>
      <c r="C1073" s="189"/>
      <c r="D1073" s="332"/>
      <c r="E1073" s="332"/>
      <c r="F1073" s="237"/>
      <c r="G1073" s="288"/>
    </row>
    <row r="1074" ht="15.75" customHeight="1">
      <c r="A1074" s="188"/>
      <c r="B1074" s="188"/>
      <c r="C1074" s="189"/>
      <c r="D1074" s="332"/>
      <c r="E1074" s="332"/>
      <c r="F1074" s="237"/>
      <c r="G1074" s="288"/>
    </row>
    <row r="1075" ht="15.75" customHeight="1">
      <c r="A1075" s="188"/>
      <c r="B1075" s="188"/>
      <c r="C1075" s="189"/>
      <c r="D1075" s="332"/>
      <c r="E1075" s="332"/>
      <c r="F1075" s="237"/>
      <c r="G1075" s="288"/>
    </row>
    <row r="1076" ht="15.75" customHeight="1">
      <c r="A1076" s="188"/>
      <c r="B1076" s="188"/>
      <c r="C1076" s="189"/>
      <c r="D1076" s="332"/>
      <c r="E1076" s="332"/>
      <c r="F1076" s="237"/>
      <c r="G1076" s="288"/>
    </row>
    <row r="1077" ht="15.75" customHeight="1">
      <c r="A1077" s="188"/>
      <c r="B1077" s="188"/>
      <c r="C1077" s="189"/>
      <c r="D1077" s="332"/>
      <c r="E1077" s="332"/>
      <c r="F1077" s="237"/>
      <c r="G1077" s="288"/>
    </row>
    <row r="1078" ht="15.75" customHeight="1">
      <c r="A1078" s="188"/>
      <c r="B1078" s="188"/>
      <c r="C1078" s="189"/>
      <c r="D1078" s="332"/>
      <c r="E1078" s="332"/>
      <c r="F1078" s="237"/>
      <c r="G1078" s="288"/>
    </row>
    <row r="1079" ht="15.75" customHeight="1">
      <c r="A1079" s="188"/>
      <c r="B1079" s="188"/>
      <c r="C1079" s="189"/>
      <c r="D1079" s="332"/>
      <c r="E1079" s="332"/>
      <c r="F1079" s="237"/>
      <c r="G1079" s="288"/>
    </row>
    <row r="1080" ht="15.75" customHeight="1">
      <c r="A1080" s="188"/>
      <c r="B1080" s="188"/>
      <c r="C1080" s="189"/>
      <c r="D1080" s="332"/>
      <c r="E1080" s="332"/>
      <c r="F1080" s="237"/>
      <c r="G1080" s="288"/>
    </row>
    <row r="1081" ht="15.75" customHeight="1">
      <c r="A1081" s="188"/>
      <c r="B1081" s="188"/>
      <c r="C1081" s="189"/>
      <c r="D1081" s="332"/>
      <c r="E1081" s="332"/>
      <c r="F1081" s="237"/>
      <c r="G1081" s="288"/>
    </row>
    <row r="1082" ht="15.75" customHeight="1">
      <c r="A1082" s="188"/>
      <c r="B1082" s="188"/>
      <c r="C1082" s="189"/>
      <c r="D1082" s="332"/>
      <c r="E1082" s="332"/>
      <c r="F1082" s="237"/>
      <c r="G1082" s="288"/>
    </row>
    <row r="1083" ht="15.75" customHeight="1">
      <c r="A1083" s="188"/>
      <c r="B1083" s="188"/>
      <c r="C1083" s="189"/>
      <c r="D1083" s="332"/>
      <c r="E1083" s="332"/>
      <c r="F1083" s="237"/>
      <c r="G1083" s="288"/>
    </row>
    <row r="1084" ht="15.75" customHeight="1">
      <c r="A1084" s="188"/>
      <c r="B1084" s="188"/>
      <c r="C1084" s="189"/>
      <c r="D1084" s="332"/>
      <c r="E1084" s="332"/>
      <c r="F1084" s="237"/>
      <c r="G1084" s="288"/>
    </row>
    <row r="1085" ht="15.75" customHeight="1">
      <c r="A1085" s="188"/>
      <c r="B1085" s="188"/>
      <c r="C1085" s="189"/>
      <c r="D1085" s="332"/>
      <c r="E1085" s="332"/>
      <c r="F1085" s="237"/>
      <c r="G1085" s="288"/>
    </row>
    <row r="1086" ht="15.75" customHeight="1">
      <c r="A1086" s="188"/>
      <c r="B1086" s="188"/>
      <c r="C1086" s="189"/>
      <c r="D1086" s="332"/>
      <c r="E1086" s="332"/>
      <c r="F1086" s="237"/>
      <c r="G1086" s="288"/>
    </row>
    <row r="1087" ht="15.75" customHeight="1">
      <c r="A1087" s="188"/>
      <c r="B1087" s="188"/>
      <c r="C1087" s="189"/>
      <c r="D1087" s="332"/>
      <c r="E1087" s="332"/>
      <c r="F1087" s="237"/>
      <c r="G1087" s="288"/>
    </row>
    <row r="1088" ht="15.75" customHeight="1">
      <c r="A1088" s="188"/>
      <c r="B1088" s="188"/>
      <c r="C1088" s="189"/>
      <c r="D1088" s="332"/>
      <c r="E1088" s="332"/>
      <c r="F1088" s="237"/>
      <c r="G1088" s="288"/>
    </row>
    <row r="1089" ht="15.75" customHeight="1">
      <c r="A1089" s="188"/>
      <c r="B1089" s="188"/>
      <c r="C1089" s="189"/>
      <c r="D1089" s="332"/>
      <c r="E1089" s="332"/>
      <c r="F1089" s="237"/>
      <c r="G1089" s="288"/>
    </row>
    <row r="1090" ht="15.75" customHeight="1">
      <c r="A1090" s="188"/>
      <c r="B1090" s="188"/>
      <c r="C1090" s="189"/>
      <c r="D1090" s="332"/>
      <c r="E1090" s="332"/>
      <c r="F1090" s="237"/>
      <c r="G1090" s="288"/>
    </row>
    <row r="1091" ht="15.75" customHeight="1">
      <c r="A1091" s="188"/>
      <c r="B1091" s="188"/>
      <c r="C1091" s="189"/>
      <c r="D1091" s="332"/>
      <c r="E1091" s="332"/>
      <c r="F1091" s="237"/>
      <c r="G1091" s="288"/>
    </row>
    <row r="1092" ht="15.75" customHeight="1">
      <c r="A1092" s="188"/>
      <c r="B1092" s="188"/>
      <c r="C1092" s="189"/>
      <c r="D1092" s="332"/>
      <c r="E1092" s="332"/>
      <c r="F1092" s="237"/>
      <c r="G1092" s="288"/>
    </row>
    <row r="1093" ht="15.75" customHeight="1">
      <c r="A1093" s="188"/>
      <c r="B1093" s="188"/>
      <c r="C1093" s="189"/>
      <c r="D1093" s="332"/>
      <c r="E1093" s="332"/>
      <c r="F1093" s="237"/>
      <c r="G1093" s="288"/>
    </row>
    <row r="1094" ht="15.75" customHeight="1">
      <c r="A1094" s="188"/>
      <c r="B1094" s="188"/>
      <c r="C1094" s="189"/>
      <c r="D1094" s="332"/>
      <c r="E1094" s="332"/>
      <c r="F1094" s="237"/>
      <c r="G1094" s="288"/>
    </row>
    <row r="1095" ht="15.75" customHeight="1">
      <c r="A1095" s="188"/>
      <c r="B1095" s="188"/>
      <c r="C1095" s="189"/>
      <c r="D1095" s="332"/>
      <c r="E1095" s="332"/>
      <c r="F1095" s="237"/>
      <c r="G1095" s="288"/>
    </row>
    <row r="1096" ht="15.75" customHeight="1">
      <c r="A1096" s="188"/>
      <c r="B1096" s="188"/>
      <c r="C1096" s="189"/>
      <c r="D1096" s="332"/>
      <c r="E1096" s="332"/>
      <c r="F1096" s="237"/>
      <c r="G1096" s="288"/>
    </row>
    <row r="1097" ht="15.75" customHeight="1">
      <c r="A1097" s="188"/>
      <c r="B1097" s="188"/>
      <c r="C1097" s="189"/>
      <c r="D1097" s="332"/>
      <c r="E1097" s="332"/>
      <c r="F1097" s="237"/>
      <c r="G1097" s="288"/>
    </row>
    <row r="1098" ht="15.75" customHeight="1">
      <c r="A1098" s="188"/>
      <c r="B1098" s="188"/>
      <c r="C1098" s="189"/>
      <c r="D1098" s="332"/>
      <c r="E1098" s="332"/>
      <c r="F1098" s="237"/>
      <c r="G1098" s="288"/>
    </row>
    <row r="1099" ht="15.75" customHeight="1">
      <c r="A1099" s="188"/>
      <c r="B1099" s="188"/>
      <c r="C1099" s="189"/>
      <c r="D1099" s="332"/>
      <c r="E1099" s="332"/>
      <c r="F1099" s="237"/>
      <c r="G1099" s="288"/>
    </row>
    <row r="1100" ht="15.75" customHeight="1">
      <c r="A1100" s="188"/>
      <c r="B1100" s="188"/>
      <c r="C1100" s="189"/>
      <c r="D1100" s="332"/>
      <c r="E1100" s="332"/>
      <c r="F1100" s="237"/>
      <c r="G1100" s="288"/>
    </row>
    <row r="1101" ht="15.75" customHeight="1">
      <c r="A1101" s="188"/>
      <c r="B1101" s="188"/>
      <c r="C1101" s="189"/>
      <c r="D1101" s="332"/>
      <c r="E1101" s="332"/>
      <c r="F1101" s="237"/>
      <c r="G1101" s="288"/>
    </row>
    <row r="1102" ht="15.75" customHeight="1">
      <c r="A1102" s="188"/>
      <c r="B1102" s="188"/>
      <c r="C1102" s="189"/>
      <c r="D1102" s="332"/>
      <c r="E1102" s="332"/>
      <c r="F1102" s="237"/>
      <c r="G1102" s="288"/>
    </row>
    <row r="1103" ht="15.75" customHeight="1">
      <c r="A1103" s="188"/>
      <c r="B1103" s="188"/>
      <c r="C1103" s="189"/>
      <c r="D1103" s="332"/>
      <c r="E1103" s="332"/>
      <c r="F1103" s="237"/>
      <c r="G1103" s="288"/>
    </row>
    <row r="1104" ht="15.75" customHeight="1">
      <c r="A1104" s="188"/>
      <c r="B1104" s="188"/>
      <c r="C1104" s="189"/>
      <c r="D1104" s="332"/>
      <c r="E1104" s="332"/>
      <c r="F1104" s="237"/>
      <c r="G1104" s="288"/>
    </row>
    <row r="1105" ht="15.75" customHeight="1">
      <c r="A1105" s="188"/>
      <c r="B1105" s="188"/>
      <c r="C1105" s="189"/>
      <c r="D1105" s="332"/>
      <c r="E1105" s="332"/>
      <c r="F1105" s="237"/>
      <c r="G1105" s="288"/>
    </row>
    <row r="1106" ht="15.75" customHeight="1">
      <c r="A1106" s="188"/>
      <c r="B1106" s="188"/>
      <c r="C1106" s="189"/>
      <c r="D1106" s="332"/>
      <c r="E1106" s="332"/>
      <c r="F1106" s="237"/>
      <c r="G1106" s="288"/>
    </row>
    <row r="1107" ht="15.75" customHeight="1">
      <c r="A1107" s="188"/>
      <c r="B1107" s="188"/>
      <c r="C1107" s="189"/>
      <c r="D1107" s="332"/>
      <c r="E1107" s="332"/>
      <c r="F1107" s="237"/>
      <c r="G1107" s="288"/>
    </row>
    <row r="1108" ht="15.75" customHeight="1">
      <c r="A1108" s="188"/>
      <c r="B1108" s="188"/>
      <c r="C1108" s="189"/>
      <c r="D1108" s="332"/>
      <c r="E1108" s="332"/>
      <c r="F1108" s="237"/>
      <c r="G1108" s="288"/>
    </row>
    <row r="1109" ht="15.75" customHeight="1">
      <c r="A1109" s="188"/>
      <c r="B1109" s="188"/>
      <c r="C1109" s="189"/>
      <c r="D1109" s="332"/>
      <c r="E1109" s="332"/>
      <c r="F1109" s="237"/>
      <c r="G1109" s="288"/>
    </row>
    <row r="1110" ht="15.75" customHeight="1">
      <c r="A1110" s="188"/>
      <c r="B1110" s="188"/>
      <c r="C1110" s="189"/>
      <c r="D1110" s="332"/>
      <c r="E1110" s="332"/>
      <c r="F1110" s="237"/>
      <c r="G1110" s="288"/>
    </row>
    <row r="1111" ht="15.75" customHeight="1">
      <c r="A1111" s="188"/>
      <c r="B1111" s="188"/>
      <c r="C1111" s="189"/>
      <c r="D1111" s="332"/>
      <c r="E1111" s="332"/>
      <c r="F1111" s="237"/>
      <c r="G1111" s="288"/>
    </row>
    <row r="1112" ht="15.75" customHeight="1">
      <c r="A1112" s="188"/>
      <c r="B1112" s="188"/>
      <c r="C1112" s="189"/>
      <c r="D1112" s="332"/>
      <c r="E1112" s="332"/>
      <c r="F1112" s="237"/>
      <c r="G1112" s="288"/>
    </row>
    <row r="1113" ht="15.75" customHeight="1">
      <c r="A1113" s="188"/>
      <c r="B1113" s="188"/>
      <c r="C1113" s="189"/>
      <c r="D1113" s="332"/>
      <c r="E1113" s="332"/>
      <c r="F1113" s="237"/>
      <c r="G1113" s="288"/>
    </row>
    <row r="1114" ht="15.75" customHeight="1">
      <c r="A1114" s="188"/>
      <c r="B1114" s="188"/>
      <c r="C1114" s="189"/>
      <c r="D1114" s="332"/>
      <c r="E1114" s="332"/>
      <c r="F1114" s="237"/>
      <c r="G1114" s="288"/>
    </row>
    <row r="1115" ht="15.75" customHeight="1">
      <c r="A1115" s="188"/>
      <c r="B1115" s="188"/>
      <c r="C1115" s="189"/>
      <c r="D1115" s="332"/>
      <c r="E1115" s="332"/>
      <c r="F1115" s="237"/>
      <c r="G1115" s="288"/>
    </row>
    <row r="1116" ht="15.75" customHeight="1">
      <c r="A1116" s="188"/>
      <c r="B1116" s="188"/>
      <c r="C1116" s="189"/>
      <c r="D1116" s="332"/>
      <c r="E1116" s="332"/>
      <c r="F1116" s="237"/>
      <c r="G1116" s="288"/>
    </row>
    <row r="1117" ht="15.75" customHeight="1">
      <c r="A1117" s="188"/>
      <c r="B1117" s="188"/>
      <c r="C1117" s="189"/>
      <c r="D1117" s="332"/>
      <c r="E1117" s="332"/>
      <c r="F1117" s="237"/>
      <c r="G1117" s="288"/>
    </row>
    <row r="1118" ht="15.75" customHeight="1">
      <c r="A1118" s="188"/>
      <c r="B1118" s="188"/>
      <c r="C1118" s="189"/>
      <c r="D1118" s="332"/>
      <c r="E1118" s="332"/>
      <c r="F1118" s="237"/>
      <c r="G1118" s="288"/>
    </row>
    <row r="1119" ht="15.75" customHeight="1">
      <c r="A1119" s="188"/>
      <c r="B1119" s="188"/>
      <c r="C1119" s="189"/>
      <c r="D1119" s="332"/>
      <c r="E1119" s="332"/>
      <c r="F1119" s="237"/>
      <c r="G1119" s="288"/>
    </row>
    <row r="1120" ht="15.75" customHeight="1">
      <c r="A1120" s="188"/>
      <c r="B1120" s="188"/>
      <c r="C1120" s="189"/>
      <c r="D1120" s="332"/>
      <c r="E1120" s="332"/>
      <c r="F1120" s="237"/>
      <c r="G1120" s="288"/>
    </row>
    <row r="1121" ht="15.75" customHeight="1">
      <c r="A1121" s="188"/>
      <c r="B1121" s="188"/>
      <c r="C1121" s="189"/>
      <c r="D1121" s="332"/>
      <c r="E1121" s="332"/>
      <c r="F1121" s="237"/>
      <c r="G1121" s="288"/>
    </row>
    <row r="1122" ht="15.75" customHeight="1">
      <c r="A1122" s="188"/>
      <c r="B1122" s="188"/>
      <c r="C1122" s="189"/>
      <c r="D1122" s="332"/>
      <c r="E1122" s="332"/>
      <c r="F1122" s="237"/>
      <c r="G1122" s="288"/>
    </row>
    <row r="1123" ht="15.75" customHeight="1">
      <c r="A1123" s="188"/>
      <c r="B1123" s="188"/>
      <c r="C1123" s="189"/>
      <c r="D1123" s="332"/>
      <c r="E1123" s="332"/>
      <c r="F1123" s="237"/>
      <c r="G1123" s="288"/>
    </row>
    <row r="1124" ht="15.75" customHeight="1">
      <c r="A1124" s="188"/>
      <c r="B1124" s="188"/>
      <c r="C1124" s="189"/>
      <c r="D1124" s="332"/>
      <c r="E1124" s="332"/>
      <c r="F1124" s="237"/>
      <c r="G1124" s="288"/>
    </row>
    <row r="1125" ht="15.75" customHeight="1">
      <c r="A1125" s="188"/>
      <c r="B1125" s="188"/>
      <c r="C1125" s="189"/>
      <c r="D1125" s="332"/>
      <c r="E1125" s="332"/>
      <c r="F1125" s="237"/>
      <c r="G1125" s="288"/>
    </row>
    <row r="1126" ht="15.75" customHeight="1">
      <c r="A1126" s="188"/>
      <c r="B1126" s="188"/>
      <c r="C1126" s="189"/>
      <c r="D1126" s="332"/>
      <c r="E1126" s="332"/>
      <c r="F1126" s="237"/>
      <c r="G1126" s="288"/>
    </row>
    <row r="1127" ht="15.75" customHeight="1">
      <c r="A1127" s="188"/>
      <c r="B1127" s="188"/>
      <c r="C1127" s="189"/>
      <c r="D1127" s="332"/>
      <c r="E1127" s="332"/>
      <c r="F1127" s="237"/>
      <c r="G1127" s="288"/>
    </row>
    <row r="1128" ht="15.75" customHeight="1">
      <c r="A1128" s="188"/>
      <c r="B1128" s="188"/>
      <c r="C1128" s="189"/>
      <c r="D1128" s="332"/>
      <c r="E1128" s="332"/>
      <c r="F1128" s="237"/>
      <c r="G1128" s="288"/>
    </row>
    <row r="1129" ht="15.75" customHeight="1">
      <c r="A1129" s="188"/>
      <c r="B1129" s="188"/>
      <c r="C1129" s="189"/>
      <c r="D1129" s="332"/>
      <c r="E1129" s="332"/>
      <c r="F1129" s="237"/>
      <c r="G1129" s="288"/>
    </row>
    <row r="1130" ht="15.75" customHeight="1">
      <c r="A1130" s="188"/>
      <c r="B1130" s="188"/>
      <c r="C1130" s="189"/>
      <c r="D1130" s="332"/>
      <c r="E1130" s="332"/>
      <c r="F1130" s="237"/>
      <c r="G1130" s="288"/>
    </row>
    <row r="1131" ht="15.75" customHeight="1">
      <c r="A1131" s="188"/>
      <c r="B1131" s="188"/>
      <c r="C1131" s="189"/>
      <c r="D1131" s="332"/>
      <c r="E1131" s="332"/>
      <c r="F1131" s="237"/>
      <c r="G1131" s="288"/>
    </row>
    <row r="1132" ht="15.75" customHeight="1">
      <c r="A1132" s="188"/>
      <c r="B1132" s="188"/>
      <c r="C1132" s="189"/>
      <c r="D1132" s="332"/>
      <c r="E1132" s="332"/>
      <c r="F1132" s="237"/>
      <c r="G1132" s="288"/>
    </row>
    <row r="1133" ht="15.75" customHeight="1">
      <c r="A1133" s="188"/>
      <c r="B1133" s="188"/>
      <c r="C1133" s="189"/>
      <c r="D1133" s="332"/>
      <c r="E1133" s="332"/>
      <c r="F1133" s="237"/>
      <c r="G1133" s="288"/>
    </row>
    <row r="1134" ht="15.75" customHeight="1">
      <c r="A1134" s="188"/>
      <c r="B1134" s="188"/>
      <c r="C1134" s="189"/>
      <c r="D1134" s="332"/>
      <c r="E1134" s="332"/>
      <c r="F1134" s="237"/>
      <c r="G1134" s="288"/>
    </row>
    <row r="1135" ht="15.75" customHeight="1">
      <c r="A1135" s="188"/>
      <c r="B1135" s="188"/>
      <c r="C1135" s="189"/>
      <c r="D1135" s="332"/>
      <c r="E1135" s="332"/>
      <c r="F1135" s="237"/>
      <c r="G1135" s="288"/>
    </row>
    <row r="1136" ht="15.75" customHeight="1">
      <c r="A1136" s="188"/>
      <c r="B1136" s="188"/>
      <c r="C1136" s="189"/>
      <c r="D1136" s="332"/>
      <c r="E1136" s="332"/>
      <c r="F1136" s="237"/>
      <c r="G1136" s="288"/>
    </row>
    <row r="1137" ht="15.75" customHeight="1">
      <c r="A1137" s="188"/>
      <c r="B1137" s="188"/>
      <c r="C1137" s="189"/>
      <c r="D1137" s="332"/>
      <c r="E1137" s="332"/>
      <c r="F1137" s="237"/>
      <c r="G1137" s="288"/>
    </row>
    <row r="1138" ht="15.75" customHeight="1">
      <c r="A1138" s="188"/>
      <c r="B1138" s="188"/>
      <c r="C1138" s="189"/>
      <c r="D1138" s="332"/>
      <c r="E1138" s="332"/>
      <c r="F1138" s="237"/>
      <c r="G1138" s="288"/>
    </row>
    <row r="1139" ht="15.75" customHeight="1">
      <c r="A1139" s="188"/>
      <c r="B1139" s="188"/>
      <c r="C1139" s="189"/>
      <c r="D1139" s="332"/>
      <c r="E1139" s="332"/>
      <c r="F1139" s="237"/>
      <c r="G1139" s="288"/>
    </row>
    <row r="1140" ht="15.75" customHeight="1">
      <c r="A1140" s="188"/>
      <c r="B1140" s="188"/>
      <c r="C1140" s="189"/>
      <c r="D1140" s="332"/>
      <c r="E1140" s="332"/>
      <c r="F1140" s="237"/>
      <c r="G1140" s="288"/>
    </row>
    <row r="1141" ht="15.75" customHeight="1">
      <c r="A1141" s="188"/>
      <c r="B1141" s="188"/>
      <c r="C1141" s="189"/>
      <c r="D1141" s="332"/>
      <c r="E1141" s="332"/>
      <c r="F1141" s="237"/>
      <c r="G1141" s="288"/>
    </row>
    <row r="1142" ht="15.75" customHeight="1">
      <c r="A1142" s="188"/>
      <c r="B1142" s="188"/>
      <c r="C1142" s="189"/>
      <c r="D1142" s="332"/>
      <c r="E1142" s="332"/>
      <c r="F1142" s="237"/>
      <c r="G1142" s="288"/>
    </row>
    <row r="1143" ht="15.75" customHeight="1">
      <c r="A1143" s="188"/>
      <c r="B1143" s="188"/>
      <c r="C1143" s="189"/>
      <c r="D1143" s="332"/>
      <c r="E1143" s="332"/>
      <c r="F1143" s="237"/>
      <c r="G1143" s="288"/>
    </row>
    <row r="1144" ht="15.75" customHeight="1">
      <c r="A1144" s="188"/>
      <c r="B1144" s="188"/>
      <c r="C1144" s="189"/>
      <c r="D1144" s="332"/>
      <c r="E1144" s="332"/>
      <c r="F1144" s="237"/>
      <c r="G1144" s="288"/>
    </row>
    <row r="1145" ht="15.75" customHeight="1">
      <c r="A1145" s="188"/>
      <c r="B1145" s="188"/>
      <c r="C1145" s="189"/>
      <c r="D1145" s="332"/>
      <c r="E1145" s="332"/>
      <c r="F1145" s="237"/>
      <c r="G1145" s="288"/>
    </row>
    <row r="1146" ht="15.75" customHeight="1">
      <c r="A1146" s="188"/>
      <c r="B1146" s="188"/>
      <c r="C1146" s="189"/>
      <c r="D1146" s="332"/>
      <c r="E1146" s="332"/>
      <c r="F1146" s="237"/>
      <c r="G1146" s="288"/>
    </row>
    <row r="1147" ht="15.75" customHeight="1">
      <c r="A1147" s="188"/>
      <c r="B1147" s="188"/>
      <c r="C1147" s="189"/>
      <c r="D1147" s="332"/>
      <c r="E1147" s="332"/>
      <c r="F1147" s="237"/>
      <c r="G1147" s="288"/>
    </row>
    <row r="1148" ht="15.75" customHeight="1">
      <c r="A1148" s="188"/>
      <c r="B1148" s="188"/>
      <c r="C1148" s="189"/>
      <c r="D1148" s="332"/>
      <c r="E1148" s="332"/>
      <c r="F1148" s="237"/>
      <c r="G1148" s="288"/>
    </row>
    <row r="1149" ht="15.75" customHeight="1">
      <c r="A1149" s="188"/>
      <c r="B1149" s="188"/>
      <c r="C1149" s="189"/>
      <c r="D1149" s="332"/>
      <c r="E1149" s="332"/>
      <c r="F1149" s="237"/>
      <c r="G1149" s="288"/>
    </row>
    <row r="1150" ht="15.75" customHeight="1">
      <c r="A1150" s="188"/>
      <c r="B1150" s="188"/>
      <c r="C1150" s="189"/>
      <c r="D1150" s="332"/>
      <c r="E1150" s="332"/>
      <c r="F1150" s="237"/>
      <c r="G1150" s="288"/>
    </row>
    <row r="1151" ht="15.75" customHeight="1">
      <c r="A1151" s="188"/>
      <c r="B1151" s="188"/>
      <c r="C1151" s="189"/>
      <c r="D1151" s="332"/>
      <c r="E1151" s="332"/>
      <c r="F1151" s="237"/>
      <c r="G1151" s="288"/>
    </row>
    <row r="1152" ht="15.75" customHeight="1">
      <c r="A1152" s="188"/>
      <c r="B1152" s="188"/>
      <c r="C1152" s="189"/>
      <c r="D1152" s="332"/>
      <c r="E1152" s="332"/>
      <c r="F1152" s="237"/>
      <c r="G1152" s="288"/>
    </row>
    <row r="1153" ht="15.75" customHeight="1">
      <c r="A1153" s="188"/>
      <c r="B1153" s="188"/>
      <c r="C1153" s="189"/>
      <c r="D1153" s="332"/>
      <c r="E1153" s="332"/>
      <c r="F1153" s="237"/>
      <c r="G1153" s="288"/>
    </row>
    <row r="1154" ht="15.75" customHeight="1">
      <c r="A1154" s="188"/>
      <c r="B1154" s="188"/>
      <c r="C1154" s="189"/>
      <c r="D1154" s="332"/>
      <c r="E1154" s="332"/>
      <c r="F1154" s="237"/>
      <c r="G1154" s="288"/>
    </row>
    <row r="1155" ht="15.75" customHeight="1">
      <c r="A1155" s="188"/>
      <c r="B1155" s="188"/>
      <c r="C1155" s="189"/>
      <c r="D1155" s="332"/>
      <c r="E1155" s="332"/>
      <c r="F1155" s="237"/>
      <c r="G1155" s="288"/>
    </row>
    <row r="1156" ht="15.75" customHeight="1">
      <c r="A1156" s="188"/>
      <c r="B1156" s="188"/>
      <c r="C1156" s="189"/>
      <c r="D1156" s="332"/>
      <c r="E1156" s="332"/>
      <c r="F1156" s="237"/>
      <c r="G1156" s="288"/>
    </row>
    <row r="1157" ht="15.75" customHeight="1">
      <c r="A1157" s="188"/>
      <c r="B1157" s="188"/>
      <c r="C1157" s="189"/>
      <c r="D1157" s="332"/>
      <c r="E1157" s="332"/>
      <c r="F1157" s="237"/>
      <c r="G1157" s="288"/>
    </row>
    <row r="1158" ht="15.75" customHeight="1">
      <c r="A1158" s="188"/>
      <c r="B1158" s="188"/>
      <c r="C1158" s="189"/>
      <c r="D1158" s="332"/>
      <c r="E1158" s="332"/>
      <c r="F1158" s="237"/>
      <c r="G1158" s="288"/>
    </row>
    <row r="1159" ht="15.75" customHeight="1">
      <c r="A1159" s="188"/>
      <c r="B1159" s="188"/>
      <c r="C1159" s="189"/>
      <c r="D1159" s="332"/>
      <c r="E1159" s="332"/>
      <c r="F1159" s="237"/>
      <c r="G1159" s="288"/>
    </row>
    <row r="1160" ht="15.75" customHeight="1">
      <c r="A1160" s="188"/>
      <c r="B1160" s="188"/>
      <c r="C1160" s="189"/>
      <c r="D1160" s="332"/>
      <c r="E1160" s="332"/>
      <c r="F1160" s="237"/>
      <c r="G1160" s="288"/>
    </row>
    <row r="1161" ht="15.75" customHeight="1">
      <c r="A1161" s="188"/>
      <c r="B1161" s="188"/>
      <c r="C1161" s="189"/>
      <c r="D1161" s="332"/>
      <c r="E1161" s="332"/>
      <c r="F1161" s="237"/>
      <c r="G1161" s="288"/>
    </row>
    <row r="1162" ht="15.75" customHeight="1">
      <c r="A1162" s="188"/>
      <c r="B1162" s="188"/>
      <c r="C1162" s="189"/>
      <c r="D1162" s="332"/>
      <c r="E1162" s="332"/>
      <c r="F1162" s="237"/>
      <c r="G1162" s="288"/>
    </row>
    <row r="1163" ht="15.75" customHeight="1">
      <c r="A1163" s="188"/>
      <c r="B1163" s="188"/>
      <c r="C1163" s="189"/>
      <c r="D1163" s="332"/>
      <c r="E1163" s="332"/>
      <c r="F1163" s="237"/>
      <c r="G1163" s="288"/>
    </row>
    <row r="1164" ht="15.75" customHeight="1">
      <c r="A1164" s="188"/>
      <c r="B1164" s="188"/>
      <c r="C1164" s="189"/>
      <c r="D1164" s="332"/>
      <c r="E1164" s="332"/>
      <c r="F1164" s="237"/>
      <c r="G1164" s="288"/>
    </row>
    <row r="1165" ht="15.75" customHeight="1">
      <c r="A1165" s="188"/>
      <c r="B1165" s="188"/>
      <c r="C1165" s="189"/>
      <c r="D1165" s="332"/>
      <c r="E1165" s="332"/>
      <c r="F1165" s="237"/>
      <c r="G1165" s="288"/>
    </row>
    <row r="1166" ht="15.75" customHeight="1">
      <c r="A1166" s="188"/>
      <c r="B1166" s="188"/>
      <c r="C1166" s="189"/>
      <c r="D1166" s="332"/>
      <c r="E1166" s="332"/>
      <c r="F1166" s="237"/>
      <c r="G1166" s="288"/>
    </row>
    <row r="1167" ht="15.75" customHeight="1">
      <c r="A1167" s="188"/>
      <c r="B1167" s="188"/>
      <c r="C1167" s="189"/>
      <c r="D1167" s="332"/>
      <c r="E1167" s="332"/>
      <c r="F1167" s="237"/>
      <c r="G1167" s="288"/>
    </row>
    <row r="1168" ht="15.75" customHeight="1">
      <c r="A1168" s="188"/>
      <c r="B1168" s="188"/>
      <c r="C1168" s="189"/>
      <c r="D1168" s="332"/>
      <c r="E1168" s="332"/>
      <c r="F1168" s="237"/>
      <c r="G1168" s="288"/>
    </row>
    <row r="1169" ht="15.75" customHeight="1">
      <c r="A1169" s="188"/>
      <c r="B1169" s="188"/>
      <c r="C1169" s="189"/>
      <c r="D1169" s="332"/>
      <c r="E1169" s="332"/>
      <c r="F1169" s="237"/>
      <c r="G1169" s="288"/>
    </row>
    <row r="1170" ht="15.75" customHeight="1">
      <c r="A1170" s="188"/>
      <c r="B1170" s="188"/>
      <c r="C1170" s="189"/>
      <c r="D1170" s="332"/>
      <c r="E1170" s="332"/>
      <c r="F1170" s="237"/>
      <c r="G1170" s="288"/>
    </row>
    <row r="1171" ht="15.75" customHeight="1">
      <c r="A1171" s="188"/>
      <c r="B1171" s="188"/>
      <c r="C1171" s="189"/>
      <c r="D1171" s="332"/>
      <c r="E1171" s="332"/>
      <c r="F1171" s="237"/>
      <c r="G1171" s="288"/>
    </row>
    <row r="1172" ht="15.75" customHeight="1">
      <c r="A1172" s="188"/>
      <c r="B1172" s="188"/>
      <c r="C1172" s="189"/>
      <c r="D1172" s="332"/>
      <c r="E1172" s="332"/>
      <c r="F1172" s="237"/>
      <c r="G1172" s="288"/>
    </row>
    <row r="1173" ht="15.75" customHeight="1">
      <c r="A1173" s="188"/>
      <c r="B1173" s="188"/>
      <c r="C1173" s="189"/>
      <c r="D1173" s="332"/>
      <c r="E1173" s="332"/>
      <c r="F1173" s="237"/>
      <c r="G1173" s="288"/>
    </row>
    <row r="1174" ht="15.75" customHeight="1">
      <c r="A1174" s="188"/>
      <c r="B1174" s="188"/>
      <c r="C1174" s="189"/>
      <c r="D1174" s="332"/>
      <c r="E1174" s="332"/>
      <c r="F1174" s="237"/>
      <c r="G1174" s="288"/>
    </row>
    <row r="1175" ht="15.75" customHeight="1">
      <c r="A1175" s="188"/>
      <c r="B1175" s="188"/>
      <c r="C1175" s="189"/>
      <c r="D1175" s="332"/>
      <c r="E1175" s="332"/>
      <c r="F1175" s="237"/>
      <c r="G1175" s="288"/>
    </row>
    <row r="1176" ht="15.75" customHeight="1">
      <c r="A1176" s="188"/>
      <c r="B1176" s="188"/>
      <c r="C1176" s="189"/>
      <c r="D1176" s="332"/>
      <c r="E1176" s="332"/>
      <c r="F1176" s="237"/>
      <c r="G1176" s="288"/>
    </row>
    <row r="1177" ht="15.75" customHeight="1">
      <c r="A1177" s="188"/>
      <c r="B1177" s="188"/>
      <c r="C1177" s="189"/>
      <c r="D1177" s="332"/>
      <c r="E1177" s="332"/>
      <c r="F1177" s="237"/>
      <c r="G1177" s="288"/>
    </row>
    <row r="1178" ht="15.75" customHeight="1">
      <c r="A1178" s="188"/>
      <c r="B1178" s="188"/>
      <c r="C1178" s="189"/>
      <c r="D1178" s="332"/>
      <c r="E1178" s="332"/>
      <c r="F1178" s="237"/>
      <c r="G1178" s="288"/>
    </row>
    <row r="1179" ht="15.75" customHeight="1">
      <c r="A1179" s="188"/>
      <c r="B1179" s="188"/>
      <c r="C1179" s="189"/>
      <c r="D1179" s="332"/>
      <c r="E1179" s="332"/>
      <c r="F1179" s="237"/>
      <c r="G1179" s="288"/>
    </row>
    <row r="1180" ht="15.75" customHeight="1">
      <c r="A1180" s="188"/>
      <c r="B1180" s="188"/>
      <c r="C1180" s="189"/>
      <c r="D1180" s="332"/>
      <c r="E1180" s="332"/>
      <c r="F1180" s="237"/>
      <c r="G1180" s="288"/>
    </row>
    <row r="1181" ht="15.75" customHeight="1">
      <c r="A1181" s="188"/>
      <c r="B1181" s="188"/>
      <c r="C1181" s="189"/>
      <c r="D1181" s="332"/>
      <c r="E1181" s="332"/>
      <c r="F1181" s="237"/>
      <c r="G1181" s="288"/>
    </row>
    <row r="1182" ht="15.75" customHeight="1">
      <c r="A1182" s="188"/>
      <c r="B1182" s="188"/>
      <c r="C1182" s="189"/>
      <c r="D1182" s="332"/>
      <c r="E1182" s="332"/>
      <c r="F1182" s="237"/>
      <c r="G1182" s="288"/>
    </row>
    <row r="1183" ht="15.75" customHeight="1">
      <c r="A1183" s="188"/>
      <c r="B1183" s="188"/>
      <c r="C1183" s="189"/>
      <c r="D1183" s="332"/>
      <c r="E1183" s="332"/>
      <c r="F1183" s="237"/>
      <c r="G1183" s="288"/>
    </row>
    <row r="1184" ht="15.75" customHeight="1">
      <c r="A1184" s="188"/>
      <c r="B1184" s="188"/>
      <c r="C1184" s="189"/>
      <c r="D1184" s="332"/>
      <c r="E1184" s="332"/>
      <c r="F1184" s="237"/>
      <c r="G1184" s="288"/>
    </row>
    <row r="1185" ht="15.75" customHeight="1">
      <c r="A1185" s="188"/>
      <c r="B1185" s="188"/>
      <c r="C1185" s="189"/>
      <c r="D1185" s="332"/>
      <c r="E1185" s="332"/>
      <c r="F1185" s="237"/>
      <c r="G1185" s="288"/>
    </row>
    <row r="1186" ht="15.75" customHeight="1">
      <c r="A1186" s="188"/>
      <c r="B1186" s="188"/>
      <c r="C1186" s="189"/>
      <c r="D1186" s="332"/>
      <c r="E1186" s="332"/>
      <c r="F1186" s="237"/>
      <c r="G1186" s="288"/>
    </row>
    <row r="1187" ht="15.75" customHeight="1">
      <c r="A1187" s="188"/>
      <c r="B1187" s="188"/>
      <c r="C1187" s="189"/>
      <c r="D1187" s="332"/>
      <c r="E1187" s="332"/>
      <c r="F1187" s="237"/>
      <c r="G1187" s="288"/>
    </row>
    <row r="1188" ht="15.75" customHeight="1">
      <c r="A1188" s="188"/>
      <c r="B1188" s="188"/>
      <c r="C1188" s="189"/>
      <c r="D1188" s="332"/>
      <c r="E1188" s="332"/>
      <c r="F1188" s="237"/>
      <c r="G1188" s="288"/>
    </row>
    <row r="1189" ht="15.75" customHeight="1">
      <c r="A1189" s="188"/>
      <c r="B1189" s="188"/>
      <c r="C1189" s="189"/>
      <c r="D1189" s="332"/>
      <c r="E1189" s="332"/>
      <c r="F1189" s="237"/>
      <c r="G1189" s="288"/>
    </row>
    <row r="1190" ht="15.75" customHeight="1">
      <c r="A1190" s="188"/>
      <c r="B1190" s="188"/>
      <c r="C1190" s="189"/>
      <c r="D1190" s="332"/>
      <c r="E1190" s="332"/>
      <c r="F1190" s="237"/>
      <c r="G1190" s="288"/>
    </row>
    <row r="1191" ht="15.75" customHeight="1">
      <c r="A1191" s="188"/>
      <c r="B1191" s="188"/>
      <c r="C1191" s="189"/>
      <c r="D1191" s="332"/>
      <c r="E1191" s="332"/>
      <c r="F1191" s="237"/>
      <c r="G1191" s="288"/>
    </row>
    <row r="1192" ht="15.75" customHeight="1">
      <c r="A1192" s="188"/>
      <c r="B1192" s="188"/>
      <c r="C1192" s="189"/>
      <c r="D1192" s="332"/>
      <c r="E1192" s="332"/>
      <c r="F1192" s="237"/>
      <c r="G1192" s="288"/>
    </row>
    <row r="1193" ht="15.75" customHeight="1">
      <c r="A1193" s="188"/>
      <c r="B1193" s="188"/>
      <c r="C1193" s="189"/>
      <c r="D1193" s="332"/>
      <c r="E1193" s="332"/>
      <c r="F1193" s="237"/>
      <c r="G1193" s="288"/>
    </row>
    <row r="1194" ht="15.75" customHeight="1">
      <c r="A1194" s="188"/>
      <c r="B1194" s="188"/>
      <c r="C1194" s="189"/>
      <c r="D1194" s="332"/>
      <c r="E1194" s="332"/>
      <c r="F1194" s="237"/>
      <c r="G1194" s="288"/>
    </row>
    <row r="1195" ht="15.75" customHeight="1">
      <c r="A1195" s="188"/>
      <c r="B1195" s="188"/>
      <c r="C1195" s="189"/>
      <c r="D1195" s="332"/>
      <c r="E1195" s="332"/>
      <c r="F1195" s="237"/>
      <c r="G1195" s="288"/>
    </row>
    <row r="1196" ht="15.75" customHeight="1">
      <c r="A1196" s="188"/>
      <c r="B1196" s="188"/>
      <c r="C1196" s="189"/>
      <c r="D1196" s="332"/>
      <c r="E1196" s="332"/>
      <c r="F1196" s="237"/>
      <c r="G1196" s="288"/>
    </row>
    <row r="1197" ht="15.75" customHeight="1">
      <c r="A1197" s="188"/>
      <c r="B1197" s="188"/>
      <c r="C1197" s="189"/>
      <c r="D1197" s="332"/>
      <c r="E1197" s="332"/>
      <c r="F1197" s="237"/>
      <c r="G1197" s="288"/>
    </row>
    <row r="1198" ht="15.75" customHeight="1">
      <c r="A1198" s="188"/>
      <c r="B1198" s="188"/>
      <c r="C1198" s="189"/>
      <c r="D1198" s="332"/>
      <c r="E1198" s="332"/>
      <c r="F1198" s="237"/>
      <c r="G1198" s="288"/>
    </row>
    <row r="1199" ht="15.75" customHeight="1">
      <c r="A1199" s="188"/>
      <c r="B1199" s="188"/>
      <c r="C1199" s="189"/>
      <c r="D1199" s="332"/>
      <c r="E1199" s="332"/>
      <c r="F1199" s="237"/>
      <c r="G1199" s="288"/>
    </row>
    <row r="1200" ht="15.75" customHeight="1">
      <c r="A1200" s="188"/>
      <c r="B1200" s="188"/>
      <c r="C1200" s="189"/>
      <c r="D1200" s="332"/>
      <c r="E1200" s="332"/>
      <c r="F1200" s="237"/>
      <c r="G1200" s="288"/>
    </row>
    <row r="1201" ht="15.75" customHeight="1">
      <c r="A1201" s="188"/>
      <c r="B1201" s="188"/>
      <c r="C1201" s="189"/>
      <c r="D1201" s="332"/>
      <c r="E1201" s="332"/>
      <c r="F1201" s="237"/>
      <c r="G1201" s="288"/>
    </row>
    <row r="1202" ht="15.75" customHeight="1">
      <c r="A1202" s="188"/>
      <c r="B1202" s="188"/>
      <c r="C1202" s="189"/>
      <c r="D1202" s="332"/>
      <c r="E1202" s="332"/>
      <c r="F1202" s="237"/>
      <c r="G1202" s="288"/>
    </row>
    <row r="1203" ht="15.75" customHeight="1">
      <c r="A1203" s="188"/>
      <c r="B1203" s="188"/>
      <c r="C1203" s="189"/>
      <c r="D1203" s="332"/>
      <c r="E1203" s="332"/>
      <c r="F1203" s="237"/>
      <c r="G1203" s="288"/>
    </row>
    <row r="1204" ht="15.75" customHeight="1">
      <c r="A1204" s="188"/>
      <c r="B1204" s="188"/>
      <c r="C1204" s="189"/>
      <c r="D1204" s="332"/>
      <c r="E1204" s="332"/>
      <c r="F1204" s="237"/>
      <c r="G1204" s="288"/>
    </row>
    <row r="1205" ht="15.75" customHeight="1">
      <c r="A1205" s="188"/>
      <c r="B1205" s="188"/>
      <c r="C1205" s="189"/>
      <c r="D1205" s="332"/>
      <c r="E1205" s="332"/>
      <c r="F1205" s="237"/>
      <c r="G1205" s="288"/>
    </row>
    <row r="1206" ht="15.75" customHeight="1">
      <c r="A1206" s="188"/>
      <c r="B1206" s="188"/>
      <c r="C1206" s="189"/>
      <c r="D1206" s="332"/>
      <c r="E1206" s="332"/>
      <c r="F1206" s="237"/>
      <c r="G1206" s="288"/>
    </row>
    <row r="1207" ht="15.75" customHeight="1">
      <c r="A1207" s="188"/>
      <c r="B1207" s="188"/>
      <c r="C1207" s="189"/>
      <c r="D1207" s="332"/>
      <c r="E1207" s="332"/>
      <c r="F1207" s="237"/>
      <c r="G1207" s="288"/>
    </row>
    <row r="1208" ht="15.75" customHeight="1">
      <c r="A1208" s="188"/>
      <c r="B1208" s="188"/>
      <c r="C1208" s="189"/>
      <c r="D1208" s="332"/>
      <c r="E1208" s="332"/>
      <c r="F1208" s="237"/>
      <c r="G1208" s="288"/>
    </row>
    <row r="1209" ht="15.75" customHeight="1">
      <c r="A1209" s="188"/>
      <c r="B1209" s="188"/>
      <c r="C1209" s="189"/>
      <c r="D1209" s="332"/>
      <c r="E1209" s="332"/>
      <c r="F1209" s="237"/>
      <c r="G1209" s="288"/>
    </row>
    <row r="1210" ht="15.75" customHeight="1">
      <c r="A1210" s="188"/>
      <c r="B1210" s="188"/>
      <c r="C1210" s="189"/>
      <c r="D1210" s="332"/>
      <c r="E1210" s="332"/>
      <c r="F1210" s="237"/>
      <c r="G1210" s="288"/>
    </row>
    <row r="1211" ht="15.75" customHeight="1">
      <c r="A1211" s="188"/>
      <c r="B1211" s="188"/>
      <c r="C1211" s="189"/>
      <c r="D1211" s="332"/>
      <c r="E1211" s="332"/>
      <c r="F1211" s="237"/>
      <c r="G1211" s="288"/>
    </row>
    <row r="1212" ht="15.75" customHeight="1">
      <c r="A1212" s="188"/>
      <c r="B1212" s="188"/>
      <c r="C1212" s="189"/>
      <c r="D1212" s="332"/>
      <c r="E1212" s="332"/>
      <c r="F1212" s="237"/>
      <c r="G1212" s="288"/>
    </row>
    <row r="1213" ht="15.75" customHeight="1">
      <c r="A1213" s="188"/>
      <c r="B1213" s="188"/>
      <c r="C1213" s="189"/>
      <c r="D1213" s="332"/>
      <c r="E1213" s="332"/>
      <c r="F1213" s="237"/>
      <c r="G1213" s="288"/>
    </row>
    <row r="1214" ht="15.75" customHeight="1">
      <c r="A1214" s="188"/>
      <c r="B1214" s="188"/>
      <c r="C1214" s="189"/>
      <c r="D1214" s="332"/>
      <c r="E1214" s="332"/>
      <c r="F1214" s="237"/>
      <c r="G1214" s="288"/>
    </row>
    <row r="1215" ht="15.75" customHeight="1">
      <c r="A1215" s="188"/>
      <c r="B1215" s="188"/>
      <c r="C1215" s="189"/>
      <c r="D1215" s="332"/>
      <c r="E1215" s="332"/>
      <c r="F1215" s="237"/>
      <c r="G1215" s="288"/>
    </row>
    <row r="1216" ht="15.75" customHeight="1">
      <c r="A1216" s="188"/>
      <c r="B1216" s="188"/>
      <c r="C1216" s="189"/>
      <c r="D1216" s="332"/>
      <c r="E1216" s="332"/>
      <c r="F1216" s="237"/>
      <c r="G1216" s="288"/>
    </row>
    <row r="1217" ht="15.75" customHeight="1">
      <c r="A1217" s="188"/>
      <c r="B1217" s="188"/>
      <c r="C1217" s="189"/>
      <c r="D1217" s="332"/>
      <c r="E1217" s="332"/>
      <c r="F1217" s="237"/>
      <c r="G1217" s="288"/>
    </row>
    <row r="1218" ht="15.75" customHeight="1">
      <c r="A1218" s="188"/>
      <c r="B1218" s="188"/>
      <c r="C1218" s="189"/>
      <c r="D1218" s="332"/>
      <c r="E1218" s="332"/>
      <c r="F1218" s="237"/>
      <c r="G1218" s="288"/>
    </row>
    <row r="1219" ht="15.75" customHeight="1">
      <c r="A1219" s="188"/>
      <c r="B1219" s="188"/>
      <c r="C1219" s="189"/>
      <c r="D1219" s="332"/>
      <c r="E1219" s="332"/>
      <c r="F1219" s="237"/>
      <c r="G1219" s="288"/>
    </row>
    <row r="1220" ht="15.75" customHeight="1">
      <c r="A1220" s="188"/>
      <c r="B1220" s="188"/>
      <c r="C1220" s="189"/>
      <c r="D1220" s="332"/>
      <c r="E1220" s="332"/>
      <c r="F1220" s="237"/>
      <c r="G1220" s="288"/>
    </row>
    <row r="1221" ht="15.75" customHeight="1">
      <c r="A1221" s="188"/>
      <c r="B1221" s="188"/>
      <c r="C1221" s="189"/>
      <c r="D1221" s="332"/>
      <c r="E1221" s="332"/>
      <c r="F1221" s="237"/>
      <c r="G1221" s="288"/>
    </row>
    <row r="1222" ht="15.75" customHeight="1">
      <c r="A1222" s="188"/>
      <c r="B1222" s="188"/>
      <c r="C1222" s="189"/>
      <c r="D1222" s="332"/>
      <c r="E1222" s="332"/>
      <c r="F1222" s="237"/>
      <c r="G1222" s="288"/>
    </row>
    <row r="1223" ht="15.75" customHeight="1">
      <c r="A1223" s="188"/>
      <c r="B1223" s="188"/>
      <c r="C1223" s="189"/>
      <c r="D1223" s="332"/>
      <c r="E1223" s="332"/>
      <c r="F1223" s="237"/>
      <c r="G1223" s="288"/>
    </row>
    <row r="1224" ht="15.75" customHeight="1">
      <c r="A1224" s="188"/>
      <c r="B1224" s="188"/>
      <c r="C1224" s="189"/>
      <c r="D1224" s="332"/>
      <c r="E1224" s="332"/>
      <c r="F1224" s="237"/>
      <c r="G1224" s="288"/>
    </row>
    <row r="1225" ht="15.75" customHeight="1">
      <c r="A1225" s="188"/>
      <c r="B1225" s="188"/>
      <c r="C1225" s="189"/>
      <c r="D1225" s="332"/>
      <c r="E1225" s="332"/>
      <c r="F1225" s="237"/>
      <c r="G1225" s="288"/>
    </row>
    <row r="1226" ht="15.75" customHeight="1">
      <c r="A1226" s="188"/>
      <c r="B1226" s="188"/>
      <c r="C1226" s="189"/>
      <c r="D1226" s="332"/>
      <c r="E1226" s="332"/>
      <c r="F1226" s="237"/>
      <c r="G1226" s="288"/>
    </row>
    <row r="1227" ht="15.75" customHeight="1">
      <c r="A1227" s="188"/>
      <c r="B1227" s="188"/>
      <c r="C1227" s="189"/>
      <c r="D1227" s="332"/>
      <c r="E1227" s="332"/>
      <c r="F1227" s="237"/>
      <c r="G1227" s="288"/>
    </row>
    <row r="1228" ht="15.75" customHeight="1">
      <c r="A1228" s="188"/>
      <c r="B1228" s="188"/>
      <c r="C1228" s="189"/>
      <c r="D1228" s="332"/>
      <c r="E1228" s="332"/>
      <c r="F1228" s="237"/>
      <c r="G1228" s="288"/>
    </row>
    <row r="1229" ht="15.75" customHeight="1">
      <c r="A1229" s="188"/>
      <c r="B1229" s="188"/>
      <c r="C1229" s="189"/>
      <c r="D1229" s="332"/>
      <c r="E1229" s="332"/>
      <c r="F1229" s="237"/>
      <c r="G1229" s="288"/>
    </row>
    <row r="1230" ht="15.75" customHeight="1">
      <c r="A1230" s="188"/>
      <c r="B1230" s="188"/>
      <c r="C1230" s="189"/>
      <c r="D1230" s="332"/>
      <c r="E1230" s="332"/>
      <c r="F1230" s="237"/>
      <c r="G1230" s="288"/>
    </row>
    <row r="1231" ht="15.75" customHeight="1">
      <c r="A1231" s="188"/>
      <c r="B1231" s="188"/>
      <c r="C1231" s="189"/>
      <c r="D1231" s="332"/>
      <c r="E1231" s="332"/>
      <c r="F1231" s="237"/>
      <c r="G1231" s="288"/>
    </row>
    <row r="1232" ht="15.75" customHeight="1">
      <c r="A1232" s="188"/>
      <c r="B1232" s="188"/>
      <c r="C1232" s="189"/>
      <c r="D1232" s="332"/>
      <c r="E1232" s="332"/>
      <c r="F1232" s="237"/>
      <c r="G1232" s="288"/>
    </row>
    <row r="1233" ht="15.75" customHeight="1">
      <c r="A1233" s="188"/>
      <c r="B1233" s="188"/>
      <c r="C1233" s="189"/>
      <c r="D1233" s="332"/>
      <c r="E1233" s="332"/>
      <c r="F1233" s="237"/>
      <c r="G1233" s="288"/>
    </row>
    <row r="1234" ht="15.75" customHeight="1">
      <c r="A1234" s="188"/>
      <c r="B1234" s="188"/>
      <c r="C1234" s="189"/>
      <c r="D1234" s="332"/>
      <c r="E1234" s="332"/>
      <c r="F1234" s="237"/>
      <c r="G1234" s="288"/>
    </row>
    <row r="1235" ht="15.75" customHeight="1">
      <c r="A1235" s="188"/>
      <c r="B1235" s="188"/>
      <c r="C1235" s="189"/>
      <c r="D1235" s="332"/>
      <c r="E1235" s="332"/>
      <c r="F1235" s="237"/>
      <c r="G1235" s="288"/>
    </row>
    <row r="1236" ht="15.75" customHeight="1">
      <c r="A1236" s="188"/>
      <c r="B1236" s="188"/>
      <c r="C1236" s="189"/>
      <c r="D1236" s="332"/>
      <c r="E1236" s="332"/>
      <c r="F1236" s="237"/>
      <c r="G1236" s="288"/>
    </row>
    <row r="1237" ht="15.75" customHeight="1">
      <c r="A1237" s="188"/>
      <c r="B1237" s="188"/>
      <c r="C1237" s="189"/>
      <c r="D1237" s="332"/>
      <c r="E1237" s="332"/>
      <c r="F1237" s="237"/>
      <c r="G1237" s="288"/>
    </row>
    <row r="1238" ht="15.75" customHeight="1">
      <c r="A1238" s="188"/>
      <c r="B1238" s="188"/>
      <c r="C1238" s="189"/>
      <c r="D1238" s="332"/>
      <c r="E1238" s="332"/>
      <c r="F1238" s="237"/>
      <c r="G1238" s="288"/>
    </row>
    <row r="1239" ht="15.75" customHeight="1">
      <c r="A1239" s="188"/>
      <c r="B1239" s="188"/>
      <c r="C1239" s="189"/>
      <c r="D1239" s="332"/>
      <c r="E1239" s="332"/>
      <c r="F1239" s="237"/>
      <c r="G1239" s="288"/>
    </row>
    <row r="1240" ht="15.75" customHeight="1">
      <c r="A1240" s="188"/>
      <c r="B1240" s="188"/>
      <c r="C1240" s="189"/>
      <c r="D1240" s="332"/>
      <c r="E1240" s="332"/>
      <c r="F1240" s="237"/>
      <c r="G1240" s="288"/>
    </row>
    <row r="1241" ht="15.75" customHeight="1">
      <c r="A1241" s="188"/>
      <c r="B1241" s="188"/>
      <c r="C1241" s="189"/>
      <c r="D1241" s="332"/>
      <c r="E1241" s="332"/>
      <c r="F1241" s="237"/>
      <c r="G1241" s="288"/>
    </row>
    <row r="1242" ht="15.75" customHeight="1">
      <c r="A1242" s="188"/>
      <c r="B1242" s="188"/>
      <c r="C1242" s="189"/>
      <c r="D1242" s="332"/>
      <c r="E1242" s="332"/>
      <c r="F1242" s="237"/>
      <c r="G1242" s="288"/>
    </row>
    <row r="1243" ht="15.75" customHeight="1">
      <c r="A1243" s="188"/>
      <c r="B1243" s="188"/>
      <c r="C1243" s="189"/>
      <c r="D1243" s="332"/>
      <c r="E1243" s="332"/>
      <c r="F1243" s="237"/>
      <c r="G1243" s="288"/>
    </row>
    <row r="1244" ht="15.75" customHeight="1">
      <c r="A1244" s="188"/>
      <c r="B1244" s="188"/>
      <c r="C1244" s="189"/>
      <c r="D1244" s="332"/>
      <c r="E1244" s="332"/>
      <c r="F1244" s="237"/>
      <c r="G1244" s="288"/>
    </row>
    <row r="1245" ht="15.75" customHeight="1">
      <c r="A1245" s="188"/>
      <c r="B1245" s="188"/>
      <c r="C1245" s="189"/>
      <c r="D1245" s="332"/>
      <c r="E1245" s="332"/>
      <c r="F1245" s="237"/>
      <c r="G1245" s="288"/>
    </row>
    <row r="1246" ht="15.75" customHeight="1">
      <c r="A1246" s="188"/>
      <c r="B1246" s="188"/>
      <c r="C1246" s="189"/>
      <c r="D1246" s="332"/>
      <c r="E1246" s="332"/>
      <c r="F1246" s="237"/>
      <c r="G1246" s="288"/>
    </row>
    <row r="1247" ht="15.75" customHeight="1">
      <c r="A1247" s="188"/>
      <c r="B1247" s="188"/>
      <c r="C1247" s="189"/>
      <c r="D1247" s="332"/>
      <c r="E1247" s="332"/>
      <c r="F1247" s="237"/>
      <c r="G1247" s="288"/>
    </row>
    <row r="1248" ht="15.75" customHeight="1">
      <c r="A1248" s="188"/>
      <c r="B1248" s="188"/>
      <c r="C1248" s="189"/>
      <c r="D1248" s="332"/>
      <c r="E1248" s="332"/>
      <c r="F1248" s="237"/>
      <c r="G1248" s="288"/>
    </row>
    <row r="1249" ht="15.75" customHeight="1">
      <c r="A1249" s="188"/>
      <c r="B1249" s="188"/>
      <c r="C1249" s="189"/>
      <c r="D1249" s="332"/>
      <c r="E1249" s="332"/>
      <c r="F1249" s="237"/>
      <c r="G1249" s="288"/>
    </row>
    <row r="1250" ht="15.75" customHeight="1">
      <c r="A1250" s="188"/>
      <c r="B1250" s="188"/>
      <c r="C1250" s="189"/>
      <c r="D1250" s="332"/>
      <c r="E1250" s="332"/>
      <c r="F1250" s="237"/>
      <c r="G1250" s="288"/>
    </row>
    <row r="1251" ht="15.75" customHeight="1">
      <c r="A1251" s="188"/>
      <c r="B1251" s="188"/>
      <c r="C1251" s="189"/>
      <c r="D1251" s="332"/>
      <c r="E1251" s="332"/>
      <c r="F1251" s="237"/>
      <c r="G1251" s="288"/>
    </row>
    <row r="1252" ht="15.75" customHeight="1">
      <c r="A1252" s="188"/>
      <c r="B1252" s="188"/>
      <c r="C1252" s="189"/>
      <c r="D1252" s="332"/>
      <c r="E1252" s="332"/>
      <c r="F1252" s="237"/>
      <c r="G1252" s="288"/>
    </row>
    <row r="1253" ht="15.75" customHeight="1">
      <c r="A1253" s="188"/>
      <c r="B1253" s="188"/>
      <c r="C1253" s="189"/>
      <c r="D1253" s="332"/>
      <c r="E1253" s="332"/>
      <c r="F1253" s="237"/>
      <c r="G1253" s="288"/>
    </row>
    <row r="1254" ht="15.75" customHeight="1">
      <c r="A1254" s="188"/>
      <c r="B1254" s="188"/>
      <c r="C1254" s="189"/>
      <c r="D1254" s="332"/>
      <c r="E1254" s="332"/>
      <c r="F1254" s="237"/>
      <c r="G1254" s="288"/>
    </row>
    <row r="1255" ht="15.75" customHeight="1">
      <c r="A1255" s="188"/>
      <c r="B1255" s="188"/>
      <c r="C1255" s="189"/>
      <c r="D1255" s="332"/>
      <c r="E1255" s="332"/>
      <c r="F1255" s="237"/>
      <c r="G1255" s="288"/>
    </row>
    <row r="1256" ht="15.75" customHeight="1">
      <c r="A1256" s="188"/>
      <c r="B1256" s="188"/>
      <c r="C1256" s="189"/>
      <c r="D1256" s="332"/>
      <c r="E1256" s="332"/>
      <c r="F1256" s="237"/>
      <c r="G1256" s="288"/>
    </row>
    <row r="1257" ht="15.75" customHeight="1">
      <c r="A1257" s="188"/>
      <c r="B1257" s="188"/>
      <c r="C1257" s="189"/>
      <c r="D1257" s="190"/>
      <c r="E1257" s="186"/>
      <c r="F1257" s="187"/>
      <c r="G1257" s="13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334" t="s">
        <v>6924</v>
      </c>
      <c r="B2" s="335"/>
      <c r="C2" s="335"/>
      <c r="D2" s="99"/>
      <c r="E2" s="99"/>
      <c r="F2" s="335"/>
      <c r="G2" s="335"/>
      <c r="H2" s="28"/>
      <c r="I2" s="28"/>
      <c r="J2" s="28"/>
      <c r="K2" s="336"/>
      <c r="L2" s="28"/>
      <c r="M2" s="28"/>
      <c r="N2" s="28"/>
      <c r="O2" s="28"/>
      <c r="P2" s="28"/>
      <c r="Q2" s="28"/>
      <c r="R2" s="28"/>
      <c r="S2" s="28"/>
      <c r="T2" s="28"/>
      <c r="U2" s="28"/>
      <c r="V2" s="28"/>
      <c r="W2" s="28"/>
      <c r="X2" s="28"/>
      <c r="Y2" s="28"/>
      <c r="Z2" s="28"/>
    </row>
    <row r="3" ht="15.75" customHeight="1">
      <c r="A3" s="337" t="s">
        <v>6925</v>
      </c>
      <c r="B3" s="338"/>
      <c r="C3" s="338"/>
      <c r="D3" s="32"/>
      <c r="E3" s="32"/>
      <c r="F3" s="339"/>
      <c r="G3" s="340"/>
      <c r="H3" s="28"/>
      <c r="I3" s="28"/>
      <c r="J3" s="28"/>
      <c r="K3" s="336"/>
      <c r="L3" s="28"/>
      <c r="M3" s="28"/>
      <c r="N3" s="28"/>
      <c r="O3" s="28"/>
      <c r="P3" s="28"/>
      <c r="Q3" s="28"/>
      <c r="R3" s="28"/>
      <c r="S3" s="28"/>
      <c r="T3" s="28"/>
      <c r="U3" s="28"/>
      <c r="V3" s="28"/>
      <c r="W3" s="28"/>
      <c r="X3" s="28"/>
      <c r="Y3" s="28"/>
      <c r="Z3" s="28"/>
    </row>
    <row r="4" ht="15.75" customHeight="1">
      <c r="A4" s="161" t="s">
        <v>6926</v>
      </c>
      <c r="B4" s="172" t="s">
        <v>6927</v>
      </c>
      <c r="C4" s="341" t="s">
        <v>6928</v>
      </c>
      <c r="D4" s="102" t="s">
        <v>6929</v>
      </c>
      <c r="E4" s="102" t="s">
        <v>6930</v>
      </c>
      <c r="F4" s="103">
        <v>0.21</v>
      </c>
      <c r="G4" s="342" t="str">
        <f>IFERROR(VLOOKUP("K1",STOCK!$B$1:$Q$5647,3,FALSE),"SIN STOCK")</f>
        <v>Menor a 5</v>
      </c>
      <c r="H4" s="28"/>
      <c r="I4" s="28"/>
      <c r="J4" s="28"/>
      <c r="K4" s="336"/>
      <c r="L4" s="28"/>
      <c r="M4" s="28"/>
      <c r="N4" s="28"/>
      <c r="O4" s="28"/>
      <c r="P4" s="28"/>
      <c r="Q4" s="28"/>
      <c r="R4" s="28"/>
      <c r="S4" s="28"/>
      <c r="T4" s="28"/>
      <c r="U4" s="28"/>
      <c r="V4" s="28"/>
      <c r="W4" s="28"/>
      <c r="X4" s="28"/>
      <c r="Y4" s="28"/>
      <c r="Z4" s="28"/>
    </row>
    <row r="5" ht="15.75" customHeight="1">
      <c r="A5" s="343" t="s">
        <v>6931</v>
      </c>
      <c r="B5" s="344"/>
      <c r="C5" s="344"/>
      <c r="D5" s="338"/>
      <c r="E5" s="338"/>
      <c r="F5" s="344"/>
      <c r="G5" s="345"/>
      <c r="H5" s="28"/>
      <c r="I5" s="28"/>
      <c r="J5" s="28"/>
      <c r="K5" s="336"/>
      <c r="L5" s="28"/>
      <c r="M5" s="28"/>
      <c r="N5" s="28"/>
      <c r="O5" s="28"/>
      <c r="P5" s="28"/>
      <c r="Q5" s="28"/>
      <c r="R5" s="28"/>
      <c r="S5" s="28"/>
      <c r="T5" s="28"/>
      <c r="U5" s="28"/>
      <c r="V5" s="28"/>
      <c r="W5" s="28"/>
      <c r="X5" s="28"/>
      <c r="Y5" s="28"/>
      <c r="Z5" s="28"/>
    </row>
    <row r="6" ht="15.75" customHeight="1">
      <c r="A6" s="41" t="s">
        <v>6926</v>
      </c>
      <c r="B6" s="57" t="s">
        <v>6932</v>
      </c>
      <c r="C6" s="43" t="s">
        <v>6933</v>
      </c>
      <c r="D6" s="102" t="s">
        <v>6934</v>
      </c>
      <c r="E6" s="102" t="s">
        <v>6935</v>
      </c>
      <c r="F6" s="45">
        <v>0.21</v>
      </c>
      <c r="G6" s="342" t="str">
        <f>IFERROR(VLOOKUP("KAMUT2L1",STOCK!$B$1:$Q$5647,3,FALSE),"SIN STOCK")</f>
        <v>Menor a 5</v>
      </c>
      <c r="H6" s="346"/>
      <c r="I6" s="346"/>
      <c r="J6" s="346"/>
      <c r="K6" s="347"/>
      <c r="L6" s="346"/>
      <c r="M6" s="346"/>
      <c r="N6" s="346"/>
      <c r="O6" s="346"/>
      <c r="P6" s="346"/>
      <c r="Q6" s="346"/>
      <c r="R6" s="346"/>
      <c r="S6" s="346"/>
      <c r="T6" s="346"/>
      <c r="U6" s="346"/>
      <c r="V6" s="346"/>
      <c r="W6" s="346"/>
      <c r="X6" s="346"/>
      <c r="Y6" s="346"/>
      <c r="Z6" s="346"/>
    </row>
    <row r="7" ht="15.75" customHeight="1">
      <c r="A7" s="47" t="s">
        <v>6926</v>
      </c>
      <c r="B7" s="48" t="s">
        <v>6936</v>
      </c>
      <c r="C7" s="49" t="s">
        <v>6937</v>
      </c>
      <c r="D7" s="105" t="s">
        <v>6938</v>
      </c>
      <c r="E7" s="105" t="s">
        <v>6939</v>
      </c>
      <c r="F7" s="38">
        <v>0.21</v>
      </c>
      <c r="G7" s="342" t="str">
        <f>IFERROR(VLOOKUP("KAMUT2L14",STOCK!$B$1:$Q$5647,3,FALSE),"SIN STOCK")</f>
        <v>Menor a 5</v>
      </c>
      <c r="H7" s="346"/>
      <c r="I7" s="346"/>
      <c r="J7" s="346"/>
      <c r="K7" s="347"/>
      <c r="L7" s="346"/>
      <c r="M7" s="346"/>
      <c r="N7" s="346"/>
      <c r="O7" s="346"/>
      <c r="P7" s="346"/>
      <c r="Q7" s="346"/>
      <c r="R7" s="346"/>
      <c r="S7" s="346"/>
      <c r="T7" s="346"/>
      <c r="U7" s="346"/>
      <c r="V7" s="346"/>
      <c r="W7" s="346"/>
      <c r="X7" s="346"/>
      <c r="Y7" s="346"/>
      <c r="Z7" s="346"/>
    </row>
    <row r="8" ht="15.75" customHeight="1">
      <c r="A8" s="41" t="s">
        <v>6926</v>
      </c>
      <c r="B8" s="42" t="s">
        <v>6940</v>
      </c>
      <c r="C8" s="43" t="s">
        <v>6941</v>
      </c>
      <c r="D8" s="102" t="s">
        <v>6942</v>
      </c>
      <c r="E8" s="102" t="s">
        <v>6943</v>
      </c>
      <c r="F8" s="45">
        <v>0.21</v>
      </c>
      <c r="G8" s="342" t="str">
        <f>IFERROR(VLOOKUP("KAMUT2V25",STOCK!$B$1:$Q$5647,3,FALSE),"SIN STOCK")</f>
        <v>Menor a 5</v>
      </c>
      <c r="H8" s="28"/>
      <c r="I8" s="28"/>
      <c r="J8" s="28"/>
      <c r="K8" s="336"/>
      <c r="L8" s="28"/>
      <c r="M8" s="28"/>
      <c r="N8" s="28"/>
      <c r="O8" s="28"/>
      <c r="P8" s="28"/>
      <c r="Q8" s="28"/>
      <c r="R8" s="28"/>
      <c r="S8" s="28"/>
      <c r="T8" s="28"/>
      <c r="U8" s="28"/>
      <c r="V8" s="28"/>
      <c r="W8" s="28"/>
      <c r="X8" s="28"/>
      <c r="Y8" s="28"/>
      <c r="Z8" s="28"/>
    </row>
    <row r="9" ht="15.75" customHeight="1">
      <c r="A9" s="47" t="s">
        <v>6926</v>
      </c>
      <c r="B9" s="48" t="s">
        <v>6944</v>
      </c>
      <c r="C9" s="49" t="s">
        <v>6945</v>
      </c>
      <c r="D9" s="105" t="s">
        <v>6946</v>
      </c>
      <c r="E9" s="105" t="s">
        <v>6947</v>
      </c>
      <c r="F9" s="38">
        <v>0.21</v>
      </c>
      <c r="G9" s="342" t="str">
        <f>IFERROR(VLOOKUP("KAMUT2V25 II",STOCK!$B$1:$Q$5647,3,FALSE),"SIN STOCK")</f>
        <v>Menor a 5</v>
      </c>
      <c r="H9" s="346"/>
      <c r="I9" s="346"/>
      <c r="J9" s="346"/>
      <c r="K9" s="347"/>
      <c r="L9" s="346"/>
      <c r="M9" s="346"/>
      <c r="N9" s="346"/>
      <c r="O9" s="346"/>
      <c r="P9" s="346"/>
      <c r="Q9" s="346"/>
      <c r="R9" s="346"/>
      <c r="S9" s="346"/>
      <c r="T9" s="346"/>
      <c r="U9" s="346"/>
      <c r="V9" s="346"/>
      <c r="W9" s="346"/>
      <c r="X9" s="346"/>
      <c r="Y9" s="346"/>
      <c r="Z9" s="346"/>
    </row>
    <row r="10" ht="15.75" customHeight="1">
      <c r="A10" s="29" t="s">
        <v>6948</v>
      </c>
      <c r="B10" s="30"/>
      <c r="C10" s="30"/>
      <c r="D10" s="32"/>
      <c r="E10" s="32"/>
      <c r="F10" s="30"/>
      <c r="G10" s="30"/>
      <c r="H10" s="28"/>
      <c r="I10" s="28"/>
      <c r="J10" s="28"/>
      <c r="K10" s="336"/>
      <c r="L10" s="28"/>
      <c r="M10" s="28"/>
      <c r="N10" s="28"/>
      <c r="O10" s="28"/>
      <c r="P10" s="28"/>
      <c r="Q10" s="28"/>
      <c r="R10" s="28"/>
      <c r="S10" s="28"/>
      <c r="T10" s="28"/>
      <c r="U10" s="28"/>
      <c r="V10" s="28"/>
      <c r="W10" s="28"/>
      <c r="X10" s="28"/>
      <c r="Y10" s="28"/>
      <c r="Z10" s="28"/>
    </row>
    <row r="11" ht="15.75" customHeight="1">
      <c r="A11" s="41" t="s">
        <v>6926</v>
      </c>
      <c r="B11" s="57" t="s">
        <v>6949</v>
      </c>
      <c r="C11" s="43" t="s">
        <v>6950</v>
      </c>
      <c r="D11" s="102" t="s">
        <v>6951</v>
      </c>
      <c r="E11" s="102" t="s">
        <v>6952</v>
      </c>
      <c r="F11" s="45">
        <v>0.21</v>
      </c>
      <c r="G11" s="342" t="str">
        <f>IFERROR(VLOOKUP("KR102 II",STOCK!$B$1:$Q$5647,3,FALSE),"SIN STOCK")</f>
        <v>Menor a 5</v>
      </c>
      <c r="H11" s="28"/>
      <c r="I11" s="28"/>
      <c r="J11" s="28"/>
      <c r="K11" s="336"/>
      <c r="L11" s="28"/>
      <c r="M11" s="28"/>
      <c r="N11" s="28"/>
      <c r="O11" s="28"/>
      <c r="P11" s="28"/>
      <c r="Q11" s="28"/>
      <c r="R11" s="28"/>
      <c r="S11" s="28"/>
      <c r="T11" s="28"/>
      <c r="U11" s="28"/>
      <c r="V11" s="28"/>
      <c r="W11" s="28"/>
      <c r="X11" s="28"/>
      <c r="Y11" s="28"/>
      <c r="Z11" s="28"/>
    </row>
    <row r="12" ht="15.75" customHeight="1">
      <c r="A12" s="47" t="s">
        <v>6926</v>
      </c>
      <c r="B12" s="48" t="s">
        <v>6953</v>
      </c>
      <c r="C12" s="49" t="s">
        <v>6954</v>
      </c>
      <c r="D12" s="105" t="s">
        <v>6955</v>
      </c>
      <c r="E12" s="105" t="s">
        <v>6956</v>
      </c>
      <c r="F12" s="38">
        <v>0.21</v>
      </c>
      <c r="G12" s="342" t="str">
        <f>IFERROR(VLOOKUP("KR202 II",STOCK!$B$1:$Q$5647,3,FALSE),"SIN STOCK")</f>
        <v>Menor a 5</v>
      </c>
      <c r="H12" s="28"/>
      <c r="I12" s="28"/>
      <c r="J12" s="28"/>
      <c r="K12" s="336"/>
      <c r="L12" s="28"/>
      <c r="M12" s="28"/>
      <c r="N12" s="28"/>
      <c r="O12" s="28"/>
      <c r="P12" s="28"/>
      <c r="Q12" s="28"/>
      <c r="R12" s="28"/>
      <c r="S12" s="28"/>
      <c r="T12" s="28"/>
      <c r="U12" s="28"/>
      <c r="V12" s="28"/>
      <c r="W12" s="28"/>
      <c r="X12" s="28"/>
      <c r="Y12" s="28"/>
      <c r="Z12" s="28"/>
    </row>
    <row r="13" ht="15.75" customHeight="1">
      <c r="A13" s="41" t="s">
        <v>6926</v>
      </c>
      <c r="B13" s="42" t="s">
        <v>6957</v>
      </c>
      <c r="C13" s="43" t="s">
        <v>6958</v>
      </c>
      <c r="D13" s="102" t="s">
        <v>6959</v>
      </c>
      <c r="E13" s="102" t="s">
        <v>6960</v>
      </c>
      <c r="F13" s="45">
        <v>0.21</v>
      </c>
      <c r="G13" s="342" t="str">
        <f>IFERROR(VLOOKUP("KR402 I",STOCK!$B$1:$Q$5647,3,FALSE),"SIN STOCK")</f>
        <v>SIN STOCK</v>
      </c>
      <c r="H13" s="28"/>
      <c r="I13" s="28"/>
      <c r="J13" s="28"/>
      <c r="K13" s="336"/>
      <c r="L13" s="28"/>
      <c r="M13" s="28"/>
      <c r="N13" s="28"/>
      <c r="O13" s="28"/>
      <c r="P13" s="28"/>
      <c r="Q13" s="28"/>
      <c r="R13" s="28"/>
      <c r="S13" s="28"/>
      <c r="T13" s="28"/>
      <c r="U13" s="28"/>
      <c r="V13" s="28"/>
      <c r="W13" s="28"/>
      <c r="X13" s="28"/>
      <c r="Y13" s="28"/>
      <c r="Z13" s="28"/>
    </row>
    <row r="14" ht="15.75" customHeight="1">
      <c r="A14" s="47" t="s">
        <v>6926</v>
      </c>
      <c r="B14" s="48" t="s">
        <v>6961</v>
      </c>
      <c r="C14" s="49" t="s">
        <v>6962</v>
      </c>
      <c r="D14" s="105" t="s">
        <v>6963</v>
      </c>
      <c r="E14" s="105" t="s">
        <v>6964</v>
      </c>
      <c r="F14" s="38">
        <v>0.21</v>
      </c>
      <c r="G14" s="348" t="str">
        <f>IFERROR(VLOOKUP("KR802",STOCK!$B$1:$Q$5647,3,FALSE),"SIN STOCK")</f>
        <v>SIN STOCK</v>
      </c>
      <c r="H14" s="28"/>
      <c r="I14" s="28"/>
      <c r="J14" s="28"/>
      <c r="K14" s="336"/>
      <c r="L14" s="28"/>
      <c r="M14" s="28"/>
      <c r="N14" s="28"/>
      <c r="O14" s="28"/>
      <c r="P14" s="28"/>
      <c r="Q14" s="28"/>
      <c r="R14" s="28"/>
      <c r="S14" s="28"/>
      <c r="T14" s="28"/>
      <c r="U14" s="28"/>
      <c r="V14" s="28"/>
      <c r="W14" s="28"/>
      <c r="X14" s="28"/>
      <c r="Y14" s="28"/>
      <c r="Z14" s="28"/>
    </row>
    <row r="15" ht="15.75" customHeight="1">
      <c r="A15" s="253" t="s">
        <v>6965</v>
      </c>
      <c r="B15" s="349"/>
      <c r="C15" s="349"/>
      <c r="D15" s="99"/>
      <c r="E15" s="99"/>
      <c r="F15" s="349"/>
      <c r="G15" s="349"/>
      <c r="H15" s="28"/>
      <c r="I15" s="28"/>
      <c r="J15" s="28"/>
      <c r="K15" s="336"/>
      <c r="L15" s="28"/>
      <c r="M15" s="28"/>
      <c r="N15" s="28"/>
      <c r="O15" s="28"/>
      <c r="P15" s="28"/>
      <c r="Q15" s="28"/>
      <c r="R15" s="28"/>
      <c r="S15" s="28"/>
      <c r="T15" s="28"/>
      <c r="U15" s="28"/>
      <c r="V15" s="28"/>
      <c r="W15" s="28"/>
      <c r="X15" s="28"/>
      <c r="Y15" s="28"/>
      <c r="Z15" s="28"/>
    </row>
    <row r="16" ht="15.75" customHeight="1">
      <c r="A16" s="29" t="s">
        <v>6966</v>
      </c>
      <c r="B16" s="30"/>
      <c r="C16" s="30"/>
      <c r="D16" s="32"/>
      <c r="E16" s="32"/>
      <c r="F16" s="30"/>
      <c r="G16" s="30"/>
      <c r="H16" s="28"/>
      <c r="I16" s="28"/>
      <c r="J16" s="28"/>
      <c r="K16" s="336"/>
      <c r="L16" s="28"/>
      <c r="M16" s="28"/>
      <c r="N16" s="28"/>
      <c r="O16" s="28"/>
      <c r="P16" s="28"/>
      <c r="Q16" s="28"/>
      <c r="R16" s="28"/>
      <c r="S16" s="28"/>
      <c r="T16" s="28"/>
      <c r="U16" s="28"/>
      <c r="V16" s="28"/>
      <c r="W16" s="28"/>
      <c r="X16" s="28"/>
      <c r="Y16" s="28"/>
      <c r="Z16" s="28"/>
    </row>
    <row r="17" ht="15.75" customHeight="1">
      <c r="A17" s="41" t="s">
        <v>6926</v>
      </c>
      <c r="B17" s="42" t="s">
        <v>6967</v>
      </c>
      <c r="C17" s="43" t="s">
        <v>6968</v>
      </c>
      <c r="D17" s="102" t="s">
        <v>6969</v>
      </c>
      <c r="E17" s="102" t="s">
        <v>6970</v>
      </c>
      <c r="F17" s="45">
        <v>0.21</v>
      </c>
      <c r="G17" s="348" t="str">
        <f>IFERROR(VLOOKUP("KZ1",STOCK!$B$1:$Q$5647,3,FALSE),"SIN STOCK")</f>
        <v>SIN STOCK</v>
      </c>
      <c r="H17" s="28"/>
      <c r="I17" s="28"/>
      <c r="J17" s="28"/>
      <c r="K17" s="336"/>
      <c r="L17" s="28"/>
      <c r="M17" s="28"/>
      <c r="N17" s="28"/>
      <c r="O17" s="28"/>
      <c r="P17" s="28"/>
      <c r="Q17" s="28"/>
      <c r="R17" s="28"/>
      <c r="S17" s="28"/>
      <c r="T17" s="28"/>
      <c r="U17" s="28"/>
      <c r="V17" s="28"/>
      <c r="W17" s="28"/>
      <c r="X17" s="28"/>
      <c r="Y17" s="28"/>
      <c r="Z17" s="28"/>
    </row>
    <row r="18" ht="15.75" customHeight="1">
      <c r="A18" s="47" t="s">
        <v>6926</v>
      </c>
      <c r="B18" s="48" t="s">
        <v>6971</v>
      </c>
      <c r="C18" s="49" t="s">
        <v>6972</v>
      </c>
      <c r="D18" s="105" t="s">
        <v>6973</v>
      </c>
      <c r="E18" s="105" t="s">
        <v>6974</v>
      </c>
      <c r="F18" s="38">
        <v>0.21</v>
      </c>
      <c r="G18" s="348" t="str">
        <f>IFERROR(VLOOKUP("KZ14",STOCK!$B$1:$Q$5647,3,FALSE),"SIN STOCK")</f>
        <v>SIN STOCK</v>
      </c>
      <c r="H18" s="28"/>
      <c r="I18" s="28"/>
      <c r="J18" s="28"/>
      <c r="K18" s="336"/>
      <c r="L18" s="28"/>
      <c r="M18" s="28"/>
      <c r="N18" s="28"/>
      <c r="O18" s="28"/>
      <c r="P18" s="28"/>
      <c r="Q18" s="28"/>
      <c r="R18" s="28"/>
      <c r="S18" s="28"/>
      <c r="T18" s="28"/>
      <c r="U18" s="28"/>
      <c r="V18" s="28"/>
      <c r="W18" s="28"/>
      <c r="X18" s="28"/>
      <c r="Y18" s="28"/>
      <c r="Z18" s="28"/>
    </row>
    <row r="19" ht="15.75" customHeight="1">
      <c r="A19" s="350" t="s">
        <v>6975</v>
      </c>
      <c r="B19" s="30"/>
      <c r="C19" s="30"/>
      <c r="D19" s="32"/>
      <c r="E19" s="32"/>
      <c r="F19" s="30"/>
      <c r="G19" s="30"/>
      <c r="H19" s="28"/>
      <c r="I19" s="28"/>
      <c r="J19" s="28"/>
      <c r="K19" s="336"/>
      <c r="L19" s="28"/>
      <c r="M19" s="28"/>
      <c r="N19" s="28"/>
      <c r="O19" s="28"/>
      <c r="P19" s="28"/>
      <c r="Q19" s="28"/>
      <c r="R19" s="28"/>
      <c r="S19" s="28"/>
      <c r="T19" s="28"/>
      <c r="U19" s="28"/>
      <c r="V19" s="28"/>
      <c r="W19" s="28"/>
      <c r="X19" s="28"/>
      <c r="Y19" s="28"/>
      <c r="Z19" s="28"/>
    </row>
    <row r="20" ht="15.75" customHeight="1">
      <c r="A20" s="41" t="s">
        <v>6926</v>
      </c>
      <c r="B20" s="42" t="s">
        <v>6976</v>
      </c>
      <c r="C20" s="43" t="s">
        <v>6977</v>
      </c>
      <c r="D20" s="102" t="s">
        <v>6978</v>
      </c>
      <c r="E20" s="102" t="s">
        <v>6979</v>
      </c>
      <c r="F20" s="45">
        <v>0.21</v>
      </c>
      <c r="G20" s="348" t="str">
        <f>IFERROR(VLOOKUP("KV25",STOCK!$B$1:$Q$5647,3,FALSE),"SIN STOCK")</f>
        <v>SIN STOCK</v>
      </c>
      <c r="H20" s="28"/>
      <c r="I20" s="28"/>
      <c r="J20" s="28"/>
      <c r="K20" s="336"/>
      <c r="L20" s="28"/>
      <c r="M20" s="28"/>
      <c r="N20" s="28"/>
      <c r="O20" s="28"/>
      <c r="P20" s="28"/>
      <c r="Q20" s="28"/>
      <c r="R20" s="28"/>
      <c r="S20" s="28"/>
      <c r="T20" s="28"/>
      <c r="U20" s="28"/>
      <c r="V20" s="28"/>
      <c r="W20" s="28"/>
      <c r="X20" s="28"/>
      <c r="Y20" s="28"/>
      <c r="Z20" s="28"/>
    </row>
    <row r="21" ht="15.75" customHeight="1">
      <c r="A21" s="47" t="s">
        <v>6926</v>
      </c>
      <c r="B21" s="48" t="s">
        <v>6980</v>
      </c>
      <c r="C21" s="49" t="s">
        <v>6981</v>
      </c>
      <c r="D21" s="105" t="s">
        <v>6982</v>
      </c>
      <c r="E21" s="105" t="s">
        <v>6983</v>
      </c>
      <c r="F21" s="38">
        <v>0.21</v>
      </c>
      <c r="G21" s="348" t="str">
        <f>IFERROR(VLOOKUP("KV52 I",STOCK!$B$1:$Q$5647,3,FALSE),"SIN STOCK")</f>
        <v>SIN STOCK</v>
      </c>
      <c r="H21" s="28"/>
      <c r="I21" s="28"/>
      <c r="J21" s="28"/>
      <c r="K21" s="336"/>
      <c r="L21" s="28"/>
      <c r="M21" s="28"/>
      <c r="N21" s="28"/>
      <c r="O21" s="28"/>
      <c r="P21" s="28"/>
      <c r="Q21" s="28"/>
      <c r="R21" s="28"/>
      <c r="S21" s="28"/>
      <c r="T21" s="28"/>
      <c r="U21" s="28"/>
      <c r="V21" s="28"/>
      <c r="W21" s="28"/>
      <c r="X21" s="28"/>
      <c r="Y21" s="28"/>
      <c r="Z21" s="28"/>
    </row>
    <row r="22" ht="15.75" customHeight="1">
      <c r="A22" s="41" t="s">
        <v>6926</v>
      </c>
      <c r="B22" s="42" t="s">
        <v>6984</v>
      </c>
      <c r="C22" s="43" t="s">
        <v>6985</v>
      </c>
      <c r="D22" s="102" t="s">
        <v>6986</v>
      </c>
      <c r="E22" s="102" t="s">
        <v>6987</v>
      </c>
      <c r="F22" s="45">
        <v>0.21</v>
      </c>
      <c r="G22" s="342" t="str">
        <f>IFERROR(VLOOKUP("KV52 II",STOCK!$B$1:$Q$5647,3,FALSE),"SIN STOCK")</f>
        <v>SIN STOCK</v>
      </c>
      <c r="H22" s="28"/>
      <c r="I22" s="28"/>
      <c r="J22" s="28"/>
      <c r="K22" s="336"/>
      <c r="L22" s="28"/>
      <c r="M22" s="28"/>
      <c r="N22" s="28"/>
      <c r="O22" s="28"/>
      <c r="P22" s="28"/>
      <c r="Q22" s="28"/>
      <c r="R22" s="28"/>
      <c r="S22" s="28"/>
      <c r="T22" s="28"/>
      <c r="U22" s="28"/>
      <c r="V22" s="28"/>
      <c r="W22" s="28"/>
      <c r="X22" s="28"/>
      <c r="Y22" s="28"/>
      <c r="Z22" s="28"/>
    </row>
    <row r="23" ht="15.75" customHeight="1">
      <c r="A23" s="29" t="s">
        <v>6988</v>
      </c>
      <c r="B23" s="30"/>
      <c r="C23" s="30"/>
      <c r="D23" s="32"/>
      <c r="E23" s="32"/>
      <c r="F23" s="30"/>
      <c r="G23" s="30"/>
      <c r="H23" s="28"/>
      <c r="I23" s="28"/>
      <c r="J23" s="28"/>
      <c r="K23" s="336"/>
      <c r="L23" s="28"/>
      <c r="M23" s="28"/>
      <c r="N23" s="28"/>
      <c r="O23" s="28"/>
      <c r="P23" s="28"/>
      <c r="Q23" s="28"/>
      <c r="R23" s="28"/>
      <c r="S23" s="28"/>
      <c r="T23" s="28"/>
      <c r="U23" s="28"/>
      <c r="V23" s="28"/>
      <c r="W23" s="28"/>
      <c r="X23" s="28"/>
      <c r="Y23" s="28"/>
      <c r="Z23" s="28"/>
    </row>
    <row r="24" ht="15.75" customHeight="1">
      <c r="A24" s="41" t="s">
        <v>6926</v>
      </c>
      <c r="B24" s="42" t="s">
        <v>6989</v>
      </c>
      <c r="C24" s="43" t="s">
        <v>6990</v>
      </c>
      <c r="D24" s="102" t="s">
        <v>6991</v>
      </c>
      <c r="E24" s="102" t="s">
        <v>6992</v>
      </c>
      <c r="F24" s="45">
        <v>0.21</v>
      </c>
      <c r="G24" s="348" t="str">
        <f>IFERROR(VLOOKUP("KK52",STOCK!$B$1:$Q$5647,3,FALSE),"SIN STOCK")</f>
        <v>SIN STOCK</v>
      </c>
      <c r="H24" s="28"/>
      <c r="I24" s="28"/>
      <c r="J24" s="28"/>
      <c r="K24" s="336"/>
      <c r="L24" s="28"/>
      <c r="M24" s="28"/>
      <c r="N24" s="28"/>
      <c r="O24" s="28"/>
      <c r="P24" s="28"/>
      <c r="Q24" s="28"/>
      <c r="R24" s="28"/>
      <c r="S24" s="28"/>
      <c r="T24" s="28"/>
      <c r="U24" s="28"/>
      <c r="V24" s="28"/>
      <c r="W24" s="28"/>
      <c r="X24" s="28"/>
      <c r="Y24" s="28"/>
      <c r="Z24" s="28"/>
    </row>
    <row r="25" ht="15.75" customHeight="1">
      <c r="A25" s="47" t="s">
        <v>6926</v>
      </c>
      <c r="B25" s="48" t="s">
        <v>6993</v>
      </c>
      <c r="C25" s="49" t="s">
        <v>6994</v>
      </c>
      <c r="D25" s="105" t="s">
        <v>6995</v>
      </c>
      <c r="E25" s="105" t="s">
        <v>6996</v>
      </c>
      <c r="F25" s="38">
        <v>0.21</v>
      </c>
      <c r="G25" s="348" t="str">
        <f>IFERROR(VLOOKUP("KK102",STOCK!$B$1:$Q$5647,3,FALSE),"SIN STOCK")</f>
        <v>SIN STOCK</v>
      </c>
      <c r="H25" s="28"/>
      <c r="I25" s="28"/>
      <c r="J25" s="28"/>
      <c r="K25" s="336"/>
      <c r="L25" s="28"/>
      <c r="M25" s="28"/>
      <c r="N25" s="28"/>
      <c r="O25" s="28"/>
      <c r="P25" s="28"/>
      <c r="Q25" s="28"/>
      <c r="R25" s="28"/>
      <c r="S25" s="28"/>
      <c r="T25" s="28"/>
      <c r="U25" s="28"/>
      <c r="V25" s="28"/>
      <c r="W25" s="28"/>
      <c r="X25" s="28"/>
      <c r="Y25" s="28"/>
      <c r="Z25" s="28"/>
    </row>
    <row r="26" ht="15.75" customHeight="1">
      <c r="A26" s="29" t="s">
        <v>6997</v>
      </c>
      <c r="B26" s="30"/>
      <c r="C26" s="30"/>
      <c r="D26" s="32"/>
      <c r="E26" s="32"/>
      <c r="F26" s="30"/>
      <c r="G26" s="30"/>
      <c r="H26" s="28"/>
      <c r="I26" s="28"/>
      <c r="J26" s="28"/>
      <c r="K26" s="336"/>
      <c r="L26" s="28"/>
      <c r="M26" s="28"/>
      <c r="N26" s="28"/>
      <c r="O26" s="28"/>
      <c r="P26" s="28"/>
      <c r="Q26" s="28"/>
      <c r="R26" s="28"/>
      <c r="S26" s="28"/>
      <c r="T26" s="28"/>
      <c r="U26" s="28"/>
      <c r="V26" s="28"/>
      <c r="W26" s="28"/>
      <c r="X26" s="28"/>
      <c r="Y26" s="28"/>
      <c r="Z26" s="28"/>
    </row>
    <row r="27" ht="15.75" customHeight="1">
      <c r="A27" s="41" t="s">
        <v>6926</v>
      </c>
      <c r="B27" s="42" t="s">
        <v>6998</v>
      </c>
      <c r="C27" s="43" t="s">
        <v>6999</v>
      </c>
      <c r="D27" s="102" t="s">
        <v>7000</v>
      </c>
      <c r="E27" s="102" t="s">
        <v>7001</v>
      </c>
      <c r="F27" s="45">
        <v>0.21</v>
      </c>
      <c r="G27" s="348" t="str">
        <f>IFERROR(VLOOKUP("KP52",STOCK!$B$1:$Q$5647,3,FALSE),"SIN STOCK")</f>
        <v>SIN STOCK</v>
      </c>
      <c r="H27" s="28"/>
      <c r="I27" s="28"/>
      <c r="J27" s="28"/>
      <c r="K27" s="336"/>
      <c r="L27" s="28"/>
      <c r="M27" s="28"/>
      <c r="N27" s="28"/>
      <c r="O27" s="28"/>
      <c r="P27" s="28"/>
      <c r="Q27" s="28"/>
      <c r="R27" s="28"/>
      <c r="S27" s="28"/>
      <c r="T27" s="28"/>
      <c r="U27" s="28"/>
      <c r="V27" s="28"/>
      <c r="W27" s="28"/>
      <c r="X27" s="28"/>
      <c r="Y27" s="28"/>
      <c r="Z27" s="28"/>
    </row>
    <row r="28" ht="15.75" customHeight="1">
      <c r="A28" s="47" t="s">
        <v>6926</v>
      </c>
      <c r="B28" s="48" t="s">
        <v>7002</v>
      </c>
      <c r="C28" s="49" t="s">
        <v>7003</v>
      </c>
      <c r="D28" s="105" t="s">
        <v>4160</v>
      </c>
      <c r="E28" s="105" t="s">
        <v>7004</v>
      </c>
      <c r="F28" s="38">
        <v>0.21</v>
      </c>
      <c r="G28" s="348" t="str">
        <f>IFERROR(VLOOKUP("KP102",STOCK!$B$1:$Q$5647,3,FALSE),"SIN STOCK")</f>
        <v>SIN STOCK</v>
      </c>
      <c r="H28" s="28"/>
      <c r="I28" s="28"/>
      <c r="J28" s="28"/>
      <c r="K28" s="336"/>
      <c r="L28" s="28"/>
      <c r="M28" s="28"/>
      <c r="N28" s="28"/>
      <c r="O28" s="28"/>
      <c r="P28" s="28"/>
      <c r="Q28" s="28"/>
      <c r="R28" s="28"/>
      <c r="S28" s="28"/>
      <c r="T28" s="28"/>
      <c r="U28" s="28"/>
      <c r="V28" s="28"/>
      <c r="W28" s="28"/>
      <c r="X28" s="28"/>
      <c r="Y28" s="28"/>
      <c r="Z28" s="28"/>
    </row>
    <row r="29" ht="15.75" customHeight="1">
      <c r="A29" s="29" t="s">
        <v>7005</v>
      </c>
      <c r="B29" s="30"/>
      <c r="C29" s="30"/>
      <c r="D29" s="32"/>
      <c r="E29" s="32"/>
      <c r="F29" s="30"/>
      <c r="G29" s="30"/>
      <c r="H29" s="28"/>
      <c r="I29" s="28"/>
      <c r="J29" s="28"/>
      <c r="K29" s="336"/>
      <c r="L29" s="28"/>
      <c r="M29" s="28"/>
      <c r="N29" s="28"/>
      <c r="O29" s="28"/>
      <c r="P29" s="28"/>
      <c r="Q29" s="28"/>
      <c r="R29" s="28"/>
      <c r="S29" s="28"/>
      <c r="T29" s="28"/>
      <c r="U29" s="28"/>
      <c r="V29" s="28"/>
      <c r="W29" s="28"/>
      <c r="X29" s="28"/>
      <c r="Y29" s="28"/>
      <c r="Z29" s="28"/>
    </row>
    <row r="30" ht="15.75" customHeight="1">
      <c r="A30" s="41" t="s">
        <v>6926</v>
      </c>
      <c r="B30" s="42" t="s">
        <v>7006</v>
      </c>
      <c r="C30" s="43" t="s">
        <v>7007</v>
      </c>
      <c r="D30" s="102" t="s">
        <v>7008</v>
      </c>
      <c r="E30" s="102" t="s">
        <v>7009</v>
      </c>
      <c r="F30" s="45">
        <v>0.21</v>
      </c>
      <c r="G30" s="348" t="str">
        <f>IFERROR(VLOOKUP("KY102",STOCK!$B$1:$Q$5647,3,FALSE),"SIN STOCK")</f>
        <v>Menor a 5</v>
      </c>
      <c r="H30" s="28"/>
      <c r="I30" s="28"/>
      <c r="J30" s="28"/>
      <c r="K30" s="336"/>
      <c r="L30" s="28"/>
      <c r="M30" s="28"/>
      <c r="N30" s="28"/>
      <c r="O30" s="28"/>
      <c r="P30" s="28"/>
      <c r="Q30" s="28"/>
      <c r="R30" s="28"/>
      <c r="S30" s="28"/>
      <c r="T30" s="28"/>
      <c r="U30" s="28"/>
      <c r="V30" s="28"/>
      <c r="W30" s="28"/>
      <c r="X30" s="28"/>
      <c r="Y30" s="28"/>
      <c r="Z30" s="28"/>
    </row>
    <row r="31" ht="15.75" customHeight="1">
      <c r="A31" s="58" t="s">
        <v>7010</v>
      </c>
      <c r="B31" s="30"/>
      <c r="C31" s="30"/>
      <c r="D31" s="32"/>
      <c r="E31" s="32"/>
      <c r="F31" s="30"/>
      <c r="G31" s="30"/>
      <c r="H31" s="28"/>
      <c r="I31" s="28"/>
      <c r="J31" s="28"/>
      <c r="K31" s="336"/>
      <c r="L31" s="28"/>
      <c r="M31" s="28"/>
      <c r="N31" s="28"/>
      <c r="O31" s="28"/>
      <c r="P31" s="28"/>
      <c r="Q31" s="28"/>
      <c r="R31" s="28"/>
      <c r="S31" s="28"/>
      <c r="T31" s="28"/>
      <c r="U31" s="28"/>
      <c r="V31" s="28"/>
      <c r="W31" s="28"/>
      <c r="X31" s="28"/>
      <c r="Y31" s="28"/>
      <c r="Z31" s="28"/>
    </row>
    <row r="32" ht="15.75" customHeight="1">
      <c r="A32" s="41" t="s">
        <v>6926</v>
      </c>
      <c r="B32" s="42" t="s">
        <v>7011</v>
      </c>
      <c r="C32" s="43" t="s">
        <v>7012</v>
      </c>
      <c r="D32" s="102" t="s">
        <v>7013</v>
      </c>
      <c r="E32" s="102" t="s">
        <v>7014</v>
      </c>
      <c r="F32" s="45">
        <v>0.21</v>
      </c>
      <c r="G32" s="342" t="str">
        <f>IFERROR(VLOOKUP("KAN200+",STOCK!$B$1:$Q$5647,3,FALSE),"SIN STOCK")</f>
        <v>Menor a 5</v>
      </c>
      <c r="H32" s="28"/>
      <c r="I32" s="28"/>
      <c r="J32" s="28"/>
      <c r="K32" s="336"/>
      <c r="L32" s="28"/>
      <c r="M32" s="28"/>
      <c r="N32" s="28"/>
      <c r="O32" s="28"/>
      <c r="P32" s="28"/>
      <c r="Q32" s="28"/>
      <c r="R32" s="28"/>
      <c r="S32" s="28"/>
      <c r="T32" s="28"/>
      <c r="U32" s="28"/>
      <c r="V32" s="28"/>
      <c r="W32" s="28"/>
      <c r="X32" s="28"/>
      <c r="Y32" s="28"/>
      <c r="Z32" s="28"/>
    </row>
    <row r="33" ht="15.75" customHeight="1">
      <c r="A33" s="29" t="s">
        <v>7015</v>
      </c>
      <c r="B33" s="30"/>
      <c r="C33" s="30"/>
      <c r="D33" s="32"/>
      <c r="E33" s="32"/>
      <c r="F33" s="30"/>
      <c r="G33" s="30"/>
      <c r="H33" s="28"/>
      <c r="I33" s="28"/>
      <c r="J33" s="28"/>
      <c r="K33" s="336"/>
      <c r="L33" s="28"/>
      <c r="M33" s="28"/>
      <c r="N33" s="28"/>
      <c r="O33" s="28"/>
      <c r="P33" s="28"/>
      <c r="Q33" s="28"/>
      <c r="R33" s="28"/>
      <c r="S33" s="28"/>
      <c r="T33" s="28"/>
      <c r="U33" s="28"/>
      <c r="V33" s="28"/>
      <c r="W33" s="28"/>
      <c r="X33" s="28"/>
      <c r="Y33" s="28"/>
      <c r="Z33" s="28"/>
    </row>
    <row r="34" ht="15.75" customHeight="1">
      <c r="A34" s="41" t="s">
        <v>6926</v>
      </c>
      <c r="B34" s="42" t="s">
        <v>7016</v>
      </c>
      <c r="C34" s="43" t="s">
        <v>7017</v>
      </c>
      <c r="D34" s="102" t="s">
        <v>7018</v>
      </c>
      <c r="E34" s="102" t="s">
        <v>7019</v>
      </c>
      <c r="F34" s="45">
        <v>0.21</v>
      </c>
      <c r="G34" s="348" t="str">
        <f>IFERROR(VLOOKUP("KF26",STOCK!$B$1:$Q$5647,3,FALSE),"SIN STOCK")</f>
        <v>SIN STOCK</v>
      </c>
      <c r="H34" s="28"/>
      <c r="I34" s="28"/>
      <c r="J34" s="28"/>
      <c r="K34" s="336"/>
      <c r="L34" s="28"/>
      <c r="M34" s="28"/>
      <c r="N34" s="28"/>
      <c r="O34" s="28"/>
      <c r="P34" s="28"/>
      <c r="Q34" s="28"/>
      <c r="R34" s="28"/>
      <c r="S34" s="28"/>
      <c r="T34" s="28"/>
      <c r="U34" s="28"/>
      <c r="V34" s="28"/>
      <c r="W34" s="28"/>
      <c r="X34" s="28"/>
      <c r="Y34" s="28"/>
      <c r="Z34" s="28"/>
    </row>
    <row r="35" ht="15.75" customHeight="1">
      <c r="A35" s="47" t="s">
        <v>6926</v>
      </c>
      <c r="B35" s="48" t="s">
        <v>7020</v>
      </c>
      <c r="C35" s="49" t="s">
        <v>7021</v>
      </c>
      <c r="D35" s="105" t="s">
        <v>7022</v>
      </c>
      <c r="E35" s="105" t="s">
        <v>7023</v>
      </c>
      <c r="F35" s="38">
        <v>0.21</v>
      </c>
      <c r="G35" s="348" t="str">
        <f>IFERROR(VLOOKUP("KF210",STOCK!$B$1:$Q$5647,3,FALSE),"SIN STOCK")</f>
        <v>Menor a 5</v>
      </c>
      <c r="H35" s="28"/>
      <c r="I35" s="28"/>
      <c r="J35" s="28"/>
      <c r="K35" s="336"/>
      <c r="L35" s="28"/>
      <c r="M35" s="28"/>
      <c r="N35" s="28"/>
      <c r="O35" s="28"/>
      <c r="P35" s="28"/>
      <c r="Q35" s="28"/>
      <c r="R35" s="28"/>
      <c r="S35" s="28"/>
      <c r="T35" s="28"/>
      <c r="U35" s="28"/>
      <c r="V35" s="28"/>
      <c r="W35" s="28"/>
      <c r="X35" s="28"/>
      <c r="Y35" s="28"/>
      <c r="Z35" s="28"/>
    </row>
    <row r="36" ht="15.75" customHeight="1">
      <c r="A36" s="41" t="s">
        <v>6926</v>
      </c>
      <c r="B36" s="42" t="s">
        <v>7024</v>
      </c>
      <c r="C36" s="43" t="s">
        <v>7025</v>
      </c>
      <c r="D36" s="102" t="s">
        <v>7026</v>
      </c>
      <c r="E36" s="102" t="s">
        <v>7027</v>
      </c>
      <c r="F36" s="45">
        <v>0.21</v>
      </c>
      <c r="G36" s="348" t="str">
        <f>IFERROR(VLOOKUP("KF212",STOCK!$B$1:$Q$5647,3,FALSE),"SIN STOCK")</f>
        <v>SIN STOCK</v>
      </c>
      <c r="H36" s="28"/>
      <c r="I36" s="28"/>
      <c r="J36" s="28"/>
      <c r="K36" s="336"/>
      <c r="L36" s="28"/>
      <c r="M36" s="28"/>
      <c r="N36" s="28"/>
      <c r="O36" s="28"/>
      <c r="P36" s="28"/>
      <c r="Q36" s="28"/>
      <c r="R36" s="28"/>
      <c r="S36" s="28"/>
      <c r="T36" s="28"/>
      <c r="U36" s="28"/>
      <c r="V36" s="28"/>
      <c r="W36" s="28"/>
      <c r="X36" s="28"/>
      <c r="Y36" s="28"/>
      <c r="Z36" s="28"/>
    </row>
    <row r="37" ht="15.75" customHeight="1">
      <c r="A37" s="29" t="s">
        <v>7028</v>
      </c>
      <c r="B37" s="30"/>
      <c r="C37" s="30"/>
      <c r="D37" s="32"/>
      <c r="E37" s="32"/>
      <c r="F37" s="30"/>
      <c r="G37" s="30"/>
      <c r="H37" s="28"/>
      <c r="I37" s="28"/>
      <c r="J37" s="28"/>
      <c r="K37" s="336"/>
      <c r="L37" s="28"/>
      <c r="M37" s="28"/>
      <c r="N37" s="28"/>
      <c r="O37" s="28"/>
      <c r="P37" s="28"/>
      <c r="Q37" s="28"/>
      <c r="R37" s="28"/>
      <c r="S37" s="28"/>
      <c r="T37" s="28"/>
      <c r="U37" s="28"/>
      <c r="V37" s="28"/>
      <c r="W37" s="28"/>
      <c r="X37" s="28"/>
      <c r="Y37" s="28"/>
      <c r="Z37" s="28"/>
    </row>
    <row r="38" ht="15.75" customHeight="1">
      <c r="A38" s="41" t="s">
        <v>6926</v>
      </c>
      <c r="B38" s="42" t="s">
        <v>7029</v>
      </c>
      <c r="C38" s="43" t="s">
        <v>7030</v>
      </c>
      <c r="D38" s="102" t="s">
        <v>4160</v>
      </c>
      <c r="E38" s="102" t="s">
        <v>7004</v>
      </c>
      <c r="F38" s="45">
        <v>0.21</v>
      </c>
      <c r="G38" s="348" t="str">
        <f>IFERROR(VLOOKUP("KX12",STOCK!$B$1:$Q$5647,3,FALSE),"SIN STOCK")</f>
        <v>SIN STOCK</v>
      </c>
      <c r="H38" s="28"/>
      <c r="I38" s="28"/>
      <c r="J38" s="28"/>
      <c r="K38" s="336"/>
      <c r="L38" s="28"/>
      <c r="M38" s="28"/>
      <c r="N38" s="28"/>
      <c r="O38" s="28"/>
      <c r="P38" s="28"/>
      <c r="Q38" s="28"/>
      <c r="R38" s="28"/>
      <c r="S38" s="28"/>
      <c r="T38" s="28"/>
      <c r="U38" s="28"/>
      <c r="V38" s="28"/>
      <c r="W38" s="28"/>
      <c r="X38" s="28"/>
      <c r="Y38" s="28"/>
      <c r="Z38" s="28"/>
    </row>
    <row r="39" ht="15.75" customHeight="1">
      <c r="A39" s="29" t="s">
        <v>7031</v>
      </c>
      <c r="B39" s="30"/>
      <c r="C39" s="30"/>
      <c r="D39" s="32"/>
      <c r="E39" s="32"/>
      <c r="F39" s="30"/>
      <c r="G39" s="30"/>
      <c r="H39" s="28"/>
      <c r="I39" s="28"/>
      <c r="J39" s="28"/>
      <c r="K39" s="336"/>
      <c r="L39" s="28"/>
      <c r="M39" s="28"/>
      <c r="N39" s="28"/>
      <c r="O39" s="28"/>
      <c r="P39" s="28"/>
      <c r="Q39" s="28"/>
      <c r="R39" s="28"/>
      <c r="S39" s="28"/>
      <c r="T39" s="28"/>
      <c r="U39" s="28"/>
      <c r="V39" s="28"/>
      <c r="W39" s="28"/>
      <c r="X39" s="28"/>
      <c r="Y39" s="28"/>
      <c r="Z39" s="28"/>
    </row>
    <row r="40" ht="15.75" customHeight="1">
      <c r="A40" s="41" t="s">
        <v>6926</v>
      </c>
      <c r="B40" s="42" t="s">
        <v>7032</v>
      </c>
      <c r="C40" s="43" t="s">
        <v>7033</v>
      </c>
      <c r="D40" s="102" t="s">
        <v>7034</v>
      </c>
      <c r="E40" s="102" t="s">
        <v>7035</v>
      </c>
      <c r="F40" s="45">
        <v>0.21</v>
      </c>
      <c r="G40" s="342" t="str">
        <f>IFERROR(VLOOKUP("KH2 I",STOCK!$B$1:$Q$5647,3,FALSE),"SIN STOCK")</f>
        <v>Menor a 5</v>
      </c>
      <c r="H40" s="28"/>
      <c r="I40" s="28"/>
      <c r="J40" s="28"/>
      <c r="K40" s="336"/>
      <c r="L40" s="28"/>
      <c r="M40" s="28"/>
      <c r="N40" s="28"/>
      <c r="O40" s="28"/>
      <c r="P40" s="28"/>
      <c r="Q40" s="28"/>
      <c r="R40" s="28"/>
      <c r="S40" s="28"/>
      <c r="T40" s="28"/>
      <c r="U40" s="28"/>
      <c r="V40" s="28"/>
      <c r="W40" s="28"/>
      <c r="X40" s="28"/>
      <c r="Y40" s="28"/>
      <c r="Z40" s="28"/>
    </row>
    <row r="41" ht="15.75" customHeight="1">
      <c r="A41" s="47" t="s">
        <v>6926</v>
      </c>
      <c r="B41" s="48" t="s">
        <v>7036</v>
      </c>
      <c r="C41" s="49" t="s">
        <v>7033</v>
      </c>
      <c r="D41" s="105" t="s">
        <v>7037</v>
      </c>
      <c r="E41" s="105" t="s">
        <v>7038</v>
      </c>
      <c r="F41" s="38">
        <v>0.21</v>
      </c>
      <c r="G41" s="351" t="str">
        <f>IFERROR(VLOOKUP("KH2P I",STOCK!$B$1:$Q$5647,3,FALSE),"SIN STOCK")</f>
        <v>Mayor a 5</v>
      </c>
      <c r="H41" s="28"/>
      <c r="I41" s="28"/>
      <c r="J41" s="28"/>
      <c r="K41" s="336"/>
      <c r="L41" s="28"/>
      <c r="M41" s="28"/>
      <c r="N41" s="28"/>
      <c r="O41" s="28"/>
      <c r="P41" s="28"/>
      <c r="Q41" s="28"/>
      <c r="R41" s="28"/>
      <c r="S41" s="28"/>
      <c r="T41" s="28"/>
      <c r="U41" s="28"/>
      <c r="V41" s="28"/>
      <c r="W41" s="28"/>
      <c r="X41" s="28"/>
      <c r="Y41" s="28"/>
      <c r="Z41" s="28"/>
    </row>
    <row r="42" ht="15.75" customHeight="1">
      <c r="A42" s="41" t="s">
        <v>6926</v>
      </c>
      <c r="B42" s="42" t="s">
        <v>7039</v>
      </c>
      <c r="C42" s="43" t="s">
        <v>7040</v>
      </c>
      <c r="D42" s="102" t="s">
        <v>7041</v>
      </c>
      <c r="E42" s="102" t="s">
        <v>7042</v>
      </c>
      <c r="F42" s="45">
        <v>0.21</v>
      </c>
      <c r="G42" s="348" t="str">
        <f>IFERROR(VLOOKUP("KH3",STOCK!$B$1:$Q$5647,3,FALSE),"SIN STOCK")</f>
        <v>SIN STOCK</v>
      </c>
      <c r="H42" s="28"/>
      <c r="I42" s="28"/>
      <c r="J42" s="28"/>
      <c r="K42" s="336"/>
      <c r="L42" s="28"/>
      <c r="M42" s="28"/>
      <c r="N42" s="28"/>
      <c r="O42" s="28"/>
      <c r="P42" s="28"/>
      <c r="Q42" s="28"/>
      <c r="R42" s="28"/>
      <c r="S42" s="28"/>
      <c r="T42" s="28"/>
      <c r="U42" s="28"/>
      <c r="V42" s="28"/>
      <c r="W42" s="28"/>
      <c r="X42" s="28"/>
      <c r="Y42" s="28"/>
      <c r="Z42" s="28"/>
    </row>
    <row r="43" ht="15.75" customHeight="1">
      <c r="A43" s="47" t="s">
        <v>6926</v>
      </c>
      <c r="B43" s="48" t="s">
        <v>7043</v>
      </c>
      <c r="C43" s="49" t="s">
        <v>7044</v>
      </c>
      <c r="D43" s="105" t="s">
        <v>7045</v>
      </c>
      <c r="E43" s="105" t="s">
        <v>7046</v>
      </c>
      <c r="F43" s="38">
        <v>0.21</v>
      </c>
      <c r="G43" s="348" t="str">
        <f>IFERROR(VLOOKUP("KH5",STOCK!$B$1:$Q$5647,3,FALSE),"SIN STOCK")</f>
        <v>SIN STOCK</v>
      </c>
      <c r="H43" s="28"/>
      <c r="I43" s="28"/>
      <c r="J43" s="28"/>
      <c r="K43" s="336"/>
      <c r="L43" s="28"/>
      <c r="M43" s="28"/>
      <c r="N43" s="28"/>
      <c r="O43" s="28"/>
      <c r="P43" s="28"/>
      <c r="Q43" s="28"/>
      <c r="R43" s="28"/>
      <c r="S43" s="28"/>
      <c r="T43" s="28"/>
      <c r="U43" s="28"/>
      <c r="V43" s="28"/>
      <c r="W43" s="28"/>
      <c r="X43" s="28"/>
      <c r="Y43" s="28"/>
      <c r="Z43" s="28"/>
    </row>
    <row r="44" ht="15.75" customHeight="1">
      <c r="A44" s="29" t="s">
        <v>7047</v>
      </c>
      <c r="B44" s="30"/>
      <c r="C44" s="30"/>
      <c r="D44" s="32"/>
      <c r="E44" s="32"/>
      <c r="F44" s="30"/>
      <c r="G44" s="30"/>
      <c r="H44" s="28"/>
      <c r="I44" s="28"/>
      <c r="J44" s="28"/>
      <c r="K44" s="336"/>
      <c r="L44" s="28"/>
      <c r="M44" s="28"/>
      <c r="N44" s="28"/>
      <c r="O44" s="28"/>
      <c r="P44" s="28"/>
      <c r="Q44" s="28"/>
      <c r="R44" s="28"/>
      <c r="S44" s="28"/>
      <c r="T44" s="28"/>
      <c r="U44" s="28"/>
      <c r="V44" s="28"/>
      <c r="W44" s="28"/>
      <c r="X44" s="28"/>
      <c r="Y44" s="28"/>
      <c r="Z44" s="28"/>
    </row>
    <row r="45" ht="15.75" customHeight="1">
      <c r="A45" s="41" t="s">
        <v>6926</v>
      </c>
      <c r="B45" s="42" t="s">
        <v>7048</v>
      </c>
      <c r="C45" s="43" t="s">
        <v>7049</v>
      </c>
      <c r="D45" s="102" t="s">
        <v>7050</v>
      </c>
      <c r="E45" s="102" t="s">
        <v>7051</v>
      </c>
      <c r="F45" s="45">
        <v>0.21</v>
      </c>
      <c r="G45" s="348" t="str">
        <f>IFERROR(VLOOKUP("KH7",STOCK!$B$1:$Q$5647,3,FALSE),"SIN STOCK")</f>
        <v>SIN STOCK</v>
      </c>
      <c r="H45" s="28"/>
      <c r="I45" s="28"/>
      <c r="J45" s="28"/>
      <c r="K45" s="336"/>
      <c r="L45" s="28"/>
      <c r="M45" s="28"/>
      <c r="N45" s="28"/>
      <c r="O45" s="28"/>
      <c r="P45" s="28"/>
      <c r="Q45" s="28"/>
      <c r="R45" s="28"/>
      <c r="S45" s="28"/>
      <c r="T45" s="28"/>
      <c r="U45" s="28"/>
      <c r="V45" s="28"/>
      <c r="W45" s="28"/>
      <c r="X45" s="28"/>
      <c r="Y45" s="28"/>
      <c r="Z45" s="28"/>
    </row>
    <row r="46" ht="15.75" customHeight="1">
      <c r="A46" s="253" t="s">
        <v>7052</v>
      </c>
      <c r="B46" s="349"/>
      <c r="C46" s="349"/>
      <c r="D46" s="99"/>
      <c r="E46" s="99"/>
      <c r="F46" s="349"/>
      <c r="G46" s="349"/>
      <c r="H46" s="28"/>
      <c r="I46" s="28"/>
      <c r="J46" s="28"/>
      <c r="K46" s="336"/>
      <c r="L46" s="28"/>
      <c r="M46" s="28"/>
      <c r="N46" s="28"/>
      <c r="O46" s="28"/>
      <c r="P46" s="28"/>
      <c r="Q46" s="28"/>
      <c r="R46" s="28"/>
      <c r="S46" s="28"/>
      <c r="T46" s="28"/>
      <c r="U46" s="28"/>
      <c r="V46" s="28"/>
      <c r="W46" s="28"/>
      <c r="X46" s="28"/>
      <c r="Y46" s="28"/>
      <c r="Z46" s="28"/>
    </row>
    <row r="47" ht="15.75" customHeight="1">
      <c r="A47" s="29" t="s">
        <v>7053</v>
      </c>
      <c r="B47" s="30"/>
      <c r="C47" s="30"/>
      <c r="D47" s="32"/>
      <c r="E47" s="32"/>
      <c r="F47" s="30"/>
      <c r="G47" s="30"/>
      <c r="H47" s="28"/>
      <c r="I47" s="28"/>
      <c r="J47" s="28"/>
      <c r="K47" s="336"/>
      <c r="L47" s="28"/>
      <c r="M47" s="28"/>
      <c r="N47" s="28"/>
      <c r="O47" s="28"/>
      <c r="P47" s="28"/>
      <c r="Q47" s="28"/>
      <c r="R47" s="28"/>
      <c r="S47" s="28"/>
      <c r="T47" s="28"/>
      <c r="U47" s="28"/>
      <c r="V47" s="28"/>
      <c r="W47" s="28"/>
      <c r="X47" s="28"/>
      <c r="Y47" s="28"/>
      <c r="Z47" s="28"/>
    </row>
    <row r="48" ht="15.75" customHeight="1">
      <c r="A48" s="41" t="s">
        <v>6926</v>
      </c>
      <c r="B48" s="42" t="s">
        <v>7054</v>
      </c>
      <c r="C48" s="43" t="s">
        <v>7055</v>
      </c>
      <c r="D48" s="102" t="s">
        <v>7056</v>
      </c>
      <c r="E48" s="102" t="s">
        <v>7057</v>
      </c>
      <c r="F48" s="45">
        <v>0.21</v>
      </c>
      <c r="G48" s="348" t="str">
        <f>IFERROR(VLOOKUP("KTR24",STOCK!$B$1:$Q$5647,3,FALSE),"SIN STOCK")</f>
        <v>SIN STOCK</v>
      </c>
      <c r="H48" s="28"/>
      <c r="I48" s="28"/>
      <c r="J48" s="28"/>
      <c r="K48" s="336"/>
      <c r="L48" s="28"/>
      <c r="M48" s="28"/>
      <c r="N48" s="28"/>
      <c r="O48" s="28"/>
      <c r="P48" s="28"/>
      <c r="Q48" s="28"/>
      <c r="R48" s="28"/>
      <c r="S48" s="28"/>
      <c r="T48" s="28"/>
      <c r="U48" s="28"/>
      <c r="V48" s="28"/>
      <c r="W48" s="28"/>
      <c r="X48" s="28"/>
      <c r="Y48" s="28"/>
      <c r="Z48" s="28"/>
    </row>
    <row r="49" ht="15.75" customHeight="1">
      <c r="A49" s="47" t="s">
        <v>6926</v>
      </c>
      <c r="B49" s="48" t="s">
        <v>7058</v>
      </c>
      <c r="C49" s="49" t="s">
        <v>7059</v>
      </c>
      <c r="D49" s="105" t="s">
        <v>7060</v>
      </c>
      <c r="E49" s="105" t="s">
        <v>7061</v>
      </c>
      <c r="F49" s="38">
        <v>0.21</v>
      </c>
      <c r="G49" s="348" t="str">
        <f>IFERROR(VLOOKUP("KTR25",STOCK!$B$1:$Q$5647,3,FALSE),"SIN STOCK")</f>
        <v>Menor a 5</v>
      </c>
      <c r="H49" s="28"/>
      <c r="I49" s="28"/>
      <c r="J49" s="28"/>
      <c r="K49" s="336"/>
      <c r="L49" s="28"/>
      <c r="M49" s="28"/>
      <c r="N49" s="28"/>
      <c r="O49" s="28"/>
      <c r="P49" s="28"/>
      <c r="Q49" s="28"/>
      <c r="R49" s="28"/>
      <c r="S49" s="28"/>
      <c r="T49" s="28"/>
      <c r="U49" s="28"/>
      <c r="V49" s="28"/>
      <c r="W49" s="28"/>
      <c r="X49" s="28"/>
      <c r="Y49" s="28"/>
      <c r="Z49" s="28"/>
    </row>
    <row r="50" ht="15.75" customHeight="1">
      <c r="A50" s="41" t="s">
        <v>6926</v>
      </c>
      <c r="B50" s="42" t="s">
        <v>7062</v>
      </c>
      <c r="C50" s="43" t="s">
        <v>7063</v>
      </c>
      <c r="D50" s="102" t="s">
        <v>7064</v>
      </c>
      <c r="E50" s="102" t="s">
        <v>7065</v>
      </c>
      <c r="F50" s="45">
        <v>0.21</v>
      </c>
      <c r="G50" s="348" t="str">
        <f>IFERROR(VLOOKUP("KTR26",STOCK!$B$1:$Q$5647,3,FALSE),"SIN STOCK")</f>
        <v>Menor a 5</v>
      </c>
      <c r="H50" s="28"/>
      <c r="I50" s="28"/>
      <c r="J50" s="28"/>
      <c r="K50" s="336"/>
      <c r="L50" s="28"/>
      <c r="M50" s="28"/>
      <c r="N50" s="28"/>
      <c r="O50" s="28"/>
      <c r="P50" s="28"/>
      <c r="Q50" s="28"/>
      <c r="R50" s="28"/>
      <c r="S50" s="28"/>
      <c r="T50" s="28"/>
      <c r="U50" s="28"/>
      <c r="V50" s="28"/>
      <c r="W50" s="28"/>
      <c r="X50" s="28"/>
      <c r="Y50" s="28"/>
      <c r="Z50" s="28"/>
    </row>
    <row r="51" ht="15.75" customHeight="1">
      <c r="A51" s="29" t="s">
        <v>7066</v>
      </c>
      <c r="B51" s="30"/>
      <c r="C51" s="30"/>
      <c r="D51" s="32"/>
      <c r="E51" s="32"/>
      <c r="F51" s="30"/>
      <c r="G51" s="30"/>
      <c r="H51" s="28"/>
      <c r="I51" s="28"/>
      <c r="J51" s="28"/>
      <c r="K51" s="336"/>
      <c r="L51" s="28"/>
      <c r="M51" s="28"/>
      <c r="N51" s="28"/>
      <c r="O51" s="28"/>
      <c r="P51" s="28"/>
      <c r="Q51" s="28"/>
      <c r="R51" s="28"/>
      <c r="S51" s="28"/>
      <c r="T51" s="28"/>
      <c r="U51" s="28"/>
      <c r="V51" s="28"/>
      <c r="W51" s="28"/>
      <c r="X51" s="28"/>
      <c r="Y51" s="28"/>
      <c r="Z51" s="28"/>
    </row>
    <row r="52" ht="15.75" customHeight="1">
      <c r="A52" s="41" t="s">
        <v>6926</v>
      </c>
      <c r="B52" s="42" t="s">
        <v>7067</v>
      </c>
      <c r="C52" s="43" t="s">
        <v>7068</v>
      </c>
      <c r="D52" s="102" t="s">
        <v>7069</v>
      </c>
      <c r="E52" s="102" t="s">
        <v>7070</v>
      </c>
      <c r="F52" s="45">
        <v>0.21</v>
      </c>
      <c r="G52" s="348" t="str">
        <f>IFERROR(VLOOKUP("KU44",STOCK!$B$1:$Q$5647,3,FALSE),"SIN STOCK")</f>
        <v>SIN STOCK</v>
      </c>
      <c r="H52" s="28"/>
      <c r="I52" s="28"/>
      <c r="J52" s="28"/>
      <c r="K52" s="336"/>
      <c r="L52" s="28"/>
      <c r="M52" s="28"/>
      <c r="N52" s="28"/>
      <c r="O52" s="28"/>
      <c r="P52" s="28"/>
      <c r="Q52" s="28"/>
      <c r="R52" s="28"/>
      <c r="S52" s="28"/>
      <c r="T52" s="28"/>
      <c r="U52" s="28"/>
      <c r="V52" s="28"/>
      <c r="W52" s="28"/>
      <c r="X52" s="28"/>
      <c r="Y52" s="28"/>
      <c r="Z52" s="28"/>
    </row>
    <row r="53" ht="15.75" customHeight="1">
      <c r="A53" s="47" t="s">
        <v>6926</v>
      </c>
      <c r="B53" s="48" t="s">
        <v>7071</v>
      </c>
      <c r="C53" s="49" t="s">
        <v>7072</v>
      </c>
      <c r="D53" s="105" t="s">
        <v>6986</v>
      </c>
      <c r="E53" s="105" t="s">
        <v>6987</v>
      </c>
      <c r="F53" s="38">
        <v>0.21</v>
      </c>
      <c r="G53" s="348" t="str">
        <f>IFERROR(VLOOKUP("KU26",STOCK!$B$1:$Q$5647,3,FALSE),"SIN STOCK")</f>
        <v>Menor a 5</v>
      </c>
      <c r="H53" s="28"/>
      <c r="I53" s="28"/>
      <c r="J53" s="28"/>
      <c r="K53" s="336"/>
      <c r="L53" s="28"/>
      <c r="M53" s="28"/>
      <c r="N53" s="28"/>
      <c r="O53" s="28"/>
      <c r="P53" s="28"/>
      <c r="Q53" s="28"/>
      <c r="R53" s="28"/>
      <c r="S53" s="28"/>
      <c r="T53" s="28"/>
      <c r="U53" s="28"/>
      <c r="V53" s="28"/>
      <c r="W53" s="28"/>
      <c r="X53" s="28"/>
      <c r="Y53" s="28"/>
      <c r="Z53" s="28"/>
    </row>
    <row r="54" ht="15.75" customHeight="1">
      <c r="A54" s="41" t="s">
        <v>6926</v>
      </c>
      <c r="B54" s="42" t="s">
        <v>7073</v>
      </c>
      <c r="C54" s="43" t="s">
        <v>7074</v>
      </c>
      <c r="D54" s="102" t="s">
        <v>7000</v>
      </c>
      <c r="E54" s="102" t="s">
        <v>7001</v>
      </c>
      <c r="F54" s="45">
        <v>0.21</v>
      </c>
      <c r="G54" s="348" t="str">
        <f>IFERROR(VLOOKUP("KU210",STOCK!$B$1:$Q$5647,3,FALSE),"SIN STOCK")</f>
        <v>Menor a 5</v>
      </c>
      <c r="H54" s="28"/>
      <c r="I54" s="28"/>
      <c r="J54" s="28"/>
      <c r="K54" s="336"/>
      <c r="L54" s="28"/>
      <c r="M54" s="28"/>
      <c r="N54" s="28"/>
      <c r="O54" s="28"/>
      <c r="P54" s="28"/>
      <c r="Q54" s="28"/>
      <c r="R54" s="28"/>
      <c r="S54" s="28"/>
      <c r="T54" s="28"/>
      <c r="U54" s="28"/>
      <c r="V54" s="28"/>
      <c r="W54" s="28"/>
      <c r="X54" s="28"/>
      <c r="Y54" s="28"/>
      <c r="Z54" s="28"/>
    </row>
    <row r="55" ht="15.75" customHeight="1">
      <c r="A55" s="47" t="s">
        <v>6926</v>
      </c>
      <c r="B55" s="48" t="s">
        <v>7075</v>
      </c>
      <c r="C55" s="49" t="s">
        <v>7076</v>
      </c>
      <c r="D55" s="105" t="s">
        <v>7077</v>
      </c>
      <c r="E55" s="105" t="s">
        <v>7078</v>
      </c>
      <c r="F55" s="38">
        <v>0.21</v>
      </c>
      <c r="G55" s="348" t="str">
        <f>IFERROR(VLOOKUP("KU212",STOCK!$B$1:$Q$5647,3,FALSE),"SIN STOCK")</f>
        <v>Menor a 5</v>
      </c>
      <c r="H55" s="28"/>
      <c r="I55" s="28"/>
      <c r="J55" s="28"/>
      <c r="K55" s="336"/>
      <c r="L55" s="28"/>
      <c r="M55" s="28"/>
      <c r="N55" s="28"/>
      <c r="O55" s="28"/>
      <c r="P55" s="28"/>
      <c r="Q55" s="28"/>
      <c r="R55" s="28"/>
      <c r="S55" s="28"/>
      <c r="T55" s="28"/>
      <c r="U55" s="28"/>
      <c r="V55" s="28"/>
      <c r="W55" s="28"/>
      <c r="X55" s="28"/>
      <c r="Y55" s="28"/>
      <c r="Z55" s="28"/>
    </row>
    <row r="56" ht="15.75" customHeight="1">
      <c r="A56" s="29" t="s">
        <v>7079</v>
      </c>
      <c r="B56" s="30"/>
      <c r="C56" s="30"/>
      <c r="D56" s="32"/>
      <c r="E56" s="32"/>
      <c r="F56" s="30"/>
      <c r="G56" s="30"/>
      <c r="H56" s="28"/>
      <c r="I56" s="28"/>
      <c r="J56" s="28"/>
      <c r="K56" s="336"/>
      <c r="L56" s="28"/>
      <c r="M56" s="28"/>
      <c r="N56" s="28"/>
      <c r="O56" s="28"/>
      <c r="P56" s="28"/>
      <c r="Q56" s="28"/>
      <c r="R56" s="28"/>
      <c r="S56" s="28"/>
      <c r="T56" s="28"/>
      <c r="U56" s="28"/>
      <c r="V56" s="28"/>
      <c r="W56" s="28"/>
      <c r="X56" s="28"/>
      <c r="Y56" s="28"/>
      <c r="Z56" s="28"/>
    </row>
    <row r="57" ht="15.75" customHeight="1">
      <c r="A57" s="41" t="s">
        <v>6926</v>
      </c>
      <c r="B57" s="42" t="s">
        <v>7080</v>
      </c>
      <c r="C57" s="43" t="s">
        <v>7081</v>
      </c>
      <c r="D57" s="102" t="s">
        <v>7082</v>
      </c>
      <c r="E57" s="102" t="s">
        <v>7083</v>
      </c>
      <c r="F57" s="45">
        <v>0.21</v>
      </c>
      <c r="G57" s="342" t="str">
        <f>IFERROR(VLOOKUP("KS3 I",STOCK!$B$1:$Q$5647,3,FALSE),"SIN STOCK")</f>
        <v>Menor a 5</v>
      </c>
      <c r="H57" s="28"/>
      <c r="I57" s="28"/>
      <c r="J57" s="28"/>
      <c r="K57" s="336"/>
      <c r="L57" s="28"/>
      <c r="M57" s="28"/>
      <c r="N57" s="28"/>
      <c r="O57" s="28"/>
      <c r="P57" s="28"/>
      <c r="Q57" s="28"/>
      <c r="R57" s="28"/>
      <c r="S57" s="28"/>
      <c r="T57" s="28"/>
      <c r="U57" s="28"/>
      <c r="V57" s="28"/>
      <c r="W57" s="28"/>
      <c r="X57" s="28"/>
      <c r="Y57" s="28"/>
      <c r="Z57" s="28"/>
    </row>
    <row r="58" ht="15.75" customHeight="1">
      <c r="A58" s="47" t="s">
        <v>6926</v>
      </c>
      <c r="B58" s="48" t="s">
        <v>7084</v>
      </c>
      <c r="C58" s="49" t="s">
        <v>7085</v>
      </c>
      <c r="D58" s="105" t="s">
        <v>4160</v>
      </c>
      <c r="E58" s="105" t="s">
        <v>7004</v>
      </c>
      <c r="F58" s="38">
        <v>0.21</v>
      </c>
      <c r="G58" s="342" t="str">
        <f>IFERROR(VLOOKUP("KS3P I",STOCK!$B$1:$Q$5647,3,FALSE),"SIN STOCK")</f>
        <v>Menor a 5</v>
      </c>
      <c r="H58" s="28"/>
      <c r="I58" s="28"/>
      <c r="J58" s="28"/>
      <c r="K58" s="336"/>
      <c r="L58" s="28"/>
      <c r="M58" s="28"/>
      <c r="N58" s="28"/>
      <c r="O58" s="28"/>
      <c r="P58" s="28"/>
      <c r="Q58" s="28"/>
      <c r="R58" s="28"/>
      <c r="S58" s="28"/>
      <c r="T58" s="28"/>
      <c r="U58" s="28"/>
      <c r="V58" s="28"/>
      <c r="W58" s="28"/>
      <c r="X58" s="28"/>
      <c r="Y58" s="28"/>
      <c r="Z58" s="28"/>
    </row>
    <row r="59" ht="15.75" customHeight="1">
      <c r="A59" s="41" t="s">
        <v>6926</v>
      </c>
      <c r="B59" s="42" t="s">
        <v>7086</v>
      </c>
      <c r="C59" s="43" t="s">
        <v>7087</v>
      </c>
      <c r="D59" s="102" t="s">
        <v>7088</v>
      </c>
      <c r="E59" s="102" t="s">
        <v>7089</v>
      </c>
      <c r="F59" s="45">
        <v>0.21</v>
      </c>
      <c r="G59" s="348" t="str">
        <f>IFERROR(VLOOKUP("KS5",STOCK!$B$1:$Q$5647,3,FALSE),"SIN STOCK")</f>
        <v>SIN STOCK</v>
      </c>
      <c r="H59" s="28"/>
      <c r="I59" s="28"/>
      <c r="J59" s="28"/>
      <c r="K59" s="336"/>
      <c r="L59" s="28"/>
      <c r="M59" s="28"/>
      <c r="N59" s="28"/>
      <c r="O59" s="28"/>
      <c r="P59" s="28"/>
      <c r="Q59" s="28"/>
      <c r="R59" s="28"/>
      <c r="S59" s="28"/>
      <c r="T59" s="28"/>
      <c r="U59" s="28"/>
      <c r="V59" s="28"/>
      <c r="W59" s="28"/>
      <c r="X59" s="28"/>
      <c r="Y59" s="28"/>
      <c r="Z59" s="28"/>
    </row>
    <row r="60" ht="15.75" customHeight="1">
      <c r="A60" s="47" t="s">
        <v>6926</v>
      </c>
      <c r="B60" s="48" t="s">
        <v>7090</v>
      </c>
      <c r="C60" s="49" t="s">
        <v>7091</v>
      </c>
      <c r="D60" s="105" t="s">
        <v>7092</v>
      </c>
      <c r="E60" s="105" t="s">
        <v>7093</v>
      </c>
      <c r="F60" s="38">
        <v>0.21</v>
      </c>
      <c r="G60" s="348" t="str">
        <f>IFERROR(VLOOKUP("KS7",STOCK!$B$1:$Q$5647,3,FALSE),"SIN STOCK")</f>
        <v>SIN STOCK</v>
      </c>
      <c r="H60" s="28"/>
      <c r="I60" s="28"/>
      <c r="J60" s="28"/>
      <c r="K60" s="336"/>
      <c r="L60" s="28"/>
      <c r="M60" s="28"/>
      <c r="N60" s="28"/>
      <c r="O60" s="28"/>
      <c r="P60" s="28"/>
      <c r="Q60" s="28"/>
      <c r="R60" s="28"/>
      <c r="S60" s="28"/>
      <c r="T60" s="28"/>
      <c r="U60" s="28"/>
      <c r="V60" s="28"/>
      <c r="W60" s="28"/>
      <c r="X60" s="28"/>
      <c r="Y60" s="28"/>
      <c r="Z60" s="28"/>
    </row>
    <row r="61" ht="15.75" customHeight="1">
      <c r="A61" s="41" t="s">
        <v>6926</v>
      </c>
      <c r="B61" s="42" t="s">
        <v>7094</v>
      </c>
      <c r="C61" s="43" t="s">
        <v>7095</v>
      </c>
      <c r="D61" s="102" t="s">
        <v>7096</v>
      </c>
      <c r="E61" s="102" t="s">
        <v>7097</v>
      </c>
      <c r="F61" s="45">
        <v>0.21</v>
      </c>
      <c r="G61" s="348" t="str">
        <f>IFERROR(VLOOKUP("KMT12 I",STOCK!$B$1:$Q$5647,3,FALSE),"SIN STOCK")</f>
        <v>SIN STOCK</v>
      </c>
      <c r="H61" s="28"/>
      <c r="I61" s="28"/>
      <c r="J61" s="28"/>
      <c r="K61" s="336"/>
      <c r="L61" s="28"/>
      <c r="M61" s="28"/>
      <c r="N61" s="28"/>
      <c r="O61" s="28"/>
      <c r="P61" s="28"/>
      <c r="Q61" s="28"/>
      <c r="R61" s="28"/>
      <c r="S61" s="28"/>
      <c r="T61" s="28"/>
      <c r="U61" s="28"/>
      <c r="V61" s="28"/>
      <c r="W61" s="28"/>
      <c r="X61" s="28"/>
      <c r="Y61" s="28"/>
      <c r="Z61" s="28"/>
    </row>
    <row r="62" ht="15.75" customHeight="1">
      <c r="A62" s="47" t="s">
        <v>6926</v>
      </c>
      <c r="B62" s="48" t="s">
        <v>7098</v>
      </c>
      <c r="C62" s="49" t="s">
        <v>7099</v>
      </c>
      <c r="D62" s="105" t="s">
        <v>7077</v>
      </c>
      <c r="E62" s="105" t="s">
        <v>7078</v>
      </c>
      <c r="F62" s="38">
        <v>0.21</v>
      </c>
      <c r="G62" s="342" t="str">
        <f>IFERROR(VLOOKUP("K-HCFLY2 I",STOCK!$B$1:$Q$5647,3,FALSE),"SIN STOCK")</f>
        <v>Menor a 5</v>
      </c>
      <c r="H62" s="28"/>
      <c r="I62" s="28"/>
      <c r="J62" s="28"/>
      <c r="K62" s="336"/>
      <c r="L62" s="28"/>
      <c r="M62" s="28"/>
      <c r="N62" s="28"/>
      <c r="O62" s="28"/>
      <c r="P62" s="28"/>
      <c r="Q62" s="28"/>
      <c r="R62" s="28"/>
      <c r="S62" s="28"/>
      <c r="T62" s="28"/>
      <c r="U62" s="28"/>
      <c r="V62" s="28"/>
      <c r="W62" s="28"/>
      <c r="X62" s="28"/>
      <c r="Y62" s="28"/>
      <c r="Z62" s="28"/>
    </row>
    <row r="63" ht="15.75" customHeight="1">
      <c r="A63" s="352" t="s">
        <v>7100</v>
      </c>
      <c r="B63" s="349"/>
      <c r="C63" s="349"/>
      <c r="D63" s="99"/>
      <c r="E63" s="99"/>
      <c r="F63" s="349"/>
      <c r="G63" s="349"/>
      <c r="H63" s="28"/>
      <c r="I63" s="28"/>
      <c r="J63" s="28"/>
      <c r="K63" s="336"/>
      <c r="L63" s="28"/>
      <c r="M63" s="28"/>
      <c r="N63" s="28"/>
      <c r="O63" s="28"/>
      <c r="P63" s="28"/>
      <c r="Q63" s="28"/>
      <c r="R63" s="28"/>
      <c r="S63" s="28"/>
      <c r="T63" s="28"/>
      <c r="U63" s="28"/>
      <c r="V63" s="28"/>
      <c r="W63" s="28"/>
      <c r="X63" s="28"/>
      <c r="Y63" s="28"/>
      <c r="Z63" s="28"/>
    </row>
    <row r="64" ht="15.75" customHeight="1">
      <c r="A64" s="29" t="s">
        <v>7101</v>
      </c>
      <c r="B64" s="30"/>
      <c r="C64" s="30"/>
      <c r="D64" s="32"/>
      <c r="E64" s="32"/>
      <c r="F64" s="30"/>
      <c r="G64" s="30"/>
      <c r="H64" s="28"/>
      <c r="I64" s="28"/>
      <c r="J64" s="28"/>
      <c r="K64" s="336"/>
      <c r="L64" s="28"/>
      <c r="M64" s="28"/>
      <c r="N64" s="28"/>
      <c r="O64" s="28"/>
      <c r="P64" s="28"/>
      <c r="Q64" s="28"/>
      <c r="R64" s="28"/>
      <c r="S64" s="28"/>
      <c r="T64" s="28"/>
      <c r="U64" s="28"/>
      <c r="V64" s="28"/>
      <c r="W64" s="28"/>
      <c r="X64" s="28"/>
      <c r="Y64" s="28"/>
      <c r="Z64" s="28"/>
    </row>
    <row r="65" ht="15.75" customHeight="1">
      <c r="A65" s="41" t="s">
        <v>6926</v>
      </c>
      <c r="B65" s="42" t="s">
        <v>7102</v>
      </c>
      <c r="C65" s="43" t="s">
        <v>7103</v>
      </c>
      <c r="D65" s="102" t="s">
        <v>7104</v>
      </c>
      <c r="E65" s="102" t="s">
        <v>7105</v>
      </c>
      <c r="F65" s="45">
        <v>0.21</v>
      </c>
      <c r="G65" s="342" t="str">
        <f>IFERROR(VLOOKUP("KRM33",STOCK!$B$1:$Q$5647,3,FALSE),"SIN STOCK")</f>
        <v>Menor a 5</v>
      </c>
      <c r="H65" s="28"/>
      <c r="I65" s="28"/>
      <c r="J65" s="28"/>
      <c r="K65" s="336"/>
      <c r="L65" s="28"/>
      <c r="M65" s="28"/>
      <c r="N65" s="28"/>
      <c r="O65" s="28"/>
      <c r="P65" s="28"/>
      <c r="Q65" s="28"/>
      <c r="R65" s="28"/>
      <c r="S65" s="28"/>
      <c r="T65" s="28"/>
      <c r="U65" s="28"/>
      <c r="V65" s="28"/>
      <c r="W65" s="28"/>
      <c r="X65" s="28"/>
      <c r="Y65" s="28"/>
      <c r="Z65" s="28"/>
    </row>
    <row r="66" ht="15.75" customHeight="1">
      <c r="A66" s="47" t="s">
        <v>6926</v>
      </c>
      <c r="B66" s="48" t="s">
        <v>7106</v>
      </c>
      <c r="C66" s="49" t="s">
        <v>7107</v>
      </c>
      <c r="D66" s="105" t="s">
        <v>7069</v>
      </c>
      <c r="E66" s="105" t="s">
        <v>7070</v>
      </c>
      <c r="F66" s="38">
        <v>0.21</v>
      </c>
      <c r="G66" s="348" t="str">
        <f>IFERROR(VLOOKUP("KRM33P",STOCK!$B$1:$Q$5647,3,FALSE),"SIN STOCK")</f>
        <v>SIN STOCK</v>
      </c>
      <c r="H66" s="28"/>
      <c r="I66" s="28"/>
      <c r="J66" s="28"/>
      <c r="K66" s="336"/>
      <c r="L66" s="28"/>
      <c r="M66" s="28"/>
      <c r="N66" s="28"/>
      <c r="O66" s="28"/>
      <c r="P66" s="28"/>
      <c r="Q66" s="28"/>
      <c r="R66" s="28"/>
      <c r="S66" s="28"/>
      <c r="T66" s="28"/>
      <c r="U66" s="28"/>
      <c r="V66" s="28"/>
      <c r="W66" s="28"/>
      <c r="X66" s="28"/>
      <c r="Y66" s="28"/>
      <c r="Z66" s="28"/>
    </row>
    <row r="67" ht="15.75" customHeight="1">
      <c r="A67" s="29" t="s">
        <v>7108</v>
      </c>
      <c r="B67" s="30"/>
      <c r="C67" s="30"/>
      <c r="D67" s="32"/>
      <c r="E67" s="32"/>
      <c r="F67" s="30"/>
      <c r="G67" s="30"/>
      <c r="H67" s="28"/>
      <c r="I67" s="28"/>
      <c r="J67" s="28"/>
      <c r="K67" s="336"/>
      <c r="L67" s="28"/>
      <c r="M67" s="28"/>
      <c r="N67" s="28"/>
      <c r="O67" s="28"/>
      <c r="P67" s="28"/>
      <c r="Q67" s="28"/>
      <c r="R67" s="28"/>
      <c r="S67" s="28"/>
      <c r="T67" s="28"/>
      <c r="U67" s="28"/>
      <c r="V67" s="28"/>
      <c r="W67" s="28"/>
      <c r="X67" s="28"/>
      <c r="Y67" s="28"/>
      <c r="Z67" s="28"/>
    </row>
    <row r="68" ht="15.75" customHeight="1">
      <c r="A68" s="41" t="s">
        <v>6926</v>
      </c>
      <c r="B68" s="42" t="s">
        <v>7109</v>
      </c>
      <c r="C68" s="43" t="s">
        <v>7110</v>
      </c>
      <c r="D68" s="102" t="s">
        <v>2095</v>
      </c>
      <c r="E68" s="102" t="s">
        <v>2095</v>
      </c>
      <c r="F68" s="45">
        <v>0.21</v>
      </c>
      <c r="G68" s="348" t="str">
        <f>IFERROR(VLOOKUP("KM112",STOCK!$B$1:$Q$5647,3,FALSE),"SIN STOCK")</f>
        <v>SIN STOCK</v>
      </c>
      <c r="H68" s="28"/>
      <c r="I68" s="28"/>
      <c r="J68" s="28"/>
      <c r="K68" s="336"/>
      <c r="L68" s="28"/>
      <c r="M68" s="28"/>
      <c r="N68" s="28"/>
      <c r="O68" s="28"/>
      <c r="P68" s="28"/>
      <c r="Q68" s="28"/>
      <c r="R68" s="28"/>
      <c r="S68" s="28"/>
      <c r="T68" s="28"/>
      <c r="U68" s="28"/>
      <c r="V68" s="28"/>
      <c r="W68" s="28"/>
      <c r="X68" s="28"/>
      <c r="Y68" s="28"/>
      <c r="Z68" s="28"/>
    </row>
    <row r="69" ht="15.75" customHeight="1">
      <c r="A69" s="47" t="s">
        <v>6926</v>
      </c>
      <c r="B69" s="48" t="s">
        <v>7111</v>
      </c>
      <c r="C69" s="49" t="s">
        <v>7112</v>
      </c>
      <c r="D69" s="105" t="s">
        <v>7113</v>
      </c>
      <c r="E69" s="105" t="s">
        <v>7114</v>
      </c>
      <c r="F69" s="38">
        <v>0.21</v>
      </c>
      <c r="G69" s="348" t="str">
        <f>IFERROR(VLOOKUP("KM112P",STOCK!$B$1:$Q$5647,3,FALSE),"SIN STOCK")</f>
        <v>Menor a 5</v>
      </c>
      <c r="H69" s="28"/>
      <c r="I69" s="28"/>
      <c r="J69" s="28"/>
      <c r="K69" s="336"/>
      <c r="L69" s="28"/>
      <c r="M69" s="28"/>
      <c r="N69" s="28"/>
      <c r="O69" s="28"/>
      <c r="P69" s="28"/>
      <c r="Q69" s="28"/>
      <c r="R69" s="28"/>
      <c r="S69" s="28"/>
      <c r="T69" s="28"/>
      <c r="U69" s="28"/>
      <c r="V69" s="28"/>
      <c r="W69" s="28"/>
      <c r="X69" s="28"/>
      <c r="Y69" s="28"/>
      <c r="Z69" s="28"/>
    </row>
    <row r="70" ht="15.75" customHeight="1">
      <c r="A70" s="41" t="s">
        <v>6926</v>
      </c>
      <c r="B70" s="42" t="s">
        <v>7115</v>
      </c>
      <c r="C70" s="43" t="s">
        <v>7116</v>
      </c>
      <c r="D70" s="102" t="s">
        <v>2095</v>
      </c>
      <c r="E70" s="102" t="s">
        <v>2095</v>
      </c>
      <c r="F70" s="45">
        <v>0.21</v>
      </c>
      <c r="G70" s="348" t="str">
        <f>IFERROR(VLOOKUP("KM312",STOCK!$B$1:$Q$5647,3,FALSE),"SIN STOCK")</f>
        <v>SIN STOCK</v>
      </c>
      <c r="H70" s="28"/>
      <c r="I70" s="28"/>
      <c r="J70" s="28"/>
      <c r="K70" s="336"/>
      <c r="L70" s="28"/>
      <c r="M70" s="28"/>
      <c r="N70" s="28"/>
      <c r="O70" s="28"/>
      <c r="P70" s="28"/>
      <c r="Q70" s="28"/>
      <c r="R70" s="28"/>
      <c r="S70" s="28"/>
      <c r="T70" s="28"/>
      <c r="U70" s="28"/>
      <c r="V70" s="28"/>
      <c r="W70" s="28"/>
      <c r="X70" s="28"/>
      <c r="Y70" s="28"/>
      <c r="Z70" s="28"/>
    </row>
    <row r="71" ht="15.75" customHeight="1">
      <c r="A71" s="47" t="s">
        <v>6926</v>
      </c>
      <c r="B71" s="48" t="s">
        <v>7117</v>
      </c>
      <c r="C71" s="49" t="s">
        <v>7118</v>
      </c>
      <c r="D71" s="105" t="s">
        <v>7037</v>
      </c>
      <c r="E71" s="105" t="s">
        <v>7038</v>
      </c>
      <c r="F71" s="38">
        <v>0.21</v>
      </c>
      <c r="G71" s="348" t="str">
        <f>IFERROR(VLOOKUP("KM312P",STOCK!$B$1:$Q$5647,3,FALSE),"SIN STOCK")</f>
        <v>SIN STOCK</v>
      </c>
      <c r="H71" s="28"/>
      <c r="I71" s="28"/>
      <c r="J71" s="28"/>
      <c r="K71" s="336"/>
      <c r="L71" s="28"/>
      <c r="M71" s="28"/>
      <c r="N71" s="28"/>
      <c r="O71" s="28"/>
      <c r="P71" s="28"/>
      <c r="Q71" s="28"/>
      <c r="R71" s="28"/>
      <c r="S71" s="28"/>
      <c r="T71" s="28"/>
      <c r="U71" s="28"/>
      <c r="V71" s="28"/>
      <c r="W71" s="28"/>
      <c r="X71" s="28"/>
      <c r="Y71" s="28"/>
      <c r="Z71" s="28"/>
    </row>
    <row r="72" ht="15.75" customHeight="1">
      <c r="A72" s="352" t="s">
        <v>7119</v>
      </c>
      <c r="B72" s="349"/>
      <c r="C72" s="349"/>
      <c r="D72" s="99"/>
      <c r="E72" s="99"/>
      <c r="F72" s="349"/>
      <c r="G72" s="349"/>
      <c r="H72" s="28"/>
      <c r="I72" s="28"/>
      <c r="J72" s="28"/>
      <c r="K72" s="336"/>
      <c r="L72" s="28"/>
      <c r="M72" s="28"/>
      <c r="N72" s="28"/>
      <c r="O72" s="28"/>
      <c r="P72" s="28"/>
      <c r="Q72" s="28"/>
      <c r="R72" s="28"/>
      <c r="S72" s="28"/>
      <c r="T72" s="28"/>
      <c r="U72" s="28"/>
      <c r="V72" s="28"/>
      <c r="W72" s="28"/>
      <c r="X72" s="28"/>
      <c r="Y72" s="28"/>
      <c r="Z72" s="28"/>
    </row>
    <row r="73" ht="15.75" customHeight="1">
      <c r="A73" s="58" t="s">
        <v>7120</v>
      </c>
      <c r="B73" s="30"/>
      <c r="C73" s="30"/>
      <c r="D73" s="32"/>
      <c r="E73" s="32"/>
      <c r="F73" s="30"/>
      <c r="G73" s="30"/>
      <c r="H73" s="28"/>
      <c r="I73" s="28"/>
      <c r="J73" s="28"/>
      <c r="K73" s="336"/>
      <c r="L73" s="28"/>
      <c r="M73" s="28"/>
      <c r="N73" s="28"/>
      <c r="O73" s="28"/>
      <c r="P73" s="28"/>
      <c r="Q73" s="28"/>
      <c r="R73" s="28"/>
      <c r="S73" s="28"/>
      <c r="T73" s="28"/>
      <c r="U73" s="28"/>
      <c r="V73" s="28"/>
      <c r="W73" s="28"/>
      <c r="X73" s="28"/>
      <c r="Y73" s="28"/>
      <c r="Z73" s="28"/>
    </row>
    <row r="74" ht="15.75" customHeight="1">
      <c r="A74" s="41" t="s">
        <v>6926</v>
      </c>
      <c r="B74" s="42" t="s">
        <v>7121</v>
      </c>
      <c r="C74" s="43" t="s">
        <v>7122</v>
      </c>
      <c r="D74" s="102" t="s">
        <v>6991</v>
      </c>
      <c r="E74" s="102" t="s">
        <v>6992</v>
      </c>
      <c r="F74" s="45">
        <v>0.21</v>
      </c>
      <c r="G74" s="348" t="str">
        <f>IFERROR(VLOOKUP("KA02",STOCK!$B$1:$Q$5647,3,FALSE),"SIN STOCK")</f>
        <v>SIN STOCK</v>
      </c>
      <c r="H74" s="28"/>
      <c r="I74" s="28"/>
      <c r="J74" s="28"/>
      <c r="K74" s="336"/>
      <c r="L74" s="28"/>
      <c r="M74" s="28"/>
      <c r="N74" s="28"/>
      <c r="O74" s="28"/>
      <c r="P74" s="28"/>
      <c r="Q74" s="28"/>
      <c r="R74" s="28"/>
      <c r="S74" s="28"/>
      <c r="T74" s="28"/>
      <c r="U74" s="28"/>
      <c r="V74" s="28"/>
      <c r="W74" s="28"/>
      <c r="X74" s="28"/>
      <c r="Y74" s="28"/>
      <c r="Z74" s="28"/>
    </row>
    <row r="75" ht="15.75" customHeight="1">
      <c r="A75" s="41" t="s">
        <v>6926</v>
      </c>
      <c r="B75" s="42" t="s">
        <v>7123</v>
      </c>
      <c r="C75" s="43" t="s">
        <v>7124</v>
      </c>
      <c r="D75" s="102" t="s">
        <v>7125</v>
      </c>
      <c r="E75" s="102" t="s">
        <v>7126</v>
      </c>
      <c r="F75" s="45">
        <v>0.21</v>
      </c>
      <c r="G75" s="342" t="str">
        <f>IFERROR(VLOOKUP("KA14 I",STOCK!$B$1:$Q$5647,3,FALSE),"SIN STOCK")</f>
        <v>Menor a 5</v>
      </c>
      <c r="H75" s="346"/>
      <c r="I75" s="346"/>
      <c r="J75" s="346"/>
      <c r="K75" s="347"/>
      <c r="L75" s="346"/>
      <c r="M75" s="346"/>
      <c r="N75" s="346"/>
      <c r="O75" s="346"/>
      <c r="P75" s="346"/>
      <c r="Q75" s="346"/>
      <c r="R75" s="346"/>
      <c r="S75" s="346"/>
      <c r="T75" s="346"/>
      <c r="U75" s="346"/>
      <c r="V75" s="346"/>
      <c r="W75" s="346"/>
      <c r="X75" s="346"/>
      <c r="Y75" s="346"/>
      <c r="Z75" s="346"/>
    </row>
    <row r="76" ht="15.75" customHeight="1">
      <c r="A76" s="47" t="s">
        <v>6926</v>
      </c>
      <c r="B76" s="48" t="s">
        <v>7127</v>
      </c>
      <c r="C76" s="49" t="s">
        <v>7128</v>
      </c>
      <c r="D76" s="105" t="s">
        <v>7129</v>
      </c>
      <c r="E76" s="105" t="s">
        <v>7130</v>
      </c>
      <c r="F76" s="38">
        <v>0.21</v>
      </c>
      <c r="G76" s="348" t="str">
        <f>IFERROR(VLOOKUP("KA24",STOCK!$B$1:$Q$5647,3,FALSE),"SIN STOCK")</f>
        <v>SIN STOCK</v>
      </c>
      <c r="H76" s="28"/>
      <c r="I76" s="28"/>
      <c r="J76" s="28"/>
      <c r="K76" s="336"/>
      <c r="L76" s="28"/>
      <c r="M76" s="28"/>
      <c r="N76" s="28"/>
      <c r="O76" s="28"/>
      <c r="P76" s="28"/>
      <c r="Q76" s="28"/>
      <c r="R76" s="28"/>
      <c r="S76" s="28"/>
      <c r="T76" s="28"/>
      <c r="U76" s="28"/>
      <c r="V76" s="28"/>
      <c r="W76" s="28"/>
      <c r="X76" s="28"/>
      <c r="Y76" s="28"/>
      <c r="Z76" s="28"/>
    </row>
    <row r="77" ht="15.75" customHeight="1">
      <c r="A77" s="41" t="s">
        <v>6926</v>
      </c>
      <c r="B77" s="42" t="s">
        <v>7131</v>
      </c>
      <c r="C77" s="43" t="s">
        <v>7132</v>
      </c>
      <c r="D77" s="102" t="s">
        <v>6946</v>
      </c>
      <c r="E77" s="102" t="s">
        <v>6947</v>
      </c>
      <c r="F77" s="45">
        <v>0.21</v>
      </c>
      <c r="G77" s="342" t="str">
        <f>IFERROR(VLOOKUP("KA34",STOCK!$B$1:$Q$5647,3,FALSE),"SIN STOCK")</f>
        <v>Menor a 5</v>
      </c>
      <c r="H77" s="346"/>
      <c r="I77" s="346"/>
      <c r="J77" s="346"/>
      <c r="K77" s="347"/>
      <c r="L77" s="346"/>
      <c r="M77" s="346"/>
      <c r="N77" s="346"/>
      <c r="O77" s="346"/>
      <c r="P77" s="346"/>
      <c r="Q77" s="346"/>
      <c r="R77" s="346"/>
      <c r="S77" s="346"/>
      <c r="T77" s="346"/>
      <c r="U77" s="346"/>
      <c r="V77" s="346"/>
      <c r="W77" s="346"/>
      <c r="X77" s="346"/>
      <c r="Y77" s="346"/>
      <c r="Z77" s="346"/>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row r="953" ht="15.75" customHeight="1">
      <c r="A953" s="28"/>
      <c r="B953" s="28"/>
      <c r="C953" s="28"/>
      <c r="D953" s="127"/>
      <c r="E953" s="127"/>
      <c r="F953" s="28"/>
      <c r="G953" s="28"/>
      <c r="H953" s="353"/>
      <c r="I953" s="353"/>
      <c r="J953" s="353"/>
      <c r="K953" s="353"/>
      <c r="L953" s="353"/>
      <c r="M953" s="353"/>
      <c r="N953" s="353"/>
      <c r="O953" s="353"/>
      <c r="P953" s="353"/>
      <c r="Q953" s="353"/>
      <c r="R953" s="353"/>
      <c r="S953" s="353"/>
      <c r="T953" s="353"/>
      <c r="U953" s="353"/>
      <c r="V953" s="353"/>
      <c r="W953" s="353"/>
      <c r="X953" s="353"/>
      <c r="Y953" s="353"/>
      <c r="Z953" s="353"/>
    </row>
    <row r="954" ht="15.75" customHeight="1">
      <c r="A954" s="28"/>
      <c r="B954" s="28"/>
      <c r="C954" s="28"/>
      <c r="D954" s="127"/>
      <c r="E954" s="127"/>
      <c r="F954" s="28"/>
      <c r="G954" s="28"/>
      <c r="H954" s="353"/>
      <c r="I954" s="353"/>
      <c r="J954" s="353"/>
      <c r="K954" s="353"/>
      <c r="L954" s="353"/>
      <c r="M954" s="353"/>
      <c r="N954" s="353"/>
      <c r="O954" s="353"/>
      <c r="P954" s="353"/>
      <c r="Q954" s="353"/>
      <c r="R954" s="353"/>
      <c r="S954" s="353"/>
      <c r="T954" s="353"/>
      <c r="U954" s="353"/>
      <c r="V954" s="353"/>
      <c r="W954" s="353"/>
      <c r="X954" s="353"/>
      <c r="Y954" s="353"/>
      <c r="Z954" s="353"/>
    </row>
    <row r="955" ht="15.75" customHeight="1">
      <c r="A955" s="28"/>
      <c r="B955" s="28"/>
      <c r="C955" s="28"/>
      <c r="D955" s="127"/>
      <c r="E955" s="127"/>
      <c r="F955" s="28"/>
      <c r="G955" s="28"/>
      <c r="H955" s="353"/>
      <c r="I955" s="353"/>
      <c r="J955" s="353"/>
      <c r="K955" s="353"/>
      <c r="L955" s="353"/>
      <c r="M955" s="353"/>
      <c r="N955" s="353"/>
      <c r="O955" s="353"/>
      <c r="P955" s="353"/>
      <c r="Q955" s="353"/>
      <c r="R955" s="353"/>
      <c r="S955" s="353"/>
      <c r="T955" s="353"/>
      <c r="U955" s="353"/>
      <c r="V955" s="353"/>
      <c r="W955" s="353"/>
      <c r="X955" s="353"/>
      <c r="Y955" s="353"/>
      <c r="Z955" s="353"/>
    </row>
    <row r="956" ht="15.75" customHeight="1">
      <c r="A956" s="28"/>
      <c r="B956" s="28"/>
      <c r="C956" s="28"/>
      <c r="D956" s="127"/>
      <c r="E956" s="127"/>
      <c r="F956" s="28"/>
      <c r="G956" s="28"/>
      <c r="H956" s="353"/>
      <c r="I956" s="353"/>
      <c r="J956" s="353"/>
      <c r="K956" s="353"/>
      <c r="L956" s="353"/>
      <c r="M956" s="353"/>
      <c r="N956" s="353"/>
      <c r="O956" s="353"/>
      <c r="P956" s="353"/>
      <c r="Q956" s="353"/>
      <c r="R956" s="353"/>
      <c r="S956" s="353"/>
      <c r="T956" s="353"/>
      <c r="U956" s="353"/>
      <c r="V956" s="353"/>
      <c r="W956" s="353"/>
      <c r="X956" s="353"/>
      <c r="Y956" s="353"/>
      <c r="Z956" s="353"/>
    </row>
    <row r="957" ht="15.75" customHeight="1">
      <c r="A957" s="28"/>
      <c r="B957" s="28"/>
      <c r="C957" s="28"/>
      <c r="D957" s="127"/>
      <c r="E957" s="127"/>
      <c r="F957" s="28"/>
      <c r="G957" s="28"/>
      <c r="H957" s="353"/>
      <c r="I957" s="353"/>
      <c r="J957" s="353"/>
      <c r="K957" s="353"/>
      <c r="L957" s="353"/>
      <c r="M957" s="353"/>
      <c r="N957" s="353"/>
      <c r="O957" s="353"/>
      <c r="P957" s="353"/>
      <c r="Q957" s="353"/>
      <c r="R957" s="353"/>
      <c r="S957" s="353"/>
      <c r="T957" s="353"/>
      <c r="U957" s="353"/>
      <c r="V957" s="353"/>
      <c r="W957" s="353"/>
      <c r="X957" s="353"/>
      <c r="Y957" s="353"/>
      <c r="Z957" s="353"/>
    </row>
    <row r="958" ht="15.75" customHeight="1">
      <c r="A958" s="28"/>
      <c r="B958" s="28"/>
      <c r="C958" s="28"/>
      <c r="D958" s="127"/>
      <c r="E958" s="127"/>
      <c r="F958" s="28"/>
      <c r="G958" s="28"/>
      <c r="H958" s="353"/>
      <c r="I958" s="353"/>
      <c r="J958" s="353"/>
      <c r="K958" s="353"/>
      <c r="L958" s="353"/>
      <c r="M958" s="353"/>
      <c r="N958" s="353"/>
      <c r="O958" s="353"/>
      <c r="P958" s="353"/>
      <c r="Q958" s="353"/>
      <c r="R958" s="353"/>
      <c r="S958" s="353"/>
      <c r="T958" s="353"/>
      <c r="U958" s="353"/>
      <c r="V958" s="353"/>
      <c r="W958" s="353"/>
      <c r="X958" s="353"/>
      <c r="Y958" s="353"/>
      <c r="Z958" s="353"/>
    </row>
    <row r="959" ht="15.75" customHeight="1">
      <c r="A959" s="28"/>
      <c r="B959" s="28"/>
      <c r="C959" s="28"/>
      <c r="D959" s="127"/>
      <c r="E959" s="127"/>
      <c r="F959" s="28"/>
      <c r="G959" s="28"/>
      <c r="H959" s="353"/>
      <c r="I959" s="353"/>
      <c r="J959" s="353"/>
      <c r="K959" s="353"/>
      <c r="L959" s="353"/>
      <c r="M959" s="353"/>
      <c r="N959" s="353"/>
      <c r="O959" s="353"/>
      <c r="P959" s="353"/>
      <c r="Q959" s="353"/>
      <c r="R959" s="353"/>
      <c r="S959" s="353"/>
      <c r="T959" s="353"/>
      <c r="U959" s="353"/>
      <c r="V959" s="353"/>
      <c r="W959" s="353"/>
      <c r="X959" s="353"/>
      <c r="Y959" s="353"/>
      <c r="Z959" s="353"/>
    </row>
    <row r="960" ht="15.75" customHeight="1">
      <c r="A960" s="28"/>
      <c r="B960" s="28"/>
      <c r="C960" s="28"/>
      <c r="D960" s="127"/>
      <c r="E960" s="127"/>
      <c r="F960" s="28"/>
      <c r="G960" s="28"/>
      <c r="H960" s="353"/>
      <c r="I960" s="353"/>
      <c r="J960" s="353"/>
      <c r="K960" s="353"/>
      <c r="L960" s="353"/>
      <c r="M960" s="353"/>
      <c r="N960" s="353"/>
      <c r="O960" s="353"/>
      <c r="P960" s="353"/>
      <c r="Q960" s="353"/>
      <c r="R960" s="353"/>
      <c r="S960" s="353"/>
      <c r="T960" s="353"/>
      <c r="U960" s="353"/>
      <c r="V960" s="353"/>
      <c r="W960" s="353"/>
      <c r="X960" s="353"/>
      <c r="Y960" s="353"/>
      <c r="Z960" s="353"/>
    </row>
    <row r="961" ht="15.75" customHeight="1">
      <c r="A961" s="28"/>
      <c r="B961" s="28"/>
      <c r="C961" s="28"/>
      <c r="D961" s="127"/>
      <c r="E961" s="127"/>
      <c r="F961" s="28"/>
      <c r="G961" s="28"/>
      <c r="H961" s="353"/>
      <c r="I961" s="353"/>
      <c r="J961" s="353"/>
      <c r="K961" s="353"/>
      <c r="L961" s="353"/>
      <c r="M961" s="353"/>
      <c r="N961" s="353"/>
      <c r="O961" s="353"/>
      <c r="P961" s="353"/>
      <c r="Q961" s="353"/>
      <c r="R961" s="353"/>
      <c r="S961" s="353"/>
      <c r="T961" s="353"/>
      <c r="U961" s="353"/>
      <c r="V961" s="353"/>
      <c r="W961" s="353"/>
      <c r="X961" s="353"/>
      <c r="Y961" s="353"/>
      <c r="Z961" s="353"/>
    </row>
    <row r="962" ht="15.75" customHeight="1">
      <c r="A962" s="28"/>
      <c r="B962" s="28"/>
      <c r="C962" s="28"/>
      <c r="D962" s="127"/>
      <c r="E962" s="127"/>
      <c r="F962" s="28"/>
      <c r="G962" s="28"/>
      <c r="H962" s="353"/>
      <c r="I962" s="353"/>
      <c r="J962" s="353"/>
      <c r="K962" s="353"/>
      <c r="L962" s="353"/>
      <c r="M962" s="353"/>
      <c r="N962" s="353"/>
      <c r="O962" s="353"/>
      <c r="P962" s="353"/>
      <c r="Q962" s="353"/>
      <c r="R962" s="353"/>
      <c r="S962" s="353"/>
      <c r="T962" s="353"/>
      <c r="U962" s="353"/>
      <c r="V962" s="353"/>
      <c r="W962" s="353"/>
      <c r="X962" s="353"/>
      <c r="Y962" s="353"/>
      <c r="Z962" s="353"/>
    </row>
    <row r="963" ht="15.75" customHeight="1">
      <c r="A963" s="28"/>
      <c r="B963" s="28"/>
      <c r="C963" s="28"/>
      <c r="D963" s="127"/>
      <c r="E963" s="127"/>
      <c r="F963" s="28"/>
      <c r="G963" s="28"/>
      <c r="H963" s="353"/>
      <c r="I963" s="353"/>
      <c r="J963" s="353"/>
      <c r="K963" s="353"/>
      <c r="L963" s="353"/>
      <c r="M963" s="353"/>
      <c r="N963" s="353"/>
      <c r="O963" s="353"/>
      <c r="P963" s="353"/>
      <c r="Q963" s="353"/>
      <c r="R963" s="353"/>
      <c r="S963" s="353"/>
      <c r="T963" s="353"/>
      <c r="U963" s="353"/>
      <c r="V963" s="353"/>
      <c r="W963" s="353"/>
      <c r="X963" s="353"/>
      <c r="Y963" s="353"/>
      <c r="Z963" s="353"/>
    </row>
    <row r="964" ht="15.75" customHeight="1">
      <c r="A964" s="28"/>
      <c r="B964" s="28"/>
      <c r="C964" s="28"/>
      <c r="D964" s="127"/>
      <c r="E964" s="127"/>
      <c r="F964" s="28"/>
      <c r="G964" s="28"/>
      <c r="H964" s="353"/>
      <c r="I964" s="353"/>
      <c r="J964" s="353"/>
      <c r="K964" s="353"/>
      <c r="L964" s="353"/>
      <c r="M964" s="353"/>
      <c r="N964" s="353"/>
      <c r="O964" s="353"/>
      <c r="P964" s="353"/>
      <c r="Q964" s="353"/>
      <c r="R964" s="353"/>
      <c r="S964" s="353"/>
      <c r="T964" s="353"/>
      <c r="U964" s="353"/>
      <c r="V964" s="353"/>
      <c r="W964" s="353"/>
      <c r="X964" s="353"/>
      <c r="Y964" s="353"/>
      <c r="Z964" s="353"/>
    </row>
    <row r="965" ht="15.75" customHeight="1">
      <c r="A965" s="28"/>
      <c r="B965" s="28"/>
      <c r="C965" s="28"/>
      <c r="D965" s="127"/>
      <c r="E965" s="127"/>
      <c r="F965" s="28"/>
      <c r="G965" s="28"/>
      <c r="H965" s="353"/>
      <c r="I965" s="353"/>
      <c r="J965" s="353"/>
      <c r="K965" s="353"/>
      <c r="L965" s="353"/>
      <c r="M965" s="353"/>
      <c r="N965" s="353"/>
      <c r="O965" s="353"/>
      <c r="P965" s="353"/>
      <c r="Q965" s="353"/>
      <c r="R965" s="353"/>
      <c r="S965" s="353"/>
      <c r="T965" s="353"/>
      <c r="U965" s="353"/>
      <c r="V965" s="353"/>
      <c r="W965" s="353"/>
      <c r="X965" s="353"/>
      <c r="Y965" s="353"/>
      <c r="Z965" s="353"/>
    </row>
    <row r="966" ht="15.75" customHeight="1">
      <c r="A966" s="28"/>
      <c r="B966" s="28"/>
      <c r="C966" s="28"/>
      <c r="D966" s="127"/>
      <c r="E966" s="127"/>
      <c r="F966" s="28"/>
      <c r="G966" s="28"/>
      <c r="H966" s="353"/>
      <c r="I966" s="353"/>
      <c r="J966" s="353"/>
      <c r="K966" s="353"/>
      <c r="L966" s="353"/>
      <c r="M966" s="353"/>
      <c r="N966" s="353"/>
      <c r="O966" s="353"/>
      <c r="P966" s="353"/>
      <c r="Q966" s="353"/>
      <c r="R966" s="353"/>
      <c r="S966" s="353"/>
      <c r="T966" s="353"/>
      <c r="U966" s="353"/>
      <c r="V966" s="353"/>
      <c r="W966" s="353"/>
      <c r="X966" s="353"/>
      <c r="Y966" s="353"/>
      <c r="Z966" s="353"/>
    </row>
    <row r="967" ht="15.75" customHeight="1">
      <c r="A967" s="28"/>
      <c r="B967" s="28"/>
      <c r="C967" s="28"/>
      <c r="D967" s="127"/>
      <c r="E967" s="127"/>
      <c r="F967" s="28"/>
      <c r="G967" s="28"/>
      <c r="H967" s="353"/>
      <c r="I967" s="353"/>
      <c r="J967" s="353"/>
      <c r="K967" s="353"/>
      <c r="L967" s="353"/>
      <c r="M967" s="353"/>
      <c r="N967" s="353"/>
      <c r="O967" s="353"/>
      <c r="P967" s="353"/>
      <c r="Q967" s="353"/>
      <c r="R967" s="353"/>
      <c r="S967" s="353"/>
      <c r="T967" s="353"/>
      <c r="U967" s="353"/>
      <c r="V967" s="353"/>
      <c r="W967" s="353"/>
      <c r="X967" s="353"/>
      <c r="Y967" s="353"/>
      <c r="Z967" s="353"/>
    </row>
    <row r="968" ht="15.75" customHeight="1">
      <c r="A968" s="28"/>
      <c r="B968" s="28"/>
      <c r="C968" s="28"/>
      <c r="D968" s="127"/>
      <c r="E968" s="127"/>
      <c r="F968" s="28"/>
      <c r="G968" s="28"/>
      <c r="H968" s="353"/>
      <c r="I968" s="353"/>
      <c r="J968" s="353"/>
      <c r="K968" s="353"/>
      <c r="L968" s="353"/>
      <c r="M968" s="353"/>
      <c r="N968" s="353"/>
      <c r="O968" s="353"/>
      <c r="P968" s="353"/>
      <c r="Q968" s="353"/>
      <c r="R968" s="353"/>
      <c r="S968" s="353"/>
      <c r="T968" s="353"/>
      <c r="U968" s="353"/>
      <c r="V968" s="353"/>
      <c r="W968" s="353"/>
      <c r="X968" s="353"/>
      <c r="Y968" s="353"/>
      <c r="Z968" s="353"/>
    </row>
    <row r="969" ht="15.75" customHeight="1">
      <c r="A969" s="28"/>
      <c r="B969" s="28"/>
      <c r="C969" s="28"/>
      <c r="D969" s="127"/>
      <c r="E969" s="127"/>
      <c r="F969" s="28"/>
      <c r="G969" s="28"/>
      <c r="H969" s="353"/>
      <c r="I969" s="353"/>
      <c r="J969" s="353"/>
      <c r="K969" s="353"/>
      <c r="L969" s="353"/>
      <c r="M969" s="353"/>
      <c r="N969" s="353"/>
      <c r="O969" s="353"/>
      <c r="P969" s="353"/>
      <c r="Q969" s="353"/>
      <c r="R969" s="353"/>
      <c r="S969" s="353"/>
      <c r="T969" s="353"/>
      <c r="U969" s="353"/>
      <c r="V969" s="353"/>
      <c r="W969" s="353"/>
      <c r="X969" s="353"/>
      <c r="Y969" s="353"/>
      <c r="Z969" s="353"/>
    </row>
    <row r="970" ht="15.75" customHeight="1">
      <c r="A970" s="28"/>
      <c r="B970" s="28"/>
      <c r="C970" s="28"/>
      <c r="D970" s="127"/>
      <c r="E970" s="127"/>
      <c r="F970" s="28"/>
      <c r="G970" s="28"/>
      <c r="H970" s="353"/>
      <c r="I970" s="353"/>
      <c r="J970" s="353"/>
      <c r="K970" s="353"/>
      <c r="L970" s="353"/>
      <c r="M970" s="353"/>
      <c r="N970" s="353"/>
      <c r="O970" s="353"/>
      <c r="P970" s="353"/>
      <c r="Q970" s="353"/>
      <c r="R970" s="353"/>
      <c r="S970" s="353"/>
      <c r="T970" s="353"/>
      <c r="U970" s="353"/>
      <c r="V970" s="353"/>
      <c r="W970" s="353"/>
      <c r="X970" s="353"/>
      <c r="Y970" s="353"/>
      <c r="Z970" s="353"/>
    </row>
    <row r="971" ht="15.75" customHeight="1">
      <c r="A971" s="28"/>
      <c r="B971" s="28"/>
      <c r="C971" s="28"/>
      <c r="D971" s="127"/>
      <c r="E971" s="127"/>
      <c r="F971" s="28"/>
      <c r="G971" s="28"/>
      <c r="H971" s="353"/>
      <c r="I971" s="353"/>
      <c r="J971" s="353"/>
      <c r="K971" s="353"/>
      <c r="L971" s="353"/>
      <c r="M971" s="353"/>
      <c r="N971" s="353"/>
      <c r="O971" s="353"/>
      <c r="P971" s="353"/>
      <c r="Q971" s="353"/>
      <c r="R971" s="353"/>
      <c r="S971" s="353"/>
      <c r="T971" s="353"/>
      <c r="U971" s="353"/>
      <c r="V971" s="353"/>
      <c r="W971" s="353"/>
      <c r="X971" s="353"/>
      <c r="Y971" s="353"/>
      <c r="Z971" s="353"/>
    </row>
    <row r="972" ht="15.75" customHeight="1">
      <c r="A972" s="28"/>
      <c r="B972" s="28"/>
      <c r="C972" s="28"/>
      <c r="D972" s="127"/>
      <c r="E972" s="127"/>
      <c r="F972" s="28"/>
      <c r="G972" s="28"/>
      <c r="H972" s="353"/>
      <c r="I972" s="353"/>
      <c r="J972" s="353"/>
      <c r="K972" s="353"/>
      <c r="L972" s="353"/>
      <c r="M972" s="353"/>
      <c r="N972" s="353"/>
      <c r="O972" s="353"/>
      <c r="P972" s="353"/>
      <c r="Q972" s="353"/>
      <c r="R972" s="353"/>
      <c r="S972" s="353"/>
      <c r="T972" s="353"/>
      <c r="U972" s="353"/>
      <c r="V972" s="353"/>
      <c r="W972" s="353"/>
      <c r="X972" s="353"/>
      <c r="Y972" s="353"/>
      <c r="Z972" s="353"/>
    </row>
    <row r="973" ht="15.75" customHeight="1">
      <c r="A973" s="28"/>
      <c r="B973" s="28"/>
      <c r="C973" s="28"/>
      <c r="D973" s="127"/>
      <c r="E973" s="127"/>
      <c r="F973" s="28"/>
      <c r="G973" s="28"/>
      <c r="H973" s="353"/>
      <c r="I973" s="353"/>
      <c r="J973" s="353"/>
      <c r="K973" s="353"/>
      <c r="L973" s="353"/>
      <c r="M973" s="353"/>
      <c r="N973" s="353"/>
      <c r="O973" s="353"/>
      <c r="P973" s="353"/>
      <c r="Q973" s="353"/>
      <c r="R973" s="353"/>
      <c r="S973" s="353"/>
      <c r="T973" s="353"/>
      <c r="U973" s="353"/>
      <c r="V973" s="353"/>
      <c r="W973" s="353"/>
      <c r="X973" s="353"/>
      <c r="Y973" s="353"/>
      <c r="Z973" s="353"/>
    </row>
    <row r="974" ht="15.75" customHeight="1">
      <c r="A974" s="28"/>
      <c r="B974" s="28"/>
      <c r="C974" s="28"/>
      <c r="D974" s="127"/>
      <c r="E974" s="127"/>
      <c r="F974" s="28"/>
      <c r="G974" s="28"/>
      <c r="H974" s="353"/>
      <c r="I974" s="353"/>
      <c r="J974" s="353"/>
      <c r="K974" s="353"/>
      <c r="L974" s="353"/>
      <c r="M974" s="353"/>
      <c r="N974" s="353"/>
      <c r="O974" s="353"/>
      <c r="P974" s="353"/>
      <c r="Q974" s="353"/>
      <c r="R974" s="353"/>
      <c r="S974" s="353"/>
      <c r="T974" s="353"/>
      <c r="U974" s="353"/>
      <c r="V974" s="353"/>
      <c r="W974" s="353"/>
      <c r="X974" s="353"/>
      <c r="Y974" s="353"/>
      <c r="Z974" s="353"/>
    </row>
    <row r="975" ht="15.75" customHeight="1">
      <c r="A975" s="28"/>
      <c r="B975" s="28"/>
      <c r="C975" s="28"/>
      <c r="D975" s="127"/>
      <c r="E975" s="127"/>
      <c r="F975" s="28"/>
      <c r="G975" s="28"/>
      <c r="H975" s="353"/>
      <c r="I975" s="353"/>
      <c r="J975" s="353"/>
      <c r="K975" s="353"/>
      <c r="L975" s="353"/>
      <c r="M975" s="353"/>
      <c r="N975" s="353"/>
      <c r="O975" s="353"/>
      <c r="P975" s="353"/>
      <c r="Q975" s="353"/>
      <c r="R975" s="353"/>
      <c r="S975" s="353"/>
      <c r="T975" s="353"/>
      <c r="U975" s="353"/>
      <c r="V975" s="353"/>
      <c r="W975" s="353"/>
      <c r="X975" s="353"/>
      <c r="Y975" s="353"/>
      <c r="Z975" s="353"/>
    </row>
    <row r="976" ht="15.75" customHeight="1">
      <c r="A976" s="28"/>
      <c r="B976" s="28"/>
      <c r="C976" s="28"/>
      <c r="D976" s="127"/>
      <c r="E976" s="127"/>
      <c r="F976" s="28"/>
      <c r="G976" s="28"/>
      <c r="H976" s="353"/>
      <c r="I976" s="353"/>
      <c r="J976" s="353"/>
      <c r="K976" s="353"/>
      <c r="L976" s="353"/>
      <c r="M976" s="353"/>
      <c r="N976" s="353"/>
      <c r="O976" s="353"/>
      <c r="P976" s="353"/>
      <c r="Q976" s="353"/>
      <c r="R976" s="353"/>
      <c r="S976" s="353"/>
      <c r="T976" s="353"/>
      <c r="U976" s="353"/>
      <c r="V976" s="353"/>
      <c r="W976" s="353"/>
      <c r="X976" s="353"/>
      <c r="Y976" s="353"/>
      <c r="Z976" s="353"/>
    </row>
    <row r="977" ht="15.75" customHeight="1">
      <c r="A977" s="28"/>
      <c r="B977" s="28"/>
      <c r="C977" s="28"/>
      <c r="D977" s="127"/>
      <c r="E977" s="127"/>
      <c r="F977" s="28"/>
      <c r="G977" s="28"/>
      <c r="H977" s="353"/>
      <c r="I977" s="353"/>
      <c r="J977" s="353"/>
      <c r="K977" s="353"/>
      <c r="L977" s="353"/>
      <c r="M977" s="353"/>
      <c r="N977" s="353"/>
      <c r="O977" s="353"/>
      <c r="P977" s="353"/>
      <c r="Q977" s="353"/>
      <c r="R977" s="353"/>
      <c r="S977" s="353"/>
      <c r="T977" s="353"/>
      <c r="U977" s="353"/>
      <c r="V977" s="353"/>
      <c r="W977" s="353"/>
      <c r="X977" s="353"/>
      <c r="Y977" s="353"/>
      <c r="Z977" s="353"/>
    </row>
    <row r="978" ht="15.75" customHeight="1">
      <c r="A978" s="28"/>
      <c r="B978" s="28"/>
      <c r="C978" s="28"/>
      <c r="D978" s="127"/>
      <c r="E978" s="127"/>
      <c r="F978" s="28"/>
      <c r="G978" s="28"/>
      <c r="H978" s="353"/>
      <c r="I978" s="353"/>
      <c r="J978" s="353"/>
      <c r="K978" s="353"/>
      <c r="L978" s="353"/>
      <c r="M978" s="353"/>
      <c r="N978" s="353"/>
      <c r="O978" s="353"/>
      <c r="P978" s="353"/>
      <c r="Q978" s="353"/>
      <c r="R978" s="353"/>
      <c r="S978" s="353"/>
      <c r="T978" s="353"/>
      <c r="U978" s="353"/>
      <c r="V978" s="353"/>
      <c r="W978" s="353"/>
      <c r="X978" s="353"/>
      <c r="Y978" s="353"/>
      <c r="Z978" s="353"/>
    </row>
    <row r="979" ht="15.75" customHeight="1">
      <c r="A979" s="28"/>
      <c r="B979" s="28"/>
      <c r="C979" s="28"/>
      <c r="D979" s="127"/>
      <c r="E979" s="127"/>
      <c r="F979" s="28"/>
      <c r="G979" s="28"/>
      <c r="H979" s="353"/>
      <c r="I979" s="353"/>
      <c r="J979" s="353"/>
      <c r="K979" s="353"/>
      <c r="L979" s="353"/>
      <c r="M979" s="353"/>
      <c r="N979" s="353"/>
      <c r="O979" s="353"/>
      <c r="P979" s="353"/>
      <c r="Q979" s="353"/>
      <c r="R979" s="353"/>
      <c r="S979" s="353"/>
      <c r="T979" s="353"/>
      <c r="U979" s="353"/>
      <c r="V979" s="353"/>
      <c r="W979" s="353"/>
      <c r="X979" s="353"/>
      <c r="Y979" s="353"/>
      <c r="Z979" s="353"/>
    </row>
    <row r="980" ht="15.75" customHeight="1">
      <c r="A980" s="28"/>
      <c r="B980" s="28"/>
      <c r="C980" s="28"/>
      <c r="D980" s="127"/>
      <c r="E980" s="127"/>
      <c r="F980" s="28"/>
      <c r="G980" s="28"/>
      <c r="H980" s="353"/>
      <c r="I980" s="353"/>
      <c r="J980" s="353"/>
      <c r="K980" s="353"/>
      <c r="L980" s="353"/>
      <c r="M980" s="353"/>
      <c r="N980" s="353"/>
      <c r="O980" s="353"/>
      <c r="P980" s="353"/>
      <c r="Q980" s="353"/>
      <c r="R980" s="353"/>
      <c r="S980" s="353"/>
      <c r="T980" s="353"/>
      <c r="U980" s="353"/>
      <c r="V980" s="353"/>
      <c r="W980" s="353"/>
      <c r="X980" s="353"/>
      <c r="Y980" s="353"/>
      <c r="Z980" s="353"/>
    </row>
    <row r="981" ht="15.75" customHeight="1">
      <c r="A981" s="28"/>
      <c r="B981" s="28"/>
      <c r="C981" s="28"/>
      <c r="D981" s="127"/>
      <c r="E981" s="127"/>
      <c r="F981" s="28"/>
      <c r="G981" s="28"/>
      <c r="H981" s="353"/>
      <c r="I981" s="353"/>
      <c r="J981" s="353"/>
      <c r="K981" s="353"/>
      <c r="L981" s="353"/>
      <c r="M981" s="353"/>
      <c r="N981" s="353"/>
      <c r="O981" s="353"/>
      <c r="P981" s="353"/>
      <c r="Q981" s="353"/>
      <c r="R981" s="353"/>
      <c r="S981" s="353"/>
      <c r="T981" s="353"/>
      <c r="U981" s="353"/>
      <c r="V981" s="353"/>
      <c r="W981" s="353"/>
      <c r="X981" s="353"/>
      <c r="Y981" s="353"/>
      <c r="Z981" s="353"/>
    </row>
    <row r="982" ht="15.75" customHeight="1">
      <c r="A982" s="28"/>
      <c r="B982" s="28"/>
      <c r="C982" s="28"/>
      <c r="D982" s="127"/>
      <c r="E982" s="127"/>
      <c r="F982" s="28"/>
      <c r="G982" s="28"/>
      <c r="H982" s="353"/>
      <c r="I982" s="353"/>
      <c r="J982" s="353"/>
      <c r="K982" s="353"/>
      <c r="L982" s="353"/>
      <c r="M982" s="353"/>
      <c r="N982" s="353"/>
      <c r="O982" s="353"/>
      <c r="P982" s="353"/>
      <c r="Q982" s="353"/>
      <c r="R982" s="353"/>
      <c r="S982" s="353"/>
      <c r="T982" s="353"/>
      <c r="U982" s="353"/>
      <c r="V982" s="353"/>
      <c r="W982" s="353"/>
      <c r="X982" s="353"/>
      <c r="Y982" s="353"/>
      <c r="Z982" s="353"/>
    </row>
    <row r="983" ht="15.75" customHeight="1">
      <c r="A983" s="28"/>
      <c r="B983" s="28"/>
      <c r="C983" s="28"/>
      <c r="D983" s="127"/>
      <c r="E983" s="127"/>
      <c r="F983" s="28"/>
      <c r="G983" s="28"/>
      <c r="H983" s="353"/>
      <c r="I983" s="353"/>
      <c r="J983" s="353"/>
      <c r="K983" s="353"/>
      <c r="L983" s="353"/>
      <c r="M983" s="353"/>
      <c r="N983" s="353"/>
      <c r="O983" s="353"/>
      <c r="P983" s="353"/>
      <c r="Q983" s="353"/>
      <c r="R983" s="353"/>
      <c r="S983" s="353"/>
      <c r="T983" s="353"/>
      <c r="U983" s="353"/>
      <c r="V983" s="353"/>
      <c r="W983" s="353"/>
      <c r="X983" s="353"/>
      <c r="Y983" s="353"/>
      <c r="Z983" s="353"/>
    </row>
    <row r="984" ht="15.75" customHeight="1">
      <c r="A984" s="28"/>
      <c r="B984" s="28"/>
      <c r="C984" s="28"/>
      <c r="D984" s="127"/>
      <c r="E984" s="127"/>
      <c r="F984" s="28"/>
      <c r="G984" s="28"/>
      <c r="H984" s="353"/>
      <c r="I984" s="353"/>
      <c r="J984" s="353"/>
      <c r="K984" s="353"/>
      <c r="L984" s="353"/>
      <c r="M984" s="353"/>
      <c r="N984" s="353"/>
      <c r="O984" s="353"/>
      <c r="P984" s="353"/>
      <c r="Q984" s="353"/>
      <c r="R984" s="353"/>
      <c r="S984" s="353"/>
      <c r="T984" s="353"/>
      <c r="U984" s="353"/>
      <c r="V984" s="353"/>
      <c r="W984" s="353"/>
      <c r="X984" s="353"/>
      <c r="Y984" s="353"/>
      <c r="Z984" s="353"/>
    </row>
    <row r="985" ht="15.75" customHeight="1">
      <c r="A985" s="28"/>
      <c r="B985" s="28"/>
      <c r="C985" s="28"/>
      <c r="D985" s="127"/>
      <c r="E985" s="127"/>
      <c r="F985" s="28"/>
      <c r="G985" s="28"/>
      <c r="H985" s="353"/>
      <c r="I985" s="353"/>
      <c r="J985" s="353"/>
      <c r="K985" s="353"/>
      <c r="L985" s="353"/>
      <c r="M985" s="353"/>
      <c r="N985" s="353"/>
      <c r="O985" s="353"/>
      <c r="P985" s="353"/>
      <c r="Q985" s="353"/>
      <c r="R985" s="353"/>
      <c r="S985" s="353"/>
      <c r="T985" s="353"/>
      <c r="U985" s="353"/>
      <c r="V985" s="353"/>
      <c r="W985" s="353"/>
      <c r="X985" s="353"/>
      <c r="Y985" s="353"/>
      <c r="Z985" s="353"/>
    </row>
    <row r="986" ht="15.75" customHeight="1">
      <c r="A986" s="28"/>
      <c r="B986" s="28"/>
      <c r="C986" s="28"/>
      <c r="D986" s="127"/>
      <c r="E986" s="127"/>
      <c r="F986" s="28"/>
      <c r="G986" s="28"/>
      <c r="H986" s="353"/>
      <c r="I986" s="353"/>
      <c r="J986" s="353"/>
      <c r="K986" s="353"/>
      <c r="L986" s="353"/>
      <c r="M986" s="353"/>
      <c r="N986" s="353"/>
      <c r="O986" s="353"/>
      <c r="P986" s="353"/>
      <c r="Q986" s="353"/>
      <c r="R986" s="353"/>
      <c r="S986" s="353"/>
      <c r="T986" s="353"/>
      <c r="U986" s="353"/>
      <c r="V986" s="353"/>
      <c r="W986" s="353"/>
      <c r="X986" s="353"/>
      <c r="Y986" s="353"/>
      <c r="Z986" s="353"/>
    </row>
    <row r="987" ht="15.75" customHeight="1">
      <c r="A987" s="28"/>
      <c r="B987" s="28"/>
      <c r="C987" s="28"/>
      <c r="D987" s="127"/>
      <c r="E987" s="127"/>
      <c r="F987" s="28"/>
      <c r="G987" s="28"/>
      <c r="H987" s="353"/>
      <c r="I987" s="353"/>
      <c r="J987" s="353"/>
      <c r="K987" s="353"/>
      <c r="L987" s="353"/>
      <c r="M987" s="353"/>
      <c r="N987" s="353"/>
      <c r="O987" s="353"/>
      <c r="P987" s="353"/>
      <c r="Q987" s="353"/>
      <c r="R987" s="353"/>
      <c r="S987" s="353"/>
      <c r="T987" s="353"/>
      <c r="U987" s="353"/>
      <c r="V987" s="353"/>
      <c r="W987" s="353"/>
      <c r="X987" s="353"/>
      <c r="Y987" s="353"/>
      <c r="Z987" s="353"/>
    </row>
    <row r="988" ht="15.75" customHeight="1">
      <c r="A988" s="28"/>
      <c r="B988" s="28"/>
      <c r="C988" s="28"/>
      <c r="D988" s="127"/>
      <c r="E988" s="127"/>
      <c r="F988" s="28"/>
      <c r="G988" s="28"/>
      <c r="H988" s="353"/>
      <c r="I988" s="353"/>
      <c r="J988" s="353"/>
      <c r="K988" s="353"/>
      <c r="L988" s="353"/>
      <c r="M988" s="353"/>
      <c r="N988" s="353"/>
      <c r="O988" s="353"/>
      <c r="P988" s="353"/>
      <c r="Q988" s="353"/>
      <c r="R988" s="353"/>
      <c r="S988" s="353"/>
      <c r="T988" s="353"/>
      <c r="U988" s="353"/>
      <c r="V988" s="353"/>
      <c r="W988" s="353"/>
      <c r="X988" s="353"/>
      <c r="Y988" s="353"/>
      <c r="Z988" s="353"/>
    </row>
    <row r="989" ht="15.75" customHeight="1">
      <c r="A989" s="28"/>
      <c r="B989" s="28"/>
      <c r="C989" s="28"/>
      <c r="D989" s="127"/>
      <c r="E989" s="127"/>
      <c r="F989" s="28"/>
      <c r="G989" s="28"/>
      <c r="H989" s="353"/>
      <c r="I989" s="353"/>
      <c r="J989" s="353"/>
      <c r="K989" s="353"/>
      <c r="L989" s="353"/>
      <c r="M989" s="353"/>
      <c r="N989" s="353"/>
      <c r="O989" s="353"/>
      <c r="P989" s="353"/>
      <c r="Q989" s="353"/>
      <c r="R989" s="353"/>
      <c r="S989" s="353"/>
      <c r="T989" s="353"/>
      <c r="U989" s="353"/>
      <c r="V989" s="353"/>
      <c r="W989" s="353"/>
      <c r="X989" s="353"/>
      <c r="Y989" s="353"/>
      <c r="Z989" s="353"/>
    </row>
    <row r="990" ht="15.75" customHeight="1">
      <c r="A990" s="28"/>
      <c r="B990" s="28"/>
      <c r="C990" s="28"/>
      <c r="D990" s="127"/>
      <c r="E990" s="127"/>
      <c r="F990" s="28"/>
      <c r="G990" s="28"/>
      <c r="H990" s="353"/>
      <c r="I990" s="353"/>
      <c r="J990" s="353"/>
      <c r="K990" s="353"/>
      <c r="L990" s="353"/>
      <c r="M990" s="353"/>
      <c r="N990" s="353"/>
      <c r="O990" s="353"/>
      <c r="P990" s="353"/>
      <c r="Q990" s="353"/>
      <c r="R990" s="353"/>
      <c r="S990" s="353"/>
      <c r="T990" s="353"/>
      <c r="U990" s="353"/>
      <c r="V990" s="353"/>
      <c r="W990" s="353"/>
      <c r="X990" s="353"/>
      <c r="Y990" s="353"/>
      <c r="Z990" s="353"/>
    </row>
    <row r="991" ht="15.75" customHeight="1">
      <c r="A991" s="28"/>
      <c r="B991" s="28"/>
      <c r="C991" s="28"/>
      <c r="D991" s="127"/>
      <c r="E991" s="127"/>
      <c r="F991" s="28"/>
      <c r="G991" s="28"/>
      <c r="H991" s="353"/>
      <c r="I991" s="353"/>
      <c r="J991" s="353"/>
      <c r="K991" s="353"/>
      <c r="L991" s="353"/>
      <c r="M991" s="353"/>
      <c r="N991" s="353"/>
      <c r="O991" s="353"/>
      <c r="P991" s="353"/>
      <c r="Q991" s="353"/>
      <c r="R991" s="353"/>
      <c r="S991" s="353"/>
      <c r="T991" s="353"/>
      <c r="U991" s="353"/>
      <c r="V991" s="353"/>
      <c r="W991" s="353"/>
      <c r="X991" s="353"/>
      <c r="Y991" s="353"/>
      <c r="Z991" s="353"/>
    </row>
    <row r="992" ht="15.75" customHeight="1">
      <c r="A992" s="28"/>
      <c r="B992" s="28"/>
      <c r="C992" s="28"/>
      <c r="D992" s="127"/>
      <c r="E992" s="127"/>
      <c r="F992" s="28"/>
      <c r="G992" s="28"/>
      <c r="H992" s="353"/>
      <c r="I992" s="353"/>
      <c r="J992" s="353"/>
      <c r="K992" s="353"/>
      <c r="L992" s="353"/>
      <c r="M992" s="353"/>
      <c r="N992" s="353"/>
      <c r="O992" s="353"/>
      <c r="P992" s="353"/>
      <c r="Q992" s="353"/>
      <c r="R992" s="353"/>
      <c r="S992" s="353"/>
      <c r="T992" s="353"/>
      <c r="U992" s="353"/>
      <c r="V992" s="353"/>
      <c r="W992" s="353"/>
      <c r="X992" s="353"/>
      <c r="Y992" s="353"/>
      <c r="Z992" s="353"/>
    </row>
    <row r="993" ht="15.75" customHeight="1">
      <c r="A993" s="28"/>
      <c r="B993" s="28"/>
      <c r="C993" s="28"/>
      <c r="D993" s="127"/>
      <c r="E993" s="127"/>
      <c r="F993" s="28"/>
      <c r="G993" s="28"/>
      <c r="H993" s="353"/>
      <c r="I993" s="353"/>
      <c r="J993" s="353"/>
      <c r="K993" s="353"/>
      <c r="L993" s="353"/>
      <c r="M993" s="353"/>
      <c r="N993" s="353"/>
      <c r="O993" s="353"/>
      <c r="P993" s="353"/>
      <c r="Q993" s="353"/>
      <c r="R993" s="353"/>
      <c r="S993" s="353"/>
      <c r="T993" s="353"/>
      <c r="U993" s="353"/>
      <c r="V993" s="353"/>
      <c r="W993" s="353"/>
      <c r="X993" s="353"/>
      <c r="Y993" s="353"/>
      <c r="Z993" s="35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4" t="s">
        <v>26</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253" t="s">
        <v>6924</v>
      </c>
      <c r="B2" s="254"/>
      <c r="C2" s="254"/>
      <c r="D2" s="99"/>
      <c r="E2" s="99"/>
      <c r="F2" s="254"/>
      <c r="G2" s="254"/>
      <c r="H2" s="28"/>
      <c r="I2" s="28"/>
      <c r="J2" s="28"/>
      <c r="K2" s="28"/>
      <c r="L2" s="28"/>
      <c r="M2" s="28"/>
      <c r="N2" s="28"/>
      <c r="O2" s="28"/>
      <c r="P2" s="28"/>
      <c r="Q2" s="28"/>
      <c r="R2" s="28"/>
      <c r="S2" s="28"/>
      <c r="T2" s="28"/>
      <c r="U2" s="28"/>
      <c r="V2" s="28"/>
      <c r="W2" s="28"/>
      <c r="X2" s="28"/>
      <c r="Y2" s="28"/>
      <c r="Z2" s="28"/>
    </row>
    <row r="3" ht="15.75" customHeight="1">
      <c r="A3" s="29" t="s">
        <v>7133</v>
      </c>
      <c r="B3" s="32"/>
      <c r="C3" s="32"/>
      <c r="D3" s="32"/>
      <c r="E3" s="32"/>
      <c r="F3" s="32"/>
      <c r="G3" s="32"/>
      <c r="H3" s="28"/>
      <c r="I3" s="28"/>
      <c r="J3" s="28"/>
      <c r="K3" s="28"/>
      <c r="L3" s="28"/>
      <c r="M3" s="28"/>
      <c r="N3" s="28"/>
      <c r="O3" s="28"/>
      <c r="P3" s="28"/>
      <c r="Q3" s="28"/>
      <c r="R3" s="28"/>
      <c r="S3" s="28"/>
      <c r="T3" s="28"/>
      <c r="U3" s="28"/>
      <c r="V3" s="28"/>
      <c r="W3" s="28"/>
      <c r="X3" s="28"/>
      <c r="Y3" s="28"/>
      <c r="Z3" s="28"/>
    </row>
    <row r="4" ht="15.75" customHeight="1">
      <c r="A4" s="41" t="s">
        <v>7134</v>
      </c>
      <c r="B4" s="71" t="s">
        <v>7135</v>
      </c>
      <c r="C4" s="43" t="s">
        <v>7136</v>
      </c>
      <c r="D4" s="102" t="s">
        <v>7137</v>
      </c>
      <c r="E4" s="102" t="s">
        <v>7138</v>
      </c>
      <c r="F4" s="45">
        <v>0.21</v>
      </c>
      <c r="G4" s="342" t="str">
        <f>IFERROR(VLOOKUP("GPX",STOCK!$B$1:$Q$5647,3,FALSE),"SIN STOCK")</f>
        <v>Menor a 5</v>
      </c>
      <c r="H4" s="28"/>
      <c r="I4" s="28"/>
      <c r="J4" s="28"/>
      <c r="K4" s="28"/>
      <c r="L4" s="28"/>
      <c r="M4" s="28"/>
      <c r="N4" s="28"/>
      <c r="O4" s="28"/>
      <c r="P4" s="28"/>
      <c r="Q4" s="28"/>
      <c r="R4" s="28"/>
      <c r="S4" s="28"/>
      <c r="T4" s="28"/>
      <c r="U4" s="28"/>
      <c r="V4" s="28"/>
      <c r="W4" s="28"/>
      <c r="X4" s="28"/>
      <c r="Y4" s="28"/>
      <c r="Z4" s="28"/>
    </row>
    <row r="5" ht="15.75" customHeight="1">
      <c r="A5" s="47" t="s">
        <v>7134</v>
      </c>
      <c r="B5" s="70" t="s">
        <v>7139</v>
      </c>
      <c r="C5" s="49" t="s">
        <v>7140</v>
      </c>
      <c r="D5" s="105" t="s">
        <v>7141</v>
      </c>
      <c r="E5" s="105" t="s">
        <v>7142</v>
      </c>
      <c r="F5" s="38">
        <v>0.21</v>
      </c>
      <c r="G5" s="342" t="str">
        <f>IFERROR(VLOOKUP("GPXA",STOCK!$B$1:$Q$5647,3,FALSE),"SIN STOCK")</f>
        <v>Menor a 5</v>
      </c>
      <c r="H5" s="28"/>
      <c r="I5" s="28"/>
      <c r="J5" s="28"/>
      <c r="K5" s="28"/>
      <c r="L5" s="28"/>
      <c r="M5" s="28"/>
      <c r="N5" s="28"/>
      <c r="O5" s="28"/>
      <c r="P5" s="28"/>
      <c r="Q5" s="28"/>
      <c r="R5" s="28"/>
      <c r="S5" s="28"/>
      <c r="T5" s="28"/>
      <c r="U5" s="28"/>
      <c r="V5" s="28"/>
      <c r="W5" s="28"/>
      <c r="X5" s="28"/>
      <c r="Y5" s="28"/>
      <c r="Z5" s="28"/>
    </row>
    <row r="6" ht="15.75" customHeight="1">
      <c r="A6" s="41" t="s">
        <v>7134</v>
      </c>
      <c r="B6" s="42" t="s">
        <v>7143</v>
      </c>
      <c r="C6" s="43" t="s">
        <v>7144</v>
      </c>
      <c r="D6" s="102" t="s">
        <v>7145</v>
      </c>
      <c r="E6" s="102" t="s">
        <v>7146</v>
      </c>
      <c r="F6" s="45">
        <v>0.21</v>
      </c>
      <c r="G6" s="342" t="str">
        <f>IFERROR(VLOOKUP("GPX",STOCK!$B$1:$Q$5647,3,FALSE),"SIN STOCK")</f>
        <v>Menor a 5</v>
      </c>
      <c r="H6" s="28"/>
      <c r="I6" s="28"/>
      <c r="J6" s="28"/>
      <c r="K6" s="28"/>
      <c r="L6" s="28"/>
      <c r="M6" s="28"/>
      <c r="N6" s="28"/>
      <c r="O6" s="28"/>
      <c r="P6" s="28"/>
      <c r="Q6" s="28"/>
      <c r="R6" s="28"/>
      <c r="S6" s="28"/>
      <c r="T6" s="28"/>
      <c r="U6" s="28"/>
      <c r="V6" s="28"/>
      <c r="W6" s="28"/>
      <c r="X6" s="28"/>
      <c r="Y6" s="28"/>
      <c r="Z6" s="28"/>
    </row>
    <row r="7" ht="15.75" customHeight="1">
      <c r="A7" s="47" t="s">
        <v>7134</v>
      </c>
      <c r="B7" s="48" t="s">
        <v>7147</v>
      </c>
      <c r="C7" s="49" t="s">
        <v>7148</v>
      </c>
      <c r="D7" s="105" t="s">
        <v>7149</v>
      </c>
      <c r="E7" s="105" t="s">
        <v>7150</v>
      </c>
      <c r="F7" s="38">
        <v>0.21</v>
      </c>
      <c r="G7" s="342" t="str">
        <f>IFERROR(VLOOKUP("GPXA",STOCK!$B$1:$Q$5647,3,FALSE),"SIN STOCK")</f>
        <v>Menor a 5</v>
      </c>
      <c r="H7" s="28"/>
      <c r="I7" s="28"/>
      <c r="J7" s="28"/>
      <c r="K7" s="28"/>
      <c r="L7" s="28"/>
      <c r="M7" s="28"/>
      <c r="N7" s="28"/>
      <c r="O7" s="28"/>
      <c r="P7" s="28"/>
      <c r="Q7" s="28"/>
      <c r="R7" s="28"/>
      <c r="S7" s="28"/>
      <c r="T7" s="28"/>
      <c r="U7" s="28"/>
      <c r="V7" s="28"/>
      <c r="W7" s="28"/>
      <c r="X7" s="28"/>
      <c r="Y7" s="28"/>
      <c r="Z7" s="28"/>
    </row>
    <row r="8" ht="15.75" customHeight="1">
      <c r="A8" s="253" t="s">
        <v>6965</v>
      </c>
      <c r="B8" s="254"/>
      <c r="C8" s="254"/>
      <c r="D8" s="99"/>
      <c r="E8" s="99"/>
      <c r="F8" s="254"/>
      <c r="G8" s="254"/>
      <c r="H8" s="28"/>
      <c r="I8" s="28"/>
      <c r="J8" s="28"/>
      <c r="K8" s="28"/>
      <c r="L8" s="28"/>
      <c r="M8" s="28"/>
      <c r="N8" s="28"/>
      <c r="O8" s="28"/>
      <c r="P8" s="28"/>
      <c r="Q8" s="28"/>
      <c r="R8" s="28"/>
      <c r="S8" s="28"/>
      <c r="T8" s="28"/>
      <c r="U8" s="28"/>
      <c r="V8" s="28"/>
      <c r="W8" s="28"/>
      <c r="X8" s="28"/>
      <c r="Y8" s="28"/>
      <c r="Z8" s="28"/>
    </row>
    <row r="9" ht="15.75" customHeight="1">
      <c r="A9" s="29" t="s">
        <v>7151</v>
      </c>
      <c r="B9" s="32"/>
      <c r="C9" s="32"/>
      <c r="D9" s="32"/>
      <c r="E9" s="32"/>
      <c r="F9" s="32"/>
      <c r="G9" s="32"/>
      <c r="H9" s="28"/>
      <c r="I9" s="28"/>
      <c r="J9" s="28"/>
      <c r="K9" s="28"/>
      <c r="L9" s="28"/>
      <c r="M9" s="28"/>
      <c r="N9" s="28"/>
      <c r="O9" s="28"/>
      <c r="P9" s="28"/>
      <c r="Q9" s="28"/>
      <c r="R9" s="28"/>
      <c r="S9" s="28"/>
      <c r="T9" s="28"/>
      <c r="U9" s="28"/>
      <c r="V9" s="28"/>
      <c r="W9" s="28"/>
      <c r="X9" s="28"/>
      <c r="Y9" s="28"/>
      <c r="Z9" s="28"/>
    </row>
    <row r="10" ht="15.75" customHeight="1">
      <c r="A10" s="41" t="s">
        <v>7134</v>
      </c>
      <c r="B10" s="42" t="s">
        <v>7152</v>
      </c>
      <c r="C10" s="43" t="s">
        <v>7153</v>
      </c>
      <c r="D10" s="102" t="s">
        <v>7154</v>
      </c>
      <c r="E10" s="102" t="s">
        <v>7155</v>
      </c>
      <c r="F10" s="45">
        <v>0.21</v>
      </c>
      <c r="G10" s="351" t="str">
        <f>IFERROR(VLOOKUP("GH4",STOCK!$B$1:$Q$5647,3,FALSE),"SIN STOCK")</f>
        <v>Mayor a 5</v>
      </c>
      <c r="H10" s="28"/>
      <c r="I10" s="28"/>
      <c r="J10" s="28"/>
      <c r="K10" s="28"/>
      <c r="L10" s="28"/>
      <c r="M10" s="28"/>
      <c r="N10" s="28"/>
      <c r="O10" s="28"/>
      <c r="P10" s="28"/>
      <c r="Q10" s="28"/>
      <c r="R10" s="28"/>
      <c r="S10" s="28"/>
      <c r="T10" s="28"/>
      <c r="U10" s="28"/>
      <c r="V10" s="28"/>
      <c r="W10" s="28"/>
      <c r="X10" s="28"/>
      <c r="Y10" s="28"/>
      <c r="Z10" s="28"/>
    </row>
    <row r="11" ht="15.75" customHeight="1">
      <c r="A11" s="47" t="s">
        <v>7134</v>
      </c>
      <c r="B11" s="48" t="s">
        <v>7156</v>
      </c>
      <c r="C11" s="49" t="s">
        <v>7157</v>
      </c>
      <c r="D11" s="105" t="s">
        <v>7158</v>
      </c>
      <c r="E11" s="105" t="s">
        <v>7159</v>
      </c>
      <c r="F11" s="38">
        <v>0.21</v>
      </c>
      <c r="G11" s="351" t="str">
        <f>IFERROR(VLOOKUP("GH12",STOCK!$B$1:$Q$5647,3,FALSE),"SIN STOCK")</f>
        <v>Mayor a 5</v>
      </c>
      <c r="H11" s="28"/>
      <c r="I11" s="28"/>
      <c r="J11" s="28"/>
      <c r="K11" s="28"/>
      <c r="L11" s="28"/>
      <c r="M11" s="28"/>
      <c r="N11" s="28"/>
      <c r="O11" s="28"/>
      <c r="P11" s="28"/>
      <c r="Q11" s="28"/>
      <c r="R11" s="28"/>
      <c r="S11" s="28"/>
      <c r="T11" s="28"/>
      <c r="U11" s="28"/>
      <c r="V11" s="28"/>
      <c r="W11" s="28"/>
      <c r="X11" s="28"/>
      <c r="Y11" s="28"/>
      <c r="Z11" s="28"/>
    </row>
    <row r="12" ht="15.75" customHeight="1">
      <c r="A12" s="41" t="s">
        <v>7134</v>
      </c>
      <c r="B12" s="42" t="s">
        <v>7160</v>
      </c>
      <c r="C12" s="43" t="s">
        <v>7161</v>
      </c>
      <c r="D12" s="102" t="s">
        <v>7162</v>
      </c>
      <c r="E12" s="102" t="s">
        <v>7163</v>
      </c>
      <c r="F12" s="45">
        <v>0.21</v>
      </c>
      <c r="G12" s="342" t="str">
        <f>IFERROR(VLOOKUP("GH4-FLY",STOCK!$B$1:$Q$5647,3,FALSE),"SIN STOCK")</f>
        <v>Menor a 5</v>
      </c>
      <c r="H12" s="28"/>
      <c r="I12" s="28"/>
      <c r="J12" s="28"/>
      <c r="K12" s="28"/>
      <c r="L12" s="28"/>
      <c r="M12" s="28"/>
      <c r="N12" s="28"/>
      <c r="O12" s="28"/>
      <c r="P12" s="28"/>
      <c r="Q12" s="28"/>
      <c r="R12" s="28"/>
      <c r="S12" s="28"/>
      <c r="T12" s="28"/>
      <c r="U12" s="28"/>
      <c r="V12" s="28"/>
      <c r="W12" s="28"/>
      <c r="X12" s="28"/>
      <c r="Y12" s="28"/>
      <c r="Z12" s="28"/>
    </row>
    <row r="13" ht="15.75" customHeight="1">
      <c r="A13" s="47" t="s">
        <v>7134</v>
      </c>
      <c r="B13" s="48" t="s">
        <v>7164</v>
      </c>
      <c r="C13" s="49" t="s">
        <v>7165</v>
      </c>
      <c r="D13" s="105" t="s">
        <v>7166</v>
      </c>
      <c r="E13" s="105" t="s">
        <v>7167</v>
      </c>
      <c r="F13" s="38">
        <v>0.21</v>
      </c>
      <c r="G13" s="342" t="str">
        <f>IFERROR(VLOOKUP("GH4-JOINT",STOCK!$B$1:$Q$5647,3,FALSE),"SIN STOCK")</f>
        <v>Menor a 5</v>
      </c>
      <c r="H13" s="28"/>
      <c r="I13" s="28"/>
      <c r="J13" s="28"/>
      <c r="K13" s="28"/>
      <c r="L13" s="28"/>
      <c r="M13" s="28"/>
      <c r="N13" s="28"/>
      <c r="O13" s="28"/>
      <c r="P13" s="28"/>
      <c r="Q13" s="28"/>
      <c r="R13" s="28"/>
      <c r="S13" s="28"/>
      <c r="T13" s="28"/>
      <c r="U13" s="28"/>
      <c r="V13" s="28"/>
      <c r="W13" s="28"/>
      <c r="X13" s="28"/>
      <c r="Y13" s="28"/>
      <c r="Z13" s="28"/>
    </row>
    <row r="14" ht="15.75" customHeight="1">
      <c r="A14" s="41" t="s">
        <v>7134</v>
      </c>
      <c r="B14" s="42" t="s">
        <v>7168</v>
      </c>
      <c r="C14" s="43" t="s">
        <v>7169</v>
      </c>
      <c r="D14" s="102" t="s">
        <v>7170</v>
      </c>
      <c r="E14" s="102" t="s">
        <v>7171</v>
      </c>
      <c r="F14" s="45">
        <v>0.21</v>
      </c>
      <c r="G14" s="342" t="str">
        <f>IFERROR(VLOOKUP("GH4-WALL",STOCK!$B$1:$Q$5647,3,FALSE),"SIN STOCK")</f>
        <v>Menor a 5</v>
      </c>
      <c r="H14" s="28"/>
      <c r="I14" s="28"/>
      <c r="J14" s="28"/>
      <c r="K14" s="28"/>
      <c r="L14" s="28"/>
      <c r="M14" s="28"/>
      <c r="N14" s="28"/>
      <c r="O14" s="28"/>
      <c r="P14" s="28"/>
      <c r="Q14" s="28"/>
      <c r="R14" s="28"/>
      <c r="S14" s="28"/>
      <c r="T14" s="28"/>
      <c r="U14" s="28"/>
      <c r="V14" s="28"/>
      <c r="W14" s="28"/>
      <c r="X14" s="28"/>
      <c r="Y14" s="28"/>
      <c r="Z14" s="28"/>
    </row>
    <row r="15" ht="15.75" customHeight="1">
      <c r="A15" s="47" t="s">
        <v>7134</v>
      </c>
      <c r="B15" s="48" t="s">
        <v>7172</v>
      </c>
      <c r="C15" s="49" t="s">
        <v>7173</v>
      </c>
      <c r="D15" s="105" t="s">
        <v>7174</v>
      </c>
      <c r="E15" s="105" t="s">
        <v>7175</v>
      </c>
      <c r="F15" s="38">
        <v>0.21</v>
      </c>
      <c r="G15" s="342" t="str">
        <f>IFERROR(VLOOKUP("GH-FLY",STOCK!$B$1:$Q$5647,3,FALSE),"SIN STOCK")</f>
        <v>Menor a 5</v>
      </c>
      <c r="H15" s="28"/>
      <c r="I15" s="28"/>
      <c r="J15" s="28"/>
      <c r="K15" s="28"/>
      <c r="L15" s="28"/>
      <c r="M15" s="28"/>
      <c r="N15" s="28"/>
      <c r="O15" s="28"/>
      <c r="P15" s="28"/>
      <c r="Q15" s="28"/>
      <c r="R15" s="28"/>
      <c r="S15" s="28"/>
      <c r="T15" s="28"/>
      <c r="U15" s="28"/>
      <c r="V15" s="28"/>
      <c r="W15" s="28"/>
      <c r="X15" s="28"/>
      <c r="Y15" s="28"/>
      <c r="Z15" s="28"/>
    </row>
    <row r="16" ht="15.75" customHeight="1">
      <c r="A16" s="41" t="s">
        <v>7134</v>
      </c>
      <c r="B16" s="42" t="s">
        <v>7176</v>
      </c>
      <c r="C16" s="43" t="s">
        <v>7177</v>
      </c>
      <c r="D16" s="102" t="s">
        <v>7178</v>
      </c>
      <c r="E16" s="102" t="s">
        <v>7179</v>
      </c>
      <c r="F16" s="45">
        <v>0.21</v>
      </c>
      <c r="G16" s="351" t="str">
        <f>IFERROR(VLOOKUP("GH-JOINT",STOCK!$B$1:$Q$5647,3,FALSE),"SIN STOCK")</f>
        <v>Mayor a 5</v>
      </c>
      <c r="H16" s="28"/>
      <c r="I16" s="28"/>
      <c r="J16" s="28"/>
      <c r="K16" s="28"/>
      <c r="L16" s="28"/>
      <c r="M16" s="28"/>
      <c r="N16" s="28"/>
      <c r="O16" s="28"/>
      <c r="P16" s="28"/>
      <c r="Q16" s="28"/>
      <c r="R16" s="28"/>
      <c r="S16" s="28"/>
      <c r="T16" s="28"/>
      <c r="U16" s="28"/>
      <c r="V16" s="28"/>
      <c r="W16" s="28"/>
      <c r="X16" s="28"/>
      <c r="Y16" s="28"/>
      <c r="Z16" s="28"/>
    </row>
    <row r="17" ht="15.75" customHeight="1">
      <c r="A17" s="29" t="s">
        <v>7180</v>
      </c>
      <c r="B17" s="32"/>
      <c r="C17" s="32"/>
      <c r="D17" s="32"/>
      <c r="E17" s="32"/>
      <c r="F17" s="32"/>
      <c r="G17" s="32"/>
      <c r="H17" s="28"/>
      <c r="I17" s="28"/>
      <c r="J17" s="28"/>
      <c r="K17" s="28"/>
      <c r="L17" s="28"/>
      <c r="M17" s="28"/>
      <c r="N17" s="28"/>
      <c r="O17" s="28"/>
      <c r="P17" s="28"/>
      <c r="Q17" s="28"/>
      <c r="R17" s="28"/>
      <c r="S17" s="28"/>
      <c r="T17" s="28"/>
      <c r="U17" s="28"/>
      <c r="V17" s="28"/>
      <c r="W17" s="28"/>
      <c r="X17" s="28"/>
      <c r="Y17" s="28"/>
      <c r="Z17" s="28"/>
    </row>
    <row r="18" ht="15.75" customHeight="1">
      <c r="A18" s="41" t="s">
        <v>7134</v>
      </c>
      <c r="B18" s="42" t="s">
        <v>7181</v>
      </c>
      <c r="C18" s="43" t="s">
        <v>7182</v>
      </c>
      <c r="D18" s="102" t="s">
        <v>7183</v>
      </c>
      <c r="E18" s="102" t="s">
        <v>7184</v>
      </c>
      <c r="F18" s="45">
        <v>0.21</v>
      </c>
      <c r="G18" s="351" t="str">
        <f>IFERROR(VLOOKUP("GF22",STOCK!$B$1:$Q$5647,3,FALSE),"SIN STOCK")</f>
        <v>Mayor a 5</v>
      </c>
      <c r="H18" s="33"/>
      <c r="I18" s="28"/>
      <c r="J18" s="28"/>
      <c r="K18" s="28"/>
      <c r="L18" s="28"/>
      <c r="M18" s="28"/>
      <c r="N18" s="28"/>
      <c r="O18" s="28"/>
      <c r="P18" s="28"/>
      <c r="Q18" s="28"/>
      <c r="R18" s="28"/>
      <c r="S18" s="28"/>
      <c r="T18" s="28"/>
      <c r="U18" s="28"/>
      <c r="V18" s="28"/>
      <c r="W18" s="28"/>
      <c r="X18" s="28"/>
      <c r="Y18" s="28"/>
      <c r="Z18" s="28"/>
    </row>
    <row r="19" ht="15.75" customHeight="1">
      <c r="A19" s="47" t="s">
        <v>7134</v>
      </c>
      <c r="B19" s="48" t="s">
        <v>7185</v>
      </c>
      <c r="C19" s="49" t="s">
        <v>7186</v>
      </c>
      <c r="D19" s="105" t="s">
        <v>7183</v>
      </c>
      <c r="E19" s="105" t="s">
        <v>7184</v>
      </c>
      <c r="F19" s="38">
        <v>0.21</v>
      </c>
      <c r="G19" s="351" t="str">
        <f>IFERROR(VLOOKUP("GF22W",STOCK!$B$1:$Q$5647,3,FALSE),"SIN STOCK")</f>
        <v>Mayor a 5</v>
      </c>
      <c r="H19" s="28"/>
      <c r="I19" s="28"/>
      <c r="J19" s="28"/>
      <c r="K19" s="28"/>
      <c r="L19" s="28"/>
      <c r="M19" s="28"/>
      <c r="N19" s="28"/>
      <c r="O19" s="28"/>
      <c r="P19" s="28"/>
      <c r="Q19" s="28"/>
      <c r="R19" s="28"/>
      <c r="S19" s="28"/>
      <c r="T19" s="28"/>
      <c r="U19" s="28"/>
      <c r="V19" s="28"/>
      <c r="W19" s="28"/>
      <c r="X19" s="28"/>
      <c r="Y19" s="28"/>
      <c r="Z19" s="28"/>
    </row>
    <row r="20" ht="15.75" customHeight="1">
      <c r="A20" s="41" t="s">
        <v>7134</v>
      </c>
      <c r="B20" s="42" t="s">
        <v>7187</v>
      </c>
      <c r="C20" s="43" t="s">
        <v>7188</v>
      </c>
      <c r="D20" s="102" t="s">
        <v>7189</v>
      </c>
      <c r="E20" s="102" t="s">
        <v>7190</v>
      </c>
      <c r="F20" s="45">
        <v>0.21</v>
      </c>
      <c r="G20" s="342" t="str">
        <f>IFERROR(VLOOKUP("GA201",STOCK!$B$1:$Q$5647,3,FALSE),"SIN STOCK")</f>
        <v>SIN STOCK</v>
      </c>
      <c r="H20" s="28"/>
      <c r="I20" s="28"/>
      <c r="J20" s="28"/>
      <c r="K20" s="28"/>
      <c r="L20" s="28"/>
      <c r="M20" s="28"/>
      <c r="N20" s="28"/>
      <c r="O20" s="28"/>
      <c r="P20" s="28"/>
      <c r="Q20" s="28"/>
      <c r="R20" s="28"/>
      <c r="S20" s="28"/>
      <c r="T20" s="28"/>
      <c r="U20" s="28"/>
      <c r="V20" s="28"/>
      <c r="W20" s="28"/>
      <c r="X20" s="28"/>
      <c r="Y20" s="28"/>
      <c r="Z20" s="28"/>
    </row>
    <row r="21" ht="15.75" customHeight="1">
      <c r="A21" s="47" t="s">
        <v>7134</v>
      </c>
      <c r="B21" s="48" t="s">
        <v>7191</v>
      </c>
      <c r="C21" s="49" t="s">
        <v>7188</v>
      </c>
      <c r="D21" s="105" t="s">
        <v>7189</v>
      </c>
      <c r="E21" s="105" t="s">
        <v>7190</v>
      </c>
      <c r="F21" s="38">
        <v>0.21</v>
      </c>
      <c r="G21" s="342" t="str">
        <f>IFERROR(VLOOKUP("GA41L",STOCK!$B$1:$Q$5647,3,FALSE),"SIN STOCK")</f>
        <v>Menor a 5</v>
      </c>
      <c r="H21" s="28"/>
      <c r="I21" s="28"/>
      <c r="J21" s="28"/>
      <c r="K21" s="28"/>
      <c r="L21" s="28"/>
      <c r="M21" s="28"/>
      <c r="N21" s="28"/>
      <c r="O21" s="28"/>
      <c r="P21" s="28"/>
      <c r="Q21" s="28"/>
      <c r="R21" s="28"/>
      <c r="S21" s="28"/>
      <c r="T21" s="28"/>
      <c r="U21" s="28"/>
      <c r="V21" s="28"/>
      <c r="W21" s="28"/>
      <c r="X21" s="28"/>
      <c r="Y21" s="28"/>
      <c r="Z21" s="28"/>
    </row>
    <row r="22" ht="15.75" customHeight="1">
      <c r="A22" s="41" t="s">
        <v>7134</v>
      </c>
      <c r="B22" s="42" t="s">
        <v>7192</v>
      </c>
      <c r="C22" s="43" t="s">
        <v>7193</v>
      </c>
      <c r="D22" s="102" t="s">
        <v>7194</v>
      </c>
      <c r="E22" s="102" t="s">
        <v>7195</v>
      </c>
      <c r="F22" s="45">
        <v>0.21</v>
      </c>
      <c r="G22" s="348" t="str">
        <f>IFERROR(VLOOKUP("GF82",STOCK!$B$1:$Q$5647,3,FALSE),"SIN STOCK")</f>
        <v>SIN STOCK</v>
      </c>
      <c r="H22" s="28"/>
      <c r="I22" s="28"/>
      <c r="J22" s="28"/>
      <c r="K22" s="28"/>
      <c r="L22" s="28"/>
      <c r="M22" s="28"/>
      <c r="N22" s="28"/>
      <c r="O22" s="28"/>
      <c r="P22" s="28"/>
      <c r="Q22" s="28"/>
      <c r="R22" s="28"/>
      <c r="S22" s="28"/>
      <c r="T22" s="28"/>
      <c r="U22" s="28"/>
      <c r="V22" s="28"/>
      <c r="W22" s="28"/>
      <c r="X22" s="28"/>
      <c r="Y22" s="28"/>
      <c r="Z22" s="28"/>
    </row>
    <row r="23" ht="15.75" customHeight="1">
      <c r="A23" s="47" t="s">
        <v>7134</v>
      </c>
      <c r="B23" s="48" t="s">
        <v>7196</v>
      </c>
      <c r="C23" s="49" t="s">
        <v>7197</v>
      </c>
      <c r="D23" s="105" t="s">
        <v>7194</v>
      </c>
      <c r="E23" s="105" t="s">
        <v>7195</v>
      </c>
      <c r="F23" s="38">
        <v>0.21</v>
      </c>
      <c r="G23" s="348" t="str">
        <f>IFERROR(VLOOKUP("GF82W",STOCK!$B$1:$Q$5647,3,FALSE),"SIN STOCK")</f>
        <v>SIN STOCK</v>
      </c>
      <c r="H23" s="28"/>
      <c r="I23" s="28"/>
      <c r="J23" s="28"/>
      <c r="K23" s="28"/>
      <c r="L23" s="28"/>
      <c r="M23" s="28"/>
      <c r="N23" s="28"/>
      <c r="O23" s="28"/>
      <c r="P23" s="28"/>
      <c r="Q23" s="28"/>
      <c r="R23" s="28"/>
      <c r="S23" s="28"/>
      <c r="T23" s="28"/>
      <c r="U23" s="28"/>
      <c r="V23" s="28"/>
      <c r="W23" s="28"/>
      <c r="X23" s="28"/>
      <c r="Y23" s="28"/>
      <c r="Z23" s="28"/>
    </row>
    <row r="24" ht="15.75" customHeight="1">
      <c r="A24" s="41" t="s">
        <v>7134</v>
      </c>
      <c r="B24" s="42" t="s">
        <v>7198</v>
      </c>
      <c r="C24" s="43" t="s">
        <v>7199</v>
      </c>
      <c r="D24" s="102" t="s">
        <v>7200</v>
      </c>
      <c r="E24" s="102" t="s">
        <v>7201</v>
      </c>
      <c r="F24" s="45">
        <v>0.21</v>
      </c>
      <c r="G24" s="348" t="str">
        <f>IFERROR(VLOOKUP("GF82W",STOCK!$B$1:$Q$5647,3,FALSE),"SIN STOCK")</f>
        <v>SIN STOCK</v>
      </c>
      <c r="H24" s="28"/>
      <c r="I24" s="28"/>
      <c r="J24" s="28"/>
      <c r="K24" s="28"/>
      <c r="L24" s="28"/>
      <c r="M24" s="28"/>
      <c r="N24" s="28"/>
      <c r="O24" s="28"/>
      <c r="P24" s="28"/>
      <c r="Q24" s="28"/>
      <c r="R24" s="28"/>
      <c r="S24" s="28"/>
      <c r="T24" s="28"/>
      <c r="U24" s="28"/>
      <c r="V24" s="28"/>
      <c r="W24" s="28"/>
      <c r="X24" s="28"/>
      <c r="Y24" s="28"/>
      <c r="Z24" s="28"/>
    </row>
    <row r="25" ht="15.75" customHeight="1">
      <c r="A25" s="47" t="s">
        <v>7134</v>
      </c>
      <c r="B25" s="48" t="s">
        <v>7202</v>
      </c>
      <c r="C25" s="49" t="s">
        <v>7203</v>
      </c>
      <c r="D25" s="105" t="s">
        <v>7204</v>
      </c>
      <c r="E25" s="105" t="s">
        <v>7205</v>
      </c>
      <c r="F25" s="38">
        <v>0.21</v>
      </c>
      <c r="G25" s="348" t="str">
        <f>IFERROR(VLOOKUP("GF82W",STOCK!$B$1:$Q$5647,3,FALSE),"SIN STOCK")</f>
        <v>SIN STOCK</v>
      </c>
      <c r="H25" s="28"/>
      <c r="I25" s="28"/>
      <c r="J25" s="28"/>
      <c r="K25" s="28"/>
      <c r="L25" s="28"/>
      <c r="M25" s="28"/>
      <c r="N25" s="28"/>
      <c r="O25" s="28"/>
      <c r="P25" s="28"/>
      <c r="Q25" s="28"/>
      <c r="R25" s="28"/>
      <c r="S25" s="28"/>
      <c r="T25" s="28"/>
      <c r="U25" s="28"/>
      <c r="V25" s="28"/>
      <c r="W25" s="28"/>
      <c r="X25" s="28"/>
      <c r="Y25" s="28"/>
      <c r="Z25" s="28"/>
    </row>
    <row r="26" ht="15.75" customHeight="1">
      <c r="A26" s="41" t="s">
        <v>7134</v>
      </c>
      <c r="B26" s="42" t="s">
        <v>7206</v>
      </c>
      <c r="C26" s="43" t="s">
        <v>7207</v>
      </c>
      <c r="D26" s="102" t="s">
        <v>7204</v>
      </c>
      <c r="E26" s="102" t="s">
        <v>7205</v>
      </c>
      <c r="F26" s="45">
        <v>0.21</v>
      </c>
      <c r="G26" s="348" t="str">
        <f>IFERROR(VLOOKUP("GF82W",STOCK!$B$1:$Q$5647,3,FALSE),"SIN STOCK")</f>
        <v>SIN STOCK</v>
      </c>
      <c r="H26" s="28"/>
      <c r="I26" s="28"/>
      <c r="J26" s="28"/>
      <c r="K26" s="28"/>
      <c r="L26" s="28"/>
      <c r="M26" s="28"/>
      <c r="N26" s="28"/>
      <c r="O26" s="28"/>
      <c r="P26" s="28"/>
      <c r="Q26" s="28"/>
      <c r="R26" s="28"/>
      <c r="S26" s="28"/>
      <c r="T26" s="28"/>
      <c r="U26" s="28"/>
      <c r="V26" s="28"/>
      <c r="W26" s="28"/>
      <c r="X26" s="28"/>
      <c r="Y26" s="28"/>
      <c r="Z26" s="28"/>
    </row>
    <row r="27" ht="15.75" customHeight="1">
      <c r="A27" s="253" t="s">
        <v>7052</v>
      </c>
      <c r="B27" s="254"/>
      <c r="C27" s="254"/>
      <c r="D27" s="99"/>
      <c r="E27" s="99"/>
      <c r="F27" s="254"/>
      <c r="G27" s="254"/>
      <c r="H27" s="28"/>
      <c r="I27" s="28"/>
      <c r="J27" s="28"/>
      <c r="K27" s="28"/>
      <c r="L27" s="28"/>
      <c r="M27" s="28"/>
      <c r="N27" s="28"/>
      <c r="O27" s="28"/>
      <c r="P27" s="28"/>
      <c r="Q27" s="28"/>
      <c r="R27" s="28"/>
      <c r="S27" s="28"/>
      <c r="T27" s="28"/>
      <c r="U27" s="28"/>
      <c r="V27" s="28"/>
      <c r="W27" s="28"/>
      <c r="X27" s="28"/>
      <c r="Y27" s="28"/>
      <c r="Z27" s="28"/>
    </row>
    <row r="28" ht="15.75" customHeight="1">
      <c r="A28" s="29" t="s">
        <v>7208</v>
      </c>
      <c r="B28" s="32"/>
      <c r="C28" s="32"/>
      <c r="D28" s="32"/>
      <c r="E28" s="32"/>
      <c r="F28" s="32"/>
      <c r="G28" s="32"/>
      <c r="H28" s="28"/>
      <c r="I28" s="28"/>
      <c r="J28" s="28"/>
      <c r="K28" s="28"/>
      <c r="L28" s="28"/>
      <c r="M28" s="28"/>
      <c r="N28" s="28"/>
      <c r="O28" s="28"/>
      <c r="P28" s="28"/>
      <c r="Q28" s="28"/>
      <c r="R28" s="28"/>
      <c r="S28" s="28"/>
      <c r="T28" s="28"/>
      <c r="U28" s="28"/>
      <c r="V28" s="28"/>
      <c r="W28" s="28"/>
      <c r="X28" s="28"/>
      <c r="Y28" s="28"/>
      <c r="Z28" s="28"/>
    </row>
    <row r="29" ht="15.75" customHeight="1">
      <c r="A29" s="41" t="s">
        <v>7134</v>
      </c>
      <c r="B29" s="42" t="s">
        <v>7209</v>
      </c>
      <c r="C29" s="43" t="s">
        <v>7210</v>
      </c>
      <c r="D29" s="102" t="s">
        <v>7211</v>
      </c>
      <c r="E29" s="102" t="s">
        <v>7212</v>
      </c>
      <c r="F29" s="45">
        <v>0.21</v>
      </c>
      <c r="G29" s="342" t="str">
        <f>IFERROR(VLOOKUP("GS6",STOCK!$B$1:$Q$5647,3,FALSE),"SIN STOCK")</f>
        <v>Menor a 5</v>
      </c>
      <c r="H29" s="28"/>
      <c r="I29" s="28"/>
      <c r="J29" s="28"/>
      <c r="K29" s="28"/>
      <c r="L29" s="28"/>
      <c r="M29" s="28"/>
      <c r="N29" s="28"/>
      <c r="O29" s="28"/>
      <c r="P29" s="28"/>
      <c r="Q29" s="28"/>
      <c r="R29" s="28"/>
      <c r="S29" s="28"/>
      <c r="T29" s="28"/>
      <c r="U29" s="28"/>
      <c r="V29" s="28"/>
      <c r="W29" s="28"/>
      <c r="X29" s="28"/>
      <c r="Y29" s="28"/>
      <c r="Z29" s="28"/>
    </row>
    <row r="30" ht="15.75" customHeight="1">
      <c r="A30" s="47" t="s">
        <v>7134</v>
      </c>
      <c r="B30" s="48" t="s">
        <v>7213</v>
      </c>
      <c r="C30" s="49" t="s">
        <v>7214</v>
      </c>
      <c r="D30" s="105" t="s">
        <v>7215</v>
      </c>
      <c r="E30" s="105" t="s">
        <v>7216</v>
      </c>
      <c r="F30" s="38">
        <v>0.21</v>
      </c>
      <c r="G30" s="351" t="str">
        <f>IFERROR(VLOOKUP("GS12",STOCK!$B$1:$Q$5647,3,FALSE),"SIN STOCK")</f>
        <v>Mayor a 5</v>
      </c>
      <c r="H30" s="28"/>
      <c r="I30" s="28"/>
      <c r="J30" s="28"/>
      <c r="K30" s="28"/>
      <c r="L30" s="28"/>
      <c r="M30" s="28"/>
      <c r="N30" s="28"/>
      <c r="O30" s="28"/>
      <c r="P30" s="28"/>
      <c r="Q30" s="28"/>
      <c r="R30" s="28"/>
      <c r="S30" s="28"/>
      <c r="T30" s="28"/>
      <c r="U30" s="28"/>
      <c r="V30" s="28"/>
      <c r="W30" s="28"/>
      <c r="X30" s="28"/>
      <c r="Y30" s="28"/>
      <c r="Z30" s="28"/>
    </row>
    <row r="31" ht="15.75" customHeight="1">
      <c r="A31" s="41" t="s">
        <v>7134</v>
      </c>
      <c r="B31" s="42" t="s">
        <v>7217</v>
      </c>
      <c r="C31" s="43" t="s">
        <v>7218</v>
      </c>
      <c r="D31" s="102" t="s">
        <v>7219</v>
      </c>
      <c r="E31" s="102" t="s">
        <v>7220</v>
      </c>
      <c r="F31" s="45">
        <v>0.21</v>
      </c>
      <c r="G31" s="342" t="str">
        <f>IFERROR(VLOOKUP("GS218",STOCK!$B$1:$Q$5647,3,FALSE),"SIN STOCK")</f>
        <v>Menor a 5</v>
      </c>
      <c r="H31" s="28"/>
      <c r="I31" s="28"/>
      <c r="J31" s="28"/>
      <c r="K31" s="28"/>
      <c r="L31" s="28"/>
      <c r="M31" s="28"/>
      <c r="N31" s="28"/>
      <c r="O31" s="28"/>
      <c r="P31" s="28"/>
      <c r="Q31" s="28"/>
      <c r="R31" s="28"/>
      <c r="S31" s="28"/>
      <c r="T31" s="28"/>
      <c r="U31" s="28"/>
      <c r="V31" s="28"/>
      <c r="W31" s="28"/>
      <c r="X31" s="28"/>
      <c r="Y31" s="28"/>
      <c r="Z31" s="28"/>
    </row>
    <row r="32" ht="15.75" customHeight="1">
      <c r="A32" s="253" t="s">
        <v>7221</v>
      </c>
      <c r="B32" s="254"/>
      <c r="C32" s="254"/>
      <c r="D32" s="98"/>
      <c r="E32" s="98"/>
      <c r="F32" s="256"/>
      <c r="G32" s="254"/>
      <c r="H32" s="28"/>
      <c r="I32" s="28"/>
      <c r="J32" s="28"/>
      <c r="K32" s="28"/>
      <c r="L32" s="28"/>
      <c r="M32" s="28"/>
      <c r="N32" s="28"/>
      <c r="O32" s="28"/>
      <c r="P32" s="28"/>
      <c r="Q32" s="28"/>
      <c r="R32" s="28"/>
      <c r="S32" s="28"/>
      <c r="T32" s="28"/>
      <c r="U32" s="28"/>
      <c r="V32" s="28"/>
      <c r="W32" s="28"/>
      <c r="X32" s="28"/>
      <c r="Y32" s="28"/>
      <c r="Z32" s="28"/>
    </row>
    <row r="33" ht="15.75" customHeight="1">
      <c r="A33" s="29" t="s">
        <v>7222</v>
      </c>
      <c r="B33" s="32"/>
      <c r="C33" s="32"/>
      <c r="D33" s="32"/>
      <c r="E33" s="32"/>
      <c r="F33" s="32"/>
      <c r="G33" s="32"/>
      <c r="H33" s="28"/>
      <c r="I33" s="28"/>
      <c r="J33" s="28"/>
      <c r="K33" s="28"/>
      <c r="L33" s="28"/>
      <c r="M33" s="28"/>
      <c r="N33" s="28"/>
      <c r="O33" s="28"/>
      <c r="P33" s="28"/>
      <c r="Q33" s="28"/>
      <c r="R33" s="28"/>
      <c r="S33" s="28"/>
      <c r="T33" s="28"/>
      <c r="U33" s="28"/>
      <c r="V33" s="28"/>
      <c r="W33" s="28"/>
      <c r="X33" s="28"/>
      <c r="Y33" s="28"/>
      <c r="Z33" s="28"/>
    </row>
    <row r="34" ht="15.75" customHeight="1">
      <c r="A34" s="41" t="s">
        <v>7134</v>
      </c>
      <c r="B34" s="42" t="s">
        <v>7223</v>
      </c>
      <c r="C34" s="43" t="s">
        <v>7224</v>
      </c>
      <c r="D34" s="102" t="s">
        <v>7225</v>
      </c>
      <c r="E34" s="102" t="s">
        <v>7226</v>
      </c>
      <c r="F34" s="45">
        <v>0.21</v>
      </c>
      <c r="G34" s="342" t="str">
        <f>IFERROR(VLOOKUP("GA201",STOCK!$B$1:$Q$5647,3,FALSE),"SIN STOCK")</f>
        <v>SIN STOCK</v>
      </c>
      <c r="H34" s="28"/>
      <c r="I34" s="28"/>
      <c r="J34" s="28"/>
      <c r="K34" s="28"/>
      <c r="L34" s="28"/>
      <c r="M34" s="28"/>
      <c r="N34" s="28"/>
      <c r="O34" s="28"/>
      <c r="P34" s="28"/>
      <c r="Q34" s="28"/>
      <c r="R34" s="28"/>
      <c r="S34" s="28"/>
      <c r="T34" s="28"/>
      <c r="U34" s="28"/>
      <c r="V34" s="28"/>
      <c r="W34" s="28"/>
      <c r="X34" s="28"/>
      <c r="Y34" s="28"/>
      <c r="Z34" s="28"/>
    </row>
    <row r="35" ht="15.75" customHeight="1">
      <c r="A35" s="47" t="s">
        <v>7134</v>
      </c>
      <c r="B35" s="48" t="s">
        <v>7227</v>
      </c>
      <c r="C35" s="49" t="s">
        <v>7228</v>
      </c>
      <c r="D35" s="105" t="s">
        <v>7229</v>
      </c>
      <c r="E35" s="105" t="s">
        <v>7230</v>
      </c>
      <c r="F35" s="38">
        <v>0.21</v>
      </c>
      <c r="G35" s="342" t="str">
        <f>IFERROR(VLOOKUP("GA41L",STOCK!$B$1:$Q$5647,3,FALSE),"SIN STOCK")</f>
        <v>Menor a 5</v>
      </c>
      <c r="H35" s="28"/>
      <c r="I35" s="28"/>
      <c r="J35" s="28"/>
      <c r="K35" s="28"/>
      <c r="L35" s="28"/>
      <c r="M35" s="28"/>
      <c r="N35" s="28"/>
      <c r="O35" s="28"/>
      <c r="P35" s="28"/>
      <c r="Q35" s="28"/>
      <c r="R35" s="28"/>
      <c r="S35" s="28"/>
      <c r="T35" s="28"/>
      <c r="U35" s="28"/>
      <c r="V35" s="28"/>
      <c r="W35" s="28"/>
      <c r="X35" s="28"/>
      <c r="Y35" s="28"/>
      <c r="Z35" s="28"/>
    </row>
    <row r="36" ht="15.75" customHeight="1">
      <c r="A36" s="41" t="s">
        <v>7134</v>
      </c>
      <c r="B36" s="42" t="s">
        <v>7231</v>
      </c>
      <c r="C36" s="43" t="s">
        <v>7232</v>
      </c>
      <c r="D36" s="102" t="s">
        <v>7233</v>
      </c>
      <c r="E36" s="102" t="s">
        <v>7234</v>
      </c>
      <c r="F36" s="45">
        <v>0.21</v>
      </c>
      <c r="G36" s="342" t="str">
        <f>IFERROR(VLOOKUP("GA43",STOCK!$B$1:$Q$5647,3,FALSE),"SIN STOCK")</f>
        <v>Menor a 5</v>
      </c>
      <c r="H36" s="28"/>
      <c r="I36" s="28"/>
      <c r="J36" s="28"/>
      <c r="K36" s="28"/>
      <c r="L36" s="28"/>
      <c r="M36" s="28"/>
      <c r="N36" s="28"/>
      <c r="O36" s="28"/>
      <c r="P36" s="28"/>
      <c r="Q36" s="28"/>
      <c r="R36" s="28"/>
      <c r="S36" s="28"/>
      <c r="T36" s="28"/>
      <c r="U36" s="28"/>
      <c r="V36" s="28"/>
      <c r="W36" s="28"/>
      <c r="X36" s="28"/>
      <c r="Y36" s="28"/>
      <c r="Z36" s="28"/>
    </row>
    <row r="37" ht="15.75" customHeight="1">
      <c r="A37" s="47" t="s">
        <v>7134</v>
      </c>
      <c r="B37" s="48" t="s">
        <v>7235</v>
      </c>
      <c r="C37" s="49" t="s">
        <v>7236</v>
      </c>
      <c r="D37" s="105" t="s">
        <v>7237</v>
      </c>
      <c r="E37" s="105" t="s">
        <v>7238</v>
      </c>
      <c r="F37" s="38">
        <v>0.21</v>
      </c>
      <c r="G37" s="351" t="str">
        <f>IFERROR(VLOOKUP("GA46",STOCK!$B$1:$Q$5647,3,FALSE),"SIN STOCK")</f>
        <v>Mayor a 5</v>
      </c>
      <c r="H37" s="28"/>
      <c r="I37" s="28"/>
      <c r="J37" s="28"/>
      <c r="K37" s="28"/>
      <c r="L37" s="28"/>
      <c r="M37" s="28"/>
      <c r="N37" s="28"/>
      <c r="O37" s="28"/>
      <c r="P37" s="28"/>
      <c r="Q37" s="28"/>
      <c r="R37" s="28"/>
      <c r="S37" s="28"/>
      <c r="T37" s="28"/>
      <c r="U37" s="28"/>
      <c r="V37" s="28"/>
      <c r="W37" s="28"/>
      <c r="X37" s="28"/>
      <c r="Y37" s="28"/>
      <c r="Z37" s="28"/>
    </row>
    <row r="38" ht="15.75" customHeight="1">
      <c r="A38" s="253" t="s">
        <v>7239</v>
      </c>
      <c r="B38" s="254"/>
      <c r="C38" s="254"/>
      <c r="D38" s="99"/>
      <c r="E38" s="99"/>
      <c r="F38" s="254"/>
      <c r="G38" s="254"/>
      <c r="H38" s="28"/>
      <c r="I38" s="28"/>
      <c r="J38" s="28"/>
      <c r="K38" s="28"/>
      <c r="L38" s="28"/>
      <c r="M38" s="28"/>
      <c r="N38" s="28"/>
      <c r="O38" s="28"/>
      <c r="P38" s="28"/>
      <c r="Q38" s="28"/>
      <c r="R38" s="28"/>
      <c r="S38" s="28"/>
      <c r="T38" s="28"/>
      <c r="U38" s="28"/>
      <c r="V38" s="28"/>
      <c r="W38" s="28"/>
      <c r="X38" s="28"/>
      <c r="Y38" s="28"/>
      <c r="Z38" s="28"/>
    </row>
    <row r="39" ht="15.75" customHeight="1">
      <c r="A39" s="29" t="s">
        <v>7240</v>
      </c>
      <c r="B39" s="32"/>
      <c r="C39" s="32"/>
      <c r="D39" s="32"/>
      <c r="E39" s="32"/>
      <c r="F39" s="32"/>
      <c r="G39" s="32"/>
      <c r="H39" s="28"/>
      <c r="I39" s="28"/>
      <c r="J39" s="28"/>
      <c r="K39" s="28"/>
      <c r="L39" s="28"/>
      <c r="M39" s="28"/>
      <c r="N39" s="28"/>
      <c r="O39" s="28"/>
      <c r="P39" s="28"/>
      <c r="Q39" s="28"/>
      <c r="R39" s="28"/>
      <c r="S39" s="28"/>
      <c r="T39" s="28"/>
      <c r="U39" s="28"/>
      <c r="V39" s="28"/>
      <c r="W39" s="28"/>
      <c r="X39" s="28"/>
      <c r="Y39" s="28"/>
      <c r="Z39" s="28"/>
    </row>
    <row r="40" ht="15.75" customHeight="1">
      <c r="A40" s="41" t="s">
        <v>7134</v>
      </c>
      <c r="B40" s="41" t="s">
        <v>7241</v>
      </c>
      <c r="C40" s="156"/>
      <c r="D40" s="102" t="s">
        <v>7242</v>
      </c>
      <c r="E40" s="102" t="s">
        <v>7243</v>
      </c>
      <c r="F40" s="45">
        <v>0.21</v>
      </c>
      <c r="G40" s="342" t="str">
        <f>IFERROR(VLOOKUP("GA201",STOCK!$B$1:$Q$5647,3,FALSE),"SIN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47" t="s">
        <v>7134</v>
      </c>
      <c r="B41" s="47" t="s">
        <v>7244</v>
      </c>
      <c r="C41" s="155"/>
      <c r="D41" s="105" t="s">
        <v>7245</v>
      </c>
      <c r="E41" s="105" t="s">
        <v>7246</v>
      </c>
      <c r="F41" s="38">
        <v>0.21</v>
      </c>
      <c r="G41" s="342" t="str">
        <f>IFERROR(VLOOKUP("GA41L",STOCK!$B$1:$Q$5647,3,FALSE),"SIN STOCK")</f>
        <v>Menor a 5</v>
      </c>
      <c r="H41" s="28"/>
      <c r="I41" s="28"/>
      <c r="J41" s="28"/>
      <c r="K41" s="28"/>
      <c r="L41" s="28"/>
      <c r="M41" s="28"/>
      <c r="N41" s="28"/>
      <c r="O41" s="28"/>
      <c r="P41" s="28"/>
      <c r="Q41" s="28"/>
      <c r="R41" s="28"/>
      <c r="S41" s="28"/>
      <c r="T41" s="28"/>
      <c r="U41" s="28"/>
      <c r="V41" s="28"/>
      <c r="W41" s="28"/>
      <c r="X41" s="28"/>
      <c r="Y41" s="28"/>
      <c r="Z41" s="28"/>
    </row>
    <row r="42" ht="15.75" customHeight="1">
      <c r="A42" s="41" t="s">
        <v>7134</v>
      </c>
      <c r="B42" s="41" t="s">
        <v>7247</v>
      </c>
      <c r="C42" s="156"/>
      <c r="D42" s="102" t="s">
        <v>7248</v>
      </c>
      <c r="E42" s="102" t="s">
        <v>7249</v>
      </c>
      <c r="F42" s="45">
        <v>0.21</v>
      </c>
      <c r="G42" s="342" t="str">
        <f>IFERROR(VLOOKUP("GA201",STOCK!$B$1:$Q$5647,3,FALSE),"SIN STOCK")</f>
        <v>SIN STOCK</v>
      </c>
      <c r="H42" s="28"/>
      <c r="I42" s="28"/>
      <c r="J42" s="28"/>
      <c r="K42" s="28"/>
      <c r="L42" s="28"/>
      <c r="M42" s="28"/>
      <c r="N42" s="28"/>
      <c r="O42" s="28"/>
      <c r="P42" s="28"/>
      <c r="Q42" s="28"/>
      <c r="R42" s="28"/>
      <c r="S42" s="28"/>
      <c r="T42" s="28"/>
      <c r="U42" s="28"/>
      <c r="V42" s="28"/>
      <c r="W42" s="28"/>
      <c r="X42" s="28"/>
      <c r="Y42" s="28"/>
      <c r="Z42" s="28"/>
    </row>
    <row r="43" ht="15.75" customHeight="1">
      <c r="A43" s="47" t="s">
        <v>7134</v>
      </c>
      <c r="B43" s="47" t="s">
        <v>7250</v>
      </c>
      <c r="C43" s="155"/>
      <c r="D43" s="105" t="s">
        <v>7251</v>
      </c>
      <c r="E43" s="105" t="s">
        <v>7252</v>
      </c>
      <c r="F43" s="38">
        <v>0.21</v>
      </c>
      <c r="G43" s="342" t="str">
        <f>IFERROR(VLOOKUP("GA201",STOCK!$B$1:$Q$5647,3,FALSE),"SIN STOCK")</f>
        <v>SIN STOCK</v>
      </c>
      <c r="H43" s="28"/>
      <c r="I43" s="28"/>
      <c r="J43" s="28"/>
      <c r="K43" s="28"/>
      <c r="L43" s="28"/>
      <c r="M43" s="28"/>
      <c r="N43" s="28"/>
      <c r="O43" s="28"/>
      <c r="P43" s="28"/>
      <c r="Q43" s="28"/>
      <c r="R43" s="28"/>
      <c r="S43" s="28"/>
      <c r="T43" s="28"/>
      <c r="U43" s="28"/>
      <c r="V43" s="28"/>
      <c r="W43" s="28"/>
      <c r="X43" s="28"/>
      <c r="Y43" s="28"/>
      <c r="Z43" s="28"/>
    </row>
    <row r="44" ht="15.75" customHeight="1">
      <c r="A44" s="41" t="s">
        <v>7134</v>
      </c>
      <c r="B44" s="41" t="s">
        <v>7253</v>
      </c>
      <c r="C44" s="156"/>
      <c r="D44" s="102" t="s">
        <v>7254</v>
      </c>
      <c r="E44" s="102" t="s">
        <v>7255</v>
      </c>
      <c r="F44" s="45">
        <v>0.21</v>
      </c>
      <c r="G44" s="342" t="str">
        <f>IFERROR(VLOOKUP("GA41L",STOCK!$B$1:$Q$5647,3,FALSE),"SIN STOCK")</f>
        <v>Menor a 5</v>
      </c>
      <c r="H44" s="28"/>
      <c r="I44" s="28"/>
      <c r="J44" s="28"/>
      <c r="K44" s="28"/>
      <c r="L44" s="28"/>
      <c r="M44" s="28"/>
      <c r="N44" s="28"/>
      <c r="O44" s="28"/>
      <c r="P44" s="28"/>
      <c r="Q44" s="28"/>
      <c r="R44" s="28"/>
      <c r="S44" s="28"/>
      <c r="T44" s="28"/>
      <c r="U44" s="28"/>
      <c r="V44" s="28"/>
      <c r="W44" s="28"/>
      <c r="X44" s="28"/>
      <c r="Y44" s="28"/>
      <c r="Z44" s="28"/>
    </row>
    <row r="45" ht="15.75" customHeight="1">
      <c r="A45" s="29" t="s">
        <v>7256</v>
      </c>
      <c r="B45" s="32"/>
      <c r="C45" s="32"/>
      <c r="D45" s="32"/>
      <c r="E45" s="32"/>
      <c r="F45" s="32"/>
      <c r="G45" s="32"/>
      <c r="H45" s="28"/>
      <c r="I45" s="28"/>
      <c r="J45" s="28"/>
      <c r="K45" s="28"/>
      <c r="L45" s="28"/>
      <c r="M45" s="28"/>
      <c r="N45" s="28"/>
      <c r="O45" s="28"/>
      <c r="P45" s="28"/>
      <c r="Q45" s="28"/>
      <c r="R45" s="28"/>
      <c r="S45" s="28"/>
      <c r="T45" s="28"/>
      <c r="U45" s="28"/>
      <c r="V45" s="28"/>
      <c r="W45" s="28"/>
      <c r="X45" s="28"/>
      <c r="Y45" s="28"/>
      <c r="Z45" s="28"/>
    </row>
    <row r="46" ht="15.75" customHeight="1">
      <c r="A46" s="41" t="s">
        <v>7134</v>
      </c>
      <c r="B46" s="41" t="s">
        <v>7257</v>
      </c>
      <c r="C46" s="156"/>
      <c r="D46" s="102" t="s">
        <v>7258</v>
      </c>
      <c r="E46" s="102" t="s">
        <v>7259</v>
      </c>
      <c r="F46" s="45">
        <v>0.21</v>
      </c>
      <c r="G46" s="342" t="str">
        <f>IFERROR(VLOOKUP("GA201",STOCK!$B$1:$Q$5647,3,FALSE),"SIN STOCK")</f>
        <v>SIN STOCK</v>
      </c>
      <c r="H46" s="28"/>
      <c r="I46" s="28"/>
      <c r="J46" s="28"/>
      <c r="K46" s="28"/>
      <c r="L46" s="28"/>
      <c r="M46" s="28"/>
      <c r="N46" s="28"/>
      <c r="O46" s="28"/>
      <c r="P46" s="28"/>
      <c r="Q46" s="28"/>
      <c r="R46" s="28"/>
      <c r="S46" s="28"/>
      <c r="T46" s="28"/>
      <c r="U46" s="28"/>
      <c r="V46" s="28"/>
      <c r="W46" s="28"/>
      <c r="X46" s="28"/>
      <c r="Y46" s="28"/>
      <c r="Z46" s="28"/>
    </row>
    <row r="47" ht="15.75" customHeight="1">
      <c r="A47" s="47" t="s">
        <v>7134</v>
      </c>
      <c r="B47" s="47" t="s">
        <v>7260</v>
      </c>
      <c r="C47" s="155"/>
      <c r="D47" s="105" t="s">
        <v>7258</v>
      </c>
      <c r="E47" s="105" t="s">
        <v>7259</v>
      </c>
      <c r="F47" s="38">
        <v>0.21</v>
      </c>
      <c r="G47" s="342" t="str">
        <f>IFERROR(VLOOKUP("GA41L",STOCK!$B$1:$Q$5647,3,FALSE),"SIN STOCK")</f>
        <v>Menor a 5</v>
      </c>
      <c r="H47" s="28"/>
      <c r="I47" s="28"/>
      <c r="J47" s="28"/>
      <c r="K47" s="28"/>
      <c r="L47" s="28"/>
      <c r="M47" s="28"/>
      <c r="N47" s="28"/>
      <c r="O47" s="28"/>
      <c r="P47" s="28"/>
      <c r="Q47" s="28"/>
      <c r="R47" s="28"/>
      <c r="S47" s="28"/>
      <c r="T47" s="28"/>
      <c r="U47" s="28"/>
      <c r="V47" s="28"/>
      <c r="W47" s="28"/>
      <c r="X47" s="28"/>
      <c r="Y47" s="28"/>
      <c r="Z47" s="28"/>
    </row>
    <row r="48" ht="15.75" customHeight="1">
      <c r="A48" s="28"/>
      <c r="B48" s="28"/>
      <c r="C48" s="28"/>
      <c r="D48" s="127"/>
      <c r="E48" s="127"/>
      <c r="F48" s="28"/>
      <c r="G48" s="28"/>
      <c r="H48" s="28"/>
      <c r="I48" s="28"/>
      <c r="J48" s="28"/>
      <c r="K48" s="28"/>
      <c r="L48" s="28"/>
      <c r="M48" s="28"/>
      <c r="N48" s="28"/>
      <c r="O48" s="28"/>
      <c r="P48" s="28"/>
      <c r="Q48" s="28"/>
      <c r="R48" s="28"/>
      <c r="S48" s="28"/>
      <c r="T48" s="28"/>
      <c r="U48" s="28"/>
      <c r="V48" s="28"/>
      <c r="W48" s="28"/>
      <c r="X48" s="28"/>
      <c r="Y48" s="28"/>
      <c r="Z48" s="28"/>
    </row>
    <row r="49" ht="15.75" customHeight="1">
      <c r="A49" s="28"/>
      <c r="B49" s="28"/>
      <c r="C49" s="28"/>
      <c r="D49" s="127"/>
      <c r="E49" s="127"/>
      <c r="F49" s="28"/>
      <c r="G49" s="28"/>
      <c r="H49" s="28"/>
      <c r="I49" s="28"/>
      <c r="J49" s="28"/>
      <c r="K49" s="28"/>
      <c r="L49" s="28"/>
      <c r="M49" s="28"/>
      <c r="N49" s="28"/>
      <c r="O49" s="28"/>
      <c r="P49" s="28"/>
      <c r="Q49" s="28"/>
      <c r="R49" s="28"/>
      <c r="S49" s="28"/>
      <c r="T49" s="28"/>
      <c r="U49" s="28"/>
      <c r="V49" s="28"/>
      <c r="W49" s="28"/>
      <c r="X49" s="28"/>
      <c r="Y49" s="28"/>
      <c r="Z49" s="28"/>
    </row>
    <row r="50" ht="15.75" customHeight="1">
      <c r="A50" s="28"/>
      <c r="B50" s="28"/>
      <c r="C50" s="28"/>
      <c r="D50" s="127"/>
      <c r="E50" s="127"/>
      <c r="F50" s="28"/>
      <c r="G50" s="28"/>
      <c r="H50" s="28"/>
      <c r="I50" s="28"/>
      <c r="J50" s="28"/>
      <c r="K50" s="28"/>
      <c r="L50" s="28"/>
      <c r="M50" s="28"/>
      <c r="N50" s="28"/>
      <c r="O50" s="28"/>
      <c r="P50" s="28"/>
      <c r="Q50" s="28"/>
      <c r="R50" s="28"/>
      <c r="S50" s="28"/>
      <c r="T50" s="28"/>
      <c r="U50" s="28"/>
      <c r="V50" s="28"/>
      <c r="W50" s="28"/>
      <c r="X50" s="28"/>
      <c r="Y50" s="28"/>
      <c r="Z50" s="28"/>
    </row>
    <row r="51" ht="15.75" customHeight="1">
      <c r="A51" s="28"/>
      <c r="B51" s="28"/>
      <c r="C51" s="28"/>
      <c r="D51" s="127"/>
      <c r="E51" s="127"/>
      <c r="F51" s="28"/>
      <c r="G51" s="28"/>
      <c r="H51" s="28"/>
      <c r="I51" s="28"/>
      <c r="J51" s="28"/>
      <c r="K51" s="28"/>
      <c r="L51" s="28"/>
      <c r="M51" s="28"/>
      <c r="N51" s="28"/>
      <c r="O51" s="28"/>
      <c r="P51" s="28"/>
      <c r="Q51" s="28"/>
      <c r="R51" s="28"/>
      <c r="S51" s="28"/>
      <c r="T51" s="28"/>
      <c r="U51" s="28"/>
      <c r="V51" s="28"/>
      <c r="W51" s="28"/>
      <c r="X51" s="28"/>
      <c r="Y51" s="28"/>
      <c r="Z51" s="28"/>
    </row>
    <row r="52" ht="15.75" customHeight="1">
      <c r="A52" s="28"/>
      <c r="B52" s="28"/>
      <c r="C52" s="28"/>
      <c r="D52" s="127"/>
      <c r="E52" s="127"/>
      <c r="F52" s="28"/>
      <c r="G52" s="28"/>
      <c r="H52" s="28"/>
      <c r="I52" s="28"/>
      <c r="J52" s="28"/>
      <c r="K52" s="28"/>
      <c r="L52" s="28"/>
      <c r="M52" s="28"/>
      <c r="N52" s="28"/>
      <c r="O52" s="28"/>
      <c r="P52" s="28"/>
      <c r="Q52" s="28"/>
      <c r="R52" s="28"/>
      <c r="S52" s="28"/>
      <c r="T52" s="28"/>
      <c r="U52" s="28"/>
      <c r="V52" s="28"/>
      <c r="W52" s="28"/>
      <c r="X52" s="28"/>
      <c r="Y52" s="28"/>
      <c r="Z52" s="28"/>
    </row>
    <row r="53" ht="15.75" customHeight="1">
      <c r="A53" s="28"/>
      <c r="B53" s="28"/>
      <c r="C53" s="28"/>
      <c r="D53" s="127"/>
      <c r="E53" s="127"/>
      <c r="F53" s="28"/>
      <c r="G53" s="28"/>
      <c r="H53" s="28"/>
      <c r="I53" s="28"/>
      <c r="J53" s="28"/>
      <c r="K53" s="28"/>
      <c r="L53" s="28"/>
      <c r="M53" s="28"/>
      <c r="N53" s="28"/>
      <c r="O53" s="28"/>
      <c r="P53" s="28"/>
      <c r="Q53" s="28"/>
      <c r="R53" s="28"/>
      <c r="S53" s="28"/>
      <c r="T53" s="28"/>
      <c r="U53" s="28"/>
      <c r="V53" s="28"/>
      <c r="W53" s="28"/>
      <c r="X53" s="28"/>
      <c r="Y53" s="28"/>
      <c r="Z53" s="28"/>
    </row>
    <row r="54" ht="15.75" customHeight="1">
      <c r="A54" s="28"/>
      <c r="B54" s="28"/>
      <c r="C54" s="28"/>
      <c r="D54" s="127"/>
      <c r="E54" s="127"/>
      <c r="F54" s="28"/>
      <c r="G54" s="28"/>
      <c r="H54" s="28"/>
      <c r="I54" s="28"/>
      <c r="J54" s="28"/>
      <c r="K54" s="28"/>
      <c r="L54" s="28"/>
      <c r="M54" s="28"/>
      <c r="N54" s="28"/>
      <c r="O54" s="28"/>
      <c r="P54" s="28"/>
      <c r="Q54" s="28"/>
      <c r="R54" s="28"/>
      <c r="S54" s="28"/>
      <c r="T54" s="28"/>
      <c r="U54" s="28"/>
      <c r="V54" s="28"/>
      <c r="W54" s="28"/>
      <c r="X54" s="28"/>
      <c r="Y54" s="28"/>
      <c r="Z54" s="28"/>
    </row>
    <row r="55" ht="15.75" customHeight="1">
      <c r="A55" s="28"/>
      <c r="B55" s="28"/>
      <c r="C55" s="28"/>
      <c r="D55" s="127"/>
      <c r="E55" s="127"/>
      <c r="F55" s="28"/>
      <c r="G55" s="28"/>
      <c r="H55" s="28"/>
      <c r="I55" s="28"/>
      <c r="J55" s="28"/>
      <c r="K55" s="28"/>
      <c r="L55" s="28"/>
      <c r="M55" s="28"/>
      <c r="N55" s="28"/>
      <c r="O55" s="28"/>
      <c r="P55" s="28"/>
      <c r="Q55" s="28"/>
      <c r="R55" s="28"/>
      <c r="S55" s="28"/>
      <c r="T55" s="28"/>
      <c r="U55" s="28"/>
      <c r="V55" s="28"/>
      <c r="W55" s="28"/>
      <c r="X55" s="28"/>
      <c r="Y55" s="28"/>
      <c r="Z55" s="28"/>
    </row>
    <row r="56" ht="15.75" customHeight="1">
      <c r="A56" s="28"/>
      <c r="B56" s="28"/>
      <c r="C56" s="28"/>
      <c r="D56" s="127"/>
      <c r="E56" s="127"/>
      <c r="F56" s="28"/>
      <c r="G56" s="28"/>
      <c r="H56" s="28"/>
      <c r="I56" s="28"/>
      <c r="J56" s="28"/>
      <c r="K56" s="28"/>
      <c r="L56" s="28"/>
      <c r="M56" s="28"/>
      <c r="N56" s="28"/>
      <c r="O56" s="28"/>
      <c r="P56" s="28"/>
      <c r="Q56" s="28"/>
      <c r="R56" s="28"/>
      <c r="S56" s="28"/>
      <c r="T56" s="28"/>
      <c r="U56" s="28"/>
      <c r="V56" s="28"/>
      <c r="W56" s="28"/>
      <c r="X56" s="28"/>
      <c r="Y56" s="28"/>
      <c r="Z56" s="28"/>
    </row>
    <row r="57" ht="15.75" customHeight="1">
      <c r="A57" s="28"/>
      <c r="B57" s="28"/>
      <c r="C57" s="28"/>
      <c r="D57" s="127"/>
      <c r="E57" s="127"/>
      <c r="F57" s="28"/>
      <c r="G57" s="28"/>
      <c r="H57" s="28"/>
      <c r="I57" s="28"/>
      <c r="J57" s="28"/>
      <c r="K57" s="28"/>
      <c r="L57" s="28"/>
      <c r="M57" s="28"/>
      <c r="N57" s="28"/>
      <c r="O57" s="28"/>
      <c r="P57" s="28"/>
      <c r="Q57" s="28"/>
      <c r="R57" s="28"/>
      <c r="S57" s="28"/>
      <c r="T57" s="28"/>
      <c r="U57" s="28"/>
      <c r="V57" s="28"/>
      <c r="W57" s="28"/>
      <c r="X57" s="28"/>
      <c r="Y57" s="28"/>
      <c r="Z57" s="28"/>
    </row>
    <row r="58" ht="15.75" customHeight="1">
      <c r="A58" s="28"/>
      <c r="B58" s="28"/>
      <c r="C58" s="28"/>
      <c r="D58" s="127"/>
      <c r="E58" s="127"/>
      <c r="F58" s="28"/>
      <c r="G58" s="28"/>
      <c r="H58" s="28"/>
      <c r="I58" s="28"/>
      <c r="J58" s="28"/>
      <c r="K58" s="28"/>
      <c r="L58" s="28"/>
      <c r="M58" s="28"/>
      <c r="N58" s="28"/>
      <c r="O58" s="28"/>
      <c r="P58" s="28"/>
      <c r="Q58" s="28"/>
      <c r="R58" s="28"/>
      <c r="S58" s="28"/>
      <c r="T58" s="28"/>
      <c r="U58" s="28"/>
      <c r="V58" s="28"/>
      <c r="W58" s="28"/>
      <c r="X58" s="28"/>
      <c r="Y58" s="28"/>
      <c r="Z58" s="28"/>
    </row>
    <row r="59" ht="15.75" customHeight="1">
      <c r="A59" s="28"/>
      <c r="B59" s="28"/>
      <c r="C59" s="28"/>
      <c r="D59" s="127"/>
      <c r="E59" s="127"/>
      <c r="F59" s="28"/>
      <c r="G59" s="28"/>
      <c r="H59" s="28"/>
      <c r="I59" s="28"/>
      <c r="J59" s="28"/>
      <c r="K59" s="28"/>
      <c r="L59" s="28"/>
      <c r="M59" s="28"/>
      <c r="N59" s="28"/>
      <c r="O59" s="28"/>
      <c r="P59" s="28"/>
      <c r="Q59" s="28"/>
      <c r="R59" s="28"/>
      <c r="S59" s="28"/>
      <c r="T59" s="28"/>
      <c r="U59" s="28"/>
      <c r="V59" s="28"/>
      <c r="W59" s="28"/>
      <c r="X59" s="28"/>
      <c r="Y59" s="28"/>
      <c r="Z59" s="28"/>
    </row>
    <row r="60" ht="15.75" customHeight="1">
      <c r="A60" s="28"/>
      <c r="B60" s="28"/>
      <c r="C60" s="28"/>
      <c r="D60" s="127"/>
      <c r="E60" s="127"/>
      <c r="F60" s="28"/>
      <c r="G60" s="28"/>
      <c r="H60" s="28"/>
      <c r="I60" s="28"/>
      <c r="J60" s="28"/>
      <c r="K60" s="28"/>
      <c r="L60" s="28"/>
      <c r="M60" s="28"/>
      <c r="N60" s="28"/>
      <c r="O60" s="28"/>
      <c r="P60" s="28"/>
      <c r="Q60" s="28"/>
      <c r="R60" s="28"/>
      <c r="S60" s="28"/>
      <c r="T60" s="28"/>
      <c r="U60" s="28"/>
      <c r="V60" s="28"/>
      <c r="W60" s="28"/>
      <c r="X60" s="28"/>
      <c r="Y60" s="28"/>
      <c r="Z60" s="28"/>
    </row>
    <row r="61" ht="15.75" customHeight="1">
      <c r="A61" s="28"/>
      <c r="B61" s="28"/>
      <c r="C61" s="28"/>
      <c r="D61" s="127"/>
      <c r="E61" s="127"/>
      <c r="F61" s="28"/>
      <c r="G61" s="28"/>
      <c r="H61" s="28"/>
      <c r="I61" s="28"/>
      <c r="J61" s="28"/>
      <c r="K61" s="28"/>
      <c r="L61" s="28"/>
      <c r="M61" s="28"/>
      <c r="N61" s="28"/>
      <c r="O61" s="28"/>
      <c r="P61" s="28"/>
      <c r="Q61" s="28"/>
      <c r="R61" s="28"/>
      <c r="S61" s="28"/>
      <c r="T61" s="28"/>
      <c r="U61" s="28"/>
      <c r="V61" s="28"/>
      <c r="W61" s="28"/>
      <c r="X61" s="28"/>
      <c r="Y61" s="28"/>
      <c r="Z61" s="28"/>
    </row>
    <row r="62" ht="15.75" customHeight="1">
      <c r="A62" s="28"/>
      <c r="B62" s="28"/>
      <c r="C62" s="28"/>
      <c r="D62" s="127"/>
      <c r="E62" s="127"/>
      <c r="F62" s="28"/>
      <c r="G62" s="28"/>
      <c r="H62" s="28"/>
      <c r="I62" s="28"/>
      <c r="J62" s="28"/>
      <c r="K62" s="28"/>
      <c r="L62" s="28"/>
      <c r="M62" s="28"/>
      <c r="N62" s="28"/>
      <c r="O62" s="28"/>
      <c r="P62" s="28"/>
      <c r="Q62" s="28"/>
      <c r="R62" s="28"/>
      <c r="S62" s="28"/>
      <c r="T62" s="28"/>
      <c r="U62" s="28"/>
      <c r="V62" s="28"/>
      <c r="W62" s="28"/>
      <c r="X62" s="28"/>
      <c r="Y62" s="28"/>
      <c r="Z62" s="28"/>
    </row>
    <row r="63" ht="15.75" customHeight="1">
      <c r="A63" s="28"/>
      <c r="B63" s="28"/>
      <c r="C63" s="28"/>
      <c r="D63" s="127"/>
      <c r="E63" s="127"/>
      <c r="F63" s="28"/>
      <c r="G63" s="28"/>
      <c r="H63" s="28"/>
      <c r="I63" s="28"/>
      <c r="J63" s="28"/>
      <c r="K63" s="28"/>
      <c r="L63" s="28"/>
      <c r="M63" s="28"/>
      <c r="N63" s="28"/>
      <c r="O63" s="28"/>
      <c r="P63" s="28"/>
      <c r="Q63" s="28"/>
      <c r="R63" s="28"/>
      <c r="S63" s="28"/>
      <c r="T63" s="28"/>
      <c r="U63" s="28"/>
      <c r="V63" s="28"/>
      <c r="W63" s="28"/>
      <c r="X63" s="28"/>
      <c r="Y63" s="28"/>
      <c r="Z63" s="28"/>
    </row>
    <row r="64" ht="15.75" customHeight="1">
      <c r="A64" s="28"/>
      <c r="B64" s="28"/>
      <c r="C64" s="28"/>
      <c r="D64" s="127"/>
      <c r="E64" s="127"/>
      <c r="F64" s="28"/>
      <c r="G64" s="28"/>
      <c r="H64" s="28"/>
      <c r="I64" s="28"/>
      <c r="J64" s="28"/>
      <c r="K64" s="28"/>
      <c r="L64" s="28"/>
      <c r="M64" s="28"/>
      <c r="N64" s="28"/>
      <c r="O64" s="28"/>
      <c r="P64" s="28"/>
      <c r="Q64" s="28"/>
      <c r="R64" s="28"/>
      <c r="S64" s="28"/>
      <c r="T64" s="28"/>
      <c r="U64" s="28"/>
      <c r="V64" s="28"/>
      <c r="W64" s="28"/>
      <c r="X64" s="28"/>
      <c r="Y64" s="28"/>
      <c r="Z64" s="28"/>
    </row>
    <row r="65" ht="15.75" customHeight="1">
      <c r="A65" s="28"/>
      <c r="B65" s="28"/>
      <c r="C65" s="28"/>
      <c r="D65" s="127"/>
      <c r="E65" s="127"/>
      <c r="F65" s="28"/>
      <c r="G65" s="28"/>
      <c r="H65" s="28"/>
      <c r="I65" s="28"/>
      <c r="J65" s="28"/>
      <c r="K65" s="28"/>
      <c r="L65" s="28"/>
      <c r="M65" s="28"/>
      <c r="N65" s="28"/>
      <c r="O65" s="28"/>
      <c r="P65" s="28"/>
      <c r="Q65" s="28"/>
      <c r="R65" s="28"/>
      <c r="S65" s="28"/>
      <c r="T65" s="28"/>
      <c r="U65" s="28"/>
      <c r="V65" s="28"/>
      <c r="W65" s="28"/>
      <c r="X65" s="28"/>
      <c r="Y65" s="28"/>
      <c r="Z65" s="28"/>
    </row>
    <row r="66" ht="15.75" customHeight="1">
      <c r="A66" s="28"/>
      <c r="B66" s="28"/>
      <c r="C66" s="28"/>
      <c r="D66" s="127"/>
      <c r="E66" s="127"/>
      <c r="F66" s="28"/>
      <c r="G66" s="28"/>
      <c r="H66" s="28"/>
      <c r="I66" s="28"/>
      <c r="J66" s="28"/>
      <c r="K66" s="28"/>
      <c r="L66" s="28"/>
      <c r="M66" s="28"/>
      <c r="N66" s="28"/>
      <c r="O66" s="28"/>
      <c r="P66" s="28"/>
      <c r="Q66" s="28"/>
      <c r="R66" s="28"/>
      <c r="S66" s="28"/>
      <c r="T66" s="28"/>
      <c r="U66" s="28"/>
      <c r="V66" s="28"/>
      <c r="W66" s="28"/>
      <c r="X66" s="28"/>
      <c r="Y66" s="28"/>
      <c r="Z66" s="28"/>
    </row>
    <row r="67" ht="15.75" customHeight="1">
      <c r="A67" s="28"/>
      <c r="B67" s="28"/>
      <c r="C67" s="28"/>
      <c r="D67" s="127"/>
      <c r="E67" s="127"/>
      <c r="F67" s="28"/>
      <c r="G67" s="28"/>
      <c r="H67" s="28"/>
      <c r="I67" s="28"/>
      <c r="J67" s="28"/>
      <c r="K67" s="28"/>
      <c r="L67" s="28"/>
      <c r="M67" s="28"/>
      <c r="N67" s="28"/>
      <c r="O67" s="28"/>
      <c r="P67" s="28"/>
      <c r="Q67" s="28"/>
      <c r="R67" s="28"/>
      <c r="S67" s="28"/>
      <c r="T67" s="28"/>
      <c r="U67" s="28"/>
      <c r="V67" s="28"/>
      <c r="W67" s="28"/>
      <c r="X67" s="28"/>
      <c r="Y67" s="28"/>
      <c r="Z67" s="28"/>
    </row>
    <row r="68" ht="15.75" customHeight="1">
      <c r="A68" s="28"/>
      <c r="B68" s="28"/>
      <c r="C68" s="28"/>
      <c r="D68" s="127"/>
      <c r="E68" s="127"/>
      <c r="F68" s="28"/>
      <c r="G68" s="28"/>
      <c r="H68" s="28"/>
      <c r="I68" s="28"/>
      <c r="J68" s="28"/>
      <c r="K68" s="28"/>
      <c r="L68" s="28"/>
      <c r="M68" s="28"/>
      <c r="N68" s="28"/>
      <c r="O68" s="28"/>
      <c r="P68" s="28"/>
      <c r="Q68" s="28"/>
      <c r="R68" s="28"/>
      <c r="S68" s="28"/>
      <c r="T68" s="28"/>
      <c r="U68" s="28"/>
      <c r="V68" s="28"/>
      <c r="W68" s="28"/>
      <c r="X68" s="28"/>
      <c r="Y68" s="28"/>
      <c r="Z68" s="28"/>
    </row>
    <row r="69" ht="15.75" customHeight="1">
      <c r="A69" s="28"/>
      <c r="B69" s="28"/>
      <c r="C69" s="28"/>
      <c r="D69" s="127"/>
      <c r="E69" s="127"/>
      <c r="F69" s="28"/>
      <c r="G69" s="28"/>
      <c r="H69" s="28"/>
      <c r="I69" s="28"/>
      <c r="J69" s="28"/>
      <c r="K69" s="28"/>
      <c r="L69" s="28"/>
      <c r="M69" s="28"/>
      <c r="N69" s="28"/>
      <c r="O69" s="28"/>
      <c r="P69" s="28"/>
      <c r="Q69" s="28"/>
      <c r="R69" s="28"/>
      <c r="S69" s="28"/>
      <c r="T69" s="28"/>
      <c r="U69" s="28"/>
      <c r="V69" s="28"/>
      <c r="W69" s="28"/>
      <c r="X69" s="28"/>
      <c r="Y69" s="28"/>
      <c r="Z69" s="28"/>
    </row>
    <row r="70" ht="15.75" customHeight="1">
      <c r="A70" s="28"/>
      <c r="B70" s="28"/>
      <c r="C70" s="28"/>
      <c r="D70" s="127"/>
      <c r="E70" s="127"/>
      <c r="F70" s="28"/>
      <c r="G70" s="28"/>
      <c r="H70" s="28"/>
      <c r="I70" s="28"/>
      <c r="J70" s="28"/>
      <c r="K70" s="28"/>
      <c r="L70" s="28"/>
      <c r="M70" s="28"/>
      <c r="N70" s="28"/>
      <c r="O70" s="28"/>
      <c r="P70" s="28"/>
      <c r="Q70" s="28"/>
      <c r="R70" s="28"/>
      <c r="S70" s="28"/>
      <c r="T70" s="28"/>
      <c r="U70" s="28"/>
      <c r="V70" s="28"/>
      <c r="W70" s="28"/>
      <c r="X70" s="28"/>
      <c r="Y70" s="28"/>
      <c r="Z70" s="28"/>
    </row>
    <row r="71" ht="15.75" customHeight="1">
      <c r="A71" s="28"/>
      <c r="B71" s="28"/>
      <c r="C71" s="28"/>
      <c r="D71" s="127"/>
      <c r="E71" s="127"/>
      <c r="F71" s="28"/>
      <c r="G71" s="28"/>
      <c r="H71" s="28"/>
      <c r="I71" s="28"/>
      <c r="J71" s="28"/>
      <c r="K71" s="28"/>
      <c r="L71" s="28"/>
      <c r="M71" s="28"/>
      <c r="N71" s="28"/>
      <c r="O71" s="28"/>
      <c r="P71" s="28"/>
      <c r="Q71" s="28"/>
      <c r="R71" s="28"/>
      <c r="S71" s="28"/>
      <c r="T71" s="28"/>
      <c r="U71" s="28"/>
      <c r="V71" s="28"/>
      <c r="W71" s="28"/>
      <c r="X71" s="28"/>
      <c r="Y71" s="28"/>
      <c r="Z71" s="28"/>
    </row>
    <row r="72" ht="15.75" customHeight="1">
      <c r="A72" s="28"/>
      <c r="B72" s="28"/>
      <c r="C72" s="28"/>
      <c r="D72" s="127"/>
      <c r="E72" s="127"/>
      <c r="F72" s="28"/>
      <c r="G72" s="28"/>
      <c r="H72" s="28"/>
      <c r="I72" s="28"/>
      <c r="J72" s="28"/>
      <c r="K72" s="28"/>
      <c r="L72" s="28"/>
      <c r="M72" s="28"/>
      <c r="N72" s="28"/>
      <c r="O72" s="28"/>
      <c r="P72" s="28"/>
      <c r="Q72" s="28"/>
      <c r="R72" s="28"/>
      <c r="S72" s="28"/>
      <c r="T72" s="28"/>
      <c r="U72" s="28"/>
      <c r="V72" s="28"/>
      <c r="W72" s="28"/>
      <c r="X72" s="28"/>
      <c r="Y72" s="28"/>
      <c r="Z72" s="28"/>
    </row>
    <row r="73" ht="15.75" customHeight="1">
      <c r="A73" s="28"/>
      <c r="B73" s="28"/>
      <c r="C73" s="28"/>
      <c r="D73" s="127"/>
      <c r="E73" s="127"/>
      <c r="F73" s="28"/>
      <c r="G73" s="28"/>
      <c r="H73" s="28"/>
      <c r="I73" s="28"/>
      <c r="J73" s="28"/>
      <c r="K73" s="28"/>
      <c r="L73" s="28"/>
      <c r="M73" s="28"/>
      <c r="N73" s="28"/>
      <c r="O73" s="28"/>
      <c r="P73" s="28"/>
      <c r="Q73" s="28"/>
      <c r="R73" s="28"/>
      <c r="S73" s="28"/>
      <c r="T73" s="28"/>
      <c r="U73" s="28"/>
      <c r="V73" s="28"/>
      <c r="W73" s="28"/>
      <c r="X73" s="28"/>
      <c r="Y73" s="28"/>
      <c r="Z73" s="28"/>
    </row>
    <row r="74" ht="15.75" customHeight="1">
      <c r="A74" s="28"/>
      <c r="B74" s="28"/>
      <c r="C74" s="28"/>
      <c r="D74" s="127"/>
      <c r="E74" s="127"/>
      <c r="F74" s="28"/>
      <c r="G74" s="28"/>
      <c r="H74" s="28"/>
      <c r="I74" s="28"/>
      <c r="J74" s="28"/>
      <c r="K74" s="28"/>
      <c r="L74" s="28"/>
      <c r="M74" s="28"/>
      <c r="N74" s="28"/>
      <c r="O74" s="28"/>
      <c r="P74" s="28"/>
      <c r="Q74" s="28"/>
      <c r="R74" s="28"/>
      <c r="S74" s="28"/>
      <c r="T74" s="28"/>
      <c r="U74" s="28"/>
      <c r="V74" s="28"/>
      <c r="W74" s="28"/>
      <c r="X74" s="28"/>
      <c r="Y74" s="28"/>
      <c r="Z74" s="28"/>
    </row>
    <row r="75" ht="15.75" customHeight="1">
      <c r="A75" s="28"/>
      <c r="B75" s="28"/>
      <c r="C75" s="28"/>
      <c r="D75" s="127"/>
      <c r="E75" s="127"/>
      <c r="F75" s="28"/>
      <c r="G75" s="28"/>
      <c r="H75" s="28"/>
      <c r="I75" s="28"/>
      <c r="J75" s="28"/>
      <c r="K75" s="28"/>
      <c r="L75" s="28"/>
      <c r="M75" s="28"/>
      <c r="N75" s="28"/>
      <c r="O75" s="28"/>
      <c r="P75" s="28"/>
      <c r="Q75" s="28"/>
      <c r="R75" s="28"/>
      <c r="S75" s="28"/>
      <c r="T75" s="28"/>
      <c r="U75" s="28"/>
      <c r="V75" s="28"/>
      <c r="W75" s="28"/>
      <c r="X75" s="28"/>
      <c r="Y75" s="28"/>
      <c r="Z75" s="28"/>
    </row>
    <row r="76" ht="15.75" customHeight="1">
      <c r="A76" s="28"/>
      <c r="B76" s="28"/>
      <c r="C76" s="28"/>
      <c r="D76" s="127"/>
      <c r="E76" s="127"/>
      <c r="F76" s="28"/>
      <c r="G76" s="28"/>
      <c r="H76" s="28"/>
      <c r="I76" s="28"/>
      <c r="J76" s="28"/>
      <c r="K76" s="28"/>
      <c r="L76" s="28"/>
      <c r="M76" s="28"/>
      <c r="N76" s="28"/>
      <c r="O76" s="28"/>
      <c r="P76" s="28"/>
      <c r="Q76" s="28"/>
      <c r="R76" s="28"/>
      <c r="S76" s="28"/>
      <c r="T76" s="28"/>
      <c r="U76" s="28"/>
      <c r="V76" s="28"/>
      <c r="W76" s="28"/>
      <c r="X76" s="28"/>
      <c r="Y76" s="28"/>
      <c r="Z76" s="28"/>
    </row>
    <row r="77" ht="15.75" customHeight="1">
      <c r="A77" s="28"/>
      <c r="B77" s="28"/>
      <c r="C77" s="28"/>
      <c r="D77" s="127"/>
      <c r="E77" s="127"/>
      <c r="F77" s="28"/>
      <c r="G77" s="28"/>
      <c r="H77" s="28"/>
      <c r="I77" s="28"/>
      <c r="J77" s="28"/>
      <c r="K77" s="28"/>
      <c r="L77" s="28"/>
      <c r="M77" s="28"/>
      <c r="N77" s="28"/>
      <c r="O77" s="28"/>
      <c r="P77" s="28"/>
      <c r="Q77" s="28"/>
      <c r="R77" s="28"/>
      <c r="S77" s="28"/>
      <c r="T77" s="28"/>
      <c r="U77" s="28"/>
      <c r="V77" s="28"/>
      <c r="W77" s="28"/>
      <c r="X77" s="28"/>
      <c r="Y77" s="28"/>
      <c r="Z77" s="28"/>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5" t="s">
        <v>7261</v>
      </c>
      <c r="B1" s="271"/>
      <c r="C1" s="271"/>
      <c r="D1" s="271"/>
      <c r="E1" s="271"/>
      <c r="F1" s="271"/>
      <c r="G1" s="271"/>
      <c r="H1" s="356"/>
    </row>
    <row r="2">
      <c r="A2" s="193" t="s">
        <v>23</v>
      </c>
      <c r="B2" s="77" t="s">
        <v>24</v>
      </c>
      <c r="C2" s="77" t="s">
        <v>25</v>
      </c>
      <c r="D2" s="78" t="s">
        <v>26</v>
      </c>
      <c r="E2" s="78" t="s">
        <v>27</v>
      </c>
      <c r="F2" s="357" t="s">
        <v>7262</v>
      </c>
      <c r="G2" s="77" t="s">
        <v>28</v>
      </c>
      <c r="H2" s="77" t="s">
        <v>29</v>
      </c>
    </row>
    <row r="3">
      <c r="A3" s="358" t="s">
        <v>7263</v>
      </c>
      <c r="B3" s="359"/>
      <c r="C3" s="360"/>
      <c r="D3" s="360"/>
      <c r="E3" s="360"/>
      <c r="F3" s="360"/>
      <c r="G3" s="360"/>
      <c r="H3" s="361"/>
    </row>
    <row r="4">
      <c r="A4" s="196" t="s">
        <v>31</v>
      </c>
      <c r="B4" s="82" t="s">
        <v>87</v>
      </c>
      <c r="C4" s="198" t="s">
        <v>88</v>
      </c>
      <c r="D4" s="362">
        <v>1350124.3888</v>
      </c>
      <c r="E4" s="362">
        <v>1115805.28</v>
      </c>
      <c r="F4" s="363">
        <v>10.0</v>
      </c>
      <c r="G4" s="103">
        <v>0.21</v>
      </c>
      <c r="H4" s="89" t="str">
        <f>IFERROR(VLOOKUP("XS 1",STOCK!$B$1:$Q$5644,3,FALSE),"SIN STOCK")</f>
        <v>Mayor a 5</v>
      </c>
    </row>
    <row r="5">
      <c r="A5" s="199" t="s">
        <v>31</v>
      </c>
      <c r="B5" s="199" t="s">
        <v>7264</v>
      </c>
      <c r="C5" s="201" t="s">
        <v>7265</v>
      </c>
      <c r="D5" s="364">
        <v>1001157.0976</v>
      </c>
      <c r="E5" s="364">
        <v>827402.5599999999</v>
      </c>
      <c r="F5" s="365">
        <v>40.0</v>
      </c>
      <c r="G5" s="106">
        <v>0.21</v>
      </c>
      <c r="H5" s="89" t="str">
        <f>IFERROR(VLOOKUP("MX80",STOCK!$B$1:$Q$5644,3,FALSE),"SIN STOCK")</f>
        <v>Mayor a 5</v>
      </c>
    </row>
    <row r="6">
      <c r="A6" s="196" t="s">
        <v>31</v>
      </c>
      <c r="B6" s="196" t="s">
        <v>32</v>
      </c>
      <c r="C6" s="198" t="s">
        <v>33</v>
      </c>
      <c r="D6" s="362">
        <v>580396.344</v>
      </c>
      <c r="E6" s="362">
        <v>479666.4</v>
      </c>
      <c r="F6" s="363">
        <v>10.0</v>
      </c>
      <c r="G6" s="103">
        <v>0.21</v>
      </c>
      <c r="H6" s="89" t="str">
        <f>IFERROR(VLOOKUP("HD407",STOCK!$B$1:$Q$5644,3,FALSE),"SIN STOCK")</f>
        <v>Mayor a 5</v>
      </c>
    </row>
    <row r="7">
      <c r="A7" s="199" t="s">
        <v>31</v>
      </c>
      <c r="B7" s="199" t="s">
        <v>7266</v>
      </c>
      <c r="C7" s="201" t="s">
        <v>37</v>
      </c>
      <c r="D7" s="364">
        <v>952275.5369600002</v>
      </c>
      <c r="E7" s="364">
        <v>787004.5760000001</v>
      </c>
      <c r="F7" s="365">
        <v>10.0</v>
      </c>
      <c r="G7" s="106">
        <v>0.21</v>
      </c>
      <c r="H7" s="89" t="str">
        <f>IFERROR(VLOOKUP("HD206",STOCK!$B$1:$Q$5644,3,FALSE),"SIN STOCK")</f>
        <v>SIN STOCK</v>
      </c>
    </row>
    <row r="8" hidden="1">
      <c r="A8" s="196" t="s">
        <v>31</v>
      </c>
      <c r="B8" s="82" t="s">
        <v>36</v>
      </c>
      <c r="C8" s="198" t="s">
        <v>37</v>
      </c>
      <c r="D8" s="362">
        <v>1809195.2524799998</v>
      </c>
      <c r="E8" s="362">
        <v>1495202.6879999998</v>
      </c>
      <c r="F8" s="363">
        <v>10.0</v>
      </c>
      <c r="G8" s="103">
        <v>0.21</v>
      </c>
      <c r="H8" s="89" t="str">
        <f>IFERROR(VLOOKUP("HD 200 PRO",STOCK!$B$1:$Q$5644,3,FALSE),"SIN STOCK")</f>
        <v>Mayor a 5</v>
      </c>
    </row>
    <row r="9">
      <c r="A9" s="199" t="s">
        <v>31</v>
      </c>
      <c r="B9" s="199" t="s">
        <v>383</v>
      </c>
      <c r="C9" s="201" t="s">
        <v>384</v>
      </c>
      <c r="D9" s="364">
        <v>1.073635059904E7</v>
      </c>
      <c r="E9" s="364">
        <v>8873017.024</v>
      </c>
      <c r="F9" s="365">
        <v>4.0</v>
      </c>
      <c r="G9" s="106">
        <v>0.21</v>
      </c>
      <c r="H9" s="89" t="str">
        <f>IFERROR(VLOOKUP("EW 100 ENG G4-A1",STOCK!$B$1:$Q$5647,3,FALSE),"SIN STOCK")</f>
        <v>SIN STOCK</v>
      </c>
    </row>
    <row r="10">
      <c r="A10" s="196" t="s">
        <v>31</v>
      </c>
      <c r="B10" s="196" t="s">
        <v>386</v>
      </c>
      <c r="C10" s="198" t="s">
        <v>387</v>
      </c>
      <c r="D10" s="362">
        <v>6260888.402559999</v>
      </c>
      <c r="E10" s="362">
        <v>5174287.936</v>
      </c>
      <c r="F10" s="363">
        <v>4.0</v>
      </c>
      <c r="G10" s="103">
        <v>0.21</v>
      </c>
      <c r="H10" s="89" t="str">
        <f>IFERROR(VLOOKUP("EW 112P G4-A1",STOCK!$B$1:$Q$5647,3,FALSE),"SIN STOCK")</f>
        <v>SIN STOCK</v>
      </c>
    </row>
    <row r="11">
      <c r="A11" s="366" t="s">
        <v>7267</v>
      </c>
      <c r="B11" s="367"/>
      <c r="C11" s="368"/>
      <c r="D11" s="368"/>
      <c r="E11" s="368"/>
      <c r="F11" s="368"/>
      <c r="G11" s="368"/>
      <c r="H11" s="369"/>
    </row>
    <row r="12">
      <c r="A12" s="199" t="s">
        <v>4566</v>
      </c>
      <c r="B12" s="199" t="s">
        <v>4567</v>
      </c>
      <c r="C12" s="199" t="s">
        <v>4568</v>
      </c>
      <c r="D12" s="364">
        <v>835934.8694399999</v>
      </c>
      <c r="E12" s="364">
        <v>690855.264</v>
      </c>
      <c r="F12" s="370">
        <v>3.0</v>
      </c>
      <c r="G12" s="106">
        <v>0.21</v>
      </c>
      <c r="H12" s="371" t="str">
        <f>VLOOKUP("C44-USB",STOCK!$B$2:$Q$3689,3,FALSE)</f>
        <v>Mayor a 5</v>
      </c>
    </row>
    <row r="13">
      <c r="A13" s="196" t="s">
        <v>4566</v>
      </c>
      <c r="B13" s="196" t="s">
        <v>4571</v>
      </c>
      <c r="C13" s="196" t="s">
        <v>4572</v>
      </c>
      <c r="D13" s="362">
        <v>341157.85246399994</v>
      </c>
      <c r="E13" s="362">
        <v>281948.63839999994</v>
      </c>
      <c r="F13" s="372">
        <v>1.0</v>
      </c>
      <c r="G13" s="173">
        <v>0.21</v>
      </c>
      <c r="H13" s="371" t="str">
        <f>VLOOKUP("p220",STOCK!$B$2:$Q$3689,3,FALSE)</f>
        <v>SIN STOCK</v>
      </c>
    </row>
    <row r="14">
      <c r="A14" s="199" t="s">
        <v>4566</v>
      </c>
      <c r="B14" s="199" t="s">
        <v>4575</v>
      </c>
      <c r="C14" s="199" t="s">
        <v>4576</v>
      </c>
      <c r="D14" s="364">
        <v>1319641.6506240002</v>
      </c>
      <c r="E14" s="364">
        <v>1090612.9344000001</v>
      </c>
      <c r="F14" s="370">
        <v>3.0</v>
      </c>
      <c r="G14" s="106">
        <v>0.21</v>
      </c>
      <c r="H14" s="371" t="str">
        <f>VLOOKUP("p420",STOCK!$B$2:$Q$3689,3,FALSE)</f>
        <v>SIN STOCK</v>
      </c>
    </row>
    <row r="15">
      <c r="A15" s="373" t="s">
        <v>6132</v>
      </c>
      <c r="B15" s="374"/>
      <c r="C15" s="375"/>
      <c r="D15" s="375"/>
      <c r="E15" s="375"/>
      <c r="F15" s="375"/>
      <c r="G15" s="375"/>
      <c r="H15" s="376"/>
    </row>
    <row r="16">
      <c r="A16" s="196" t="s">
        <v>6132</v>
      </c>
      <c r="B16" s="196" t="s">
        <v>6368</v>
      </c>
      <c r="C16" s="198" t="s">
        <v>6369</v>
      </c>
      <c r="D16" s="362">
        <v>217800.0</v>
      </c>
      <c r="E16" s="362">
        <v>180000.0</v>
      </c>
      <c r="F16" s="372">
        <v>1.0</v>
      </c>
      <c r="G16" s="45">
        <v>0.21</v>
      </c>
      <c r="H16" s="89" t="str">
        <f>IFERROR(VLOOKUP("VLOGVMML",STOCK!B55:Q3745,3,FALSE),"SIN STOCK")</f>
        <v>Mayor a 5</v>
      </c>
    </row>
    <row r="17">
      <c r="A17" s="199" t="s">
        <v>6132</v>
      </c>
      <c r="B17" s="199" t="s">
        <v>6370</v>
      </c>
      <c r="C17" s="201" t="s">
        <v>6371</v>
      </c>
      <c r="D17" s="364">
        <v>217800.0</v>
      </c>
      <c r="E17" s="364">
        <v>180000.0</v>
      </c>
      <c r="F17" s="370">
        <v>1.0</v>
      </c>
      <c r="G17" s="377">
        <v>0.21</v>
      </c>
      <c r="H17" s="89" t="str">
        <f>IFERROR(VLOOKUP("VLOGVMMC",STOCK!B56:Q3746,3,FALSE),"SIN STOCK")</f>
        <v>Menor a 5</v>
      </c>
    </row>
    <row r="18">
      <c r="A18" s="196" t="s">
        <v>6132</v>
      </c>
      <c r="B18" s="196" t="s">
        <v>7268</v>
      </c>
      <c r="C18" s="378" t="s">
        <v>7269</v>
      </c>
      <c r="D18" s="362">
        <v>43214.2857091</v>
      </c>
      <c r="E18" s="362">
        <v>35714.28571</v>
      </c>
      <c r="F18" s="372">
        <v>1.0</v>
      </c>
      <c r="G18" s="45">
        <v>0.21</v>
      </c>
      <c r="H18" s="89" t="str">
        <f>IFERROR(VLOOKUP("iXY",STOCK!B57:Q3747,3,FALSE),"SIN STOCK")</f>
        <v>Mayor a 5</v>
      </c>
    </row>
    <row r="19">
      <c r="A19" s="199" t="s">
        <v>6132</v>
      </c>
      <c r="B19" s="199" t="s">
        <v>6854</v>
      </c>
      <c r="C19" s="379" t="s">
        <v>7270</v>
      </c>
      <c r="D19" s="364">
        <v>77785.71429090001</v>
      </c>
      <c r="E19" s="364">
        <v>64285.71429</v>
      </c>
      <c r="F19" s="370">
        <v>1.0</v>
      </c>
      <c r="G19" s="377">
        <v>0.21</v>
      </c>
      <c r="H19" s="89" t="str">
        <f>IFERROR(VLOOKUP("I-XLR",STOCK!B58:Q3748,3,FALSE),"SIN STOCK")</f>
        <v>Mayor a 5</v>
      </c>
    </row>
    <row r="20">
      <c r="A20" s="196" t="s">
        <v>6132</v>
      </c>
      <c r="B20" s="196" t="s">
        <v>6316</v>
      </c>
      <c r="C20" s="198" t="s">
        <v>6317</v>
      </c>
      <c r="D20" s="362">
        <v>331367.142909</v>
      </c>
      <c r="E20" s="362">
        <v>273857.1429</v>
      </c>
      <c r="F20" s="372">
        <v>1.0</v>
      </c>
      <c r="G20" s="45">
        <v>0.21</v>
      </c>
      <c r="H20" s="89" t="str">
        <f>IFERROR(VLOOKUP("SVMPR",STOCK!B59:Q3749,3,FALSE),"SIN STOCK")</f>
        <v>Mayor a 5</v>
      </c>
    </row>
    <row r="21">
      <c r="A21" s="199" t="s">
        <v>6132</v>
      </c>
      <c r="B21" s="199" t="s">
        <v>6337</v>
      </c>
      <c r="C21" s="201" t="s">
        <v>6338</v>
      </c>
      <c r="D21" s="364">
        <v>379570.08569700003</v>
      </c>
      <c r="E21" s="364">
        <v>313694.2857</v>
      </c>
      <c r="F21" s="370">
        <v>1.0</v>
      </c>
      <c r="G21" s="377">
        <v>0.21</v>
      </c>
      <c r="H21" s="89" t="str">
        <f>IFERROR(VLOOKUP("VMNTG",STOCK!B60:Q3750,3,FALSE),"SIN STOCK")</f>
        <v>SIN STOCK</v>
      </c>
    </row>
    <row r="22">
      <c r="A22" s="196" t="s">
        <v>6132</v>
      </c>
      <c r="B22" s="196" t="s">
        <v>6203</v>
      </c>
      <c r="C22" s="198" t="s">
        <v>6204</v>
      </c>
      <c r="D22" s="362">
        <v>527767.428606</v>
      </c>
      <c r="E22" s="362">
        <v>436171.4286</v>
      </c>
      <c r="F22" s="372">
        <v>1.0</v>
      </c>
      <c r="G22" s="45">
        <v>0.21</v>
      </c>
      <c r="H22" s="89" t="str">
        <f>IFERROR(VLOOKUP("NT55",STOCK!B61:Q3751,3,FALSE),"SIN STOCK")</f>
        <v>SIN STOCK</v>
      </c>
    </row>
    <row r="23">
      <c r="A23" s="199" t="s">
        <v>6132</v>
      </c>
      <c r="B23" s="199" t="s">
        <v>7271</v>
      </c>
      <c r="C23" s="201" t="s">
        <v>7272</v>
      </c>
      <c r="D23" s="364">
        <v>548932.057091</v>
      </c>
      <c r="E23" s="364">
        <v>453662.8571</v>
      </c>
      <c r="F23" s="370">
        <v>1.0</v>
      </c>
      <c r="G23" s="377">
        <v>0.21</v>
      </c>
      <c r="H23" s="85" t="str">
        <f>IFERROR(VLOOKUP("S1",STOCK!B62:Q3752,3,FALSE),"SIN STOCK")</f>
        <v>Menor a 5</v>
      </c>
    </row>
    <row r="24">
      <c r="A24" s="196" t="s">
        <v>6132</v>
      </c>
      <c r="B24" s="196" t="s">
        <v>6301</v>
      </c>
      <c r="C24" s="198" t="s">
        <v>6302</v>
      </c>
      <c r="D24" s="362">
        <v>329552.142909</v>
      </c>
      <c r="E24" s="362">
        <v>272357.1429</v>
      </c>
      <c r="F24" s="372">
        <v>1.0</v>
      </c>
      <c r="G24" s="45">
        <v>0.21</v>
      </c>
      <c r="H24" s="89" t="str">
        <f>IFERROR(VLOOKUP("LAVALIER",STOCK!B63:Q3753,3,FALSE),"SIN STOCK")</f>
        <v>Mayor a 5</v>
      </c>
    </row>
    <row r="25">
      <c r="A25" s="199" t="s">
        <v>6132</v>
      </c>
      <c r="B25" s="199" t="s">
        <v>7273</v>
      </c>
      <c r="C25" s="201" t="s">
        <v>6276</v>
      </c>
      <c r="D25" s="364">
        <v>402962.842909</v>
      </c>
      <c r="E25" s="364">
        <v>333027.1429</v>
      </c>
      <c r="F25" s="370">
        <v>1.0</v>
      </c>
      <c r="G25" s="377">
        <v>0.21</v>
      </c>
      <c r="H25" s="89" t="str">
        <f>IFERROR(VLOOKUP("PODCASTER MKII",STOCK!B64:Q3754,3,FALSE),"SIN STOCK")</f>
        <v>Mayor a 5</v>
      </c>
    </row>
    <row r="26">
      <c r="A26" s="196" t="s">
        <v>6132</v>
      </c>
      <c r="B26" s="196" t="s">
        <v>6160</v>
      </c>
      <c r="C26" s="198" t="s">
        <v>6161</v>
      </c>
      <c r="D26" s="362">
        <v>633320.914303</v>
      </c>
      <c r="E26" s="362">
        <v>523405.7143</v>
      </c>
      <c r="F26" s="372">
        <v>1.0</v>
      </c>
      <c r="G26" s="45">
        <v>0.21</v>
      </c>
      <c r="H26" s="89" t="str">
        <f>IFERROR(VLOOKUP("NT1000",STOCK!B65:Q3755,3,FALSE),"SIN STOCK")</f>
        <v>Mayor a 5</v>
      </c>
    </row>
    <row r="27">
      <c r="A27" s="199" t="s">
        <v>6132</v>
      </c>
      <c r="B27" s="199" t="s">
        <v>6185</v>
      </c>
      <c r="C27" s="201" t="s">
        <v>6186</v>
      </c>
      <c r="D27" s="364">
        <v>1031739.342909</v>
      </c>
      <c r="E27" s="364">
        <v>852677.1429</v>
      </c>
      <c r="F27" s="370">
        <v>1.0</v>
      </c>
      <c r="G27" s="377">
        <v>0.21</v>
      </c>
      <c r="H27" s="89" t="str">
        <f>IFERROR(VLOOKUP("NT2000",STOCK!B66:Q3756,3,FALSE),"SIN STOCK")</f>
        <v>Mayor a 5</v>
      </c>
    </row>
    <row r="28">
      <c r="A28" s="196" t="s">
        <v>6132</v>
      </c>
      <c r="B28" s="196" t="s">
        <v>6437</v>
      </c>
      <c r="C28" s="198" t="s">
        <v>6438</v>
      </c>
      <c r="D28" s="362">
        <v>257617.64290900002</v>
      </c>
      <c r="E28" s="362">
        <v>212907.1429</v>
      </c>
      <c r="F28" s="372">
        <v>1.0</v>
      </c>
      <c r="G28" s="45">
        <v>0.21</v>
      </c>
      <c r="H28" s="89" t="str">
        <f>IFERROR(VLOOKUP("NTH100",STOCK!B67:Q3757,3,FALSE),"SIN STOCK")</f>
        <v>SIN STOCK</v>
      </c>
    </row>
    <row r="29">
      <c r="A29" s="380" t="s">
        <v>7274</v>
      </c>
      <c r="B29" s="381"/>
      <c r="C29" s="382"/>
      <c r="D29" s="382"/>
      <c r="E29" s="382"/>
      <c r="F29" s="382"/>
      <c r="G29" s="382"/>
      <c r="H29" s="383"/>
    </row>
    <row r="30">
      <c r="A30" s="81" t="s">
        <v>3560</v>
      </c>
      <c r="B30" s="82" t="s">
        <v>3756</v>
      </c>
      <c r="C30" s="83" t="s">
        <v>7275</v>
      </c>
      <c r="D30" s="384">
        <v>492409.83879999997</v>
      </c>
      <c r="E30" s="384">
        <v>406950.27999999997</v>
      </c>
      <c r="F30" s="372">
        <v>5.0</v>
      </c>
      <c r="G30" s="45">
        <v>0.21</v>
      </c>
      <c r="H30" s="89" t="str">
        <f>IFERROR(VLOOKUP("26010-500-55",STOCK!$B$6:$Q$3693,3,FALSE),"SIN STOCK")</f>
        <v>Mayor a 5</v>
      </c>
    </row>
    <row r="31">
      <c r="A31" s="199" t="s">
        <v>3560</v>
      </c>
      <c r="B31" s="200" t="s">
        <v>3806</v>
      </c>
      <c r="C31" s="199" t="s">
        <v>3807</v>
      </c>
      <c r="D31" s="364">
        <v>402488.67912000004</v>
      </c>
      <c r="E31" s="364">
        <v>332635.27200000006</v>
      </c>
      <c r="F31" s="370">
        <v>5.0</v>
      </c>
      <c r="G31" s="377">
        <v>0.21</v>
      </c>
      <c r="H31" s="89" t="str">
        <f>IFERROR(VLOOKUP("26010-500-55",STOCK!$B$6:$Q$3693,3,FALSE),"SIN STOCK")</f>
        <v>Mayor a 5</v>
      </c>
    </row>
    <row r="32">
      <c r="A32" s="385" t="s">
        <v>5706</v>
      </c>
      <c r="B32" s="386"/>
      <c r="C32" s="387"/>
      <c r="D32" s="388"/>
      <c r="E32" s="388"/>
      <c r="F32" s="387"/>
      <c r="G32" s="387"/>
      <c r="H32" s="389"/>
    </row>
    <row r="33">
      <c r="A33" s="199" t="s">
        <v>5706</v>
      </c>
      <c r="B33" s="199" t="s">
        <v>6041</v>
      </c>
      <c r="C33" s="379" t="s">
        <v>6042</v>
      </c>
      <c r="D33" s="105" t="s">
        <v>7276</v>
      </c>
      <c r="E33" s="105" t="s">
        <v>7277</v>
      </c>
      <c r="F33" s="370">
        <v>2.0</v>
      </c>
      <c r="G33" s="377">
        <v>0.21</v>
      </c>
      <c r="H33" s="89" t="str">
        <f>IFERROR(VLOOKUP("C1",STOCK!B35:Q3722,3,FALSE),"SIN STOCK")</f>
        <v>Mayor a 5</v>
      </c>
    </row>
    <row r="34">
      <c r="A34" s="196" t="s">
        <v>5706</v>
      </c>
      <c r="B34" s="196" t="s">
        <v>6043</v>
      </c>
      <c r="C34" s="378" t="s">
        <v>6044</v>
      </c>
      <c r="D34" s="102" t="s">
        <v>7278</v>
      </c>
      <c r="E34" s="102" t="s">
        <v>7279</v>
      </c>
      <c r="F34" s="372">
        <v>2.0</v>
      </c>
      <c r="G34" s="45">
        <v>0.21</v>
      </c>
      <c r="H34" s="89" t="str">
        <f>IFERROR(VLOOKUP("C1USB",STOCK!B36:Q3723,3,FALSE),"SIN STOCK")</f>
        <v>Mayor a 5</v>
      </c>
    </row>
    <row r="35">
      <c r="A35" s="199" t="s">
        <v>5706</v>
      </c>
      <c r="B35" s="199" t="s">
        <v>6045</v>
      </c>
      <c r="C35" s="379" t="s">
        <v>6046</v>
      </c>
      <c r="D35" s="105" t="s">
        <v>7280</v>
      </c>
      <c r="E35" s="105" t="s">
        <v>7281</v>
      </c>
      <c r="F35" s="370">
        <v>2.0</v>
      </c>
      <c r="G35" s="377">
        <v>0.21</v>
      </c>
      <c r="H35" s="89" t="str">
        <f>IFERROR(VLOOKUP("C2",STOCK!B37:Q3724,3,FALSE),"SIN STOCK")</f>
        <v>Mayor a 5</v>
      </c>
    </row>
    <row r="36">
      <c r="A36" s="196" t="s">
        <v>5706</v>
      </c>
      <c r="B36" s="196" t="s">
        <v>6047</v>
      </c>
      <c r="C36" s="378" t="s">
        <v>6048</v>
      </c>
      <c r="D36" s="102" t="s">
        <v>7282</v>
      </c>
      <c r="E36" s="102" t="s">
        <v>7283</v>
      </c>
      <c r="F36" s="372">
        <v>2.0</v>
      </c>
      <c r="G36" s="45">
        <v>0.21</v>
      </c>
      <c r="H36" s="89" t="str">
        <f>IFERROR(VLOOKUP("C3",STOCK!B38:Q3725,3,FALSE),"SIN STOCK")</f>
        <v>Menor a 5</v>
      </c>
    </row>
    <row r="37">
      <c r="A37" s="199" t="s">
        <v>5706</v>
      </c>
      <c r="B37" s="199" t="s">
        <v>6049</v>
      </c>
      <c r="C37" s="379" t="s">
        <v>6050</v>
      </c>
      <c r="D37" s="105" t="s">
        <v>7284</v>
      </c>
      <c r="E37" s="105" t="s">
        <v>7285</v>
      </c>
      <c r="F37" s="370">
        <v>2.0</v>
      </c>
      <c r="G37" s="377">
        <v>0.21</v>
      </c>
      <c r="H37" s="85" t="str">
        <f>IFERROR(VLOOKUP("D7",STOCK!B39:Q3726,3,FALSE),"SIN STOCK")</f>
        <v>Menor a 5</v>
      </c>
    </row>
    <row r="38">
      <c r="A38" s="196" t="s">
        <v>5706</v>
      </c>
      <c r="B38" s="196" t="s">
        <v>6051</v>
      </c>
      <c r="C38" s="378" t="s">
        <v>6052</v>
      </c>
      <c r="D38" s="102" t="s">
        <v>7286</v>
      </c>
      <c r="E38" s="102" t="s">
        <v>7287</v>
      </c>
      <c r="F38" s="372">
        <v>2.0</v>
      </c>
      <c r="G38" s="45">
        <v>0.21</v>
      </c>
      <c r="H38" s="89"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90"/>
      <c r="C1" s="391" t="s">
        <v>7288</v>
      </c>
      <c r="D1" s="392"/>
    </row>
    <row r="2" ht="15.75" customHeight="1">
      <c r="B2" s="391" t="s">
        <v>3082</v>
      </c>
      <c r="C2" s="391" t="s">
        <v>7289</v>
      </c>
      <c r="D2" s="391" t="s">
        <v>2232</v>
      </c>
    </row>
    <row r="3" ht="15.75" customHeight="1">
      <c r="B3" s="391" t="s">
        <v>3053</v>
      </c>
      <c r="C3" s="391" t="s">
        <v>7290</v>
      </c>
      <c r="D3" s="391" t="s">
        <v>2232</v>
      </c>
    </row>
    <row r="4" ht="15.75" customHeight="1">
      <c r="B4" s="391" t="s">
        <v>3049</v>
      </c>
      <c r="C4" s="391" t="s">
        <v>7291</v>
      </c>
      <c r="D4" s="391" t="s">
        <v>2232</v>
      </c>
    </row>
    <row r="5" ht="15.75" customHeight="1">
      <c r="B5" s="391" t="s">
        <v>3057</v>
      </c>
      <c r="C5" s="391" t="s">
        <v>7292</v>
      </c>
      <c r="D5" s="391" t="s">
        <v>2232</v>
      </c>
    </row>
    <row r="6" ht="15.75" customHeight="1">
      <c r="B6" s="391" t="s">
        <v>2839</v>
      </c>
      <c r="C6" s="391" t="s">
        <v>7293</v>
      </c>
      <c r="D6" s="391" t="s">
        <v>2166</v>
      </c>
    </row>
    <row r="7" ht="15.75" customHeight="1">
      <c r="B7" s="391" t="s">
        <v>2843</v>
      </c>
      <c r="C7" s="391" t="s">
        <v>7293</v>
      </c>
      <c r="D7" s="391" t="s">
        <v>2166</v>
      </c>
    </row>
    <row r="8" ht="15.75" customHeight="1">
      <c r="B8" s="391" t="s">
        <v>2847</v>
      </c>
      <c r="C8" s="391" t="s">
        <v>7293</v>
      </c>
      <c r="D8" s="391" t="s">
        <v>2166</v>
      </c>
    </row>
    <row r="9" ht="15.75" customHeight="1">
      <c r="B9" s="391" t="s">
        <v>7294</v>
      </c>
      <c r="C9" s="391" t="s">
        <v>7293</v>
      </c>
      <c r="D9" s="391" t="s">
        <v>2195</v>
      </c>
    </row>
    <row r="10" ht="15.75" customHeight="1">
      <c r="B10" s="391" t="s">
        <v>3140</v>
      </c>
      <c r="C10" s="391" t="s">
        <v>7295</v>
      </c>
      <c r="D10" s="391" t="s">
        <v>2166</v>
      </c>
    </row>
    <row r="11" ht="15.75" customHeight="1">
      <c r="B11" s="391" t="s">
        <v>3136</v>
      </c>
      <c r="C11" s="391" t="s">
        <v>7295</v>
      </c>
      <c r="D11" s="391" t="s">
        <v>2166</v>
      </c>
    </row>
    <row r="12" ht="15.75" customHeight="1">
      <c r="B12" s="391" t="s">
        <v>7296</v>
      </c>
      <c r="C12" s="391" t="s">
        <v>7297</v>
      </c>
      <c r="D12" s="391" t="s">
        <v>2195</v>
      </c>
    </row>
    <row r="13" ht="15.75" customHeight="1">
      <c r="B13" s="391" t="s">
        <v>7298</v>
      </c>
      <c r="C13" s="391" t="s">
        <v>7297</v>
      </c>
      <c r="D13" s="391" t="s">
        <v>2195</v>
      </c>
    </row>
    <row r="14" ht="15.75" customHeight="1">
      <c r="B14" s="391" t="s">
        <v>7299</v>
      </c>
      <c r="C14" s="391" t="s">
        <v>7297</v>
      </c>
      <c r="D14" s="391" t="s">
        <v>2195</v>
      </c>
    </row>
    <row r="15" ht="15.75" customHeight="1">
      <c r="B15" s="391" t="s">
        <v>2872</v>
      </c>
      <c r="C15" s="391" t="s">
        <v>7297</v>
      </c>
      <c r="D15" s="391" t="s">
        <v>2232</v>
      </c>
    </row>
    <row r="16" ht="15.75" customHeight="1">
      <c r="B16" s="391" t="s">
        <v>2876</v>
      </c>
      <c r="C16" s="391" t="s">
        <v>7297</v>
      </c>
      <c r="D16" s="391" t="s">
        <v>2232</v>
      </c>
    </row>
    <row r="17" ht="15.75" customHeight="1">
      <c r="B17" s="391" t="s">
        <v>2880</v>
      </c>
      <c r="C17" s="391" t="s">
        <v>7297</v>
      </c>
      <c r="D17" s="391" t="s">
        <v>2232</v>
      </c>
      <c r="F17" s="150" t="s">
        <v>7300</v>
      </c>
    </row>
    <row r="18" ht="15.75" customHeight="1">
      <c r="B18" s="391" t="s">
        <v>2884</v>
      </c>
      <c r="C18" s="391" t="s">
        <v>7297</v>
      </c>
      <c r="D18" s="391" t="s">
        <v>2232</v>
      </c>
    </row>
    <row r="19" ht="15.75" customHeight="1">
      <c r="B19" s="391" t="s">
        <v>7301</v>
      </c>
      <c r="C19" s="391" t="s">
        <v>7297</v>
      </c>
      <c r="D19" s="391" t="s">
        <v>2232</v>
      </c>
    </row>
    <row r="20" ht="15.75" customHeight="1">
      <c r="B20" s="391" t="s">
        <v>7302</v>
      </c>
      <c r="C20" s="391" t="s">
        <v>7297</v>
      </c>
      <c r="D20" s="391" t="s">
        <v>2195</v>
      </c>
    </row>
    <row r="21" ht="15.75" customHeight="1">
      <c r="B21" s="391" t="s">
        <v>2929</v>
      </c>
      <c r="C21" s="391" t="s">
        <v>7297</v>
      </c>
      <c r="D21" s="391" t="s">
        <v>2232</v>
      </c>
    </row>
    <row r="22" ht="15.75" customHeight="1">
      <c r="B22" s="391" t="s">
        <v>2905</v>
      </c>
      <c r="C22" s="391" t="s">
        <v>7297</v>
      </c>
      <c r="D22" s="391" t="s">
        <v>2195</v>
      </c>
    </row>
    <row r="23" ht="15.75" customHeight="1">
      <c r="B23" s="391" t="s">
        <v>7303</v>
      </c>
      <c r="C23" s="391" t="s">
        <v>7297</v>
      </c>
      <c r="D23" s="391" t="s">
        <v>2195</v>
      </c>
    </row>
    <row r="24" ht="15.75" customHeight="1">
      <c r="B24" s="391" t="s">
        <v>2748</v>
      </c>
      <c r="C24" s="391" t="s">
        <v>7297</v>
      </c>
      <c r="D24" s="391" t="s">
        <v>2195</v>
      </c>
    </row>
    <row r="25" ht="15.75" customHeight="1">
      <c r="B25" s="391" t="s">
        <v>2752</v>
      </c>
      <c r="C25" s="391" t="s">
        <v>7297</v>
      </c>
      <c r="D25" s="391" t="s">
        <v>2232</v>
      </c>
    </row>
    <row r="26" ht="15.75" customHeight="1">
      <c r="B26" s="391" t="s">
        <v>2756</v>
      </c>
      <c r="C26" s="391" t="s">
        <v>7297</v>
      </c>
      <c r="D26" s="391" t="s">
        <v>2195</v>
      </c>
    </row>
    <row r="27" ht="15.75" customHeight="1">
      <c r="B27" s="391" t="s">
        <v>2768</v>
      </c>
      <c r="C27" s="391" t="s">
        <v>7297</v>
      </c>
      <c r="D27" s="391" t="s">
        <v>2232</v>
      </c>
    </row>
    <row r="28" ht="15.75" customHeight="1">
      <c r="B28" s="391" t="s">
        <v>2772</v>
      </c>
      <c r="C28" s="391" t="s">
        <v>7297</v>
      </c>
      <c r="D28" s="391" t="s">
        <v>2166</v>
      </c>
    </row>
    <row r="29" ht="15.75" customHeight="1">
      <c r="B29" s="391" t="s">
        <v>2776</v>
      </c>
      <c r="C29" s="391" t="s">
        <v>7297</v>
      </c>
      <c r="D29" s="391" t="s">
        <v>2166</v>
      </c>
    </row>
    <row r="30" ht="15.75" customHeight="1">
      <c r="B30" s="391" t="s">
        <v>2780</v>
      </c>
      <c r="C30" s="391" t="s">
        <v>7297</v>
      </c>
      <c r="D30" s="391" t="s">
        <v>2166</v>
      </c>
    </row>
    <row r="31" ht="15.75" customHeight="1">
      <c r="B31" s="391" t="s">
        <v>2784</v>
      </c>
      <c r="C31" s="391" t="s">
        <v>7297</v>
      </c>
      <c r="D31" s="391" t="s">
        <v>2166</v>
      </c>
    </row>
    <row r="32" ht="15.75" customHeight="1">
      <c r="B32" s="391" t="s">
        <v>2788</v>
      </c>
      <c r="C32" s="391" t="s">
        <v>7297</v>
      </c>
      <c r="D32" s="391" t="s">
        <v>2166</v>
      </c>
    </row>
    <row r="33" ht="15.75" customHeight="1">
      <c r="B33" s="391" t="s">
        <v>2760</v>
      </c>
      <c r="C33" s="391" t="s">
        <v>7297</v>
      </c>
      <c r="D33" s="391" t="s">
        <v>2195</v>
      </c>
    </row>
    <row r="34" ht="15.75" customHeight="1">
      <c r="B34" s="391" t="s">
        <v>2793</v>
      </c>
      <c r="C34" s="391" t="s">
        <v>7297</v>
      </c>
      <c r="D34" s="391" t="s">
        <v>2166</v>
      </c>
    </row>
    <row r="35" ht="15.75" customHeight="1">
      <c r="B35" s="391" t="s">
        <v>2797</v>
      </c>
      <c r="C35" s="391" t="s">
        <v>7297</v>
      </c>
      <c r="D35" s="391" t="s">
        <v>2166</v>
      </c>
    </row>
    <row r="36" ht="15.75" customHeight="1">
      <c r="B36" s="391" t="s">
        <v>2801</v>
      </c>
      <c r="C36" s="391" t="s">
        <v>7297</v>
      </c>
      <c r="D36" s="391" t="s">
        <v>2166</v>
      </c>
    </row>
    <row r="37" ht="15.75" customHeight="1">
      <c r="B37" s="391" t="s">
        <v>7304</v>
      </c>
      <c r="C37" s="391" t="s">
        <v>7305</v>
      </c>
      <c r="D37" s="391" t="s">
        <v>2195</v>
      </c>
    </row>
    <row r="38" ht="15.75" customHeight="1">
      <c r="B38" s="391" t="s">
        <v>7306</v>
      </c>
      <c r="C38" s="391" t="s">
        <v>7307</v>
      </c>
      <c r="D38" s="391" t="s">
        <v>2195</v>
      </c>
    </row>
    <row r="39" ht="15.75" customHeight="1">
      <c r="B39" s="391" t="s">
        <v>7308</v>
      </c>
      <c r="C39" s="391" t="s">
        <v>7307</v>
      </c>
      <c r="D39" s="391" t="s">
        <v>2232</v>
      </c>
    </row>
    <row r="40" ht="15.75" customHeight="1">
      <c r="B40" s="391" t="s">
        <v>2834</v>
      </c>
      <c r="C40" s="391" t="s">
        <v>7307</v>
      </c>
      <c r="D40" s="391" t="s">
        <v>2232</v>
      </c>
    </row>
    <row r="41" ht="15.75" customHeight="1">
      <c r="B41" s="391" t="s">
        <v>7309</v>
      </c>
      <c r="C41" s="391" t="s">
        <v>7307</v>
      </c>
      <c r="D41" s="391" t="s">
        <v>2195</v>
      </c>
    </row>
    <row r="42" ht="15.75" customHeight="1">
      <c r="B42" s="391" t="s">
        <v>7310</v>
      </c>
      <c r="C42" s="391" t="s">
        <v>7307</v>
      </c>
      <c r="D42" s="391" t="s">
        <v>2232</v>
      </c>
    </row>
    <row r="43" ht="15.75" customHeight="1">
      <c r="B43" s="391" t="s">
        <v>7311</v>
      </c>
      <c r="C43" s="391" t="s">
        <v>7307</v>
      </c>
      <c r="D43" s="391" t="s">
        <v>2232</v>
      </c>
    </row>
    <row r="44" ht="15.75" customHeight="1">
      <c r="B44" s="391" t="s">
        <v>7312</v>
      </c>
      <c r="C44" s="391" t="s">
        <v>7307</v>
      </c>
      <c r="D44" s="391" t="s">
        <v>2166</v>
      </c>
    </row>
    <row r="45" ht="15.75" customHeight="1">
      <c r="B45" s="391" t="s">
        <v>3181</v>
      </c>
      <c r="C45" s="391" t="s">
        <v>7307</v>
      </c>
      <c r="D45" s="391" t="s">
        <v>2232</v>
      </c>
    </row>
    <row r="46" ht="15.75" customHeight="1">
      <c r="B46" s="391" t="s">
        <v>3184</v>
      </c>
      <c r="C46" s="391" t="s">
        <v>7307</v>
      </c>
      <c r="D46" s="391" t="s">
        <v>2166</v>
      </c>
    </row>
    <row r="47" ht="15.75" customHeight="1">
      <c r="B47" s="391" t="s">
        <v>3263</v>
      </c>
      <c r="C47" s="391" t="s">
        <v>7307</v>
      </c>
      <c r="D47" s="391" t="s">
        <v>2232</v>
      </c>
    </row>
    <row r="48" ht="15.75" customHeight="1">
      <c r="B48" s="391" t="s">
        <v>3266</v>
      </c>
      <c r="C48" s="391" t="s">
        <v>7307</v>
      </c>
      <c r="D48" s="391" t="s">
        <v>2166</v>
      </c>
    </row>
    <row r="49" ht="15.75" customHeight="1">
      <c r="B49" s="391" t="s">
        <v>3169</v>
      </c>
      <c r="C49" s="391" t="s">
        <v>7307</v>
      </c>
      <c r="D49" s="391" t="s">
        <v>2195</v>
      </c>
    </row>
    <row r="50" ht="15.75" customHeight="1">
      <c r="B50" s="391" t="s">
        <v>3173</v>
      </c>
      <c r="C50" s="391" t="s">
        <v>7307</v>
      </c>
      <c r="D50" s="391" t="s">
        <v>2195</v>
      </c>
    </row>
    <row r="51" ht="15.75" customHeight="1">
      <c r="B51" s="391" t="s">
        <v>7313</v>
      </c>
      <c r="C51" s="391" t="s">
        <v>7307</v>
      </c>
      <c r="D51" s="391" t="s">
        <v>2195</v>
      </c>
    </row>
    <row r="52" ht="15.75" customHeight="1">
      <c r="B52" s="391" t="s">
        <v>3165</v>
      </c>
      <c r="C52" s="391" t="s">
        <v>7307</v>
      </c>
      <c r="D52" s="391" t="s">
        <v>2232</v>
      </c>
    </row>
    <row r="53" ht="15.75" customHeight="1">
      <c r="B53" s="391" t="s">
        <v>7314</v>
      </c>
      <c r="C53" s="391" t="s">
        <v>7307</v>
      </c>
      <c r="D53" s="391" t="s">
        <v>2195</v>
      </c>
    </row>
    <row r="54" ht="15.75" customHeight="1">
      <c r="B54" s="391" t="s">
        <v>7315</v>
      </c>
      <c r="C54" s="391" t="s">
        <v>7307</v>
      </c>
      <c r="D54" s="391" t="s">
        <v>2232</v>
      </c>
    </row>
    <row r="55" ht="15.75" customHeight="1">
      <c r="B55" s="391" t="s">
        <v>3161</v>
      </c>
      <c r="C55" s="391" t="s">
        <v>7307</v>
      </c>
      <c r="D55" s="391" t="s">
        <v>2195</v>
      </c>
    </row>
    <row r="56" ht="15.75" customHeight="1">
      <c r="B56" s="391" t="s">
        <v>3149</v>
      </c>
      <c r="C56" s="391" t="s">
        <v>7307</v>
      </c>
      <c r="D56" s="391" t="s">
        <v>2166</v>
      </c>
    </row>
    <row r="57" ht="15.75" customHeight="1">
      <c r="B57" s="391" t="s">
        <v>3153</v>
      </c>
      <c r="C57" s="391" t="s">
        <v>7307</v>
      </c>
      <c r="D57" s="391" t="s">
        <v>2166</v>
      </c>
    </row>
    <row r="58" ht="15.75" customHeight="1">
      <c r="B58" s="391" t="s">
        <v>3177</v>
      </c>
      <c r="C58" s="391" t="s">
        <v>7307</v>
      </c>
      <c r="D58" s="391" t="s">
        <v>2166</v>
      </c>
    </row>
    <row r="59" ht="15.75" customHeight="1">
      <c r="B59" s="391" t="s">
        <v>3157</v>
      </c>
      <c r="C59" s="391" t="s">
        <v>7307</v>
      </c>
      <c r="D59" s="391" t="s">
        <v>2195</v>
      </c>
    </row>
    <row r="60" ht="15.75" customHeight="1">
      <c r="B60" s="391" t="s">
        <v>3233</v>
      </c>
      <c r="C60" s="391" t="s">
        <v>7307</v>
      </c>
      <c r="D60" s="391" t="s">
        <v>2195</v>
      </c>
    </row>
    <row r="61" ht="15.75" customHeight="1">
      <c r="B61" s="391" t="s">
        <v>7316</v>
      </c>
      <c r="C61" s="391" t="s">
        <v>7307</v>
      </c>
      <c r="D61" s="391" t="s">
        <v>2195</v>
      </c>
    </row>
    <row r="62" ht="15.75" customHeight="1">
      <c r="B62" s="391" t="s">
        <v>3208</v>
      </c>
      <c r="C62" s="391" t="s">
        <v>7307</v>
      </c>
      <c r="D62" s="391" t="s">
        <v>2195</v>
      </c>
    </row>
    <row r="63" ht="15.75" customHeight="1">
      <c r="B63" s="391" t="s">
        <v>3220</v>
      </c>
      <c r="C63" s="391" t="s">
        <v>7307</v>
      </c>
      <c r="D63" s="391" t="s">
        <v>2166</v>
      </c>
    </row>
    <row r="64" ht="15.75" customHeight="1">
      <c r="B64" s="391" t="s">
        <v>3237</v>
      </c>
      <c r="C64" s="391" t="s">
        <v>7307</v>
      </c>
      <c r="D64" s="391" t="s">
        <v>2166</v>
      </c>
    </row>
    <row r="65" ht="15.75" customHeight="1">
      <c r="B65" s="391" t="s">
        <v>3224</v>
      </c>
      <c r="C65" s="391" t="s">
        <v>7307</v>
      </c>
      <c r="D65" s="391" t="s">
        <v>2232</v>
      </c>
    </row>
    <row r="66" ht="15.75" customHeight="1">
      <c r="B66" s="391" t="s">
        <v>3241</v>
      </c>
      <c r="C66" s="391" t="s">
        <v>7307</v>
      </c>
      <c r="D66" s="391" t="s">
        <v>2166</v>
      </c>
    </row>
    <row r="67" ht="15.75" customHeight="1">
      <c r="B67" s="391" t="s">
        <v>7317</v>
      </c>
      <c r="C67" s="391" t="s">
        <v>7307</v>
      </c>
      <c r="D67" s="391" t="s">
        <v>2195</v>
      </c>
    </row>
    <row r="68" ht="15.75" customHeight="1">
      <c r="B68" s="391" t="s">
        <v>3250</v>
      </c>
      <c r="C68" s="391" t="s">
        <v>7307</v>
      </c>
      <c r="D68" s="391" t="s">
        <v>2195</v>
      </c>
    </row>
    <row r="69" ht="15.75" customHeight="1">
      <c r="B69" s="391" t="s">
        <v>3228</v>
      </c>
      <c r="C69" s="391" t="s">
        <v>7307</v>
      </c>
      <c r="D69" s="391" t="s">
        <v>2232</v>
      </c>
    </row>
    <row r="70" ht="15.75" customHeight="1">
      <c r="B70" s="391" t="s">
        <v>3245</v>
      </c>
      <c r="C70" s="391" t="s">
        <v>7307</v>
      </c>
      <c r="D70" s="391" t="s">
        <v>2166</v>
      </c>
    </row>
    <row r="71" ht="15.75" customHeight="1">
      <c r="B71" s="391" t="s">
        <v>7318</v>
      </c>
      <c r="C71" s="391" t="s">
        <v>7307</v>
      </c>
      <c r="D71" s="391" t="s">
        <v>2195</v>
      </c>
    </row>
    <row r="72" ht="15.75" customHeight="1">
      <c r="B72" s="391" t="s">
        <v>3254</v>
      </c>
      <c r="C72" s="391" t="s">
        <v>7307</v>
      </c>
      <c r="D72" s="391" t="s">
        <v>2195</v>
      </c>
    </row>
    <row r="73" ht="15.75" customHeight="1">
      <c r="B73" s="391" t="s">
        <v>3258</v>
      </c>
      <c r="C73" s="391" t="s">
        <v>7307</v>
      </c>
      <c r="D73" s="391" t="s">
        <v>2195</v>
      </c>
    </row>
    <row r="74" ht="15.75" customHeight="1">
      <c r="B74" s="391" t="s">
        <v>3188</v>
      </c>
      <c r="C74" s="391" t="s">
        <v>7307</v>
      </c>
      <c r="D74" s="391" t="s">
        <v>2195</v>
      </c>
    </row>
    <row r="75" ht="15.75" customHeight="1">
      <c r="B75" s="391" t="s">
        <v>3212</v>
      </c>
      <c r="C75" s="391" t="s">
        <v>7307</v>
      </c>
      <c r="D75" s="391" t="s">
        <v>2166</v>
      </c>
    </row>
    <row r="76" ht="15.75" customHeight="1">
      <c r="B76" s="391" t="s">
        <v>3216</v>
      </c>
      <c r="C76" s="391" t="s">
        <v>7307</v>
      </c>
      <c r="D76" s="391" t="s">
        <v>2195</v>
      </c>
    </row>
    <row r="77" ht="15.75" customHeight="1">
      <c r="B77" s="391" t="s">
        <v>3192</v>
      </c>
      <c r="C77" s="391" t="s">
        <v>7307</v>
      </c>
      <c r="D77" s="391" t="s">
        <v>2195</v>
      </c>
    </row>
    <row r="78" ht="15.75" customHeight="1">
      <c r="B78" s="391" t="s">
        <v>3199</v>
      </c>
      <c r="C78" s="391" t="s">
        <v>7307</v>
      </c>
      <c r="D78" s="391" t="s">
        <v>2195</v>
      </c>
    </row>
    <row r="79" ht="15.75" customHeight="1">
      <c r="B79" s="391" t="s">
        <v>3203</v>
      </c>
      <c r="C79" s="391" t="s">
        <v>7307</v>
      </c>
      <c r="D79" s="391" t="s">
        <v>2195</v>
      </c>
    </row>
    <row r="80" ht="15.75" customHeight="1">
      <c r="B80" s="391" t="s">
        <v>3197</v>
      </c>
      <c r="C80" s="391" t="s">
        <v>7307</v>
      </c>
      <c r="D80" s="391" t="s">
        <v>2232</v>
      </c>
    </row>
    <row r="81" ht="15.75" customHeight="1">
      <c r="B81" s="391" t="s">
        <v>7319</v>
      </c>
      <c r="C81" s="391" t="s">
        <v>7307</v>
      </c>
      <c r="D81" s="391" t="s">
        <v>2195</v>
      </c>
    </row>
    <row r="82" ht="15.75" customHeight="1">
      <c r="B82" s="391" t="s">
        <v>7320</v>
      </c>
      <c r="C82" s="391" t="s">
        <v>7307</v>
      </c>
      <c r="D82" s="391" t="s">
        <v>2232</v>
      </c>
    </row>
    <row r="83" ht="15.75" customHeight="1">
      <c r="B83" s="391" t="s">
        <v>7321</v>
      </c>
      <c r="C83" s="391" t="s">
        <v>7307</v>
      </c>
      <c r="D83" s="391" t="s">
        <v>2195</v>
      </c>
    </row>
    <row r="84" ht="15.75" customHeight="1">
      <c r="B84" s="391" t="s">
        <v>2938</v>
      </c>
      <c r="C84" s="391" t="s">
        <v>7322</v>
      </c>
      <c r="D84" s="391" t="s">
        <v>2166</v>
      </c>
    </row>
    <row r="85" ht="15.75" customHeight="1">
      <c r="B85" s="391" t="s">
        <v>7323</v>
      </c>
      <c r="C85" s="391" t="s">
        <v>7322</v>
      </c>
      <c r="D85" s="391" t="s">
        <v>2166</v>
      </c>
    </row>
    <row r="86" ht="15.75" customHeight="1">
      <c r="B86" s="391" t="s">
        <v>2944</v>
      </c>
      <c r="C86" s="391" t="s">
        <v>7322</v>
      </c>
      <c r="D86" s="391" t="s">
        <v>2232</v>
      </c>
    </row>
    <row r="87" ht="15.75" customHeight="1">
      <c r="B87" s="391" t="s">
        <v>2948</v>
      </c>
      <c r="C87" s="391" t="s">
        <v>7322</v>
      </c>
      <c r="D87" s="391" t="s">
        <v>2232</v>
      </c>
    </row>
    <row r="88" ht="15.75" customHeight="1">
      <c r="B88" s="391" t="s">
        <v>2952</v>
      </c>
      <c r="C88" s="391" t="s">
        <v>7322</v>
      </c>
      <c r="D88" s="391" t="s">
        <v>2166</v>
      </c>
    </row>
    <row r="89" ht="15.75" customHeight="1">
      <c r="B89" s="391" t="s">
        <v>7324</v>
      </c>
      <c r="C89" s="391" t="s">
        <v>7325</v>
      </c>
      <c r="D89" s="391" t="s">
        <v>2232</v>
      </c>
    </row>
    <row r="90" ht="15.75" customHeight="1">
      <c r="B90" s="391" t="s">
        <v>7326</v>
      </c>
      <c r="C90" s="391" t="s">
        <v>7327</v>
      </c>
      <c r="D90" s="391" t="s">
        <v>2232</v>
      </c>
    </row>
    <row r="91" ht="15.75" customHeight="1">
      <c r="B91" s="391" t="s">
        <v>7328</v>
      </c>
      <c r="C91" s="391" t="s">
        <v>7329</v>
      </c>
      <c r="D91" s="391" t="s">
        <v>2166</v>
      </c>
    </row>
    <row r="92" ht="15.75" customHeight="1">
      <c r="B92" s="391" t="s">
        <v>7330</v>
      </c>
      <c r="C92" s="391" t="s">
        <v>7331</v>
      </c>
      <c r="D92" s="391" t="s">
        <v>2232</v>
      </c>
    </row>
    <row r="93" ht="15.75" customHeight="1">
      <c r="B93" s="391" t="s">
        <v>7332</v>
      </c>
      <c r="C93" s="391" t="s">
        <v>7333</v>
      </c>
      <c r="D93" s="391" t="s">
        <v>2195</v>
      </c>
    </row>
    <row r="94" ht="15.75" customHeight="1">
      <c r="B94" s="391" t="s">
        <v>7334</v>
      </c>
      <c r="C94" s="391" t="s">
        <v>7335</v>
      </c>
      <c r="D94" s="391" t="s">
        <v>2166</v>
      </c>
    </row>
    <row r="95" ht="15.75" customHeight="1">
      <c r="B95" s="391" t="s">
        <v>7336</v>
      </c>
      <c r="C95" s="391" t="s">
        <v>7337</v>
      </c>
      <c r="D95" s="391" t="s">
        <v>2232</v>
      </c>
    </row>
    <row r="96" ht="15.75" customHeight="1">
      <c r="B96" s="391" t="s">
        <v>2934</v>
      </c>
      <c r="C96" s="391" t="s">
        <v>7338</v>
      </c>
      <c r="D96" s="391" t="s">
        <v>2232</v>
      </c>
    </row>
    <row r="97" ht="15.75" customHeight="1">
      <c r="B97" s="391" t="s">
        <v>7339</v>
      </c>
      <c r="C97" s="391" t="s">
        <v>7338</v>
      </c>
      <c r="D97" s="391" t="s">
        <v>2232</v>
      </c>
    </row>
    <row r="98" ht="15.75" customHeight="1">
      <c r="B98" s="391" t="s">
        <v>3026</v>
      </c>
      <c r="C98" s="391" t="s">
        <v>7340</v>
      </c>
      <c r="D98" s="391" t="s">
        <v>2166</v>
      </c>
    </row>
    <row r="99" ht="15.75" customHeight="1">
      <c r="B99" s="391" t="s">
        <v>3030</v>
      </c>
      <c r="C99" s="391" t="s">
        <v>7340</v>
      </c>
      <c r="D99" s="391" t="s">
        <v>2166</v>
      </c>
    </row>
    <row r="100" ht="15.75" customHeight="1">
      <c r="B100" s="391" t="s">
        <v>3034</v>
      </c>
      <c r="C100" s="391" t="s">
        <v>7340</v>
      </c>
      <c r="D100" s="391" t="s">
        <v>2166</v>
      </c>
    </row>
    <row r="101" ht="15.75" customHeight="1">
      <c r="B101" s="391" t="s">
        <v>3070</v>
      </c>
      <c r="C101" s="391" t="s">
        <v>7340</v>
      </c>
      <c r="D101" s="391" t="s">
        <v>2195</v>
      </c>
    </row>
    <row r="102" ht="15.75" customHeight="1">
      <c r="B102" s="391" t="s">
        <v>7341</v>
      </c>
      <c r="C102" s="391" t="s">
        <v>7342</v>
      </c>
      <c r="D102" s="391" t="s">
        <v>2195</v>
      </c>
    </row>
    <row r="103" ht="15.75" customHeight="1">
      <c r="B103" s="391" t="s">
        <v>7343</v>
      </c>
      <c r="C103" s="391" t="s">
        <v>7344</v>
      </c>
      <c r="D103" s="391" t="s">
        <v>2232</v>
      </c>
    </row>
    <row r="104" ht="15.75" customHeight="1">
      <c r="B104" s="391" t="s">
        <v>7345</v>
      </c>
      <c r="C104" s="391" t="s">
        <v>7344</v>
      </c>
      <c r="D104" s="391" t="s">
        <v>2232</v>
      </c>
    </row>
    <row r="105" ht="15.75" customHeight="1">
      <c r="B105" s="391" t="s">
        <v>7346</v>
      </c>
      <c r="C105" s="391" t="s">
        <v>7344</v>
      </c>
      <c r="D105" s="391" t="s">
        <v>2232</v>
      </c>
    </row>
    <row r="106" ht="15.75" customHeight="1">
      <c r="B106" s="391" t="s">
        <v>7347</v>
      </c>
      <c r="C106" s="391" t="s">
        <v>7344</v>
      </c>
      <c r="D106" s="391" t="s">
        <v>2195</v>
      </c>
    </row>
    <row r="107" ht="15.75" customHeight="1">
      <c r="B107" s="391" t="s">
        <v>7348</v>
      </c>
      <c r="C107" s="391" t="s">
        <v>7344</v>
      </c>
      <c r="D107" s="391" t="s">
        <v>2232</v>
      </c>
    </row>
    <row r="108" ht="15.75" customHeight="1">
      <c r="B108" s="391" t="s">
        <v>7349</v>
      </c>
      <c r="C108" s="391" t="s">
        <v>7344</v>
      </c>
      <c r="D108" s="391" t="s">
        <v>2232</v>
      </c>
    </row>
    <row r="109" ht="15.75" customHeight="1">
      <c r="B109" s="391" t="s">
        <v>7350</v>
      </c>
      <c r="C109" s="391" t="s">
        <v>7351</v>
      </c>
      <c r="D109" s="391" t="s">
        <v>2195</v>
      </c>
    </row>
    <row r="110" ht="15.75" customHeight="1">
      <c r="B110" s="391" t="s">
        <v>3042</v>
      </c>
      <c r="C110" s="391" t="s">
        <v>7352</v>
      </c>
      <c r="D110" s="391" t="s">
        <v>2232</v>
      </c>
    </row>
    <row r="111" ht="15.75" customHeight="1">
      <c r="B111" s="391" t="s">
        <v>7353</v>
      </c>
      <c r="C111" s="391" t="s">
        <v>7354</v>
      </c>
      <c r="D111" s="391" t="s">
        <v>2232</v>
      </c>
    </row>
    <row r="112" ht="15.75" customHeight="1">
      <c r="B112" s="391" t="s">
        <v>7355</v>
      </c>
      <c r="C112" s="391" t="s">
        <v>7356</v>
      </c>
      <c r="D112" s="391" t="s">
        <v>2232</v>
      </c>
    </row>
    <row r="113" ht="15.75" customHeight="1">
      <c r="B113" s="391" t="s">
        <v>7357</v>
      </c>
      <c r="C113" s="391" t="s">
        <v>7358</v>
      </c>
      <c r="D113" s="391" t="s">
        <v>2232</v>
      </c>
    </row>
    <row r="114" ht="15.75" customHeight="1">
      <c r="B114" s="391" t="s">
        <v>3009</v>
      </c>
      <c r="C114" s="391" t="s">
        <v>7359</v>
      </c>
      <c r="D114" s="391" t="s">
        <v>2232</v>
      </c>
    </row>
    <row r="115" ht="15.75" customHeight="1">
      <c r="B115" s="391" t="s">
        <v>7360</v>
      </c>
      <c r="C115" s="391" t="s">
        <v>7361</v>
      </c>
      <c r="D115" s="391" t="s">
        <v>2166</v>
      </c>
    </row>
    <row r="116" ht="15.75" customHeight="1">
      <c r="B116" s="391" t="s">
        <v>2980</v>
      </c>
      <c r="C116" s="391" t="s">
        <v>7361</v>
      </c>
      <c r="D116" s="391" t="s">
        <v>2232</v>
      </c>
    </row>
    <row r="117" ht="15.75" customHeight="1">
      <c r="B117" s="391" t="s">
        <v>2984</v>
      </c>
      <c r="C117" s="391" t="s">
        <v>7361</v>
      </c>
      <c r="D117" s="391" t="s">
        <v>2232</v>
      </c>
    </row>
    <row r="118" ht="15.75" customHeight="1">
      <c r="B118" s="391" t="s">
        <v>2976</v>
      </c>
      <c r="C118" s="391" t="s">
        <v>7362</v>
      </c>
      <c r="D118" s="391" t="s">
        <v>2232</v>
      </c>
    </row>
    <row r="119" ht="15.75" customHeight="1">
      <c r="B119" s="391" t="s">
        <v>2825</v>
      </c>
      <c r="C119" s="391" t="s">
        <v>7363</v>
      </c>
      <c r="D119" s="391" t="s">
        <v>2166</v>
      </c>
    </row>
    <row r="120" ht="15.75" customHeight="1">
      <c r="B120" s="391" t="s">
        <v>2821</v>
      </c>
      <c r="C120" s="391" t="s">
        <v>7364</v>
      </c>
      <c r="D120" s="391" t="s">
        <v>2166</v>
      </c>
    </row>
    <row r="121" ht="15.75" customHeight="1">
      <c r="B121" s="391" t="s">
        <v>3280</v>
      </c>
      <c r="C121" s="391" t="s">
        <v>7365</v>
      </c>
      <c r="D121" s="391" t="s">
        <v>2166</v>
      </c>
    </row>
    <row r="122" ht="15.75" customHeight="1">
      <c r="B122" s="391" t="s">
        <v>3283</v>
      </c>
      <c r="C122" s="391" t="s">
        <v>7365</v>
      </c>
      <c r="D122" s="391" t="s">
        <v>2166</v>
      </c>
    </row>
    <row r="123" ht="15.75" customHeight="1">
      <c r="B123" s="391" t="s">
        <v>3286</v>
      </c>
      <c r="C123" s="391" t="s">
        <v>7365</v>
      </c>
      <c r="D123" s="391" t="s">
        <v>2166</v>
      </c>
    </row>
    <row r="124" ht="15.75" customHeight="1">
      <c r="B124" s="391" t="s">
        <v>3287</v>
      </c>
      <c r="C124" s="391" t="s">
        <v>7365</v>
      </c>
      <c r="D124" s="391" t="s">
        <v>2166</v>
      </c>
    </row>
    <row r="125" ht="15.75" customHeight="1">
      <c r="B125" s="391" t="s">
        <v>3290</v>
      </c>
      <c r="C125" s="391" t="s">
        <v>7365</v>
      </c>
      <c r="D125" s="391" t="s">
        <v>2166</v>
      </c>
    </row>
    <row r="126" ht="15.75" customHeight="1">
      <c r="B126" s="391" t="s">
        <v>3271</v>
      </c>
      <c r="C126" s="391" t="s">
        <v>7366</v>
      </c>
      <c r="D126" s="391" t="s">
        <v>2166</v>
      </c>
    </row>
    <row r="127" ht="15.75" customHeight="1">
      <c r="B127" s="391" t="s">
        <v>7367</v>
      </c>
      <c r="C127" s="391" t="s">
        <v>7368</v>
      </c>
      <c r="D127" s="391" t="s">
        <v>2232</v>
      </c>
    </row>
    <row r="128" ht="15.75" customHeight="1">
      <c r="B128" s="391" t="s">
        <v>7369</v>
      </c>
      <c r="C128" s="391" t="s">
        <v>7368</v>
      </c>
      <c r="D128" s="391" t="s">
        <v>2195</v>
      </c>
    </row>
    <row r="129" ht="15.75" customHeight="1">
      <c r="B129" s="391" t="s">
        <v>7370</v>
      </c>
      <c r="C129" s="391" t="s">
        <v>7368</v>
      </c>
      <c r="D129" s="391" t="s">
        <v>2195</v>
      </c>
    </row>
    <row r="130" ht="15.75" customHeight="1">
      <c r="B130" s="391" t="s">
        <v>7371</v>
      </c>
      <c r="C130" s="391" t="s">
        <v>7368</v>
      </c>
      <c r="D130" s="391" t="s">
        <v>2195</v>
      </c>
    </row>
    <row r="131" ht="15.75" customHeight="1">
      <c r="B131" s="391" t="s">
        <v>7372</v>
      </c>
      <c r="C131" s="391" t="s">
        <v>7368</v>
      </c>
      <c r="D131" s="391" t="s">
        <v>2232</v>
      </c>
    </row>
    <row r="132" ht="15.75" customHeight="1">
      <c r="B132" s="391" t="s">
        <v>7373</v>
      </c>
      <c r="C132" s="391" t="s">
        <v>7368</v>
      </c>
      <c r="D132" s="391" t="s">
        <v>2195</v>
      </c>
    </row>
    <row r="133" ht="15.75" customHeight="1">
      <c r="B133" s="391" t="s">
        <v>2972</v>
      </c>
      <c r="C133" s="391" t="s">
        <v>7368</v>
      </c>
      <c r="D133" s="391" t="s">
        <v>2195</v>
      </c>
    </row>
    <row r="134" ht="15.75" customHeight="1">
      <c r="B134" s="391" t="s">
        <v>7374</v>
      </c>
      <c r="C134" s="391" t="s">
        <v>7368</v>
      </c>
      <c r="D134" s="391" t="s">
        <v>2232</v>
      </c>
    </row>
    <row r="135" ht="15.75" customHeight="1">
      <c r="B135" s="391" t="s">
        <v>7375</v>
      </c>
      <c r="C135" s="391" t="s">
        <v>7368</v>
      </c>
      <c r="D135" s="391" t="s">
        <v>2232</v>
      </c>
    </row>
    <row r="136" ht="15.75" customHeight="1">
      <c r="B136" s="391" t="s">
        <v>7376</v>
      </c>
      <c r="C136" s="391" t="s">
        <v>7368</v>
      </c>
      <c r="D136" s="391" t="s">
        <v>2166</v>
      </c>
    </row>
    <row r="137" ht="15.75" customHeight="1">
      <c r="B137" s="391" t="s">
        <v>7377</v>
      </c>
      <c r="C137" s="391" t="s">
        <v>7368</v>
      </c>
      <c r="D137" s="391" t="s">
        <v>2195</v>
      </c>
    </row>
    <row r="138" ht="15.75" customHeight="1">
      <c r="B138" s="391" t="s">
        <v>2809</v>
      </c>
      <c r="C138" s="391" t="s">
        <v>7368</v>
      </c>
      <c r="D138" s="391" t="s">
        <v>2166</v>
      </c>
    </row>
    <row r="139" ht="15.75" customHeight="1">
      <c r="B139" s="391" t="s">
        <v>2817</v>
      </c>
      <c r="C139" s="391" t="s">
        <v>7368</v>
      </c>
      <c r="D139" s="391" t="s">
        <v>2166</v>
      </c>
    </row>
    <row r="140" ht="15.75" customHeight="1">
      <c r="B140" s="391" t="s">
        <v>7378</v>
      </c>
      <c r="C140" s="391" t="s">
        <v>7368</v>
      </c>
      <c r="D140" s="391" t="s">
        <v>2195</v>
      </c>
    </row>
    <row r="141" ht="15.75" customHeight="1">
      <c r="B141" s="391" t="s">
        <v>7379</v>
      </c>
      <c r="C141" s="391" t="s">
        <v>7368</v>
      </c>
      <c r="D141" s="391" t="s">
        <v>2195</v>
      </c>
    </row>
    <row r="142" ht="15.75" customHeight="1">
      <c r="B142" s="391" t="s">
        <v>7380</v>
      </c>
      <c r="C142" s="391" t="s">
        <v>7381</v>
      </c>
      <c r="D142" s="391" t="s">
        <v>2166</v>
      </c>
    </row>
    <row r="143" ht="15.75" customHeight="1">
      <c r="B143" s="391" t="s">
        <v>2960</v>
      </c>
      <c r="C143" s="391" t="s">
        <v>7382</v>
      </c>
      <c r="D143" s="391" t="s">
        <v>2232</v>
      </c>
    </row>
    <row r="144" ht="15.75" customHeight="1">
      <c r="B144" s="391" t="s">
        <v>2805</v>
      </c>
      <c r="C144" s="391" t="s">
        <v>7382</v>
      </c>
      <c r="D144" s="391" t="s">
        <v>2195</v>
      </c>
    </row>
    <row r="145" ht="15.75" customHeight="1">
      <c r="B145" s="391" t="s">
        <v>7383</v>
      </c>
      <c r="C145" s="391" t="s">
        <v>7384</v>
      </c>
      <c r="D145" s="391" t="s">
        <v>2195</v>
      </c>
    </row>
    <row r="146" ht="15.75" customHeight="1">
      <c r="B146" s="391" t="s">
        <v>7385</v>
      </c>
      <c r="C146" s="391" t="s">
        <v>7384</v>
      </c>
      <c r="D146" s="391" t="s">
        <v>2195</v>
      </c>
    </row>
    <row r="147" ht="15.75" customHeight="1">
      <c r="B147" s="391" t="s">
        <v>3277</v>
      </c>
      <c r="C147" s="391" t="s">
        <v>7386</v>
      </c>
      <c r="D147" s="391" t="s">
        <v>2166</v>
      </c>
    </row>
    <row r="148" ht="15.75" customHeight="1">
      <c r="B148" s="391" t="s">
        <v>7387</v>
      </c>
      <c r="C148" s="391" t="s">
        <v>7388</v>
      </c>
      <c r="D148" s="391" t="s">
        <v>2232</v>
      </c>
    </row>
    <row r="149" ht="15.75" customHeight="1">
      <c r="B149" s="391" t="s">
        <v>7389</v>
      </c>
      <c r="C149" s="391" t="s">
        <v>7388</v>
      </c>
      <c r="D149" s="391" t="s">
        <v>2166</v>
      </c>
    </row>
    <row r="150" ht="15.75" customHeight="1">
      <c r="B150" s="391" t="s">
        <v>7390</v>
      </c>
      <c r="C150" s="391" t="s">
        <v>7388</v>
      </c>
      <c r="D150" s="391" t="s">
        <v>2195</v>
      </c>
    </row>
    <row r="151" ht="15.75" customHeight="1">
      <c r="B151" s="391" t="s">
        <v>2956</v>
      </c>
      <c r="C151" s="391" t="s">
        <v>7391</v>
      </c>
      <c r="D151" s="391" t="s">
        <v>2232</v>
      </c>
    </row>
    <row r="152" ht="15.75" customHeight="1">
      <c r="B152" s="391" t="s">
        <v>7392</v>
      </c>
      <c r="C152" s="391" t="s">
        <v>7393</v>
      </c>
      <c r="D152" s="391" t="s">
        <v>2195</v>
      </c>
    </row>
    <row r="153" ht="15.75" customHeight="1">
      <c r="B153" s="391" t="s">
        <v>7394</v>
      </c>
      <c r="C153" s="391" t="s">
        <v>7393</v>
      </c>
      <c r="D153" s="391" t="s">
        <v>2195</v>
      </c>
    </row>
    <row r="154" ht="15.75" customHeight="1">
      <c r="B154" s="391" t="s">
        <v>2992</v>
      </c>
      <c r="C154" s="391" t="s">
        <v>7393</v>
      </c>
      <c r="D154" s="391" t="s">
        <v>2166</v>
      </c>
    </row>
    <row r="155" ht="15.75" customHeight="1">
      <c r="B155" s="391" t="s">
        <v>3021</v>
      </c>
      <c r="C155" s="391" t="s">
        <v>7393</v>
      </c>
      <c r="D155" s="391" t="s">
        <v>2166</v>
      </c>
    </row>
    <row r="156" ht="15.75" customHeight="1">
      <c r="B156" s="391" t="s">
        <v>3102</v>
      </c>
      <c r="C156" s="391" t="s">
        <v>7395</v>
      </c>
      <c r="D156" s="391" t="s">
        <v>2166</v>
      </c>
    </row>
    <row r="157" ht="15.75" customHeight="1">
      <c r="B157" s="391" t="s">
        <v>3094</v>
      </c>
      <c r="C157" s="391" t="s">
        <v>7395</v>
      </c>
      <c r="D157" s="391" t="s">
        <v>2166</v>
      </c>
    </row>
    <row r="158" ht="15.75" customHeight="1">
      <c r="B158" s="391" t="s">
        <v>7396</v>
      </c>
      <c r="C158" s="391" t="s">
        <v>7395</v>
      </c>
      <c r="D158" s="391" t="s">
        <v>2195</v>
      </c>
    </row>
    <row r="159" ht="15.75" customHeight="1">
      <c r="B159" s="391" t="s">
        <v>3098</v>
      </c>
      <c r="C159" s="391" t="s">
        <v>7395</v>
      </c>
      <c r="D159" s="391" t="s">
        <v>2166</v>
      </c>
    </row>
    <row r="160" ht="15.75" customHeight="1">
      <c r="B160" s="391" t="s">
        <v>3086</v>
      </c>
      <c r="C160" s="391" t="s">
        <v>7395</v>
      </c>
      <c r="D160" s="391" t="s">
        <v>2195</v>
      </c>
    </row>
    <row r="161" ht="15.75" customHeight="1">
      <c r="B161" s="391" t="s">
        <v>3074</v>
      </c>
      <c r="C161" s="391" t="s">
        <v>7395</v>
      </c>
      <c r="D161" s="391" t="s">
        <v>2166</v>
      </c>
    </row>
    <row r="162" ht="15.75" customHeight="1">
      <c r="B162" s="391" t="s">
        <v>7397</v>
      </c>
      <c r="C162" s="391" t="s">
        <v>7395</v>
      </c>
      <c r="D162" s="391" t="s">
        <v>2195</v>
      </c>
    </row>
    <row r="163" ht="15.75" customHeight="1">
      <c r="B163" s="391" t="s">
        <v>7398</v>
      </c>
      <c r="C163" s="391" t="s">
        <v>7395</v>
      </c>
      <c r="D163" s="391" t="s">
        <v>2195</v>
      </c>
    </row>
    <row r="164" ht="15.75" customHeight="1">
      <c r="B164" s="391" t="s">
        <v>7399</v>
      </c>
      <c r="C164" s="391" t="s">
        <v>7395</v>
      </c>
      <c r="D164" s="391" t="s">
        <v>2195</v>
      </c>
    </row>
    <row r="165" ht="15.75" customHeight="1">
      <c r="B165" s="391" t="s">
        <v>3066</v>
      </c>
      <c r="C165" s="391" t="s">
        <v>7395</v>
      </c>
      <c r="D165" s="391" t="s">
        <v>2232</v>
      </c>
    </row>
    <row r="166" ht="15.75" customHeight="1">
      <c r="B166" s="391" t="s">
        <v>2764</v>
      </c>
      <c r="C166" s="391" t="s">
        <v>7395</v>
      </c>
      <c r="D166" s="391" t="s">
        <v>2195</v>
      </c>
    </row>
    <row r="167" ht="15.75" customHeight="1">
      <c r="B167" s="391" t="s">
        <v>3274</v>
      </c>
      <c r="C167" s="391" t="s">
        <v>7400</v>
      </c>
      <c r="D167" s="391" t="s">
        <v>2166</v>
      </c>
    </row>
    <row r="168" ht="15.75" customHeight="1">
      <c r="B168" s="391" t="s">
        <v>3090</v>
      </c>
      <c r="C168" s="391" t="s">
        <v>7401</v>
      </c>
      <c r="D168" s="391" t="s">
        <v>2232</v>
      </c>
    </row>
    <row r="169" ht="15.75" customHeight="1">
      <c r="B169" s="391" t="s">
        <v>3078</v>
      </c>
      <c r="C169" s="391" t="s">
        <v>7401</v>
      </c>
      <c r="D169" s="391" t="s">
        <v>2232</v>
      </c>
    </row>
    <row r="170" ht="15.75" customHeight="1">
      <c r="B170" s="391" t="s">
        <v>7402</v>
      </c>
      <c r="C170" s="391" t="s">
        <v>7403</v>
      </c>
      <c r="D170" s="391" t="s">
        <v>2232</v>
      </c>
    </row>
    <row r="171" ht="15.75" customHeight="1">
      <c r="B171" s="391" t="s">
        <v>7404</v>
      </c>
      <c r="C171" s="391" t="s">
        <v>7405</v>
      </c>
      <c r="D171" s="391" t="s">
        <v>2166</v>
      </c>
    </row>
    <row r="172" ht="15.75" customHeight="1">
      <c r="B172" s="391" t="s">
        <v>3061</v>
      </c>
      <c r="C172" s="391" t="s">
        <v>7406</v>
      </c>
      <c r="D172" s="391" t="s">
        <v>2232</v>
      </c>
    </row>
    <row r="173" ht="15.75" customHeight="1">
      <c r="B173" s="391" t="s">
        <v>7407</v>
      </c>
      <c r="C173" s="391" t="s">
        <v>7408</v>
      </c>
      <c r="D173" s="391" t="s">
        <v>2195</v>
      </c>
    </row>
    <row r="174" ht="15.75" customHeight="1">
      <c r="B174" s="391" t="s">
        <v>7409</v>
      </c>
      <c r="C174" s="391" t="s">
        <v>7410</v>
      </c>
      <c r="D174" s="391" t="s">
        <v>2195</v>
      </c>
    </row>
    <row r="175" ht="15.75" customHeight="1">
      <c r="B175" s="391" t="s">
        <v>4567</v>
      </c>
      <c r="C175" s="391" t="s">
        <v>7411</v>
      </c>
      <c r="D175" s="391" t="s">
        <v>2166</v>
      </c>
    </row>
    <row r="176" ht="15.75" customHeight="1">
      <c r="B176" s="391" t="s">
        <v>7412</v>
      </c>
      <c r="C176" s="391" t="s">
        <v>7413</v>
      </c>
      <c r="D176" s="391" t="s">
        <v>2195</v>
      </c>
    </row>
    <row r="177" ht="15.75" customHeight="1">
      <c r="B177" s="391" t="s">
        <v>7414</v>
      </c>
      <c r="C177" s="391" t="s">
        <v>7413</v>
      </c>
      <c r="D177" s="391" t="s">
        <v>2195</v>
      </c>
    </row>
    <row r="178" ht="15.75" customHeight="1">
      <c r="B178" s="391" t="s">
        <v>7415</v>
      </c>
      <c r="C178" s="391" t="s">
        <v>7416</v>
      </c>
      <c r="D178" s="391" t="s">
        <v>2195</v>
      </c>
    </row>
    <row r="179" ht="15.75" customHeight="1">
      <c r="B179" s="391" t="s">
        <v>4571</v>
      </c>
      <c r="C179" s="391" t="s">
        <v>7416</v>
      </c>
      <c r="D179" s="391" t="s">
        <v>2195</v>
      </c>
    </row>
    <row r="180" ht="15.75" customHeight="1">
      <c r="B180" s="391" t="s">
        <v>4575</v>
      </c>
      <c r="C180" s="391" t="s">
        <v>7416</v>
      </c>
      <c r="D180" s="391" t="s">
        <v>2195</v>
      </c>
    </row>
    <row r="181" ht="15.75" customHeight="1">
      <c r="B181" s="391" t="s">
        <v>7417</v>
      </c>
      <c r="C181" s="391" t="s">
        <v>7418</v>
      </c>
      <c r="D181" s="391" t="s">
        <v>2195</v>
      </c>
    </row>
    <row r="182" ht="15.75" customHeight="1">
      <c r="B182" s="391" t="s">
        <v>7419</v>
      </c>
      <c r="C182" s="391" t="s">
        <v>7418</v>
      </c>
      <c r="D182" s="391" t="s">
        <v>2195</v>
      </c>
    </row>
    <row r="183" ht="15.75" customHeight="1">
      <c r="B183" s="391" t="s">
        <v>7420</v>
      </c>
      <c r="C183" s="391" t="s">
        <v>7421</v>
      </c>
      <c r="D183" s="391" t="s">
        <v>2195</v>
      </c>
    </row>
    <row r="184" ht="15.75" customHeight="1">
      <c r="B184" s="391" t="s">
        <v>7422</v>
      </c>
      <c r="C184" s="391" t="s">
        <v>7423</v>
      </c>
      <c r="D184" s="391" t="s">
        <v>2166</v>
      </c>
    </row>
    <row r="185" ht="15.75" customHeight="1">
      <c r="B185" s="391" t="s">
        <v>7424</v>
      </c>
      <c r="C185" s="391" t="s">
        <v>7423</v>
      </c>
      <c r="D185" s="391" t="s">
        <v>2195</v>
      </c>
    </row>
    <row r="186" ht="15.75" customHeight="1">
      <c r="B186" s="391" t="s">
        <v>7425</v>
      </c>
      <c r="C186" s="391" t="s">
        <v>7426</v>
      </c>
      <c r="D186" s="391" t="s">
        <v>2166</v>
      </c>
    </row>
    <row r="187" ht="15.75" customHeight="1">
      <c r="B187" s="391" t="s">
        <v>7427</v>
      </c>
      <c r="C187" s="391" t="s">
        <v>7428</v>
      </c>
      <c r="D187" s="391" t="s">
        <v>2195</v>
      </c>
    </row>
    <row r="188" ht="15.75" customHeight="1">
      <c r="B188" s="391">
        <v>703.0</v>
      </c>
      <c r="C188" s="391" t="s">
        <v>7429</v>
      </c>
      <c r="D188" s="391" t="s">
        <v>2166</v>
      </c>
    </row>
    <row r="189" ht="15.75" customHeight="1">
      <c r="B189" s="391">
        <v>602.0</v>
      </c>
      <c r="C189" s="391" t="s">
        <v>7430</v>
      </c>
      <c r="D189" s="391" t="s">
        <v>2195</v>
      </c>
    </row>
    <row r="190" ht="15.75" customHeight="1">
      <c r="B190" s="391">
        <v>606.0</v>
      </c>
      <c r="C190" s="391" t="s">
        <v>7430</v>
      </c>
      <c r="D190" s="391" t="s">
        <v>2195</v>
      </c>
    </row>
    <row r="191" ht="15.75" customHeight="1">
      <c r="B191" s="391" t="s">
        <v>7431</v>
      </c>
      <c r="C191" s="391" t="s">
        <v>7432</v>
      </c>
      <c r="D191" s="391" t="s">
        <v>2166</v>
      </c>
    </row>
    <row r="192" ht="15.75" customHeight="1">
      <c r="B192" s="391" t="s">
        <v>7433</v>
      </c>
      <c r="C192" s="391" t="s">
        <v>7434</v>
      </c>
      <c r="D192" s="391" t="s">
        <v>2166</v>
      </c>
    </row>
    <row r="193" ht="15.75" customHeight="1">
      <c r="B193" s="391" t="s">
        <v>7435</v>
      </c>
      <c r="C193" s="391" t="s">
        <v>7436</v>
      </c>
      <c r="D193" s="391" t="s">
        <v>2166</v>
      </c>
    </row>
    <row r="194" ht="15.75" customHeight="1">
      <c r="B194" s="391" t="s">
        <v>7437</v>
      </c>
      <c r="C194" s="391" t="s">
        <v>7438</v>
      </c>
      <c r="D194" s="391" t="s">
        <v>2166</v>
      </c>
    </row>
    <row r="195" ht="15.75" customHeight="1">
      <c r="B195" s="391" t="s">
        <v>7439</v>
      </c>
      <c r="C195" s="391" t="s">
        <v>7440</v>
      </c>
      <c r="D195" s="391" t="s">
        <v>2166</v>
      </c>
    </row>
    <row r="196" ht="15.75" customHeight="1">
      <c r="B196" s="391" t="s">
        <v>7441</v>
      </c>
      <c r="C196" s="391" t="s">
        <v>7442</v>
      </c>
      <c r="D196" s="391" t="s">
        <v>2166</v>
      </c>
    </row>
    <row r="197" ht="15.75" customHeight="1">
      <c r="B197" s="391" t="s">
        <v>7443</v>
      </c>
      <c r="C197" s="391" t="s">
        <v>7444</v>
      </c>
      <c r="D197" s="391" t="s">
        <v>2166</v>
      </c>
    </row>
    <row r="198" ht="15.75" customHeight="1">
      <c r="B198" s="391" t="s">
        <v>7445</v>
      </c>
      <c r="C198" s="391" t="s">
        <v>7446</v>
      </c>
      <c r="D198" s="391" t="s">
        <v>2166</v>
      </c>
    </row>
    <row r="199" ht="15.75" customHeight="1">
      <c r="B199" s="391" t="s">
        <v>7447</v>
      </c>
      <c r="C199" s="391" t="s">
        <v>7448</v>
      </c>
      <c r="D199" s="391" t="s">
        <v>2166</v>
      </c>
    </row>
    <row r="200" ht="15.75" customHeight="1">
      <c r="B200" s="391" t="s">
        <v>5804</v>
      </c>
      <c r="C200" s="391" t="s">
        <v>7449</v>
      </c>
      <c r="D200" s="391" t="s">
        <v>2195</v>
      </c>
    </row>
    <row r="201" ht="15.75" customHeight="1">
      <c r="B201" s="391" t="s">
        <v>5963</v>
      </c>
      <c r="C201" s="391" t="s">
        <v>7450</v>
      </c>
      <c r="D201" s="391" t="s">
        <v>2195</v>
      </c>
    </row>
    <row r="202" ht="15.75" customHeight="1">
      <c r="B202" s="391" t="s">
        <v>7451</v>
      </c>
      <c r="C202" s="391" t="s">
        <v>7452</v>
      </c>
      <c r="D202" s="391" t="s">
        <v>2232</v>
      </c>
    </row>
    <row r="203" ht="15.75" customHeight="1">
      <c r="B203" s="391" t="s">
        <v>7453</v>
      </c>
      <c r="C203" s="391" t="s">
        <v>7452</v>
      </c>
      <c r="D203" s="391" t="s">
        <v>2195</v>
      </c>
    </row>
    <row r="204" ht="15.75" customHeight="1">
      <c r="B204" s="391" t="s">
        <v>5826</v>
      </c>
      <c r="C204" s="391" t="s">
        <v>7454</v>
      </c>
      <c r="D204" s="391" t="s">
        <v>2166</v>
      </c>
    </row>
    <row r="205" ht="15.75" customHeight="1">
      <c r="B205" s="391" t="s">
        <v>7455</v>
      </c>
      <c r="C205" s="391" t="s">
        <v>7454</v>
      </c>
      <c r="D205" s="391" t="s">
        <v>2166</v>
      </c>
    </row>
    <row r="206" ht="15.75" customHeight="1">
      <c r="B206" s="391" t="s">
        <v>5837</v>
      </c>
      <c r="C206" s="391" t="s">
        <v>7454</v>
      </c>
      <c r="D206" s="391" t="s">
        <v>2232</v>
      </c>
    </row>
    <row r="207" ht="15.75" customHeight="1">
      <c r="B207" s="391" t="s">
        <v>7456</v>
      </c>
      <c r="C207" s="391" t="s">
        <v>7454</v>
      </c>
      <c r="D207" s="391" t="s">
        <v>2232</v>
      </c>
    </row>
    <row r="208" ht="15.75" customHeight="1">
      <c r="B208" s="391" t="s">
        <v>5852</v>
      </c>
      <c r="C208" s="391" t="s">
        <v>7457</v>
      </c>
      <c r="D208" s="391" t="s">
        <v>2195</v>
      </c>
    </row>
    <row r="209" ht="15.75" customHeight="1">
      <c r="B209" s="391" t="s">
        <v>5856</v>
      </c>
      <c r="C209" s="391" t="s">
        <v>7457</v>
      </c>
      <c r="D209" s="391" t="s">
        <v>2195</v>
      </c>
    </row>
    <row r="210" ht="15.75" customHeight="1">
      <c r="B210" s="391" t="s">
        <v>5860</v>
      </c>
      <c r="C210" s="391" t="s">
        <v>7457</v>
      </c>
      <c r="D210" s="391" t="s">
        <v>2195</v>
      </c>
    </row>
    <row r="211" ht="15.75" customHeight="1">
      <c r="B211" s="391" t="s">
        <v>7458</v>
      </c>
      <c r="C211" s="391" t="s">
        <v>7459</v>
      </c>
      <c r="D211" s="391" t="s">
        <v>2195</v>
      </c>
    </row>
    <row r="212" ht="15.75" customHeight="1">
      <c r="B212" s="391" t="s">
        <v>5969</v>
      </c>
      <c r="C212" s="391" t="s">
        <v>7460</v>
      </c>
      <c r="D212" s="391" t="s">
        <v>2166</v>
      </c>
    </row>
    <row r="213" ht="15.75" customHeight="1">
      <c r="B213" s="391" t="s">
        <v>5973</v>
      </c>
      <c r="C213" s="391" t="s">
        <v>7461</v>
      </c>
      <c r="D213" s="391" t="s">
        <v>2166</v>
      </c>
    </row>
    <row r="214" ht="15.75" customHeight="1">
      <c r="B214" s="391" t="s">
        <v>5977</v>
      </c>
      <c r="C214" s="391" t="s">
        <v>7462</v>
      </c>
      <c r="D214" s="391" t="s">
        <v>2166</v>
      </c>
    </row>
    <row r="215" ht="15.75" customHeight="1">
      <c r="B215" s="391" t="s">
        <v>5979</v>
      </c>
      <c r="C215" s="391" t="s">
        <v>7462</v>
      </c>
      <c r="D215" s="391" t="s">
        <v>2195</v>
      </c>
    </row>
    <row r="216" ht="15.75" customHeight="1">
      <c r="B216" s="391" t="s">
        <v>7463</v>
      </c>
      <c r="C216" s="391" t="s">
        <v>7464</v>
      </c>
      <c r="D216" s="391" t="s">
        <v>2195</v>
      </c>
    </row>
    <row r="217" ht="15.75" customHeight="1">
      <c r="B217" s="391" t="s">
        <v>7465</v>
      </c>
      <c r="C217" s="391" t="s">
        <v>7466</v>
      </c>
      <c r="D217" s="391" t="s">
        <v>2166</v>
      </c>
    </row>
    <row r="218" ht="15.75" customHeight="1">
      <c r="B218" s="391" t="s">
        <v>6026</v>
      </c>
      <c r="C218" s="391" t="s">
        <v>7466</v>
      </c>
      <c r="D218" s="391" t="s">
        <v>2195</v>
      </c>
    </row>
    <row r="219" ht="15.75" customHeight="1">
      <c r="B219" s="391" t="s">
        <v>7467</v>
      </c>
      <c r="C219" s="391" t="s">
        <v>7468</v>
      </c>
      <c r="D219" s="391" t="s">
        <v>2195</v>
      </c>
    </row>
    <row r="220" ht="15.75" customHeight="1">
      <c r="B220" s="391" t="s">
        <v>6064</v>
      </c>
      <c r="C220" s="391" t="s">
        <v>7469</v>
      </c>
      <c r="D220" s="391" t="s">
        <v>2166</v>
      </c>
    </row>
    <row r="221" ht="15.75" customHeight="1">
      <c r="B221" s="391" t="s">
        <v>6066</v>
      </c>
      <c r="C221" s="391" t="s">
        <v>7469</v>
      </c>
      <c r="D221" s="391" t="s">
        <v>2195</v>
      </c>
    </row>
    <row r="222" ht="15.75" customHeight="1">
      <c r="B222" s="391" t="s">
        <v>6069</v>
      </c>
      <c r="C222" s="391" t="s">
        <v>7469</v>
      </c>
      <c r="D222" s="391" t="s">
        <v>2166</v>
      </c>
    </row>
    <row r="223" ht="15.75" customHeight="1">
      <c r="B223" s="391" t="s">
        <v>7470</v>
      </c>
      <c r="C223" s="391" t="s">
        <v>7471</v>
      </c>
      <c r="D223" s="391" t="s">
        <v>2166</v>
      </c>
    </row>
    <row r="224" ht="15.75" customHeight="1">
      <c r="B224" s="391" t="s">
        <v>5824</v>
      </c>
      <c r="C224" s="391" t="s">
        <v>7472</v>
      </c>
      <c r="D224" s="391" t="s">
        <v>2166</v>
      </c>
    </row>
    <row r="225" ht="15.75" customHeight="1">
      <c r="B225" s="391" t="s">
        <v>6013</v>
      </c>
      <c r="C225" s="391" t="s">
        <v>7473</v>
      </c>
      <c r="D225" s="391" t="s">
        <v>2166</v>
      </c>
    </row>
    <row r="226" ht="15.75" customHeight="1">
      <c r="B226" s="391" t="s">
        <v>6002</v>
      </c>
      <c r="C226" s="391" t="s">
        <v>7474</v>
      </c>
      <c r="D226" s="391" t="s">
        <v>2195</v>
      </c>
    </row>
    <row r="227" ht="15.75" customHeight="1">
      <c r="B227" s="391" t="s">
        <v>6037</v>
      </c>
      <c r="C227" s="391" t="s">
        <v>7475</v>
      </c>
      <c r="D227" s="391" t="s">
        <v>2195</v>
      </c>
    </row>
    <row r="228" ht="15.75" customHeight="1">
      <c r="B228" s="391" t="s">
        <v>6041</v>
      </c>
      <c r="C228" s="391" t="s">
        <v>7475</v>
      </c>
      <c r="D228" s="391" t="s">
        <v>2166</v>
      </c>
    </row>
    <row r="229" ht="15.75" customHeight="1">
      <c r="B229" s="391" t="s">
        <v>6043</v>
      </c>
      <c r="C229" s="391" t="s">
        <v>7475</v>
      </c>
      <c r="D229" s="391" t="s">
        <v>2166</v>
      </c>
    </row>
    <row r="230" ht="15.75" customHeight="1">
      <c r="B230" s="391" t="s">
        <v>6045</v>
      </c>
      <c r="C230" s="391" t="s">
        <v>7475</v>
      </c>
      <c r="D230" s="391" t="s">
        <v>2166</v>
      </c>
    </row>
    <row r="231" ht="15.75" customHeight="1">
      <c r="B231" s="391" t="s">
        <v>6047</v>
      </c>
      <c r="C231" s="391" t="s">
        <v>7475</v>
      </c>
      <c r="D231" s="391" t="s">
        <v>2232</v>
      </c>
    </row>
    <row r="232" ht="15.75" customHeight="1">
      <c r="B232" s="391" t="s">
        <v>6049</v>
      </c>
      <c r="C232" s="391" t="s">
        <v>7475</v>
      </c>
      <c r="D232" s="391" t="s">
        <v>2232</v>
      </c>
    </row>
    <row r="233" ht="15.75" customHeight="1">
      <c r="B233" s="391" t="s">
        <v>7476</v>
      </c>
      <c r="C233" s="391" t="s">
        <v>7475</v>
      </c>
      <c r="D233" s="391" t="s">
        <v>2166</v>
      </c>
    </row>
    <row r="234" ht="15.75" customHeight="1">
      <c r="B234" s="391" t="s">
        <v>7477</v>
      </c>
      <c r="C234" s="391" t="s">
        <v>7475</v>
      </c>
      <c r="D234" s="391" t="s">
        <v>2195</v>
      </c>
    </row>
    <row r="235" ht="15.75" customHeight="1">
      <c r="B235" s="391" t="s">
        <v>7478</v>
      </c>
      <c r="C235" s="391" t="s">
        <v>7475</v>
      </c>
      <c r="D235" s="391" t="s">
        <v>2195</v>
      </c>
    </row>
    <row r="236" ht="15.75" customHeight="1">
      <c r="B236" s="391" t="s">
        <v>5950</v>
      </c>
      <c r="C236" s="391" t="s">
        <v>7479</v>
      </c>
      <c r="D236" s="391" t="s">
        <v>2166</v>
      </c>
    </row>
    <row r="237" ht="15.75" customHeight="1">
      <c r="B237" s="391" t="s">
        <v>7480</v>
      </c>
      <c r="C237" s="391" t="s">
        <v>7481</v>
      </c>
      <c r="D237" s="391" t="s">
        <v>2195</v>
      </c>
    </row>
    <row r="238" ht="15.75" customHeight="1">
      <c r="B238" s="391" t="s">
        <v>7482</v>
      </c>
      <c r="C238" s="391" t="s">
        <v>7481</v>
      </c>
      <c r="D238" s="391" t="s">
        <v>2166</v>
      </c>
    </row>
    <row r="239" ht="15.75" customHeight="1">
      <c r="B239" s="391" t="s">
        <v>7483</v>
      </c>
      <c r="C239" s="391" t="s">
        <v>7481</v>
      </c>
      <c r="D239" s="391" t="s">
        <v>2166</v>
      </c>
    </row>
    <row r="240" ht="15.75" customHeight="1">
      <c r="B240" s="391" t="s">
        <v>7484</v>
      </c>
      <c r="C240" s="391" t="s">
        <v>7481</v>
      </c>
      <c r="D240" s="391" t="s">
        <v>2195</v>
      </c>
    </row>
    <row r="241" ht="15.75" customHeight="1">
      <c r="B241" s="391" t="s">
        <v>7485</v>
      </c>
      <c r="C241" s="391" t="s">
        <v>7481</v>
      </c>
      <c r="D241" s="391" t="s">
        <v>2166</v>
      </c>
    </row>
    <row r="242" ht="15.75" customHeight="1">
      <c r="B242" s="391" t="s">
        <v>5727</v>
      </c>
      <c r="C242" s="391" t="s">
        <v>7481</v>
      </c>
      <c r="D242" s="391" t="s">
        <v>2166</v>
      </c>
    </row>
    <row r="243" ht="15.75" customHeight="1">
      <c r="B243" s="391" t="s">
        <v>5729</v>
      </c>
      <c r="C243" s="391" t="s">
        <v>7481</v>
      </c>
      <c r="D243" s="391" t="s">
        <v>2166</v>
      </c>
    </row>
    <row r="244" ht="15.75" customHeight="1">
      <c r="B244" s="391" t="s">
        <v>7486</v>
      </c>
      <c r="C244" s="391" t="s">
        <v>7481</v>
      </c>
      <c r="D244" s="391" t="s">
        <v>2166</v>
      </c>
    </row>
    <row r="245" ht="15.75" customHeight="1">
      <c r="B245" s="391" t="s">
        <v>5923</v>
      </c>
      <c r="C245" s="391" t="s">
        <v>7487</v>
      </c>
      <c r="D245" s="391" t="s">
        <v>2166</v>
      </c>
    </row>
    <row r="246" ht="15.75" customHeight="1">
      <c r="B246" s="391" t="s">
        <v>7488</v>
      </c>
      <c r="C246" s="391" t="s">
        <v>7487</v>
      </c>
      <c r="D246" s="391" t="s">
        <v>2166</v>
      </c>
    </row>
    <row r="247" ht="15.75" customHeight="1">
      <c r="B247" s="391" t="s">
        <v>5930</v>
      </c>
      <c r="C247" s="391" t="s">
        <v>7487</v>
      </c>
      <c r="D247" s="391" t="s">
        <v>2195</v>
      </c>
    </row>
    <row r="248" ht="15.75" customHeight="1">
      <c r="B248" s="391" t="s">
        <v>7489</v>
      </c>
      <c r="C248" s="391" t="s">
        <v>7487</v>
      </c>
      <c r="D248" s="391" t="s">
        <v>2166</v>
      </c>
    </row>
    <row r="249" ht="15.75" customHeight="1">
      <c r="B249" s="391" t="s">
        <v>7490</v>
      </c>
      <c r="C249" s="391" t="s">
        <v>7491</v>
      </c>
      <c r="D249" s="391" t="s">
        <v>2166</v>
      </c>
    </row>
    <row r="250" ht="15.75" customHeight="1">
      <c r="B250" s="391" t="s">
        <v>5791</v>
      </c>
      <c r="C250" s="391" t="s">
        <v>7491</v>
      </c>
      <c r="D250" s="391" t="s">
        <v>2166</v>
      </c>
    </row>
    <row r="251" ht="15.75" customHeight="1">
      <c r="B251" s="391" t="s">
        <v>5783</v>
      </c>
      <c r="C251" s="391" t="s">
        <v>7491</v>
      </c>
      <c r="D251" s="391" t="s">
        <v>2195</v>
      </c>
    </row>
    <row r="252" ht="15.75" customHeight="1">
      <c r="B252" s="391" t="s">
        <v>5779</v>
      </c>
      <c r="C252" s="391" t="s">
        <v>7491</v>
      </c>
      <c r="D252" s="391" t="s">
        <v>2232</v>
      </c>
    </row>
    <row r="253" ht="15.75" customHeight="1">
      <c r="B253" s="391" t="s">
        <v>5765</v>
      </c>
      <c r="C253" s="391" t="s">
        <v>7491</v>
      </c>
      <c r="D253" s="391" t="s">
        <v>2232</v>
      </c>
    </row>
    <row r="254" ht="15.75" customHeight="1">
      <c r="B254" s="391" t="s">
        <v>5773</v>
      </c>
      <c r="C254" s="391" t="s">
        <v>7491</v>
      </c>
      <c r="D254" s="391" t="s">
        <v>2195</v>
      </c>
    </row>
    <row r="255" ht="15.75" customHeight="1">
      <c r="B255" s="391" t="s">
        <v>5769</v>
      </c>
      <c r="C255" s="391" t="s">
        <v>7491</v>
      </c>
      <c r="D255" s="391" t="s">
        <v>2195</v>
      </c>
    </row>
    <row r="256" ht="15.75" customHeight="1">
      <c r="B256" s="391" t="s">
        <v>7492</v>
      </c>
      <c r="C256" s="391" t="s">
        <v>7491</v>
      </c>
      <c r="D256" s="391" t="s">
        <v>2195</v>
      </c>
    </row>
    <row r="257" ht="15.75" customHeight="1">
      <c r="B257" s="391" t="s">
        <v>7493</v>
      </c>
      <c r="C257" s="391" t="s">
        <v>7491</v>
      </c>
      <c r="D257" s="391" t="s">
        <v>2166</v>
      </c>
    </row>
    <row r="258" ht="15.75" customHeight="1">
      <c r="B258" s="391" t="s">
        <v>7494</v>
      </c>
      <c r="C258" s="391" t="s">
        <v>7491</v>
      </c>
      <c r="D258" s="391" t="s">
        <v>2166</v>
      </c>
    </row>
    <row r="259" ht="15.75" customHeight="1">
      <c r="B259" s="391" t="s">
        <v>7495</v>
      </c>
      <c r="C259" s="391" t="s">
        <v>7491</v>
      </c>
      <c r="D259" s="391" t="s">
        <v>2195</v>
      </c>
    </row>
    <row r="260" ht="15.75" customHeight="1">
      <c r="B260" s="391" t="s">
        <v>7496</v>
      </c>
      <c r="C260" s="391" t="s">
        <v>7491</v>
      </c>
      <c r="D260" s="391" t="s">
        <v>2166</v>
      </c>
    </row>
    <row r="261" ht="15.75" customHeight="1">
      <c r="B261" s="391" t="s">
        <v>7497</v>
      </c>
      <c r="C261" s="391" t="s">
        <v>7491</v>
      </c>
      <c r="D261" s="391" t="s">
        <v>2195</v>
      </c>
    </row>
    <row r="262" ht="15.75" customHeight="1">
      <c r="B262" s="391" t="s">
        <v>5752</v>
      </c>
      <c r="C262" s="391" t="s">
        <v>7491</v>
      </c>
      <c r="D262" s="391" t="s">
        <v>2195</v>
      </c>
    </row>
    <row r="263" ht="15.75" customHeight="1">
      <c r="B263" s="391" t="s">
        <v>5808</v>
      </c>
      <c r="C263" s="391" t="s">
        <v>7498</v>
      </c>
      <c r="D263" s="391" t="s">
        <v>2195</v>
      </c>
    </row>
    <row r="264" ht="15.75" customHeight="1">
      <c r="B264" s="391" t="s">
        <v>6030</v>
      </c>
      <c r="C264" s="391" t="s">
        <v>7499</v>
      </c>
      <c r="D264" s="391" t="s">
        <v>2195</v>
      </c>
    </row>
    <row r="265" ht="15.75" customHeight="1">
      <c r="B265" s="391" t="s">
        <v>7500</v>
      </c>
      <c r="C265" s="391" t="s">
        <v>7499</v>
      </c>
      <c r="D265" s="391" t="s">
        <v>2195</v>
      </c>
    </row>
    <row r="266" ht="15.75" customHeight="1">
      <c r="B266" s="391" t="s">
        <v>5994</v>
      </c>
      <c r="C266" s="391" t="s">
        <v>7501</v>
      </c>
      <c r="D266" s="391" t="s">
        <v>2166</v>
      </c>
    </row>
    <row r="267" ht="15.75" customHeight="1">
      <c r="B267" s="391" t="s">
        <v>5711</v>
      </c>
      <c r="C267" s="391" t="s">
        <v>7502</v>
      </c>
      <c r="D267" s="391" t="s">
        <v>2166</v>
      </c>
    </row>
    <row r="268" ht="15.75" customHeight="1">
      <c r="B268" s="391" t="s">
        <v>6060</v>
      </c>
      <c r="C268" s="391" t="s">
        <v>7503</v>
      </c>
      <c r="D268" s="391" t="s">
        <v>2232</v>
      </c>
    </row>
    <row r="269" ht="15.75" customHeight="1">
      <c r="B269" s="391" t="s">
        <v>7504</v>
      </c>
      <c r="C269" s="391" t="s">
        <v>7505</v>
      </c>
      <c r="D269" s="391" t="s">
        <v>2166</v>
      </c>
    </row>
    <row r="270" ht="15.75" customHeight="1">
      <c r="B270" s="391" t="s">
        <v>7506</v>
      </c>
      <c r="C270" s="391" t="s">
        <v>7507</v>
      </c>
      <c r="D270" s="391" t="s">
        <v>2195</v>
      </c>
    </row>
    <row r="271" ht="15.75" customHeight="1">
      <c r="B271" s="391" t="s">
        <v>7508</v>
      </c>
      <c r="C271" s="391" t="s">
        <v>7509</v>
      </c>
      <c r="D271" s="391" t="s">
        <v>2195</v>
      </c>
    </row>
    <row r="272" ht="15.75" customHeight="1">
      <c r="B272" s="391" t="s">
        <v>7510</v>
      </c>
      <c r="C272" s="391" t="s">
        <v>7511</v>
      </c>
      <c r="D272" s="391" t="s">
        <v>2195</v>
      </c>
    </row>
    <row r="273" ht="15.75" customHeight="1">
      <c r="B273" s="391" t="s">
        <v>7512</v>
      </c>
      <c r="C273" s="391" t="s">
        <v>7513</v>
      </c>
      <c r="D273" s="391" t="s">
        <v>2195</v>
      </c>
    </row>
    <row r="274" ht="15.75" customHeight="1">
      <c r="B274" s="391" t="s">
        <v>7514</v>
      </c>
      <c r="C274" s="391" t="s">
        <v>7515</v>
      </c>
      <c r="D274" s="391" t="s">
        <v>2232</v>
      </c>
    </row>
    <row r="275" ht="15.75" customHeight="1">
      <c r="B275" s="391" t="s">
        <v>1736</v>
      </c>
      <c r="C275" s="391" t="s">
        <v>7516</v>
      </c>
      <c r="D275" s="391" t="s">
        <v>2166</v>
      </c>
    </row>
    <row r="276" ht="15.75" customHeight="1">
      <c r="B276" s="391" t="s">
        <v>1728</v>
      </c>
      <c r="C276" s="391" t="s">
        <v>7517</v>
      </c>
      <c r="D276" s="391" t="s">
        <v>2166</v>
      </c>
    </row>
    <row r="277" ht="15.75" customHeight="1">
      <c r="B277" s="391" t="s">
        <v>1732</v>
      </c>
      <c r="C277" s="391" t="s">
        <v>7518</v>
      </c>
      <c r="D277" s="391" t="s">
        <v>2166</v>
      </c>
    </row>
    <row r="278" ht="15.75" customHeight="1">
      <c r="B278" s="391" t="s">
        <v>7519</v>
      </c>
      <c r="C278" s="391" t="s">
        <v>7520</v>
      </c>
      <c r="D278" s="391" t="s">
        <v>2166</v>
      </c>
    </row>
    <row r="279" ht="15.75" customHeight="1">
      <c r="B279" s="391" t="s">
        <v>7521</v>
      </c>
      <c r="C279" s="391" t="s">
        <v>7522</v>
      </c>
      <c r="D279" s="391" t="s">
        <v>2166</v>
      </c>
    </row>
    <row r="280" ht="15.75" customHeight="1">
      <c r="B280" s="391" t="s">
        <v>7523</v>
      </c>
      <c r="C280" s="391" t="s">
        <v>7524</v>
      </c>
      <c r="D280" s="391" t="s">
        <v>2232</v>
      </c>
    </row>
    <row r="281" ht="15.75" customHeight="1">
      <c r="B281" s="391" t="s">
        <v>1715</v>
      </c>
      <c r="C281" s="391" t="s">
        <v>7525</v>
      </c>
      <c r="D281" s="391" t="s">
        <v>2166</v>
      </c>
    </row>
    <row r="282" ht="15.75" customHeight="1">
      <c r="B282" s="391" t="s">
        <v>1711</v>
      </c>
      <c r="C282" s="391" t="s">
        <v>7525</v>
      </c>
      <c r="D282" s="391" t="s">
        <v>2166</v>
      </c>
    </row>
    <row r="283" ht="15.75" customHeight="1">
      <c r="B283" s="391" t="s">
        <v>7526</v>
      </c>
      <c r="C283" s="391" t="s">
        <v>7525</v>
      </c>
      <c r="D283" s="391" t="s">
        <v>2166</v>
      </c>
    </row>
    <row r="284" ht="15.75" customHeight="1">
      <c r="B284" s="391" t="s">
        <v>1719</v>
      </c>
      <c r="C284" s="391" t="s">
        <v>7527</v>
      </c>
      <c r="D284" s="391" t="s">
        <v>2166</v>
      </c>
    </row>
    <row r="285" ht="15.75" customHeight="1">
      <c r="B285" s="391" t="s">
        <v>1717</v>
      </c>
      <c r="C285" s="391" t="s">
        <v>7527</v>
      </c>
      <c r="D285" s="391" t="s">
        <v>2166</v>
      </c>
    </row>
    <row r="286" ht="15.75" customHeight="1">
      <c r="B286" s="391" t="s">
        <v>7528</v>
      </c>
      <c r="C286" s="391" t="s">
        <v>7527</v>
      </c>
      <c r="D286" s="391" t="s">
        <v>2195</v>
      </c>
    </row>
    <row r="287" ht="15.75" customHeight="1">
      <c r="B287" s="391" t="s">
        <v>7529</v>
      </c>
      <c r="C287" s="391" t="s">
        <v>7530</v>
      </c>
      <c r="D287" s="391" t="s">
        <v>2195</v>
      </c>
    </row>
    <row r="288" ht="15.75" customHeight="1">
      <c r="B288" s="391" t="s">
        <v>7531</v>
      </c>
      <c r="C288" s="391" t="s">
        <v>3547</v>
      </c>
      <c r="D288" s="391" t="s">
        <v>2232</v>
      </c>
    </row>
    <row r="289" ht="15.75" customHeight="1">
      <c r="B289" s="391" t="s">
        <v>7532</v>
      </c>
      <c r="C289" s="391" t="s">
        <v>7533</v>
      </c>
      <c r="D289" s="391" t="s">
        <v>2232</v>
      </c>
    </row>
    <row r="290" ht="15.75" customHeight="1">
      <c r="B290" s="391" t="s">
        <v>7534</v>
      </c>
      <c r="C290" s="391" t="s">
        <v>7535</v>
      </c>
      <c r="D290" s="391" t="s">
        <v>2166</v>
      </c>
    </row>
    <row r="291" ht="15.75" customHeight="1">
      <c r="B291" s="391" t="s">
        <v>7536</v>
      </c>
      <c r="C291" s="391" t="s">
        <v>7537</v>
      </c>
      <c r="D291" s="391" t="s">
        <v>2232</v>
      </c>
    </row>
    <row r="292" ht="15.75" customHeight="1">
      <c r="B292" s="391" t="s">
        <v>7538</v>
      </c>
      <c r="C292" s="391" t="s">
        <v>7539</v>
      </c>
      <c r="D292" s="391" t="s">
        <v>2232</v>
      </c>
    </row>
    <row r="293" ht="15.75" customHeight="1">
      <c r="B293" s="391" t="s">
        <v>3556</v>
      </c>
      <c r="C293" s="391" t="s">
        <v>7540</v>
      </c>
      <c r="D293" s="391" t="s">
        <v>2166</v>
      </c>
    </row>
    <row r="294" ht="15.75" customHeight="1">
      <c r="B294" s="391" t="s">
        <v>7541</v>
      </c>
      <c r="C294" s="391" t="s">
        <v>7540</v>
      </c>
      <c r="D294" s="391" t="s">
        <v>2166</v>
      </c>
    </row>
    <row r="295" ht="15.75" customHeight="1">
      <c r="B295" s="391" t="s">
        <v>7542</v>
      </c>
      <c r="C295" s="391" t="s">
        <v>7540</v>
      </c>
      <c r="D295" s="391" t="s">
        <v>2166</v>
      </c>
    </row>
    <row r="296" ht="15.75" customHeight="1">
      <c r="B296" s="391" t="s">
        <v>7543</v>
      </c>
      <c r="C296" s="391" t="s">
        <v>7540</v>
      </c>
      <c r="D296" s="391" t="s">
        <v>2195</v>
      </c>
    </row>
    <row r="297" ht="15.75" customHeight="1">
      <c r="B297" s="391" t="s">
        <v>7544</v>
      </c>
      <c r="C297" s="391" t="s">
        <v>7540</v>
      </c>
      <c r="D297" s="391" t="s">
        <v>2195</v>
      </c>
    </row>
    <row r="298" ht="15.75" customHeight="1">
      <c r="B298" s="391" t="s">
        <v>7545</v>
      </c>
      <c r="C298" s="391" t="s">
        <v>7546</v>
      </c>
      <c r="D298" s="391" t="s">
        <v>2195</v>
      </c>
    </row>
    <row r="299" ht="15.75" customHeight="1">
      <c r="B299" s="391" t="s">
        <v>7547</v>
      </c>
      <c r="C299" s="391" t="s">
        <v>7548</v>
      </c>
      <c r="D299" s="391" t="s">
        <v>2232</v>
      </c>
    </row>
    <row r="300" ht="15.75" customHeight="1">
      <c r="B300" s="391" t="s">
        <v>7549</v>
      </c>
      <c r="C300" s="391" t="s">
        <v>7550</v>
      </c>
      <c r="D300" s="391" t="s">
        <v>2232</v>
      </c>
    </row>
    <row r="301" ht="15.75" customHeight="1">
      <c r="B301" s="391" t="s">
        <v>7551</v>
      </c>
      <c r="C301" s="391" t="s">
        <v>7550</v>
      </c>
      <c r="D301" s="391" t="s">
        <v>2232</v>
      </c>
    </row>
    <row r="302" ht="15.75" customHeight="1">
      <c r="B302" s="391" t="s">
        <v>7552</v>
      </c>
      <c r="C302" s="391" t="s">
        <v>7550</v>
      </c>
      <c r="D302" s="391" t="s">
        <v>2232</v>
      </c>
    </row>
    <row r="303" ht="15.75" customHeight="1">
      <c r="B303" s="391" t="s">
        <v>7553</v>
      </c>
      <c r="C303" s="391" t="s">
        <v>7550</v>
      </c>
      <c r="D303" s="391" t="s">
        <v>2232</v>
      </c>
    </row>
    <row r="304" ht="15.75" customHeight="1">
      <c r="B304" s="391" t="s">
        <v>7554</v>
      </c>
      <c r="C304" s="391" t="s">
        <v>7550</v>
      </c>
      <c r="D304" s="391" t="s">
        <v>2195</v>
      </c>
    </row>
    <row r="305" ht="15.75" customHeight="1">
      <c r="B305" s="391" t="s">
        <v>7555</v>
      </c>
      <c r="C305" s="391" t="s">
        <v>7556</v>
      </c>
      <c r="D305" s="391" t="s">
        <v>2232</v>
      </c>
    </row>
    <row r="306" ht="15.75" customHeight="1">
      <c r="B306" s="391" t="s">
        <v>7557</v>
      </c>
      <c r="C306" s="391" t="s">
        <v>7558</v>
      </c>
      <c r="D306" s="391" t="s">
        <v>2232</v>
      </c>
    </row>
    <row r="307" ht="15.75" customHeight="1">
      <c r="B307" s="391" t="s">
        <v>7559</v>
      </c>
      <c r="C307" s="391" t="s">
        <v>7560</v>
      </c>
      <c r="D307" s="391" t="s">
        <v>2232</v>
      </c>
    </row>
    <row r="308" ht="15.75" customHeight="1">
      <c r="B308" s="391" t="s">
        <v>7561</v>
      </c>
      <c r="C308" s="391" t="s">
        <v>7562</v>
      </c>
      <c r="D308" s="391" t="s">
        <v>2166</v>
      </c>
    </row>
    <row r="309" ht="15.75" customHeight="1">
      <c r="B309" s="391" t="s">
        <v>7563</v>
      </c>
      <c r="C309" s="391" t="s">
        <v>7562</v>
      </c>
      <c r="D309" s="391" t="s">
        <v>2166</v>
      </c>
    </row>
    <row r="310" ht="15.75" customHeight="1">
      <c r="B310" s="391" t="s">
        <v>7564</v>
      </c>
      <c r="C310" s="391" t="s">
        <v>7565</v>
      </c>
      <c r="D310" s="391" t="s">
        <v>2232</v>
      </c>
    </row>
    <row r="311" ht="15.75" customHeight="1">
      <c r="B311" s="391" t="s">
        <v>7566</v>
      </c>
      <c r="C311" s="391" t="s">
        <v>7567</v>
      </c>
      <c r="D311" s="391" t="s">
        <v>2232</v>
      </c>
    </row>
    <row r="312" ht="15.75" customHeight="1">
      <c r="B312" s="391" t="s">
        <v>7568</v>
      </c>
      <c r="C312" s="391" t="s">
        <v>7567</v>
      </c>
      <c r="D312" s="391" t="s">
        <v>2232</v>
      </c>
    </row>
    <row r="313" ht="15.75" customHeight="1">
      <c r="B313" s="391" t="s">
        <v>7569</v>
      </c>
      <c r="C313" s="391" t="s">
        <v>7567</v>
      </c>
      <c r="D313" s="391" t="s">
        <v>2232</v>
      </c>
    </row>
    <row r="314" ht="15.75" customHeight="1">
      <c r="B314" s="391" t="s">
        <v>7570</v>
      </c>
      <c r="C314" s="391" t="s">
        <v>7571</v>
      </c>
      <c r="D314" s="391" t="s">
        <v>2166</v>
      </c>
    </row>
    <row r="315" ht="15.75" customHeight="1">
      <c r="B315" s="391" t="s">
        <v>3548</v>
      </c>
      <c r="C315" s="391" t="s">
        <v>7572</v>
      </c>
      <c r="D315" s="391" t="s">
        <v>2166</v>
      </c>
    </row>
    <row r="316" ht="15.75" customHeight="1">
      <c r="B316" s="391" t="s">
        <v>3552</v>
      </c>
      <c r="C316" s="391" t="s">
        <v>7572</v>
      </c>
      <c r="D316" s="391" t="s">
        <v>2166</v>
      </c>
    </row>
    <row r="317" ht="15.75" customHeight="1">
      <c r="B317" s="391" t="s">
        <v>7573</v>
      </c>
      <c r="C317" s="391" t="s">
        <v>7574</v>
      </c>
      <c r="D317" s="391" t="s">
        <v>2195</v>
      </c>
    </row>
    <row r="318" ht="15.75" customHeight="1">
      <c r="B318" s="391" t="s">
        <v>7575</v>
      </c>
      <c r="C318" s="391" t="s">
        <v>7574</v>
      </c>
      <c r="D318" s="391" t="s">
        <v>2166</v>
      </c>
    </row>
    <row r="319" ht="15.75" customHeight="1">
      <c r="B319" s="391" t="s">
        <v>7576</v>
      </c>
      <c r="C319" s="391" t="s">
        <v>7577</v>
      </c>
      <c r="D319" s="391" t="s">
        <v>2195</v>
      </c>
    </row>
    <row r="320" ht="15.75" customHeight="1">
      <c r="B320" s="391" t="s">
        <v>7578</v>
      </c>
      <c r="C320" s="391" t="s">
        <v>7579</v>
      </c>
      <c r="D320" s="391" t="s">
        <v>2195</v>
      </c>
    </row>
    <row r="321" ht="15.75" customHeight="1">
      <c r="B321" s="391" t="s">
        <v>7580</v>
      </c>
      <c r="C321" s="391" t="s">
        <v>7581</v>
      </c>
      <c r="D321" s="391" t="s">
        <v>2232</v>
      </c>
    </row>
    <row r="322" ht="15.75" customHeight="1">
      <c r="B322" s="391" t="s">
        <v>7582</v>
      </c>
      <c r="C322" s="391" t="s">
        <v>7583</v>
      </c>
      <c r="D322" s="391" t="s">
        <v>2166</v>
      </c>
    </row>
    <row r="323" ht="15.75" customHeight="1">
      <c r="B323" s="391" t="s">
        <v>7584</v>
      </c>
      <c r="C323" s="391" t="s">
        <v>7585</v>
      </c>
      <c r="D323" s="391" t="s">
        <v>2166</v>
      </c>
    </row>
    <row r="324" ht="15.75" customHeight="1">
      <c r="B324" s="391" t="s">
        <v>7586</v>
      </c>
      <c r="C324" s="391" t="s">
        <v>7587</v>
      </c>
      <c r="D324" s="391" t="s">
        <v>2232</v>
      </c>
    </row>
    <row r="325" ht="15.75" customHeight="1">
      <c r="B325" s="391" t="s">
        <v>7588</v>
      </c>
      <c r="C325" s="391" t="s">
        <v>7589</v>
      </c>
      <c r="D325" s="391" t="s">
        <v>2232</v>
      </c>
    </row>
    <row r="326" ht="15.75" customHeight="1">
      <c r="B326" s="391" t="s">
        <v>7590</v>
      </c>
      <c r="C326" s="391" t="s">
        <v>7591</v>
      </c>
      <c r="D326" s="391" t="s">
        <v>2232</v>
      </c>
    </row>
    <row r="327" ht="15.75" customHeight="1">
      <c r="B327" s="391" t="s">
        <v>7592</v>
      </c>
      <c r="C327" s="391" t="s">
        <v>7593</v>
      </c>
      <c r="D327" s="391" t="s">
        <v>2195</v>
      </c>
    </row>
    <row r="328" ht="15.75" customHeight="1">
      <c r="B328" s="391" t="s">
        <v>7594</v>
      </c>
      <c r="C328" s="391" t="s">
        <v>7593</v>
      </c>
      <c r="D328" s="391" t="s">
        <v>2232</v>
      </c>
    </row>
    <row r="329" ht="15.75" customHeight="1">
      <c r="B329" s="391" t="s">
        <v>7595</v>
      </c>
      <c r="C329" s="391" t="s">
        <v>7593</v>
      </c>
      <c r="D329" s="391" t="s">
        <v>2195</v>
      </c>
    </row>
    <row r="330" ht="15.75" customHeight="1">
      <c r="B330" s="391" t="s">
        <v>7596</v>
      </c>
      <c r="C330" s="391" t="s">
        <v>7593</v>
      </c>
      <c r="D330" s="391" t="s">
        <v>2195</v>
      </c>
    </row>
    <row r="331" ht="15.75" customHeight="1">
      <c r="B331" s="391" t="s">
        <v>7597</v>
      </c>
      <c r="C331" s="391" t="s">
        <v>7593</v>
      </c>
      <c r="D331" s="391" t="s">
        <v>2166</v>
      </c>
    </row>
    <row r="332" ht="15.75" customHeight="1">
      <c r="B332" s="391" t="s">
        <v>7598</v>
      </c>
      <c r="C332" s="391" t="s">
        <v>7599</v>
      </c>
      <c r="D332" s="391" t="s">
        <v>2166</v>
      </c>
    </row>
    <row r="333" ht="15.75" customHeight="1">
      <c r="B333" s="391" t="s">
        <v>7600</v>
      </c>
      <c r="C333" s="391" t="s">
        <v>7601</v>
      </c>
      <c r="D333" s="391" t="s">
        <v>2232</v>
      </c>
    </row>
    <row r="334" ht="15.75" customHeight="1">
      <c r="B334" s="391" t="s">
        <v>7602</v>
      </c>
      <c r="C334" s="391" t="s">
        <v>7603</v>
      </c>
      <c r="D334" s="391" t="s">
        <v>2232</v>
      </c>
    </row>
    <row r="335" ht="15.75" customHeight="1">
      <c r="B335" s="391" t="s">
        <v>7604</v>
      </c>
      <c r="C335" s="391" t="s">
        <v>7605</v>
      </c>
      <c r="D335" s="391" t="s">
        <v>2232</v>
      </c>
    </row>
    <row r="336" ht="15.75" customHeight="1">
      <c r="B336" s="391" t="s">
        <v>7606</v>
      </c>
      <c r="C336" s="391" t="s">
        <v>7607</v>
      </c>
      <c r="D336" s="391" t="s">
        <v>2195</v>
      </c>
    </row>
    <row r="337" ht="15.75" customHeight="1">
      <c r="B337" s="391" t="s">
        <v>7608</v>
      </c>
      <c r="C337" s="391" t="s">
        <v>7609</v>
      </c>
      <c r="D337" s="391" t="s">
        <v>2232</v>
      </c>
    </row>
    <row r="338" ht="15.75" customHeight="1">
      <c r="B338" s="391" t="s">
        <v>7610</v>
      </c>
      <c r="C338" s="391" t="s">
        <v>7611</v>
      </c>
      <c r="D338" s="391" t="s">
        <v>2232</v>
      </c>
    </row>
    <row r="339" ht="15.75" customHeight="1">
      <c r="B339" s="391" t="s">
        <v>7612</v>
      </c>
      <c r="C339" s="391" t="s">
        <v>7611</v>
      </c>
      <c r="D339" s="391" t="s">
        <v>2232</v>
      </c>
    </row>
    <row r="340" ht="15.75" customHeight="1">
      <c r="B340" s="391" t="s">
        <v>7613</v>
      </c>
      <c r="C340" s="391" t="s">
        <v>7614</v>
      </c>
      <c r="D340" s="391" t="s">
        <v>2232</v>
      </c>
    </row>
    <row r="341" ht="15.75" customHeight="1">
      <c r="B341" s="391" t="s">
        <v>7615</v>
      </c>
      <c r="C341" s="391" t="s">
        <v>7616</v>
      </c>
      <c r="D341" s="391" t="s">
        <v>2232</v>
      </c>
    </row>
    <row r="342" ht="15.75" customHeight="1">
      <c r="B342" s="391" t="s">
        <v>7617</v>
      </c>
      <c r="C342" s="391" t="s">
        <v>7618</v>
      </c>
      <c r="D342" s="391" t="s">
        <v>2232</v>
      </c>
    </row>
    <row r="343" ht="15.75" customHeight="1">
      <c r="B343" s="391" t="s">
        <v>7619</v>
      </c>
      <c r="C343" s="391" t="s">
        <v>7620</v>
      </c>
      <c r="D343" s="391" t="s">
        <v>2232</v>
      </c>
    </row>
    <row r="344" ht="15.75" customHeight="1">
      <c r="B344" s="391" t="s">
        <v>7621</v>
      </c>
      <c r="C344" s="391" t="s">
        <v>7622</v>
      </c>
      <c r="D344" s="391" t="s">
        <v>2232</v>
      </c>
    </row>
    <row r="345" ht="15.75" customHeight="1">
      <c r="B345" s="391" t="s">
        <v>7623</v>
      </c>
      <c r="C345" s="391" t="s">
        <v>7624</v>
      </c>
      <c r="D345" s="391" t="s">
        <v>2232</v>
      </c>
    </row>
    <row r="346" ht="15.75" customHeight="1">
      <c r="B346" s="391" t="s">
        <v>7625</v>
      </c>
      <c r="C346" s="391" t="s">
        <v>7626</v>
      </c>
      <c r="D346" s="391" t="s">
        <v>2232</v>
      </c>
    </row>
    <row r="347" ht="15.75" customHeight="1">
      <c r="B347" s="391" t="s">
        <v>7627</v>
      </c>
      <c r="C347" s="391" t="s">
        <v>7628</v>
      </c>
      <c r="D347" s="391" t="s">
        <v>2166</v>
      </c>
    </row>
    <row r="348" ht="15.75" customHeight="1">
      <c r="B348" s="391" t="s">
        <v>7629</v>
      </c>
      <c r="C348" s="391" t="s">
        <v>7630</v>
      </c>
      <c r="D348" s="391" t="s">
        <v>2195</v>
      </c>
    </row>
    <row r="349" ht="15.75" customHeight="1">
      <c r="B349" s="391" t="s">
        <v>7631</v>
      </c>
      <c r="C349" s="391" t="s">
        <v>7632</v>
      </c>
      <c r="D349" s="391" t="s">
        <v>2232</v>
      </c>
    </row>
    <row r="350" ht="15.75" customHeight="1">
      <c r="B350" s="391" t="s">
        <v>7633</v>
      </c>
      <c r="C350" s="391" t="s">
        <v>7632</v>
      </c>
      <c r="D350" s="391" t="s">
        <v>2195</v>
      </c>
    </row>
    <row r="351" ht="15.75" customHeight="1">
      <c r="B351" s="391" t="s">
        <v>7634</v>
      </c>
      <c r="C351" s="391" t="s">
        <v>7635</v>
      </c>
      <c r="D351" s="391" t="s">
        <v>2195</v>
      </c>
    </row>
    <row r="352" ht="15.75" customHeight="1">
      <c r="B352" s="391" t="s">
        <v>7636</v>
      </c>
      <c r="C352" s="391" t="s">
        <v>7637</v>
      </c>
      <c r="D352" s="391" t="s">
        <v>2195</v>
      </c>
    </row>
    <row r="353" ht="15.75" customHeight="1">
      <c r="B353" s="391" t="s">
        <v>7638</v>
      </c>
      <c r="C353" s="391" t="s">
        <v>7639</v>
      </c>
      <c r="D353" s="391" t="s">
        <v>2232</v>
      </c>
    </row>
    <row r="354" ht="15.75" customHeight="1">
      <c r="B354" s="391" t="s">
        <v>7640</v>
      </c>
      <c r="C354" s="391" t="s">
        <v>7641</v>
      </c>
      <c r="D354" s="391" t="s">
        <v>2232</v>
      </c>
    </row>
    <row r="355" ht="15.75" customHeight="1">
      <c r="B355" s="391" t="s">
        <v>7642</v>
      </c>
      <c r="C355" s="391" t="s">
        <v>7643</v>
      </c>
      <c r="D355" s="391" t="s">
        <v>2232</v>
      </c>
    </row>
    <row r="356" ht="15.75" customHeight="1">
      <c r="B356" s="391" t="s">
        <v>7644</v>
      </c>
      <c r="C356" s="391" t="s">
        <v>7645</v>
      </c>
      <c r="D356" s="391" t="s">
        <v>2195</v>
      </c>
    </row>
    <row r="357" ht="15.75" customHeight="1">
      <c r="B357" s="391" t="s">
        <v>7646</v>
      </c>
      <c r="C357" s="391" t="s">
        <v>7647</v>
      </c>
      <c r="D357" s="391" t="s">
        <v>2195</v>
      </c>
    </row>
    <row r="358" ht="15.75" customHeight="1">
      <c r="B358" s="391" t="s">
        <v>7648</v>
      </c>
      <c r="C358" s="391" t="s">
        <v>7649</v>
      </c>
      <c r="D358" s="391" t="s">
        <v>2195</v>
      </c>
    </row>
    <row r="359" ht="15.75" customHeight="1">
      <c r="B359" s="391" t="s">
        <v>7650</v>
      </c>
      <c r="C359" s="391" t="s">
        <v>7651</v>
      </c>
      <c r="D359" s="391" t="s">
        <v>2232</v>
      </c>
    </row>
    <row r="360" ht="15.75" customHeight="1">
      <c r="B360" s="391" t="s">
        <v>7652</v>
      </c>
      <c r="C360" s="391" t="s">
        <v>7653</v>
      </c>
      <c r="D360" s="391" t="s">
        <v>2232</v>
      </c>
    </row>
    <row r="361" ht="15.75" customHeight="1">
      <c r="B361" s="391" t="s">
        <v>7654</v>
      </c>
      <c r="C361" s="391" t="s">
        <v>7655</v>
      </c>
      <c r="D361" s="391" t="s">
        <v>2195</v>
      </c>
    </row>
    <row r="362" ht="15.75" customHeight="1">
      <c r="B362" s="391" t="s">
        <v>7656</v>
      </c>
      <c r="C362" s="391" t="s">
        <v>7657</v>
      </c>
      <c r="D362" s="391" t="s">
        <v>2232</v>
      </c>
    </row>
    <row r="363" ht="15.75" customHeight="1">
      <c r="B363" s="391" t="s">
        <v>7658</v>
      </c>
      <c r="C363" s="391" t="s">
        <v>7659</v>
      </c>
      <c r="D363" s="391" t="s">
        <v>2166</v>
      </c>
    </row>
    <row r="364" ht="15.75" customHeight="1">
      <c r="B364" s="391" t="s">
        <v>7660</v>
      </c>
      <c r="C364" s="391" t="s">
        <v>7659</v>
      </c>
      <c r="D364" s="391" t="s">
        <v>2232</v>
      </c>
    </row>
    <row r="365" ht="15.75" customHeight="1">
      <c r="B365" s="391" t="s">
        <v>7661</v>
      </c>
      <c r="C365" s="391" t="s">
        <v>7662</v>
      </c>
      <c r="D365" s="391" t="s">
        <v>2195</v>
      </c>
    </row>
    <row r="366" ht="15.75" customHeight="1">
      <c r="B366" s="391" t="s">
        <v>7663</v>
      </c>
      <c r="C366" s="391" t="s">
        <v>7664</v>
      </c>
      <c r="D366" s="391" t="s">
        <v>2232</v>
      </c>
    </row>
    <row r="367" ht="15.75" customHeight="1">
      <c r="B367" s="391" t="s">
        <v>7665</v>
      </c>
      <c r="C367" s="391" t="s">
        <v>7666</v>
      </c>
      <c r="D367" s="391" t="s">
        <v>2195</v>
      </c>
    </row>
    <row r="368" ht="15.75" customHeight="1">
      <c r="B368" s="391" t="s">
        <v>7667</v>
      </c>
      <c r="C368" s="391" t="s">
        <v>7668</v>
      </c>
      <c r="D368" s="391" t="s">
        <v>2195</v>
      </c>
    </row>
    <row r="369" ht="15.75" customHeight="1">
      <c r="B369" s="391" t="s">
        <v>7669</v>
      </c>
      <c r="C369" s="391" t="s">
        <v>7670</v>
      </c>
      <c r="D369" s="391" t="s">
        <v>2232</v>
      </c>
    </row>
    <row r="370" ht="15.75" customHeight="1">
      <c r="B370" s="391" t="s">
        <v>7671</v>
      </c>
      <c r="C370" s="391" t="s">
        <v>7672</v>
      </c>
      <c r="D370" s="391" t="s">
        <v>2232</v>
      </c>
    </row>
    <row r="371" ht="15.75" customHeight="1">
      <c r="B371" s="391" t="s">
        <v>7673</v>
      </c>
      <c r="C371" s="391" t="s">
        <v>7672</v>
      </c>
      <c r="D371" s="391" t="s">
        <v>2232</v>
      </c>
    </row>
    <row r="372" ht="15.75" customHeight="1">
      <c r="B372" s="391" t="s">
        <v>7674</v>
      </c>
      <c r="C372" s="391" t="s">
        <v>7675</v>
      </c>
      <c r="D372" s="391" t="s">
        <v>2232</v>
      </c>
    </row>
    <row r="373" ht="15.75" customHeight="1">
      <c r="B373" s="391" t="s">
        <v>7676</v>
      </c>
      <c r="C373" s="391" t="s">
        <v>7677</v>
      </c>
      <c r="D373" s="391" t="s">
        <v>2195</v>
      </c>
    </row>
    <row r="374" ht="15.75" customHeight="1">
      <c r="B374" s="391" t="s">
        <v>7678</v>
      </c>
      <c r="C374" s="391" t="s">
        <v>7679</v>
      </c>
      <c r="D374" s="391" t="s">
        <v>2232</v>
      </c>
    </row>
    <row r="375" ht="15.75" customHeight="1">
      <c r="B375" s="391" t="s">
        <v>7680</v>
      </c>
      <c r="C375" s="391" t="s">
        <v>7681</v>
      </c>
      <c r="D375" s="391" t="s">
        <v>2232</v>
      </c>
    </row>
    <row r="376" ht="15.75" customHeight="1">
      <c r="B376" s="391" t="s">
        <v>7682</v>
      </c>
      <c r="C376" s="391" t="s">
        <v>7683</v>
      </c>
      <c r="D376" s="391" t="s">
        <v>2232</v>
      </c>
    </row>
    <row r="377" ht="15.75" customHeight="1">
      <c r="B377" s="391" t="s">
        <v>7684</v>
      </c>
      <c r="C377" s="391" t="s">
        <v>7685</v>
      </c>
      <c r="D377" s="391" t="s">
        <v>2232</v>
      </c>
    </row>
    <row r="378" ht="15.75" customHeight="1">
      <c r="B378" s="391" t="s">
        <v>7686</v>
      </c>
      <c r="C378" s="391" t="s">
        <v>7687</v>
      </c>
      <c r="D378" s="391" t="s">
        <v>2232</v>
      </c>
    </row>
    <row r="379" ht="15.75" customHeight="1">
      <c r="B379" s="391" t="s">
        <v>7688</v>
      </c>
      <c r="C379" s="391" t="s">
        <v>7689</v>
      </c>
      <c r="D379" s="391" t="s">
        <v>2232</v>
      </c>
    </row>
    <row r="380" ht="15.75" customHeight="1">
      <c r="B380" s="391" t="s">
        <v>7690</v>
      </c>
      <c r="C380" s="391" t="s">
        <v>7691</v>
      </c>
      <c r="D380" s="391" t="s">
        <v>2232</v>
      </c>
    </row>
    <row r="381" ht="15.75" customHeight="1">
      <c r="B381" s="391" t="s">
        <v>7692</v>
      </c>
      <c r="C381" s="391" t="s">
        <v>7693</v>
      </c>
      <c r="D381" s="391" t="s">
        <v>2232</v>
      </c>
    </row>
    <row r="382" ht="15.75" customHeight="1">
      <c r="B382" s="391" t="s">
        <v>7694</v>
      </c>
      <c r="C382" s="391" t="s">
        <v>7693</v>
      </c>
      <c r="D382" s="391" t="s">
        <v>2232</v>
      </c>
    </row>
    <row r="383" ht="15.75" customHeight="1">
      <c r="B383" s="391" t="s">
        <v>7695</v>
      </c>
      <c r="C383" s="391" t="s">
        <v>7693</v>
      </c>
      <c r="D383" s="391" t="s">
        <v>2232</v>
      </c>
    </row>
    <row r="384" ht="15.75" customHeight="1">
      <c r="B384" s="391" t="s">
        <v>7696</v>
      </c>
      <c r="C384" s="391" t="s">
        <v>7693</v>
      </c>
      <c r="D384" s="391" t="s">
        <v>2232</v>
      </c>
    </row>
    <row r="385" ht="15.75" customHeight="1">
      <c r="B385" s="391" t="s">
        <v>7697</v>
      </c>
      <c r="C385" s="391" t="s">
        <v>7698</v>
      </c>
      <c r="D385" s="391" t="s">
        <v>2232</v>
      </c>
    </row>
    <row r="386" ht="15.75" customHeight="1">
      <c r="B386" s="391" t="s">
        <v>7699</v>
      </c>
      <c r="C386" s="391" t="s">
        <v>7700</v>
      </c>
      <c r="D386" s="391" t="s">
        <v>2232</v>
      </c>
    </row>
    <row r="387" ht="15.75" customHeight="1">
      <c r="B387" s="391" t="s">
        <v>7701</v>
      </c>
      <c r="C387" s="391" t="s">
        <v>7702</v>
      </c>
      <c r="D387" s="391" t="s">
        <v>2232</v>
      </c>
    </row>
    <row r="388" ht="15.75" customHeight="1">
      <c r="B388" s="391" t="s">
        <v>7703</v>
      </c>
      <c r="C388" s="391" t="s">
        <v>7704</v>
      </c>
      <c r="D388" s="391" t="s">
        <v>2232</v>
      </c>
    </row>
    <row r="389" ht="15.75" customHeight="1">
      <c r="B389" s="391" t="s">
        <v>7705</v>
      </c>
      <c r="C389" s="391" t="s">
        <v>7706</v>
      </c>
      <c r="D389" s="391" t="s">
        <v>2232</v>
      </c>
    </row>
    <row r="390" ht="15.75" customHeight="1">
      <c r="B390" s="391" t="s">
        <v>7707</v>
      </c>
      <c r="C390" s="391" t="s">
        <v>7708</v>
      </c>
      <c r="D390" s="391" t="s">
        <v>2195</v>
      </c>
    </row>
    <row r="391" ht="15.75" customHeight="1">
      <c r="B391" s="391" t="s">
        <v>7709</v>
      </c>
      <c r="C391" s="391" t="s">
        <v>7710</v>
      </c>
      <c r="D391" s="391" t="s">
        <v>2232</v>
      </c>
    </row>
    <row r="392" ht="15.75" customHeight="1">
      <c r="B392" s="391" t="s">
        <v>7711</v>
      </c>
      <c r="C392" s="391" t="s">
        <v>7712</v>
      </c>
      <c r="D392" s="391" t="s">
        <v>2195</v>
      </c>
    </row>
    <row r="393" ht="15.75" customHeight="1">
      <c r="B393" s="391" t="s">
        <v>7713</v>
      </c>
      <c r="C393" s="391" t="s">
        <v>7714</v>
      </c>
      <c r="D393" s="391" t="s">
        <v>2195</v>
      </c>
    </row>
    <row r="394" ht="15.75" customHeight="1">
      <c r="B394" s="391" t="s">
        <v>7715</v>
      </c>
      <c r="C394" s="391" t="s">
        <v>7716</v>
      </c>
      <c r="D394" s="391" t="s">
        <v>2232</v>
      </c>
    </row>
    <row r="395" ht="15.75" customHeight="1">
      <c r="B395" s="391" t="s">
        <v>7717</v>
      </c>
      <c r="C395" s="391" t="s">
        <v>7718</v>
      </c>
      <c r="D395" s="391" t="s">
        <v>2195</v>
      </c>
    </row>
    <row r="396" ht="15.75" customHeight="1">
      <c r="B396" s="391" t="s">
        <v>7719</v>
      </c>
      <c r="C396" s="391" t="s">
        <v>7720</v>
      </c>
      <c r="D396" s="391" t="s">
        <v>2166</v>
      </c>
    </row>
    <row r="397" ht="15.75" customHeight="1">
      <c r="B397" s="391" t="s">
        <v>7721</v>
      </c>
      <c r="C397" s="391" t="s">
        <v>7720</v>
      </c>
      <c r="D397" s="391" t="s">
        <v>2232</v>
      </c>
    </row>
    <row r="398" ht="15.75" customHeight="1">
      <c r="B398" s="391" t="s">
        <v>7722</v>
      </c>
      <c r="C398" s="391" t="s">
        <v>7723</v>
      </c>
      <c r="D398" s="391" t="s">
        <v>2232</v>
      </c>
    </row>
    <row r="399" ht="15.75" customHeight="1">
      <c r="B399" s="391" t="s">
        <v>7724</v>
      </c>
      <c r="C399" s="391" t="s">
        <v>7725</v>
      </c>
      <c r="D399" s="391" t="s">
        <v>2195</v>
      </c>
    </row>
    <row r="400" ht="15.75" customHeight="1">
      <c r="B400" s="391" t="s">
        <v>7726</v>
      </c>
      <c r="C400" s="391" t="s">
        <v>7727</v>
      </c>
      <c r="D400" s="391" t="s">
        <v>2195</v>
      </c>
    </row>
    <row r="401" ht="15.75" customHeight="1">
      <c r="B401" s="391" t="s">
        <v>7728</v>
      </c>
      <c r="C401" s="391" t="s">
        <v>7729</v>
      </c>
      <c r="D401" s="391" t="s">
        <v>2232</v>
      </c>
    </row>
    <row r="402" ht="15.75" customHeight="1">
      <c r="B402" s="391" t="s">
        <v>7730</v>
      </c>
      <c r="C402" s="391" t="s">
        <v>7731</v>
      </c>
      <c r="D402" s="391" t="s">
        <v>2232</v>
      </c>
    </row>
    <row r="403" ht="15.75" customHeight="1">
      <c r="B403" s="391" t="s">
        <v>7732</v>
      </c>
      <c r="C403" s="391" t="s">
        <v>7733</v>
      </c>
      <c r="D403" s="391" t="s">
        <v>2166</v>
      </c>
    </row>
    <row r="404" ht="15.75" customHeight="1">
      <c r="B404" s="391" t="s">
        <v>7734</v>
      </c>
      <c r="C404" s="391" t="s">
        <v>7735</v>
      </c>
      <c r="D404" s="391" t="s">
        <v>2195</v>
      </c>
    </row>
    <row r="405" ht="15.75" customHeight="1">
      <c r="B405" s="391" t="s">
        <v>7736</v>
      </c>
      <c r="C405" s="391" t="s">
        <v>7737</v>
      </c>
      <c r="D405" s="391" t="s">
        <v>2232</v>
      </c>
    </row>
    <row r="406" ht="15.75" customHeight="1">
      <c r="B406" s="391" t="s">
        <v>7738</v>
      </c>
      <c r="C406" s="391" t="s">
        <v>7739</v>
      </c>
      <c r="D406" s="391" t="s">
        <v>2232</v>
      </c>
    </row>
    <row r="407" ht="15.75" customHeight="1">
      <c r="B407" s="391" t="s">
        <v>7740</v>
      </c>
      <c r="C407" s="391" t="s">
        <v>7739</v>
      </c>
      <c r="D407" s="391" t="s">
        <v>2195</v>
      </c>
    </row>
    <row r="408" ht="15.75" customHeight="1">
      <c r="B408" s="391" t="s">
        <v>7741</v>
      </c>
      <c r="C408" s="391" t="s">
        <v>7742</v>
      </c>
      <c r="D408" s="391" t="s">
        <v>2232</v>
      </c>
    </row>
    <row r="409" ht="15.75" customHeight="1">
      <c r="B409" s="391" t="s">
        <v>7743</v>
      </c>
      <c r="C409" s="391" t="s">
        <v>7744</v>
      </c>
      <c r="D409" s="391" t="s">
        <v>2232</v>
      </c>
    </row>
    <row r="410" ht="15.75" customHeight="1">
      <c r="B410" s="391" t="s">
        <v>7745</v>
      </c>
      <c r="C410" s="391" t="s">
        <v>7746</v>
      </c>
      <c r="D410" s="391" t="s">
        <v>2232</v>
      </c>
    </row>
    <row r="411" ht="15.75" customHeight="1">
      <c r="B411" s="391" t="s">
        <v>7747</v>
      </c>
      <c r="C411" s="391" t="s">
        <v>7748</v>
      </c>
      <c r="D411" s="391" t="s">
        <v>2232</v>
      </c>
    </row>
    <row r="412" ht="15.75" customHeight="1">
      <c r="B412" s="391" t="s">
        <v>7749</v>
      </c>
      <c r="C412" s="391" t="s">
        <v>7748</v>
      </c>
      <c r="D412" s="391" t="s">
        <v>2232</v>
      </c>
    </row>
    <row r="413" ht="15.75" customHeight="1">
      <c r="B413" s="391" t="s">
        <v>7750</v>
      </c>
      <c r="C413" s="391" t="s">
        <v>7751</v>
      </c>
      <c r="D413" s="391" t="s">
        <v>2232</v>
      </c>
    </row>
    <row r="414" ht="15.75" customHeight="1">
      <c r="B414" s="391" t="s">
        <v>7752</v>
      </c>
      <c r="C414" s="391" t="s">
        <v>7753</v>
      </c>
      <c r="D414" s="391" t="s">
        <v>2232</v>
      </c>
    </row>
    <row r="415" ht="15.75" customHeight="1">
      <c r="B415" s="391" t="s">
        <v>7754</v>
      </c>
      <c r="C415" s="391" t="s">
        <v>7755</v>
      </c>
      <c r="D415" s="391" t="s">
        <v>2232</v>
      </c>
    </row>
    <row r="416" ht="15.75" customHeight="1">
      <c r="B416" s="391" t="s">
        <v>7756</v>
      </c>
      <c r="C416" s="391" t="s">
        <v>7757</v>
      </c>
      <c r="D416" s="391" t="s">
        <v>2195</v>
      </c>
    </row>
    <row r="417" ht="15.75" customHeight="1">
      <c r="B417" s="391" t="s">
        <v>7758</v>
      </c>
      <c r="C417" s="391" t="s">
        <v>7759</v>
      </c>
      <c r="D417" s="391" t="s">
        <v>2232</v>
      </c>
    </row>
    <row r="418" ht="15.75" customHeight="1">
      <c r="B418" s="391" t="s">
        <v>7760</v>
      </c>
      <c r="C418" s="391" t="s">
        <v>7761</v>
      </c>
      <c r="D418" s="391" t="s">
        <v>2195</v>
      </c>
    </row>
    <row r="419" ht="15.75" customHeight="1">
      <c r="B419" s="391" t="s">
        <v>7762</v>
      </c>
      <c r="C419" s="391" t="s">
        <v>7763</v>
      </c>
      <c r="D419" s="391" t="s">
        <v>2195</v>
      </c>
    </row>
    <row r="420" ht="15.75" customHeight="1">
      <c r="B420" s="391" t="s">
        <v>7764</v>
      </c>
      <c r="C420" s="391" t="s">
        <v>7765</v>
      </c>
      <c r="D420" s="391" t="s">
        <v>2232</v>
      </c>
    </row>
    <row r="421" ht="15.75" customHeight="1">
      <c r="B421" s="391" t="s">
        <v>7766</v>
      </c>
      <c r="C421" s="391" t="s">
        <v>7767</v>
      </c>
      <c r="D421" s="391" t="s">
        <v>2195</v>
      </c>
    </row>
    <row r="422" ht="15.75" customHeight="1">
      <c r="B422" s="391" t="s">
        <v>7768</v>
      </c>
      <c r="C422" s="391" t="s">
        <v>7769</v>
      </c>
      <c r="D422" s="391" t="s">
        <v>2195</v>
      </c>
    </row>
    <row r="423" ht="15.75" customHeight="1">
      <c r="B423" s="391" t="s">
        <v>7770</v>
      </c>
      <c r="C423" s="391" t="s">
        <v>7771</v>
      </c>
      <c r="D423" s="391" t="s">
        <v>2166</v>
      </c>
    </row>
    <row r="424" ht="15.75" customHeight="1">
      <c r="B424" s="391" t="s">
        <v>7772</v>
      </c>
      <c r="C424" s="391" t="s">
        <v>7773</v>
      </c>
      <c r="D424" s="391" t="s">
        <v>2195</v>
      </c>
    </row>
    <row r="425" ht="15.75" customHeight="1">
      <c r="B425" s="391" t="s">
        <v>7774</v>
      </c>
      <c r="C425" s="391" t="s">
        <v>7773</v>
      </c>
      <c r="D425" s="391" t="s">
        <v>2195</v>
      </c>
    </row>
    <row r="426" ht="15.75" customHeight="1">
      <c r="B426" s="391" t="s">
        <v>7775</v>
      </c>
      <c r="C426" s="391" t="s">
        <v>7776</v>
      </c>
      <c r="D426" s="391" t="s">
        <v>2195</v>
      </c>
    </row>
    <row r="427" ht="15.75" customHeight="1">
      <c r="B427" s="391" t="s">
        <v>7777</v>
      </c>
      <c r="C427" s="391" t="s">
        <v>7778</v>
      </c>
      <c r="D427" s="391" t="s">
        <v>2232</v>
      </c>
    </row>
    <row r="428" ht="15.75" customHeight="1">
      <c r="B428" s="391" t="s">
        <v>7779</v>
      </c>
      <c r="C428" s="391" t="s">
        <v>7779</v>
      </c>
      <c r="D428" s="391" t="s">
        <v>2166</v>
      </c>
    </row>
    <row r="429" ht="15.75" customHeight="1">
      <c r="B429" s="391" t="s">
        <v>7780</v>
      </c>
      <c r="C429" s="391" t="s">
        <v>7781</v>
      </c>
      <c r="D429" s="391" t="s">
        <v>2232</v>
      </c>
    </row>
    <row r="430" ht="15.75" customHeight="1">
      <c r="B430" s="391" t="s">
        <v>7782</v>
      </c>
      <c r="C430" s="391" t="s">
        <v>7783</v>
      </c>
      <c r="D430" s="391" t="s">
        <v>2232</v>
      </c>
    </row>
    <row r="431" ht="15.75" customHeight="1">
      <c r="B431" s="391" t="s">
        <v>7784</v>
      </c>
      <c r="C431" s="391" t="s">
        <v>7785</v>
      </c>
      <c r="D431" s="391" t="s">
        <v>2232</v>
      </c>
    </row>
    <row r="432" ht="15.75" customHeight="1">
      <c r="B432" s="391" t="s">
        <v>7786</v>
      </c>
      <c r="C432" s="391" t="s">
        <v>7787</v>
      </c>
      <c r="D432" s="391" t="s">
        <v>2195</v>
      </c>
    </row>
    <row r="433" ht="15.75" customHeight="1">
      <c r="B433" s="391" t="s">
        <v>7788</v>
      </c>
      <c r="C433" s="391" t="s">
        <v>7787</v>
      </c>
      <c r="D433" s="391" t="s">
        <v>2232</v>
      </c>
    </row>
    <row r="434" ht="15.75" customHeight="1">
      <c r="B434" s="391" t="s">
        <v>7789</v>
      </c>
      <c r="C434" s="391" t="s">
        <v>7790</v>
      </c>
      <c r="D434" s="391" t="s">
        <v>2232</v>
      </c>
    </row>
    <row r="435" ht="15.75" customHeight="1">
      <c r="B435" s="391" t="s">
        <v>7791</v>
      </c>
      <c r="C435" s="391" t="s">
        <v>7792</v>
      </c>
      <c r="D435" s="391" t="s">
        <v>2232</v>
      </c>
    </row>
    <row r="436" ht="15.75" customHeight="1">
      <c r="B436" s="391" t="s">
        <v>7793</v>
      </c>
      <c r="C436" s="391" t="s">
        <v>7794</v>
      </c>
      <c r="D436" s="391" t="s">
        <v>2232</v>
      </c>
    </row>
    <row r="437" ht="15.75" customHeight="1">
      <c r="B437" s="391" t="s">
        <v>7795</v>
      </c>
      <c r="C437" s="391" t="s">
        <v>7796</v>
      </c>
      <c r="D437" s="391" t="s">
        <v>2232</v>
      </c>
    </row>
    <row r="438" ht="15.75" customHeight="1">
      <c r="B438" s="391" t="s">
        <v>7797</v>
      </c>
      <c r="C438" s="391" t="s">
        <v>7798</v>
      </c>
      <c r="D438" s="391" t="s">
        <v>2232</v>
      </c>
    </row>
    <row r="439" ht="15.75" customHeight="1">
      <c r="B439" s="391" t="s">
        <v>7799</v>
      </c>
      <c r="C439" s="391" t="s">
        <v>7800</v>
      </c>
      <c r="D439" s="391" t="s">
        <v>2232</v>
      </c>
    </row>
    <row r="440" ht="15.75" customHeight="1">
      <c r="B440" s="391" t="s">
        <v>7801</v>
      </c>
      <c r="C440" s="391" t="s">
        <v>7802</v>
      </c>
      <c r="D440" s="391" t="s">
        <v>2232</v>
      </c>
    </row>
    <row r="441" ht="15.75" customHeight="1">
      <c r="B441" s="391" t="s">
        <v>7803</v>
      </c>
      <c r="C441" s="391" t="s">
        <v>7804</v>
      </c>
      <c r="D441" s="391" t="s">
        <v>2232</v>
      </c>
    </row>
    <row r="442" ht="15.75" customHeight="1">
      <c r="B442" s="391" t="s">
        <v>7805</v>
      </c>
      <c r="C442" s="391" t="s">
        <v>7806</v>
      </c>
      <c r="D442" s="391" t="s">
        <v>2195</v>
      </c>
    </row>
    <row r="443" ht="15.75" customHeight="1">
      <c r="B443" s="391" t="s">
        <v>7807</v>
      </c>
      <c r="C443" s="391" t="s">
        <v>7808</v>
      </c>
      <c r="D443" s="391" t="s">
        <v>2232</v>
      </c>
    </row>
    <row r="444" ht="15.75" customHeight="1">
      <c r="B444" s="391" t="s">
        <v>7809</v>
      </c>
      <c r="C444" s="391" t="s">
        <v>7810</v>
      </c>
      <c r="D444" s="391" t="s">
        <v>2232</v>
      </c>
    </row>
    <row r="445" ht="15.75" customHeight="1">
      <c r="B445" s="391" t="s">
        <v>7811</v>
      </c>
      <c r="C445" s="391" t="s">
        <v>7812</v>
      </c>
      <c r="D445" s="391" t="s">
        <v>2232</v>
      </c>
    </row>
    <row r="446" ht="15.75" customHeight="1">
      <c r="B446" s="391" t="s">
        <v>7813</v>
      </c>
      <c r="C446" s="391" t="s">
        <v>7814</v>
      </c>
      <c r="D446" s="391" t="s">
        <v>2195</v>
      </c>
    </row>
    <row r="447" ht="15.75" customHeight="1">
      <c r="B447" s="391" t="s">
        <v>7815</v>
      </c>
      <c r="C447" s="391" t="s">
        <v>7816</v>
      </c>
      <c r="D447" s="391" t="s">
        <v>2232</v>
      </c>
    </row>
    <row r="448" ht="15.75" customHeight="1">
      <c r="B448" s="391" t="s">
        <v>7817</v>
      </c>
      <c r="C448" s="391" t="s">
        <v>7818</v>
      </c>
      <c r="D448" s="391" t="s">
        <v>2195</v>
      </c>
    </row>
    <row r="449" ht="15.75" customHeight="1">
      <c r="B449" s="391" t="s">
        <v>7819</v>
      </c>
      <c r="C449" s="391" t="s">
        <v>7820</v>
      </c>
      <c r="D449" s="391" t="s">
        <v>2232</v>
      </c>
    </row>
    <row r="450" ht="15.75" customHeight="1">
      <c r="B450" s="391" t="s">
        <v>7821</v>
      </c>
      <c r="C450" s="391" t="s">
        <v>7822</v>
      </c>
      <c r="D450" s="391" t="s">
        <v>2195</v>
      </c>
    </row>
    <row r="451" ht="15.75" customHeight="1">
      <c r="B451" s="391" t="s">
        <v>7823</v>
      </c>
      <c r="C451" s="391" t="s">
        <v>7824</v>
      </c>
      <c r="D451" s="391" t="s">
        <v>2232</v>
      </c>
    </row>
    <row r="452" ht="15.75" customHeight="1">
      <c r="B452" s="391" t="s">
        <v>7825</v>
      </c>
      <c r="C452" s="391" t="s">
        <v>7826</v>
      </c>
      <c r="D452" s="391" t="s">
        <v>2232</v>
      </c>
    </row>
    <row r="453" ht="15.75" customHeight="1">
      <c r="B453" s="391" t="s">
        <v>7827</v>
      </c>
      <c r="C453" s="391" t="s">
        <v>7828</v>
      </c>
      <c r="D453" s="391" t="s">
        <v>2232</v>
      </c>
    </row>
    <row r="454" ht="15.75" customHeight="1">
      <c r="B454" s="391" t="s">
        <v>7829</v>
      </c>
      <c r="C454" s="391" t="s">
        <v>7830</v>
      </c>
      <c r="D454" s="391" t="s">
        <v>2232</v>
      </c>
    </row>
    <row r="455" ht="15.75" customHeight="1">
      <c r="B455" s="391" t="s">
        <v>7831</v>
      </c>
      <c r="C455" s="391" t="s">
        <v>7832</v>
      </c>
      <c r="D455" s="391" t="s">
        <v>2232</v>
      </c>
    </row>
    <row r="456" ht="15.75" customHeight="1">
      <c r="B456" s="391" t="s">
        <v>7833</v>
      </c>
      <c r="C456" s="391" t="s">
        <v>7834</v>
      </c>
      <c r="D456" s="391" t="s">
        <v>2232</v>
      </c>
    </row>
    <row r="457" ht="15.75" customHeight="1">
      <c r="B457" s="391" t="s">
        <v>7835</v>
      </c>
      <c r="C457" s="391" t="s">
        <v>7836</v>
      </c>
      <c r="D457" s="391" t="s">
        <v>2232</v>
      </c>
    </row>
    <row r="458" ht="15.75" customHeight="1">
      <c r="B458" s="391" t="s">
        <v>7837</v>
      </c>
      <c r="C458" s="391" t="s">
        <v>7838</v>
      </c>
      <c r="D458" s="391" t="s">
        <v>2232</v>
      </c>
    </row>
    <row r="459" ht="15.75" customHeight="1">
      <c r="B459" s="391" t="s">
        <v>7839</v>
      </c>
      <c r="C459" s="391" t="s">
        <v>7840</v>
      </c>
      <c r="D459" s="391" t="s">
        <v>2232</v>
      </c>
    </row>
    <row r="460" ht="15.75" customHeight="1">
      <c r="B460" s="391" t="s">
        <v>7841</v>
      </c>
      <c r="C460" s="391" t="s">
        <v>7842</v>
      </c>
      <c r="D460" s="391" t="s">
        <v>2232</v>
      </c>
    </row>
    <row r="461" ht="15.75" customHeight="1">
      <c r="B461" s="391" t="s">
        <v>7843</v>
      </c>
      <c r="C461" s="391" t="s">
        <v>7844</v>
      </c>
      <c r="D461" s="391" t="s">
        <v>2232</v>
      </c>
    </row>
    <row r="462" ht="15.75" customHeight="1">
      <c r="B462" s="391" t="s">
        <v>7845</v>
      </c>
      <c r="C462" s="391" t="s">
        <v>7846</v>
      </c>
      <c r="D462" s="391" t="s">
        <v>2232</v>
      </c>
    </row>
    <row r="463" ht="15.75" customHeight="1">
      <c r="B463" s="391" t="s">
        <v>7847</v>
      </c>
      <c r="C463" s="391" t="s">
        <v>7848</v>
      </c>
      <c r="D463" s="391" t="s">
        <v>2232</v>
      </c>
    </row>
    <row r="464" ht="15.75" customHeight="1">
      <c r="B464" s="391" t="s">
        <v>4273</v>
      </c>
      <c r="C464" s="391" t="s">
        <v>7849</v>
      </c>
      <c r="D464" s="391" t="s">
        <v>2166</v>
      </c>
    </row>
    <row r="465" ht="15.75" customHeight="1">
      <c r="B465" s="391" t="s">
        <v>7850</v>
      </c>
      <c r="C465" s="391" t="s">
        <v>7851</v>
      </c>
      <c r="D465" s="391" t="s">
        <v>2195</v>
      </c>
    </row>
    <row r="466" ht="15.75" customHeight="1">
      <c r="B466" s="391" t="s">
        <v>4248</v>
      </c>
      <c r="C466" s="391" t="s">
        <v>7852</v>
      </c>
      <c r="D466" s="391" t="s">
        <v>2195</v>
      </c>
    </row>
    <row r="467" ht="15.75" customHeight="1">
      <c r="B467" s="391" t="s">
        <v>7853</v>
      </c>
      <c r="C467" s="391" t="s">
        <v>7852</v>
      </c>
      <c r="D467" s="391" t="s">
        <v>2195</v>
      </c>
    </row>
    <row r="468" ht="15.75" customHeight="1">
      <c r="B468" s="391" t="s">
        <v>4244</v>
      </c>
      <c r="C468" s="391" t="s">
        <v>7852</v>
      </c>
      <c r="D468" s="391" t="s">
        <v>2166</v>
      </c>
    </row>
    <row r="469" ht="15.75" customHeight="1">
      <c r="B469" s="391" t="s">
        <v>4265</v>
      </c>
      <c r="C469" s="391" t="s">
        <v>7852</v>
      </c>
      <c r="D469" s="391" t="s">
        <v>2195</v>
      </c>
    </row>
    <row r="470" ht="15.75" customHeight="1">
      <c r="B470" s="391" t="s">
        <v>4278</v>
      </c>
      <c r="C470" s="391" t="s">
        <v>7852</v>
      </c>
      <c r="D470" s="391" t="s">
        <v>2195</v>
      </c>
    </row>
    <row r="471" ht="15.75" customHeight="1">
      <c r="B471" s="391" t="s">
        <v>7854</v>
      </c>
      <c r="C471" s="391" t="s">
        <v>7855</v>
      </c>
      <c r="D471" s="391" t="s">
        <v>2195</v>
      </c>
    </row>
    <row r="472" ht="15.75" customHeight="1">
      <c r="B472" s="391" t="s">
        <v>4300</v>
      </c>
      <c r="C472" s="391" t="s">
        <v>7855</v>
      </c>
      <c r="D472" s="391" t="s">
        <v>2232</v>
      </c>
    </row>
    <row r="473" ht="15.75" customHeight="1">
      <c r="B473" s="391" t="s">
        <v>7856</v>
      </c>
      <c r="C473" s="391" t="s">
        <v>7857</v>
      </c>
      <c r="D473" s="391" t="s">
        <v>2195</v>
      </c>
    </row>
    <row r="474" ht="15.75" customHeight="1">
      <c r="B474" s="391" t="s">
        <v>7858</v>
      </c>
      <c r="C474" s="391" t="s">
        <v>7857</v>
      </c>
      <c r="D474" s="391" t="s">
        <v>2195</v>
      </c>
    </row>
    <row r="475" ht="15.75" customHeight="1">
      <c r="B475" s="391" t="s">
        <v>7859</v>
      </c>
      <c r="C475" s="391" t="s">
        <v>7857</v>
      </c>
      <c r="D475" s="391" t="s">
        <v>2195</v>
      </c>
    </row>
    <row r="476" ht="15.75" customHeight="1">
      <c r="B476" s="391" t="s">
        <v>7860</v>
      </c>
      <c r="C476" s="391" t="s">
        <v>7857</v>
      </c>
      <c r="D476" s="391" t="s">
        <v>2232</v>
      </c>
    </row>
    <row r="477" ht="15.75" customHeight="1">
      <c r="B477" s="391" t="s">
        <v>7861</v>
      </c>
      <c r="C477" s="391" t="s">
        <v>7857</v>
      </c>
      <c r="D477" s="391" t="s">
        <v>2232</v>
      </c>
    </row>
    <row r="478" ht="15.75" customHeight="1">
      <c r="B478" s="391" t="s">
        <v>7862</v>
      </c>
      <c r="C478" s="391" t="s">
        <v>7855</v>
      </c>
      <c r="D478" s="391" t="s">
        <v>2195</v>
      </c>
    </row>
    <row r="479" ht="15.75" customHeight="1">
      <c r="B479" s="391" t="s">
        <v>7863</v>
      </c>
      <c r="C479" s="391" t="s">
        <v>7855</v>
      </c>
      <c r="D479" s="391" t="s">
        <v>2232</v>
      </c>
    </row>
    <row r="480" ht="15.75" customHeight="1">
      <c r="B480" s="391" t="s">
        <v>4362</v>
      </c>
      <c r="C480" s="391" t="s">
        <v>7855</v>
      </c>
      <c r="D480" s="391" t="s">
        <v>2232</v>
      </c>
    </row>
    <row r="481" ht="15.75" customHeight="1">
      <c r="B481" s="391" t="s">
        <v>4256</v>
      </c>
      <c r="C481" s="391" t="s">
        <v>7857</v>
      </c>
      <c r="D481" s="391" t="s">
        <v>2166</v>
      </c>
    </row>
    <row r="482" ht="15.75" customHeight="1">
      <c r="B482" s="391" t="s">
        <v>4261</v>
      </c>
      <c r="C482" s="391" t="s">
        <v>7857</v>
      </c>
      <c r="D482" s="391" t="s">
        <v>2195</v>
      </c>
    </row>
    <row r="483" ht="15.75" customHeight="1">
      <c r="B483" s="391" t="s">
        <v>4269</v>
      </c>
      <c r="C483" s="391" t="s">
        <v>7857</v>
      </c>
      <c r="D483" s="391" t="s">
        <v>2166</v>
      </c>
    </row>
    <row r="484" ht="15.75" customHeight="1">
      <c r="B484" s="391" t="s">
        <v>7864</v>
      </c>
      <c r="C484" s="391" t="s">
        <v>7865</v>
      </c>
      <c r="D484" s="391" t="s">
        <v>2195</v>
      </c>
    </row>
    <row r="485" ht="15.75" customHeight="1">
      <c r="B485" s="391" t="s">
        <v>7866</v>
      </c>
      <c r="C485" s="391" t="s">
        <v>7865</v>
      </c>
      <c r="D485" s="391" t="s">
        <v>2195</v>
      </c>
    </row>
    <row r="486" ht="15.75" customHeight="1">
      <c r="B486" s="391" t="s">
        <v>7867</v>
      </c>
      <c r="C486" s="391" t="s">
        <v>7868</v>
      </c>
      <c r="D486" s="391" t="s">
        <v>2195</v>
      </c>
    </row>
    <row r="487" ht="15.75" customHeight="1">
      <c r="B487" s="391" t="s">
        <v>7869</v>
      </c>
      <c r="C487" s="391" t="s">
        <v>7870</v>
      </c>
      <c r="D487" s="391" t="s">
        <v>2232</v>
      </c>
    </row>
    <row r="488" ht="15.75" customHeight="1">
      <c r="B488" s="391" t="s">
        <v>7871</v>
      </c>
      <c r="C488" s="391" t="s">
        <v>7872</v>
      </c>
      <c r="D488" s="391" t="s">
        <v>2232</v>
      </c>
    </row>
    <row r="489" ht="15.75" customHeight="1">
      <c r="B489" s="391" t="s">
        <v>4252</v>
      </c>
      <c r="C489" s="391" t="s">
        <v>7873</v>
      </c>
      <c r="D489" s="391" t="s">
        <v>2232</v>
      </c>
    </row>
    <row r="490" ht="15.75" customHeight="1">
      <c r="B490" s="391" t="s">
        <v>7874</v>
      </c>
      <c r="C490" s="391" t="s">
        <v>7875</v>
      </c>
      <c r="D490" s="391" t="s">
        <v>2166</v>
      </c>
    </row>
    <row r="491" ht="15.75" customHeight="1">
      <c r="B491" s="391" t="s">
        <v>4601</v>
      </c>
      <c r="C491" s="391" t="s">
        <v>7876</v>
      </c>
      <c r="D491" s="391" t="s">
        <v>2166</v>
      </c>
    </row>
    <row r="492" ht="15.75" customHeight="1">
      <c r="B492" s="391" t="s">
        <v>4589</v>
      </c>
      <c r="C492" s="391" t="s">
        <v>4590</v>
      </c>
      <c r="D492" s="391" t="s">
        <v>2166</v>
      </c>
    </row>
    <row r="493" ht="15.75" customHeight="1">
      <c r="B493" s="391" t="s">
        <v>7877</v>
      </c>
      <c r="C493" s="391" t="s">
        <v>4590</v>
      </c>
      <c r="D493" s="391" t="s">
        <v>2166</v>
      </c>
    </row>
    <row r="494" ht="15.75" customHeight="1">
      <c r="B494" s="391" t="s">
        <v>7878</v>
      </c>
      <c r="C494" s="391" t="s">
        <v>7879</v>
      </c>
      <c r="D494" s="391" t="s">
        <v>2195</v>
      </c>
    </row>
    <row r="495" ht="15.75" customHeight="1">
      <c r="B495" s="391" t="s">
        <v>4593</v>
      </c>
      <c r="C495" s="391" t="s">
        <v>4594</v>
      </c>
      <c r="D495" s="391" t="s">
        <v>2166</v>
      </c>
    </row>
    <row r="496" ht="15.75" customHeight="1">
      <c r="B496" s="391" t="s">
        <v>7880</v>
      </c>
      <c r="C496" s="391" t="s">
        <v>7881</v>
      </c>
      <c r="D496" s="391" t="s">
        <v>2232</v>
      </c>
    </row>
    <row r="497" ht="15.75" customHeight="1">
      <c r="B497" s="391" t="s">
        <v>7882</v>
      </c>
      <c r="C497" s="391" t="s">
        <v>7881</v>
      </c>
      <c r="D497" s="391" t="s">
        <v>2195</v>
      </c>
    </row>
    <row r="498" ht="15.75" customHeight="1">
      <c r="B498" s="391" t="s">
        <v>4597</v>
      </c>
      <c r="C498" s="391" t="s">
        <v>4598</v>
      </c>
      <c r="D498" s="391" t="s">
        <v>2195</v>
      </c>
    </row>
    <row r="499" ht="15.75" customHeight="1">
      <c r="B499" s="391" t="s">
        <v>7883</v>
      </c>
      <c r="C499" s="391" t="s">
        <v>7884</v>
      </c>
      <c r="D499" s="391" t="s">
        <v>2232</v>
      </c>
    </row>
    <row r="500" ht="15.75" customHeight="1">
      <c r="B500" s="391" t="s">
        <v>7885</v>
      </c>
      <c r="C500" s="391" t="s">
        <v>7886</v>
      </c>
      <c r="D500" s="391" t="s">
        <v>2195</v>
      </c>
    </row>
    <row r="501" ht="15.75" customHeight="1">
      <c r="B501" s="391" t="s">
        <v>7887</v>
      </c>
      <c r="C501" s="391" t="s">
        <v>7888</v>
      </c>
      <c r="D501" s="391" t="s">
        <v>2195</v>
      </c>
    </row>
    <row r="502" ht="15.75" customHeight="1">
      <c r="B502" s="391" t="s">
        <v>7889</v>
      </c>
      <c r="C502" s="391" t="s">
        <v>7890</v>
      </c>
      <c r="D502" s="391" t="s">
        <v>2195</v>
      </c>
    </row>
    <row r="503" ht="15.75" customHeight="1">
      <c r="B503" s="391" t="s">
        <v>7891</v>
      </c>
      <c r="C503" s="391" t="s">
        <v>7892</v>
      </c>
      <c r="D503" s="391" t="s">
        <v>2232</v>
      </c>
    </row>
    <row r="504" ht="15.75" customHeight="1">
      <c r="B504" s="391" t="s">
        <v>7893</v>
      </c>
      <c r="C504" s="391" t="s">
        <v>7894</v>
      </c>
      <c r="D504" s="391" t="s">
        <v>2195</v>
      </c>
    </row>
    <row r="505" ht="15.75" customHeight="1">
      <c r="B505" s="391" t="s">
        <v>7895</v>
      </c>
      <c r="C505" s="391" t="s">
        <v>7894</v>
      </c>
      <c r="D505" s="391" t="s">
        <v>2195</v>
      </c>
    </row>
    <row r="506" ht="15.75" customHeight="1">
      <c r="B506" s="391" t="s">
        <v>6865</v>
      </c>
      <c r="C506" s="391" t="s">
        <v>7896</v>
      </c>
      <c r="D506" s="391" t="s">
        <v>2232</v>
      </c>
    </row>
    <row r="507" ht="15.75" customHeight="1">
      <c r="B507" s="391" t="s">
        <v>6878</v>
      </c>
      <c r="C507" s="391" t="s">
        <v>7897</v>
      </c>
      <c r="D507" s="391" t="s">
        <v>2232</v>
      </c>
    </row>
    <row r="508" ht="15.75" customHeight="1">
      <c r="B508" s="391" t="s">
        <v>7898</v>
      </c>
      <c r="C508" s="391" t="s">
        <v>7897</v>
      </c>
      <c r="D508" s="391" t="s">
        <v>2195</v>
      </c>
    </row>
    <row r="509" ht="15.75" customHeight="1">
      <c r="B509" s="391" t="s">
        <v>6869</v>
      </c>
      <c r="C509" s="391" t="s">
        <v>7899</v>
      </c>
      <c r="D509" s="391" t="s">
        <v>2232</v>
      </c>
    </row>
    <row r="510" ht="15.75" customHeight="1">
      <c r="B510" s="391" t="s">
        <v>7900</v>
      </c>
      <c r="C510" s="391" t="s">
        <v>7899</v>
      </c>
      <c r="D510" s="391" t="s">
        <v>2195</v>
      </c>
    </row>
    <row r="511" ht="15.75" customHeight="1">
      <c r="B511" s="391" t="s">
        <v>7901</v>
      </c>
      <c r="C511" s="391" t="s">
        <v>7899</v>
      </c>
      <c r="D511" s="391" t="s">
        <v>2195</v>
      </c>
    </row>
    <row r="512" ht="15.75" customHeight="1">
      <c r="B512" s="391" t="s">
        <v>6886</v>
      </c>
      <c r="C512" s="391" t="s">
        <v>7899</v>
      </c>
      <c r="D512" s="391" t="s">
        <v>2232</v>
      </c>
    </row>
    <row r="513" ht="15.75" customHeight="1">
      <c r="B513" s="391" t="s">
        <v>7902</v>
      </c>
      <c r="C513" s="391" t="s">
        <v>7903</v>
      </c>
      <c r="D513" s="391" t="s">
        <v>2195</v>
      </c>
    </row>
    <row r="514" ht="15.75" customHeight="1">
      <c r="B514" s="391" t="s">
        <v>6873</v>
      </c>
      <c r="C514" s="391" t="s">
        <v>7904</v>
      </c>
      <c r="D514" s="391" t="s">
        <v>2232</v>
      </c>
    </row>
    <row r="515" ht="15.75" customHeight="1">
      <c r="B515" s="391" t="s">
        <v>6894</v>
      </c>
      <c r="C515" s="391" t="s">
        <v>7904</v>
      </c>
      <c r="D515" s="391" t="s">
        <v>2195</v>
      </c>
    </row>
    <row r="516" ht="15.75" customHeight="1">
      <c r="B516" s="391" t="s">
        <v>6882</v>
      </c>
      <c r="C516" s="391" t="s">
        <v>7904</v>
      </c>
      <c r="D516" s="391" t="s">
        <v>2195</v>
      </c>
    </row>
    <row r="517" ht="15.75" customHeight="1">
      <c r="B517" s="391" t="s">
        <v>6890</v>
      </c>
      <c r="C517" s="391" t="s">
        <v>7904</v>
      </c>
      <c r="D517" s="391" t="s">
        <v>2195</v>
      </c>
    </row>
    <row r="518" ht="15.75" customHeight="1">
      <c r="B518" s="391" t="s">
        <v>6899</v>
      </c>
      <c r="C518" s="391" t="s">
        <v>7904</v>
      </c>
      <c r="D518" s="391" t="s">
        <v>2195</v>
      </c>
    </row>
    <row r="519" ht="15.75" customHeight="1">
      <c r="B519" s="391" t="s">
        <v>7905</v>
      </c>
      <c r="C519" s="391" t="s">
        <v>7906</v>
      </c>
      <c r="D519" s="391" t="s">
        <v>2195</v>
      </c>
    </row>
    <row r="520" ht="15.75" customHeight="1">
      <c r="B520" s="391" t="s">
        <v>7907</v>
      </c>
      <c r="C520" s="391" t="s">
        <v>7906</v>
      </c>
      <c r="D520" s="391" t="s">
        <v>2195</v>
      </c>
    </row>
    <row r="521" ht="15.75" customHeight="1">
      <c r="B521" s="391" t="s">
        <v>7908</v>
      </c>
      <c r="C521" s="391" t="s">
        <v>7906</v>
      </c>
      <c r="D521" s="391" t="s">
        <v>2195</v>
      </c>
    </row>
    <row r="522" ht="15.75" customHeight="1">
      <c r="B522" s="391" t="s">
        <v>7909</v>
      </c>
      <c r="C522" s="391" t="s">
        <v>7906</v>
      </c>
      <c r="D522" s="391" t="s">
        <v>2195</v>
      </c>
    </row>
    <row r="523" ht="15.75" customHeight="1">
      <c r="B523" s="391" t="s">
        <v>6909</v>
      </c>
      <c r="C523" s="391" t="s">
        <v>7910</v>
      </c>
      <c r="D523" s="391" t="s">
        <v>2195</v>
      </c>
    </row>
    <row r="524" ht="15.75" customHeight="1">
      <c r="B524" s="391" t="s">
        <v>7911</v>
      </c>
      <c r="C524" s="391" t="s">
        <v>7910</v>
      </c>
      <c r="D524" s="391" t="s">
        <v>2195</v>
      </c>
    </row>
    <row r="525" ht="15.75" customHeight="1">
      <c r="B525" s="391" t="s">
        <v>6918</v>
      </c>
      <c r="C525" s="391" t="s">
        <v>7910</v>
      </c>
      <c r="D525" s="391" t="s">
        <v>2195</v>
      </c>
    </row>
    <row r="526" ht="15.75" customHeight="1">
      <c r="B526" s="391" t="s">
        <v>7912</v>
      </c>
      <c r="C526" s="391" t="s">
        <v>7910</v>
      </c>
      <c r="D526" s="391" t="s">
        <v>2195</v>
      </c>
    </row>
    <row r="527" ht="15.75" customHeight="1">
      <c r="B527" s="391" t="s">
        <v>6922</v>
      </c>
      <c r="C527" s="391" t="s">
        <v>7910</v>
      </c>
      <c r="D527" s="391" t="s">
        <v>2195</v>
      </c>
    </row>
    <row r="528" ht="15.75" customHeight="1">
      <c r="B528" s="391" t="s">
        <v>7913</v>
      </c>
      <c r="C528" s="391" t="s">
        <v>7914</v>
      </c>
      <c r="D528" s="391" t="s">
        <v>2195</v>
      </c>
    </row>
    <row r="529" ht="15.75" customHeight="1">
      <c r="B529" s="391" t="s">
        <v>7915</v>
      </c>
      <c r="C529" s="391" t="s">
        <v>7916</v>
      </c>
      <c r="D529" s="391" t="s">
        <v>2195</v>
      </c>
    </row>
    <row r="530" ht="15.75" customHeight="1">
      <c r="B530" s="391" t="s">
        <v>6903</v>
      </c>
      <c r="C530" s="391" t="s">
        <v>7917</v>
      </c>
      <c r="D530" s="391" t="s">
        <v>2195</v>
      </c>
    </row>
    <row r="531" ht="15.75" customHeight="1">
      <c r="B531" s="391" t="s">
        <v>2140</v>
      </c>
      <c r="C531" s="391" t="s">
        <v>7918</v>
      </c>
      <c r="D531" s="391" t="s">
        <v>2232</v>
      </c>
    </row>
    <row r="532" ht="15.75" customHeight="1">
      <c r="B532" s="391" t="s">
        <v>2144</v>
      </c>
      <c r="C532" s="391" t="s">
        <v>7919</v>
      </c>
      <c r="D532" s="391" t="s">
        <v>2232</v>
      </c>
    </row>
    <row r="533" ht="15.75" customHeight="1">
      <c r="B533" s="391" t="s">
        <v>7920</v>
      </c>
      <c r="C533" s="391" t="s">
        <v>7921</v>
      </c>
      <c r="D533" s="391" t="s">
        <v>2232</v>
      </c>
    </row>
    <row r="534" ht="15.75" customHeight="1">
      <c r="B534" s="391" t="s">
        <v>7922</v>
      </c>
      <c r="C534" s="391" t="s">
        <v>7923</v>
      </c>
      <c r="D534" s="391" t="s">
        <v>2195</v>
      </c>
    </row>
    <row r="535" ht="15.75" customHeight="1">
      <c r="B535" s="391" t="s">
        <v>7924</v>
      </c>
      <c r="C535" s="391" t="s">
        <v>7923</v>
      </c>
      <c r="D535" s="391" t="s">
        <v>2195</v>
      </c>
    </row>
    <row r="536" ht="15.75" customHeight="1">
      <c r="B536" s="391" t="s">
        <v>7925</v>
      </c>
      <c r="C536" s="391" t="s">
        <v>7926</v>
      </c>
      <c r="D536" s="391" t="s">
        <v>2195</v>
      </c>
    </row>
    <row r="537" ht="15.75" customHeight="1">
      <c r="B537" s="391" t="s">
        <v>7927</v>
      </c>
      <c r="C537" s="391" t="s">
        <v>7928</v>
      </c>
      <c r="D537" s="391" t="s">
        <v>2195</v>
      </c>
    </row>
    <row r="538" ht="15.75" customHeight="1">
      <c r="B538" s="391" t="s">
        <v>7929</v>
      </c>
      <c r="C538" s="391" t="s">
        <v>7930</v>
      </c>
      <c r="D538" s="391" t="s">
        <v>2166</v>
      </c>
    </row>
    <row r="539" ht="15.75" customHeight="1">
      <c r="B539" s="391" t="s">
        <v>4699</v>
      </c>
      <c r="C539" s="391" t="s">
        <v>7931</v>
      </c>
      <c r="D539" s="391" t="s">
        <v>2195</v>
      </c>
    </row>
    <row r="540" ht="15.75" customHeight="1">
      <c r="B540" s="391" t="s">
        <v>4647</v>
      </c>
      <c r="C540" s="391" t="s">
        <v>7932</v>
      </c>
      <c r="D540" s="391" t="s">
        <v>2195</v>
      </c>
    </row>
    <row r="541" ht="15.75" customHeight="1">
      <c r="B541" s="391" t="s">
        <v>4651</v>
      </c>
      <c r="C541" s="391" t="s">
        <v>7932</v>
      </c>
      <c r="D541" s="391" t="s">
        <v>2195</v>
      </c>
    </row>
    <row r="542" ht="15.75" customHeight="1">
      <c r="B542" s="391" t="s">
        <v>4655</v>
      </c>
      <c r="C542" s="391" t="s">
        <v>7932</v>
      </c>
      <c r="D542" s="391" t="s">
        <v>2195</v>
      </c>
    </row>
    <row r="543" ht="15.75" customHeight="1">
      <c r="B543" s="391" t="s">
        <v>4675</v>
      </c>
      <c r="C543" s="391" t="s">
        <v>7933</v>
      </c>
      <c r="D543" s="391" t="s">
        <v>2195</v>
      </c>
    </row>
    <row r="544" ht="15.75" customHeight="1">
      <c r="B544" s="391" t="s">
        <v>4663</v>
      </c>
      <c r="C544" s="391" t="s">
        <v>7934</v>
      </c>
      <c r="D544" s="391" t="s">
        <v>2232</v>
      </c>
    </row>
    <row r="545" ht="15.75" customHeight="1">
      <c r="B545" s="391" t="s">
        <v>7935</v>
      </c>
      <c r="C545" s="391" t="s">
        <v>7934</v>
      </c>
      <c r="D545" s="391" t="s">
        <v>2166</v>
      </c>
    </row>
    <row r="546" ht="15.75" customHeight="1">
      <c r="B546" s="391" t="s">
        <v>7936</v>
      </c>
      <c r="C546" s="391" t="s">
        <v>7934</v>
      </c>
      <c r="D546" s="391" t="s">
        <v>2232</v>
      </c>
    </row>
    <row r="547" ht="15.75" customHeight="1">
      <c r="B547" s="391" t="s">
        <v>7937</v>
      </c>
      <c r="C547" s="391" t="s">
        <v>7934</v>
      </c>
      <c r="D547" s="391" t="s">
        <v>2166</v>
      </c>
    </row>
    <row r="548" ht="15.75" customHeight="1">
      <c r="B548" s="391" t="s">
        <v>7938</v>
      </c>
      <c r="C548" s="391" t="s">
        <v>7934</v>
      </c>
      <c r="D548" s="391" t="s">
        <v>2166</v>
      </c>
    </row>
    <row r="549" ht="15.75" customHeight="1">
      <c r="B549" s="391" t="s">
        <v>4688</v>
      </c>
      <c r="C549" s="391" t="s">
        <v>7934</v>
      </c>
      <c r="D549" s="391" t="s">
        <v>2166</v>
      </c>
    </row>
    <row r="550" ht="15.75" customHeight="1">
      <c r="B550" s="391" t="s">
        <v>4691</v>
      </c>
      <c r="C550" s="391" t="s">
        <v>7934</v>
      </c>
      <c r="D550" s="391" t="s">
        <v>2166</v>
      </c>
    </row>
    <row r="551" ht="15.75" customHeight="1">
      <c r="B551" s="391" t="s">
        <v>4621</v>
      </c>
      <c r="C551" s="391" t="s">
        <v>7934</v>
      </c>
      <c r="D551" s="391" t="s">
        <v>2195</v>
      </c>
    </row>
    <row r="552" ht="15.75" customHeight="1">
      <c r="B552" s="391" t="s">
        <v>4734</v>
      </c>
      <c r="C552" s="391" t="s">
        <v>7939</v>
      </c>
      <c r="D552" s="391" t="s">
        <v>2166</v>
      </c>
    </row>
    <row r="553" ht="15.75" customHeight="1">
      <c r="B553" s="391" t="s">
        <v>4735</v>
      </c>
      <c r="C553" s="391" t="s">
        <v>7939</v>
      </c>
      <c r="D553" s="391" t="s">
        <v>2195</v>
      </c>
    </row>
    <row r="554" ht="15.75" customHeight="1">
      <c r="B554" s="391" t="s">
        <v>4736</v>
      </c>
      <c r="C554" s="391" t="s">
        <v>7939</v>
      </c>
      <c r="D554" s="391" t="s">
        <v>2232</v>
      </c>
    </row>
    <row r="555" ht="15.75" customHeight="1">
      <c r="B555" s="391" t="s">
        <v>4740</v>
      </c>
      <c r="C555" s="391" t="s">
        <v>7939</v>
      </c>
      <c r="D555" s="391" t="s">
        <v>2166</v>
      </c>
    </row>
    <row r="556" ht="15.75" customHeight="1">
      <c r="B556" s="391" t="s">
        <v>4743</v>
      </c>
      <c r="C556" s="391" t="s">
        <v>7939</v>
      </c>
      <c r="D556" s="391" t="s">
        <v>2166</v>
      </c>
    </row>
    <row r="557" ht="15.75" customHeight="1">
      <c r="B557" s="391" t="s">
        <v>4746</v>
      </c>
      <c r="C557" s="391" t="s">
        <v>7939</v>
      </c>
      <c r="D557" s="391" t="s">
        <v>2232</v>
      </c>
    </row>
    <row r="558" ht="15.75" customHeight="1">
      <c r="B558" s="391" t="s">
        <v>4749</v>
      </c>
      <c r="C558" s="391" t="s">
        <v>7940</v>
      </c>
      <c r="D558" s="391" t="s">
        <v>2232</v>
      </c>
    </row>
    <row r="559" ht="15.75" customHeight="1">
      <c r="B559" s="391" t="s">
        <v>7941</v>
      </c>
      <c r="C559" s="391" t="s">
        <v>7940</v>
      </c>
      <c r="D559" s="391" t="s">
        <v>2195</v>
      </c>
    </row>
    <row r="560" ht="15.75" customHeight="1">
      <c r="B560" s="391" t="s">
        <v>4659</v>
      </c>
      <c r="C560" s="391" t="s">
        <v>7942</v>
      </c>
      <c r="D560" s="391" t="s">
        <v>2195</v>
      </c>
    </row>
    <row r="561" ht="15.75" customHeight="1">
      <c r="B561" s="391" t="s">
        <v>4704</v>
      </c>
      <c r="C561" s="391" t="s">
        <v>7943</v>
      </c>
      <c r="D561" s="391" t="s">
        <v>2166</v>
      </c>
    </row>
    <row r="562" ht="15.75" customHeight="1">
      <c r="B562" s="391" t="s">
        <v>4708</v>
      </c>
      <c r="C562" s="391" t="s">
        <v>7943</v>
      </c>
      <c r="D562" s="391" t="s">
        <v>2166</v>
      </c>
    </row>
    <row r="563" ht="15.75" customHeight="1">
      <c r="B563" s="391" t="s">
        <v>4712</v>
      </c>
      <c r="C563" s="391" t="s">
        <v>7943</v>
      </c>
      <c r="D563" s="391" t="s">
        <v>2166</v>
      </c>
    </row>
    <row r="564" ht="15.75" customHeight="1">
      <c r="B564" s="391" t="s">
        <v>4684</v>
      </c>
      <c r="C564" s="391" t="s">
        <v>7943</v>
      </c>
      <c r="D564" s="391" t="s">
        <v>2166</v>
      </c>
    </row>
    <row r="565" ht="15.75" customHeight="1">
      <c r="B565" s="391" t="s">
        <v>4638</v>
      </c>
      <c r="C565" s="391" t="s">
        <v>7944</v>
      </c>
      <c r="D565" s="391" t="s">
        <v>2195</v>
      </c>
    </row>
    <row r="566" ht="15.75" customHeight="1">
      <c r="B566" s="391" t="s">
        <v>7945</v>
      </c>
      <c r="C566" s="391" t="s">
        <v>7946</v>
      </c>
      <c r="D566" s="391" t="s">
        <v>2166</v>
      </c>
    </row>
    <row r="567" ht="15.75" customHeight="1">
      <c r="B567" s="391" t="s">
        <v>7947</v>
      </c>
      <c r="C567" s="391" t="s">
        <v>7948</v>
      </c>
      <c r="D567" s="391" t="s">
        <v>2232</v>
      </c>
    </row>
    <row r="568" ht="15.75" customHeight="1">
      <c r="B568" s="391" t="s">
        <v>4681</v>
      </c>
      <c r="C568" s="391" t="s">
        <v>7948</v>
      </c>
      <c r="D568" s="391" t="s">
        <v>2166</v>
      </c>
    </row>
    <row r="569" ht="15.75" customHeight="1">
      <c r="B569" s="391" t="s">
        <v>7949</v>
      </c>
      <c r="C569" s="391" t="s">
        <v>7948</v>
      </c>
      <c r="D569" s="391" t="s">
        <v>2166</v>
      </c>
    </row>
    <row r="570" ht="15.75" customHeight="1">
      <c r="B570" s="391" t="s">
        <v>4634</v>
      </c>
      <c r="C570" s="391" t="s">
        <v>7950</v>
      </c>
      <c r="D570" s="391" t="s">
        <v>2195</v>
      </c>
    </row>
    <row r="571" ht="15.75" customHeight="1">
      <c r="B571" s="391" t="s">
        <v>4642</v>
      </c>
      <c r="C571" s="391" t="s">
        <v>7950</v>
      </c>
      <c r="D571" s="391" t="s">
        <v>2195</v>
      </c>
    </row>
    <row r="572" ht="15.75" customHeight="1">
      <c r="B572" s="391" t="s">
        <v>7951</v>
      </c>
      <c r="C572" s="391" t="s">
        <v>7950</v>
      </c>
      <c r="D572" s="391" t="s">
        <v>2195</v>
      </c>
    </row>
    <row r="573" ht="15.75" customHeight="1">
      <c r="B573" s="391" t="s">
        <v>4695</v>
      </c>
      <c r="C573" s="391" t="s">
        <v>7952</v>
      </c>
      <c r="D573" s="391" t="s">
        <v>2232</v>
      </c>
    </row>
    <row r="574" ht="15.75" customHeight="1">
      <c r="B574" s="391" t="s">
        <v>4717</v>
      </c>
      <c r="C574" s="391" t="s">
        <v>7952</v>
      </c>
      <c r="D574" s="391" t="s">
        <v>2195</v>
      </c>
    </row>
    <row r="575" ht="15.75" customHeight="1">
      <c r="B575" s="391" t="s">
        <v>7953</v>
      </c>
      <c r="C575" s="391" t="s">
        <v>7952</v>
      </c>
      <c r="D575" s="391" t="s">
        <v>2166</v>
      </c>
    </row>
    <row r="576" ht="15.75" customHeight="1">
      <c r="B576" s="391" t="s">
        <v>7954</v>
      </c>
      <c r="C576" s="391" t="s">
        <v>7952</v>
      </c>
      <c r="D576" s="391" t="s">
        <v>2195</v>
      </c>
    </row>
    <row r="577" ht="15.75" customHeight="1">
      <c r="B577" s="391" t="s">
        <v>7955</v>
      </c>
      <c r="C577" s="391" t="s">
        <v>7952</v>
      </c>
      <c r="D577" s="391" t="s">
        <v>2166</v>
      </c>
    </row>
    <row r="578" ht="15.75" customHeight="1">
      <c r="B578" s="391" t="s">
        <v>7956</v>
      </c>
      <c r="C578" s="391" t="s">
        <v>7952</v>
      </c>
      <c r="D578" s="391" t="s">
        <v>2232</v>
      </c>
    </row>
    <row r="579" ht="15.75" customHeight="1">
      <c r="B579" s="391" t="s">
        <v>4625</v>
      </c>
      <c r="C579" s="391" t="s">
        <v>7952</v>
      </c>
      <c r="D579" s="391" t="s">
        <v>2232</v>
      </c>
    </row>
    <row r="580" ht="15.75" customHeight="1">
      <c r="B580" s="391" t="s">
        <v>4632</v>
      </c>
      <c r="C580" s="391" t="s">
        <v>7952</v>
      </c>
      <c r="D580" s="391" t="s">
        <v>2195</v>
      </c>
    </row>
    <row r="581" ht="15.75" customHeight="1">
      <c r="B581" s="391" t="s">
        <v>7957</v>
      </c>
      <c r="C581" s="391" t="s">
        <v>7958</v>
      </c>
      <c r="D581" s="391" t="s">
        <v>2166</v>
      </c>
    </row>
    <row r="582" ht="15.75" customHeight="1">
      <c r="B582" s="391" t="s">
        <v>7959</v>
      </c>
      <c r="C582" s="391" t="s">
        <v>7959</v>
      </c>
      <c r="D582" s="391" t="s">
        <v>2166</v>
      </c>
    </row>
    <row r="583" ht="15.75" customHeight="1">
      <c r="B583" s="391" t="s">
        <v>7960</v>
      </c>
      <c r="C583" s="391" t="s">
        <v>7961</v>
      </c>
      <c r="D583" s="391" t="s">
        <v>2166</v>
      </c>
    </row>
    <row r="584" ht="15.75" customHeight="1">
      <c r="B584" s="391" t="s">
        <v>7962</v>
      </c>
      <c r="C584" s="391" t="s">
        <v>7963</v>
      </c>
      <c r="D584" s="391" t="s">
        <v>2195</v>
      </c>
    </row>
    <row r="585" ht="15.75" customHeight="1">
      <c r="B585" s="391" t="s">
        <v>7964</v>
      </c>
      <c r="C585" s="391" t="s">
        <v>7963</v>
      </c>
      <c r="D585" s="391" t="s">
        <v>2195</v>
      </c>
    </row>
    <row r="586" ht="15.75" customHeight="1">
      <c r="B586" s="391" t="s">
        <v>7965</v>
      </c>
      <c r="C586" s="391" t="s">
        <v>7966</v>
      </c>
      <c r="D586" s="391" t="s">
        <v>2232</v>
      </c>
    </row>
    <row r="587" ht="15.75" customHeight="1">
      <c r="B587" s="391" t="s">
        <v>7967</v>
      </c>
      <c r="C587" s="391" t="s">
        <v>7968</v>
      </c>
      <c r="D587" s="391" t="s">
        <v>2195</v>
      </c>
    </row>
    <row r="588" ht="15.75" customHeight="1">
      <c r="B588" s="391" t="s">
        <v>7969</v>
      </c>
      <c r="C588" s="391" t="s">
        <v>7968</v>
      </c>
      <c r="D588" s="391" t="s">
        <v>2232</v>
      </c>
    </row>
    <row r="589" ht="15.75" customHeight="1">
      <c r="B589" s="393" t="s">
        <v>7970</v>
      </c>
      <c r="C589" s="391" t="s">
        <v>7971</v>
      </c>
      <c r="D589" s="391" t="s">
        <v>2195</v>
      </c>
    </row>
    <row r="590" ht="15.75" customHeight="1">
      <c r="B590" s="393" t="s">
        <v>7972</v>
      </c>
      <c r="C590" s="391" t="s">
        <v>7971</v>
      </c>
      <c r="D590" s="391" t="s">
        <v>2195</v>
      </c>
    </row>
    <row r="591" ht="15.75" customHeight="1">
      <c r="B591" s="391" t="s">
        <v>7973</v>
      </c>
      <c r="C591" s="391" t="s">
        <v>7974</v>
      </c>
      <c r="D591" s="391" t="s">
        <v>2166</v>
      </c>
    </row>
    <row r="592" ht="15.75" customHeight="1">
      <c r="B592" s="391" t="s">
        <v>1900</v>
      </c>
      <c r="C592" s="391" t="s">
        <v>7975</v>
      </c>
      <c r="D592" s="391" t="s">
        <v>2166</v>
      </c>
    </row>
    <row r="593" ht="15.75" customHeight="1">
      <c r="B593" s="391" t="s">
        <v>7976</v>
      </c>
      <c r="C593" s="391" t="s">
        <v>7975</v>
      </c>
      <c r="D593" s="391" t="s">
        <v>2166</v>
      </c>
    </row>
    <row r="594" ht="15.75" customHeight="1">
      <c r="B594" s="391" t="s">
        <v>7977</v>
      </c>
      <c r="C594" s="391" t="s">
        <v>7975</v>
      </c>
      <c r="D594" s="391" t="s">
        <v>2195</v>
      </c>
    </row>
    <row r="595" ht="15.75" customHeight="1">
      <c r="B595" s="391" t="s">
        <v>1875</v>
      </c>
      <c r="C595" s="391" t="s">
        <v>7978</v>
      </c>
      <c r="D595" s="391" t="s">
        <v>2195</v>
      </c>
    </row>
    <row r="596" ht="15.75" customHeight="1">
      <c r="B596" s="391" t="s">
        <v>7979</v>
      </c>
      <c r="C596" s="391" t="s">
        <v>7980</v>
      </c>
      <c r="D596" s="391" t="s">
        <v>2166</v>
      </c>
    </row>
    <row r="597" ht="15.75" customHeight="1">
      <c r="B597" s="391" t="s">
        <v>2093</v>
      </c>
      <c r="C597" s="391" t="s">
        <v>7981</v>
      </c>
      <c r="D597" s="391" t="s">
        <v>2232</v>
      </c>
    </row>
    <row r="598" ht="15.75" customHeight="1">
      <c r="B598" s="391" t="s">
        <v>7982</v>
      </c>
      <c r="C598" s="391" t="s">
        <v>7981</v>
      </c>
      <c r="D598" s="391" t="s">
        <v>2232</v>
      </c>
    </row>
    <row r="599" ht="15.75" customHeight="1">
      <c r="B599" s="391" t="s">
        <v>7983</v>
      </c>
      <c r="C599" s="391" t="s">
        <v>7981</v>
      </c>
      <c r="D599" s="391" t="s">
        <v>2232</v>
      </c>
    </row>
    <row r="600" ht="15.75" customHeight="1">
      <c r="B600" s="391" t="s">
        <v>7984</v>
      </c>
      <c r="C600" s="391" t="s">
        <v>7985</v>
      </c>
      <c r="D600" s="391" t="s">
        <v>2195</v>
      </c>
    </row>
    <row r="601" ht="15.75" customHeight="1">
      <c r="B601" s="391" t="s">
        <v>7986</v>
      </c>
      <c r="C601" s="391" t="s">
        <v>7987</v>
      </c>
      <c r="D601" s="391" t="s">
        <v>2195</v>
      </c>
    </row>
    <row r="602" ht="15.75" customHeight="1">
      <c r="B602" s="391" t="s">
        <v>7988</v>
      </c>
      <c r="C602" s="391" t="s">
        <v>7989</v>
      </c>
      <c r="D602" s="391" t="s">
        <v>2195</v>
      </c>
    </row>
    <row r="603" ht="15.75" customHeight="1">
      <c r="B603" s="391" t="s">
        <v>7990</v>
      </c>
      <c r="C603" s="391" t="s">
        <v>7991</v>
      </c>
      <c r="D603" s="391" t="s">
        <v>2195</v>
      </c>
    </row>
    <row r="604" ht="15.75" customHeight="1">
      <c r="B604" s="391" t="s">
        <v>7992</v>
      </c>
      <c r="C604" s="391" t="s">
        <v>7991</v>
      </c>
      <c r="D604" s="391" t="s">
        <v>2195</v>
      </c>
    </row>
    <row r="605" ht="15.75" customHeight="1">
      <c r="B605" s="391" t="s">
        <v>7993</v>
      </c>
      <c r="C605" s="391" t="s">
        <v>7991</v>
      </c>
      <c r="D605" s="391" t="s">
        <v>2195</v>
      </c>
    </row>
    <row r="606" ht="15.75" customHeight="1">
      <c r="B606" s="391" t="s">
        <v>7994</v>
      </c>
      <c r="C606" s="391" t="s">
        <v>7991</v>
      </c>
      <c r="D606" s="391" t="s">
        <v>2195</v>
      </c>
    </row>
    <row r="607" ht="15.75" customHeight="1">
      <c r="B607" s="391" t="s">
        <v>7995</v>
      </c>
      <c r="C607" s="391" t="s">
        <v>7996</v>
      </c>
      <c r="D607" s="391" t="s">
        <v>2166</v>
      </c>
    </row>
    <row r="608" ht="15.75" customHeight="1">
      <c r="B608" s="391" t="s">
        <v>7997</v>
      </c>
      <c r="C608" s="391" t="s">
        <v>7996</v>
      </c>
      <c r="D608" s="391" t="s">
        <v>2166</v>
      </c>
    </row>
    <row r="609" ht="15.75" customHeight="1">
      <c r="B609" s="391" t="s">
        <v>1815</v>
      </c>
      <c r="C609" s="391" t="s">
        <v>7998</v>
      </c>
      <c r="D609" s="391" t="s">
        <v>2166</v>
      </c>
    </row>
    <row r="610" ht="15.75" customHeight="1">
      <c r="B610" s="391" t="s">
        <v>1818</v>
      </c>
      <c r="C610" s="391" t="s">
        <v>7998</v>
      </c>
      <c r="D610" s="391" t="s">
        <v>2166</v>
      </c>
    </row>
    <row r="611" ht="15.75" customHeight="1">
      <c r="B611" s="391" t="s">
        <v>1821</v>
      </c>
      <c r="C611" s="391" t="s">
        <v>7998</v>
      </c>
      <c r="D611" s="391" t="s">
        <v>2166</v>
      </c>
    </row>
    <row r="612" ht="15.75" customHeight="1">
      <c r="B612" s="391" t="s">
        <v>1825</v>
      </c>
      <c r="C612" s="391" t="s">
        <v>7998</v>
      </c>
      <c r="D612" s="391" t="s">
        <v>2166</v>
      </c>
    </row>
    <row r="613" ht="15.75" customHeight="1">
      <c r="B613" s="391" t="s">
        <v>7999</v>
      </c>
      <c r="C613" s="391" t="s">
        <v>7998</v>
      </c>
      <c r="D613" s="391" t="s">
        <v>2195</v>
      </c>
    </row>
    <row r="614" ht="15.75" customHeight="1">
      <c r="B614" s="391" t="s">
        <v>1777</v>
      </c>
      <c r="C614" s="391" t="s">
        <v>7998</v>
      </c>
      <c r="D614" s="391" t="s">
        <v>2166</v>
      </c>
    </row>
    <row r="615" ht="15.75" customHeight="1">
      <c r="B615" s="391" t="s">
        <v>1781</v>
      </c>
      <c r="C615" s="391" t="s">
        <v>7998</v>
      </c>
      <c r="D615" s="391" t="s">
        <v>2166</v>
      </c>
    </row>
    <row r="616" ht="15.75" customHeight="1">
      <c r="B616" s="391" t="s">
        <v>1789</v>
      </c>
      <c r="C616" s="391" t="s">
        <v>7998</v>
      </c>
      <c r="D616" s="391" t="s">
        <v>2166</v>
      </c>
    </row>
    <row r="617" ht="15.75" customHeight="1">
      <c r="B617" s="391" t="s">
        <v>1785</v>
      </c>
      <c r="C617" s="391" t="s">
        <v>7998</v>
      </c>
      <c r="D617" s="391" t="s">
        <v>2166</v>
      </c>
    </row>
    <row r="618" ht="15.75" customHeight="1">
      <c r="B618" s="391" t="s">
        <v>1793</v>
      </c>
      <c r="C618" s="391" t="s">
        <v>7998</v>
      </c>
      <c r="D618" s="391" t="s">
        <v>2166</v>
      </c>
    </row>
    <row r="619" ht="15.75" customHeight="1">
      <c r="B619" s="391" t="s">
        <v>8000</v>
      </c>
      <c r="C619" s="391" t="s">
        <v>7998</v>
      </c>
      <c r="D619" s="391" t="s">
        <v>2232</v>
      </c>
    </row>
    <row r="620" ht="15.75" customHeight="1">
      <c r="B620" s="391" t="s">
        <v>8001</v>
      </c>
      <c r="C620" s="391" t="s">
        <v>7998</v>
      </c>
      <c r="D620" s="391" t="s">
        <v>2166</v>
      </c>
    </row>
    <row r="621" ht="15.75" customHeight="1">
      <c r="B621" s="391" t="s">
        <v>8002</v>
      </c>
      <c r="C621" s="391" t="s">
        <v>7998</v>
      </c>
      <c r="D621" s="391" t="s">
        <v>2232</v>
      </c>
    </row>
    <row r="622" ht="15.75" customHeight="1">
      <c r="B622" s="391" t="s">
        <v>8003</v>
      </c>
      <c r="C622" s="391" t="s">
        <v>7998</v>
      </c>
      <c r="D622" s="391" t="s">
        <v>2232</v>
      </c>
    </row>
    <row r="623" ht="15.75" customHeight="1">
      <c r="B623" s="391" t="s">
        <v>8004</v>
      </c>
      <c r="C623" s="391" t="s">
        <v>7998</v>
      </c>
      <c r="D623" s="391" t="s">
        <v>2166</v>
      </c>
    </row>
    <row r="624" ht="15.75" customHeight="1">
      <c r="B624" s="391" t="s">
        <v>8005</v>
      </c>
      <c r="C624" s="391" t="s">
        <v>7998</v>
      </c>
      <c r="D624" s="391" t="s">
        <v>2166</v>
      </c>
    </row>
    <row r="625" ht="15.75" customHeight="1">
      <c r="B625" s="391" t="s">
        <v>8006</v>
      </c>
      <c r="C625" s="391" t="s">
        <v>7998</v>
      </c>
      <c r="D625" s="391" t="s">
        <v>2195</v>
      </c>
    </row>
    <row r="626" ht="15.75" customHeight="1">
      <c r="B626" s="391" t="s">
        <v>8007</v>
      </c>
      <c r="C626" s="391" t="s">
        <v>7998</v>
      </c>
      <c r="D626" s="391" t="s">
        <v>2232</v>
      </c>
    </row>
    <row r="627" ht="15.75" customHeight="1">
      <c r="B627" s="391" t="s">
        <v>8008</v>
      </c>
      <c r="C627" s="391" t="s">
        <v>7998</v>
      </c>
      <c r="D627" s="391" t="s">
        <v>2195</v>
      </c>
    </row>
    <row r="628" ht="15.75" customHeight="1">
      <c r="B628" s="391" t="s">
        <v>8009</v>
      </c>
      <c r="C628" s="391" t="s">
        <v>7998</v>
      </c>
      <c r="D628" s="391" t="s">
        <v>2195</v>
      </c>
    </row>
    <row r="629" ht="15.75" customHeight="1">
      <c r="B629" s="391" t="s">
        <v>8010</v>
      </c>
      <c r="C629" s="391" t="s">
        <v>7998</v>
      </c>
      <c r="D629" s="391" t="s">
        <v>2232</v>
      </c>
    </row>
    <row r="630" ht="15.75" customHeight="1">
      <c r="B630" s="391" t="s">
        <v>8011</v>
      </c>
      <c r="C630" s="391" t="s">
        <v>7998</v>
      </c>
      <c r="D630" s="391" t="s">
        <v>2195</v>
      </c>
    </row>
    <row r="631" ht="15.75" customHeight="1">
      <c r="B631" s="391" t="s">
        <v>8012</v>
      </c>
      <c r="C631" s="391" t="s">
        <v>7998</v>
      </c>
      <c r="D631" s="391" t="s">
        <v>2195</v>
      </c>
    </row>
    <row r="632" ht="15.75" customHeight="1">
      <c r="B632" s="391" t="s">
        <v>1768</v>
      </c>
      <c r="C632" s="391" t="s">
        <v>7998</v>
      </c>
      <c r="D632" s="391" t="s">
        <v>2166</v>
      </c>
    </row>
    <row r="633" ht="15.75" customHeight="1">
      <c r="B633" s="391" t="s">
        <v>8013</v>
      </c>
      <c r="C633" s="391" t="s">
        <v>7998</v>
      </c>
      <c r="D633" s="391" t="s">
        <v>2195</v>
      </c>
    </row>
    <row r="634" ht="15.75" customHeight="1">
      <c r="B634" s="391" t="s">
        <v>8014</v>
      </c>
      <c r="C634" s="391" t="s">
        <v>7998</v>
      </c>
      <c r="D634" s="391" t="s">
        <v>2195</v>
      </c>
    </row>
    <row r="635" ht="15.75" customHeight="1">
      <c r="B635" s="391" t="s">
        <v>1772</v>
      </c>
      <c r="C635" s="391" t="s">
        <v>7998</v>
      </c>
      <c r="D635" s="391" t="s">
        <v>2166</v>
      </c>
    </row>
    <row r="636" ht="15.75" customHeight="1">
      <c r="B636" s="391" t="s">
        <v>8015</v>
      </c>
      <c r="C636" s="391" t="s">
        <v>7998</v>
      </c>
      <c r="D636" s="391" t="s">
        <v>2195</v>
      </c>
    </row>
    <row r="637" ht="15.75" customHeight="1">
      <c r="B637" s="391" t="s">
        <v>8016</v>
      </c>
      <c r="C637" s="391" t="s">
        <v>8017</v>
      </c>
      <c r="D637" s="391" t="s">
        <v>2166</v>
      </c>
    </row>
    <row r="638" ht="15.75" customHeight="1">
      <c r="B638" s="391" t="s">
        <v>8018</v>
      </c>
      <c r="C638" s="391" t="s">
        <v>8019</v>
      </c>
      <c r="D638" s="391" t="s">
        <v>2195</v>
      </c>
    </row>
    <row r="639" ht="15.75" customHeight="1">
      <c r="B639" s="391" t="s">
        <v>1798</v>
      </c>
      <c r="C639" s="391" t="s">
        <v>8020</v>
      </c>
      <c r="D639" s="391" t="s">
        <v>2195</v>
      </c>
    </row>
    <row r="640" ht="15.75" customHeight="1">
      <c r="B640" s="391" t="s">
        <v>1802</v>
      </c>
      <c r="C640" s="391" t="s">
        <v>8020</v>
      </c>
      <c r="D640" s="391" t="s">
        <v>2166</v>
      </c>
    </row>
    <row r="641" ht="15.75" customHeight="1">
      <c r="B641" s="391" t="s">
        <v>1810</v>
      </c>
      <c r="C641" s="391" t="s">
        <v>8020</v>
      </c>
      <c r="D641" s="391" t="s">
        <v>2195</v>
      </c>
    </row>
    <row r="642" ht="15.75" customHeight="1">
      <c r="B642" s="391" t="s">
        <v>1806</v>
      </c>
      <c r="C642" s="391" t="s">
        <v>8020</v>
      </c>
      <c r="D642" s="391" t="s">
        <v>2166</v>
      </c>
    </row>
    <row r="643" ht="15.75" customHeight="1">
      <c r="B643" s="391" t="s">
        <v>8021</v>
      </c>
      <c r="C643" s="391" t="s">
        <v>8020</v>
      </c>
      <c r="D643" s="391" t="s">
        <v>2166</v>
      </c>
    </row>
    <row r="644" ht="15.75" customHeight="1">
      <c r="B644" s="391" t="s">
        <v>8022</v>
      </c>
      <c r="C644" s="391" t="s">
        <v>8020</v>
      </c>
      <c r="D644" s="391" t="s">
        <v>2232</v>
      </c>
    </row>
    <row r="645" ht="15.75" customHeight="1">
      <c r="B645" s="391" t="s">
        <v>8023</v>
      </c>
      <c r="C645" s="391" t="s">
        <v>8024</v>
      </c>
      <c r="D645" s="391" t="s">
        <v>2232</v>
      </c>
    </row>
    <row r="646" ht="15.75" customHeight="1">
      <c r="B646" s="391" t="s">
        <v>8025</v>
      </c>
      <c r="C646" s="391" t="s">
        <v>8024</v>
      </c>
      <c r="D646" s="391" t="s">
        <v>2232</v>
      </c>
    </row>
    <row r="647" ht="15.75" customHeight="1">
      <c r="B647" s="391" t="s">
        <v>8026</v>
      </c>
      <c r="C647" s="391" t="s">
        <v>8024</v>
      </c>
      <c r="D647" s="391" t="s">
        <v>2166</v>
      </c>
    </row>
    <row r="648" ht="15.75" customHeight="1">
      <c r="B648" s="391" t="s">
        <v>8027</v>
      </c>
      <c r="C648" s="391" t="s">
        <v>8024</v>
      </c>
      <c r="D648" s="391" t="s">
        <v>2166</v>
      </c>
    </row>
    <row r="649" ht="15.75" customHeight="1">
      <c r="B649" s="391" t="s">
        <v>8028</v>
      </c>
      <c r="C649" s="391" t="s">
        <v>8024</v>
      </c>
      <c r="D649" s="391" t="s">
        <v>2166</v>
      </c>
    </row>
    <row r="650" ht="15.75" customHeight="1">
      <c r="B650" s="391" t="s">
        <v>8029</v>
      </c>
      <c r="C650" s="391" t="s">
        <v>8024</v>
      </c>
      <c r="D650" s="391" t="s">
        <v>2166</v>
      </c>
    </row>
    <row r="651" ht="15.75" customHeight="1">
      <c r="B651" s="391" t="s">
        <v>8030</v>
      </c>
      <c r="C651" s="391" t="s">
        <v>8024</v>
      </c>
      <c r="D651" s="391" t="s">
        <v>2166</v>
      </c>
    </row>
    <row r="652" ht="15.75" customHeight="1">
      <c r="B652" s="391" t="s">
        <v>8031</v>
      </c>
      <c r="C652" s="391" t="s">
        <v>8024</v>
      </c>
      <c r="D652" s="391" t="s">
        <v>2166</v>
      </c>
    </row>
    <row r="653" ht="15.75" customHeight="1">
      <c r="B653" s="391" t="s">
        <v>8032</v>
      </c>
      <c r="C653" s="391" t="s">
        <v>8024</v>
      </c>
      <c r="D653" s="391" t="s">
        <v>2166</v>
      </c>
    </row>
    <row r="654" ht="15.75" customHeight="1">
      <c r="B654" s="391" t="s">
        <v>8033</v>
      </c>
      <c r="C654" s="391" t="s">
        <v>8024</v>
      </c>
      <c r="D654" s="391" t="s">
        <v>2166</v>
      </c>
    </row>
    <row r="655" ht="15.75" customHeight="1">
      <c r="B655" s="391" t="s">
        <v>8034</v>
      </c>
      <c r="C655" s="391" t="s">
        <v>8024</v>
      </c>
      <c r="D655" s="391" t="s">
        <v>2166</v>
      </c>
    </row>
    <row r="656" ht="15.75" customHeight="1">
      <c r="B656" s="391" t="s">
        <v>8035</v>
      </c>
      <c r="C656" s="391" t="s">
        <v>8024</v>
      </c>
      <c r="D656" s="391" t="s">
        <v>2166</v>
      </c>
    </row>
    <row r="657" ht="15.75" customHeight="1">
      <c r="B657" s="391" t="s">
        <v>8036</v>
      </c>
      <c r="C657" s="391" t="s">
        <v>8024</v>
      </c>
      <c r="D657" s="391" t="s">
        <v>2166</v>
      </c>
    </row>
    <row r="658" ht="15.75" customHeight="1">
      <c r="B658" s="391" t="s">
        <v>8037</v>
      </c>
      <c r="C658" s="391" t="s">
        <v>8024</v>
      </c>
      <c r="D658" s="391" t="s">
        <v>2166</v>
      </c>
    </row>
    <row r="659" ht="15.75" customHeight="1">
      <c r="B659" s="391" t="s">
        <v>8038</v>
      </c>
      <c r="C659" s="391" t="s">
        <v>8024</v>
      </c>
      <c r="D659" s="391" t="s">
        <v>2166</v>
      </c>
    </row>
    <row r="660" ht="15.75" customHeight="1">
      <c r="B660" s="391" t="s">
        <v>8039</v>
      </c>
      <c r="C660" s="391" t="s">
        <v>8024</v>
      </c>
      <c r="D660" s="391" t="s">
        <v>2166</v>
      </c>
    </row>
    <row r="661" ht="15.75" customHeight="1">
      <c r="B661" s="391" t="s">
        <v>8040</v>
      </c>
      <c r="C661" s="391" t="s">
        <v>8024</v>
      </c>
      <c r="D661" s="391" t="s">
        <v>2232</v>
      </c>
    </row>
    <row r="662" ht="15.75" customHeight="1">
      <c r="B662" s="391" t="s">
        <v>8041</v>
      </c>
      <c r="C662" s="391" t="s">
        <v>8024</v>
      </c>
      <c r="D662" s="391" t="s">
        <v>2166</v>
      </c>
    </row>
    <row r="663" ht="15.75" customHeight="1">
      <c r="B663" s="391" t="s">
        <v>8042</v>
      </c>
      <c r="C663" s="391" t="s">
        <v>8024</v>
      </c>
      <c r="D663" s="391" t="s">
        <v>2166</v>
      </c>
    </row>
    <row r="664" ht="15.75" customHeight="1">
      <c r="B664" s="391" t="s">
        <v>8043</v>
      </c>
      <c r="C664" s="391" t="s">
        <v>8024</v>
      </c>
      <c r="D664" s="391" t="s">
        <v>2166</v>
      </c>
    </row>
    <row r="665" ht="15.75" customHeight="1">
      <c r="B665" s="391" t="s">
        <v>8044</v>
      </c>
      <c r="C665" s="391" t="s">
        <v>8024</v>
      </c>
      <c r="D665" s="391" t="s">
        <v>2195</v>
      </c>
    </row>
    <row r="666" ht="15.75" customHeight="1">
      <c r="B666" s="391" t="s">
        <v>8045</v>
      </c>
      <c r="C666" s="391" t="s">
        <v>8024</v>
      </c>
      <c r="D666" s="391" t="s">
        <v>2166</v>
      </c>
    </row>
    <row r="667" ht="15.75" customHeight="1">
      <c r="B667" s="391" t="s">
        <v>8046</v>
      </c>
      <c r="C667" s="391" t="s">
        <v>8024</v>
      </c>
      <c r="D667" s="391" t="s">
        <v>2166</v>
      </c>
    </row>
    <row r="668" ht="15.75" customHeight="1">
      <c r="B668" s="391" t="s">
        <v>8047</v>
      </c>
      <c r="C668" s="391" t="s">
        <v>8024</v>
      </c>
      <c r="D668" s="391" t="s">
        <v>2195</v>
      </c>
    </row>
    <row r="669" ht="15.75" customHeight="1">
      <c r="B669" s="391" t="s">
        <v>8048</v>
      </c>
      <c r="C669" s="391" t="s">
        <v>8024</v>
      </c>
      <c r="D669" s="391" t="s">
        <v>2232</v>
      </c>
    </row>
    <row r="670" ht="15.75" customHeight="1">
      <c r="B670" s="391" t="s">
        <v>8049</v>
      </c>
      <c r="C670" s="391" t="s">
        <v>8024</v>
      </c>
      <c r="D670" s="391" t="s">
        <v>2166</v>
      </c>
    </row>
    <row r="671" ht="15.75" customHeight="1">
      <c r="B671" s="391" t="s">
        <v>8050</v>
      </c>
      <c r="C671" s="391" t="s">
        <v>8024</v>
      </c>
      <c r="D671" s="391" t="s">
        <v>2166</v>
      </c>
    </row>
    <row r="672" ht="15.75" customHeight="1">
      <c r="B672" s="391" t="s">
        <v>8051</v>
      </c>
      <c r="C672" s="391" t="s">
        <v>8024</v>
      </c>
      <c r="D672" s="391" t="s">
        <v>2232</v>
      </c>
    </row>
    <row r="673" ht="15.75" customHeight="1">
      <c r="B673" s="391" t="s">
        <v>8052</v>
      </c>
      <c r="C673" s="391" t="s">
        <v>8053</v>
      </c>
      <c r="D673" s="391" t="s">
        <v>2232</v>
      </c>
    </row>
    <row r="674" ht="15.75" customHeight="1">
      <c r="B674" s="391" t="s">
        <v>8054</v>
      </c>
      <c r="C674" s="391" t="s">
        <v>8053</v>
      </c>
      <c r="D674" s="391" t="s">
        <v>2195</v>
      </c>
    </row>
    <row r="675" ht="15.75" customHeight="1">
      <c r="B675" s="391" t="s">
        <v>8055</v>
      </c>
      <c r="C675" s="391" t="s">
        <v>8056</v>
      </c>
      <c r="D675" s="391" t="s">
        <v>2232</v>
      </c>
    </row>
    <row r="676" ht="15.75" customHeight="1">
      <c r="B676" s="391" t="s">
        <v>8057</v>
      </c>
      <c r="C676" s="391" t="s">
        <v>8056</v>
      </c>
      <c r="D676" s="391" t="s">
        <v>2232</v>
      </c>
    </row>
    <row r="677" ht="15.75" customHeight="1">
      <c r="B677" s="391" t="s">
        <v>8058</v>
      </c>
      <c r="C677" s="391" t="s">
        <v>8059</v>
      </c>
      <c r="D677" s="391" t="s">
        <v>2232</v>
      </c>
    </row>
    <row r="678" ht="15.75" customHeight="1">
      <c r="B678" s="391" t="s">
        <v>1861</v>
      </c>
      <c r="C678" s="391" t="s">
        <v>8060</v>
      </c>
      <c r="D678" s="391" t="s">
        <v>2195</v>
      </c>
    </row>
    <row r="679" ht="15.75" customHeight="1">
      <c r="B679" s="391" t="s">
        <v>8061</v>
      </c>
      <c r="C679" s="391" t="s">
        <v>8062</v>
      </c>
      <c r="D679" s="391" t="s">
        <v>2232</v>
      </c>
    </row>
    <row r="680" ht="15.75" customHeight="1">
      <c r="B680" s="391" t="s">
        <v>8063</v>
      </c>
      <c r="C680" s="391" t="s">
        <v>8064</v>
      </c>
      <c r="D680" s="391" t="s">
        <v>2232</v>
      </c>
    </row>
    <row r="681" ht="15.75" customHeight="1">
      <c r="B681" s="391" t="s">
        <v>8065</v>
      </c>
      <c r="C681" s="391" t="s">
        <v>8066</v>
      </c>
      <c r="D681" s="391" t="s">
        <v>2232</v>
      </c>
    </row>
    <row r="682" ht="15.75" customHeight="1">
      <c r="B682" s="391" t="s">
        <v>1846</v>
      </c>
      <c r="C682" s="391" t="s">
        <v>8067</v>
      </c>
      <c r="D682" s="391" t="s">
        <v>2195</v>
      </c>
    </row>
    <row r="683" ht="15.75" customHeight="1">
      <c r="B683" s="391" t="s">
        <v>8068</v>
      </c>
      <c r="C683" s="391" t="s">
        <v>8069</v>
      </c>
      <c r="D683" s="391" t="s">
        <v>2232</v>
      </c>
    </row>
    <row r="684" ht="15.75" customHeight="1">
      <c r="B684" s="391" t="s">
        <v>2123</v>
      </c>
      <c r="C684" s="391" t="s">
        <v>8070</v>
      </c>
      <c r="D684" s="391" t="s">
        <v>2166</v>
      </c>
    </row>
    <row r="685" ht="15.75" customHeight="1">
      <c r="B685" s="391" t="s">
        <v>8071</v>
      </c>
      <c r="C685" s="391" t="s">
        <v>8072</v>
      </c>
      <c r="D685" s="391" t="s">
        <v>2232</v>
      </c>
    </row>
    <row r="686" ht="15.75" customHeight="1">
      <c r="B686" s="391" t="s">
        <v>8073</v>
      </c>
      <c r="C686" s="391" t="s">
        <v>8074</v>
      </c>
      <c r="D686" s="391" t="s">
        <v>2232</v>
      </c>
    </row>
    <row r="687" ht="15.75" customHeight="1">
      <c r="B687" s="391" t="s">
        <v>8075</v>
      </c>
      <c r="C687" s="391" t="s">
        <v>8076</v>
      </c>
      <c r="D687" s="391" t="s">
        <v>2195</v>
      </c>
    </row>
    <row r="688" ht="15.75" customHeight="1">
      <c r="B688" s="391" t="s">
        <v>2125</v>
      </c>
      <c r="C688" s="391" t="s">
        <v>8077</v>
      </c>
      <c r="D688" s="391" t="s">
        <v>2166</v>
      </c>
    </row>
    <row r="689" ht="15.75" customHeight="1">
      <c r="B689" s="391" t="s">
        <v>8078</v>
      </c>
      <c r="C689" s="391" t="s">
        <v>8079</v>
      </c>
      <c r="D689" s="391" t="s">
        <v>2232</v>
      </c>
    </row>
    <row r="690" ht="15.75" customHeight="1">
      <c r="B690" s="391" t="s">
        <v>2119</v>
      </c>
      <c r="C690" s="391" t="s">
        <v>8080</v>
      </c>
      <c r="D690" s="391" t="s">
        <v>2232</v>
      </c>
    </row>
    <row r="691" ht="15.75" customHeight="1">
      <c r="B691" s="391" t="s">
        <v>2121</v>
      </c>
      <c r="C691" s="391" t="s">
        <v>8080</v>
      </c>
      <c r="D691" s="391" t="s">
        <v>2232</v>
      </c>
    </row>
    <row r="692" ht="15.75" customHeight="1">
      <c r="B692" s="391" t="s">
        <v>2103</v>
      </c>
      <c r="C692" s="391" t="s">
        <v>8081</v>
      </c>
      <c r="D692" s="391" t="s">
        <v>2166</v>
      </c>
    </row>
    <row r="693" ht="15.75" customHeight="1">
      <c r="B693" s="391" t="s">
        <v>2107</v>
      </c>
      <c r="C693" s="391" t="s">
        <v>8081</v>
      </c>
      <c r="D693" s="391" t="s">
        <v>2232</v>
      </c>
    </row>
    <row r="694" ht="15.75" customHeight="1">
      <c r="B694" s="391" t="s">
        <v>2111</v>
      </c>
      <c r="C694" s="391" t="s">
        <v>8081</v>
      </c>
      <c r="D694" s="391" t="s">
        <v>2195</v>
      </c>
    </row>
    <row r="695" ht="15.75" customHeight="1">
      <c r="B695" s="391" t="s">
        <v>2115</v>
      </c>
      <c r="C695" s="391" t="s">
        <v>8081</v>
      </c>
      <c r="D695" s="391" t="s">
        <v>2232</v>
      </c>
    </row>
    <row r="696" ht="15.75" customHeight="1">
      <c r="B696" s="391" t="s">
        <v>8082</v>
      </c>
      <c r="C696" s="391" t="s">
        <v>8083</v>
      </c>
      <c r="D696" s="391" t="s">
        <v>2195</v>
      </c>
    </row>
    <row r="697" ht="15.75" customHeight="1">
      <c r="B697" s="391" t="s">
        <v>8084</v>
      </c>
      <c r="C697" s="391" t="s">
        <v>8085</v>
      </c>
      <c r="D697" s="391" t="s">
        <v>2195</v>
      </c>
    </row>
    <row r="698" ht="15.75" customHeight="1">
      <c r="B698" s="391" t="s">
        <v>2133</v>
      </c>
      <c r="C698" s="391" t="s">
        <v>8086</v>
      </c>
      <c r="D698" s="391" t="s">
        <v>2195</v>
      </c>
    </row>
    <row r="699" ht="15.75" customHeight="1">
      <c r="B699" s="391" t="s">
        <v>2138</v>
      </c>
      <c r="C699" s="391" t="s">
        <v>8087</v>
      </c>
      <c r="D699" s="391" t="s">
        <v>2232</v>
      </c>
    </row>
    <row r="700" ht="15.75" customHeight="1">
      <c r="B700" s="391" t="s">
        <v>2161</v>
      </c>
      <c r="C700" s="391" t="s">
        <v>8088</v>
      </c>
      <c r="D700" s="391" t="s">
        <v>2195</v>
      </c>
    </row>
    <row r="701" ht="15.75" customHeight="1">
      <c r="B701" s="391" t="s">
        <v>8089</v>
      </c>
      <c r="C701" s="391" t="s">
        <v>8090</v>
      </c>
      <c r="D701" s="391" t="s">
        <v>2166</v>
      </c>
    </row>
    <row r="702" ht="15.75" customHeight="1">
      <c r="B702" s="391" t="s">
        <v>8091</v>
      </c>
      <c r="C702" s="391" t="s">
        <v>8092</v>
      </c>
      <c r="D702" s="391" t="s">
        <v>2232</v>
      </c>
    </row>
    <row r="703" ht="15.75" customHeight="1">
      <c r="B703" s="391" t="s">
        <v>8093</v>
      </c>
      <c r="C703" s="391" t="s">
        <v>8094</v>
      </c>
      <c r="D703" s="391" t="s">
        <v>2195</v>
      </c>
    </row>
    <row r="704" ht="15.75" customHeight="1">
      <c r="B704" s="391" t="s">
        <v>8095</v>
      </c>
      <c r="C704" s="391" t="s">
        <v>8096</v>
      </c>
      <c r="D704" s="391" t="s">
        <v>2195</v>
      </c>
    </row>
    <row r="705" ht="15.75" customHeight="1">
      <c r="B705" s="391" t="s">
        <v>1751</v>
      </c>
      <c r="C705" s="391" t="s">
        <v>8097</v>
      </c>
      <c r="D705" s="391" t="s">
        <v>2166</v>
      </c>
    </row>
    <row r="706" ht="15.75" customHeight="1">
      <c r="B706" s="391" t="s">
        <v>1755</v>
      </c>
      <c r="C706" s="391" t="s">
        <v>8097</v>
      </c>
      <c r="D706" s="391" t="s">
        <v>2166</v>
      </c>
    </row>
    <row r="707" ht="15.75" customHeight="1">
      <c r="B707" s="391" t="s">
        <v>1759</v>
      </c>
      <c r="C707" s="391" t="s">
        <v>8098</v>
      </c>
      <c r="D707" s="391" t="s">
        <v>2166</v>
      </c>
    </row>
    <row r="708" ht="15.75" customHeight="1">
      <c r="B708" s="391" t="s">
        <v>8099</v>
      </c>
      <c r="C708" s="391" t="s">
        <v>8100</v>
      </c>
      <c r="D708" s="391" t="s">
        <v>2232</v>
      </c>
    </row>
    <row r="709" ht="15.75" customHeight="1">
      <c r="B709" s="391" t="s">
        <v>8101</v>
      </c>
      <c r="C709" s="391" t="s">
        <v>8100</v>
      </c>
      <c r="D709" s="391" t="s">
        <v>2232</v>
      </c>
    </row>
    <row r="710" ht="15.75" customHeight="1">
      <c r="B710" s="391" t="s">
        <v>8102</v>
      </c>
      <c r="C710" s="391" t="s">
        <v>8103</v>
      </c>
      <c r="D710" s="391" t="s">
        <v>2232</v>
      </c>
    </row>
    <row r="711" ht="15.75" customHeight="1">
      <c r="B711" s="391" t="s">
        <v>8104</v>
      </c>
      <c r="C711" s="391" t="s">
        <v>8105</v>
      </c>
      <c r="D711" s="391" t="s">
        <v>2195</v>
      </c>
    </row>
    <row r="712" ht="15.75" customHeight="1">
      <c r="B712" s="391" t="s">
        <v>8106</v>
      </c>
      <c r="C712" s="391" t="s">
        <v>8105</v>
      </c>
      <c r="D712" s="391" t="s">
        <v>2195</v>
      </c>
    </row>
    <row r="713" ht="15.75" customHeight="1">
      <c r="B713" s="391" t="s">
        <v>8107</v>
      </c>
      <c r="C713" s="391" t="s">
        <v>8108</v>
      </c>
      <c r="D713" s="391" t="s">
        <v>2232</v>
      </c>
    </row>
    <row r="714" ht="15.75" customHeight="1">
      <c r="B714" s="391" t="s">
        <v>8109</v>
      </c>
      <c r="C714" s="391" t="s">
        <v>8110</v>
      </c>
      <c r="D714" s="391" t="s">
        <v>2232</v>
      </c>
    </row>
    <row r="715" ht="15.75" customHeight="1">
      <c r="B715" s="391" t="s">
        <v>1895</v>
      </c>
      <c r="C715" s="391" t="s">
        <v>8111</v>
      </c>
      <c r="D715" s="391" t="s">
        <v>2232</v>
      </c>
    </row>
    <row r="716" ht="15.75" customHeight="1">
      <c r="B716" s="391" t="s">
        <v>8112</v>
      </c>
      <c r="C716" s="391" t="s">
        <v>8113</v>
      </c>
      <c r="D716" s="391" t="s">
        <v>2232</v>
      </c>
    </row>
    <row r="717" ht="15.75" customHeight="1">
      <c r="B717" s="391" t="s">
        <v>8114</v>
      </c>
      <c r="C717" s="391" t="s">
        <v>8113</v>
      </c>
      <c r="D717" s="391" t="s">
        <v>2195</v>
      </c>
    </row>
    <row r="718" ht="15.75" customHeight="1">
      <c r="B718" s="391" t="s">
        <v>8115</v>
      </c>
      <c r="C718" s="391" t="s">
        <v>8116</v>
      </c>
      <c r="D718" s="391" t="s">
        <v>2195</v>
      </c>
    </row>
    <row r="719" ht="15.75" customHeight="1">
      <c r="B719" s="391" t="s">
        <v>8117</v>
      </c>
      <c r="C719" s="391" t="s">
        <v>8116</v>
      </c>
      <c r="D719" s="391" t="s">
        <v>2195</v>
      </c>
    </row>
    <row r="720" ht="15.75" customHeight="1">
      <c r="B720" s="391" t="s">
        <v>1904</v>
      </c>
      <c r="C720" s="391" t="s">
        <v>8118</v>
      </c>
      <c r="D720" s="391" t="s">
        <v>2195</v>
      </c>
    </row>
    <row r="721" ht="15.75" customHeight="1">
      <c r="B721" s="391" t="s">
        <v>8119</v>
      </c>
      <c r="C721" s="391" t="s">
        <v>8120</v>
      </c>
      <c r="D721" s="391" t="s">
        <v>2195</v>
      </c>
    </row>
    <row r="722" ht="15.75" customHeight="1">
      <c r="B722" s="391" t="s">
        <v>8121</v>
      </c>
      <c r="C722" s="391" t="s">
        <v>8122</v>
      </c>
      <c r="D722" s="391" t="s">
        <v>2166</v>
      </c>
    </row>
    <row r="723" ht="15.75" customHeight="1">
      <c r="B723" s="391" t="s">
        <v>8123</v>
      </c>
      <c r="C723" s="391" t="s">
        <v>8124</v>
      </c>
      <c r="D723" s="391" t="s">
        <v>2232</v>
      </c>
    </row>
    <row r="724" ht="15.75" customHeight="1">
      <c r="B724" s="391" t="s">
        <v>8125</v>
      </c>
      <c r="C724" s="391" t="s">
        <v>8126</v>
      </c>
      <c r="D724" s="391" t="s">
        <v>2166</v>
      </c>
    </row>
    <row r="725" ht="15.75" customHeight="1">
      <c r="B725" s="391" t="s">
        <v>8127</v>
      </c>
      <c r="C725" s="391" t="s">
        <v>8128</v>
      </c>
      <c r="D725" s="391" t="s">
        <v>2232</v>
      </c>
    </row>
    <row r="726" ht="15.75" customHeight="1">
      <c r="B726" s="391" t="s">
        <v>8129</v>
      </c>
      <c r="C726" s="391" t="s">
        <v>8130</v>
      </c>
      <c r="D726" s="391" t="s">
        <v>2195</v>
      </c>
    </row>
    <row r="727" ht="15.75" customHeight="1">
      <c r="B727" s="391" t="s">
        <v>1878</v>
      </c>
      <c r="C727" s="391" t="s">
        <v>8131</v>
      </c>
      <c r="D727" s="391" t="s">
        <v>2195</v>
      </c>
    </row>
    <row r="728" ht="15.75" customHeight="1">
      <c r="B728" s="391" t="s">
        <v>8132</v>
      </c>
      <c r="C728" s="391" t="s">
        <v>8133</v>
      </c>
      <c r="D728" s="391" t="s">
        <v>2166</v>
      </c>
    </row>
    <row r="729" ht="15.75" customHeight="1">
      <c r="B729" s="391" t="s">
        <v>8134</v>
      </c>
      <c r="C729" s="391" t="s">
        <v>8135</v>
      </c>
      <c r="D729" s="391" t="s">
        <v>2195</v>
      </c>
    </row>
    <row r="730" ht="15.75" customHeight="1">
      <c r="B730" s="391" t="s">
        <v>8136</v>
      </c>
      <c r="C730" s="391" t="s">
        <v>8137</v>
      </c>
      <c r="D730" s="391" t="s">
        <v>2195</v>
      </c>
    </row>
    <row r="731" ht="15.75" customHeight="1">
      <c r="B731" s="391" t="s">
        <v>8138</v>
      </c>
      <c r="C731" s="391" t="s">
        <v>8139</v>
      </c>
      <c r="D731" s="391" t="s">
        <v>2195</v>
      </c>
    </row>
    <row r="732" ht="15.75" customHeight="1">
      <c r="B732" s="391" t="s">
        <v>8140</v>
      </c>
      <c r="C732" s="391" t="s">
        <v>8141</v>
      </c>
      <c r="D732" s="391" t="s">
        <v>2166</v>
      </c>
    </row>
    <row r="733" ht="15.75" customHeight="1">
      <c r="B733" s="391" t="s">
        <v>2148</v>
      </c>
      <c r="C733" s="391" t="s">
        <v>8142</v>
      </c>
      <c r="D733" s="391" t="s">
        <v>2232</v>
      </c>
    </row>
    <row r="734" ht="15.75" customHeight="1">
      <c r="B734" s="391" t="s">
        <v>8143</v>
      </c>
      <c r="C734" s="391" t="s">
        <v>8144</v>
      </c>
      <c r="D734" s="391" t="s">
        <v>2166</v>
      </c>
    </row>
    <row r="735" ht="15.75" customHeight="1">
      <c r="B735" s="391" t="s">
        <v>8145</v>
      </c>
      <c r="C735" s="391" t="s">
        <v>8146</v>
      </c>
      <c r="D735" s="391" t="s">
        <v>2166</v>
      </c>
    </row>
    <row r="736" ht="15.75" customHeight="1">
      <c r="B736" s="391" t="s">
        <v>8147</v>
      </c>
      <c r="C736" s="391" t="s">
        <v>8148</v>
      </c>
      <c r="D736" s="391" t="s">
        <v>2195</v>
      </c>
    </row>
    <row r="737" ht="15.75" customHeight="1">
      <c r="B737" s="391" t="s">
        <v>8149</v>
      </c>
      <c r="C737" s="391" t="s">
        <v>8150</v>
      </c>
      <c r="D737" s="391" t="s">
        <v>2195</v>
      </c>
    </row>
    <row r="738" ht="15.75" customHeight="1">
      <c r="B738" s="391" t="s">
        <v>8151</v>
      </c>
      <c r="C738" s="391" t="s">
        <v>8152</v>
      </c>
      <c r="D738" s="391" t="s">
        <v>2195</v>
      </c>
    </row>
    <row r="739" ht="15.75" customHeight="1">
      <c r="B739" s="391" t="s">
        <v>2135</v>
      </c>
      <c r="C739" s="391" t="s">
        <v>8153</v>
      </c>
      <c r="D739" s="391" t="s">
        <v>2195</v>
      </c>
    </row>
    <row r="740" ht="15.75" customHeight="1">
      <c r="B740" s="391" t="s">
        <v>2128</v>
      </c>
      <c r="C740" s="391" t="s">
        <v>8154</v>
      </c>
      <c r="D740" s="391" t="s">
        <v>2195</v>
      </c>
    </row>
    <row r="741" ht="15.75" customHeight="1">
      <c r="B741" s="391" t="s">
        <v>2131</v>
      </c>
      <c r="C741" s="391" t="s">
        <v>8154</v>
      </c>
      <c r="D741" s="391" t="s">
        <v>2195</v>
      </c>
    </row>
    <row r="742" ht="15.75" customHeight="1">
      <c r="B742" s="391" t="s">
        <v>1916</v>
      </c>
      <c r="C742" s="391" t="s">
        <v>8155</v>
      </c>
      <c r="D742" s="391" t="s">
        <v>2232</v>
      </c>
    </row>
    <row r="743" ht="15.75" customHeight="1">
      <c r="B743" s="391">
        <v>5078166.0</v>
      </c>
      <c r="C743" s="391" t="s">
        <v>8156</v>
      </c>
      <c r="D743" s="391" t="s">
        <v>2195</v>
      </c>
    </row>
    <row r="744" ht="15.75" customHeight="1">
      <c r="B744" s="391" t="s">
        <v>8157</v>
      </c>
      <c r="C744" s="391" t="s">
        <v>8158</v>
      </c>
      <c r="D744" s="391" t="s">
        <v>2195</v>
      </c>
    </row>
    <row r="745" ht="15.75" customHeight="1">
      <c r="B745" s="391" t="s">
        <v>8159</v>
      </c>
      <c r="C745" s="391" t="s">
        <v>8160</v>
      </c>
      <c r="D745" s="391" t="s">
        <v>2195</v>
      </c>
    </row>
    <row r="746" ht="15.75" customHeight="1">
      <c r="B746" s="391" t="s">
        <v>8161</v>
      </c>
      <c r="C746" s="391" t="s">
        <v>8162</v>
      </c>
      <c r="D746" s="391" t="s">
        <v>2195</v>
      </c>
    </row>
    <row r="747" ht="15.75" customHeight="1">
      <c r="B747" s="391" t="s">
        <v>8163</v>
      </c>
      <c r="C747" s="391" t="s">
        <v>8164</v>
      </c>
      <c r="D747" s="391" t="s">
        <v>2195</v>
      </c>
    </row>
    <row r="748" ht="15.75" customHeight="1">
      <c r="B748" s="391" t="s">
        <v>8165</v>
      </c>
      <c r="C748" s="391" t="s">
        <v>8166</v>
      </c>
      <c r="D748" s="391" t="s">
        <v>2195</v>
      </c>
    </row>
    <row r="749" ht="15.75" customHeight="1">
      <c r="B749" s="391" t="s">
        <v>8167</v>
      </c>
      <c r="C749" s="391" t="s">
        <v>8166</v>
      </c>
      <c r="D749" s="391" t="s">
        <v>2195</v>
      </c>
    </row>
    <row r="750" ht="15.75" customHeight="1">
      <c r="B750" s="391" t="s">
        <v>8168</v>
      </c>
      <c r="C750" s="391" t="s">
        <v>8169</v>
      </c>
      <c r="D750" s="391" t="s">
        <v>2195</v>
      </c>
    </row>
    <row r="751" ht="15.75" customHeight="1">
      <c r="B751" s="391" t="s">
        <v>8170</v>
      </c>
      <c r="C751" s="391" t="s">
        <v>8169</v>
      </c>
      <c r="D751" s="391" t="s">
        <v>2195</v>
      </c>
    </row>
    <row r="752" ht="15.75" customHeight="1">
      <c r="B752" s="391" t="s">
        <v>8171</v>
      </c>
      <c r="C752" s="391" t="s">
        <v>8172</v>
      </c>
      <c r="D752" s="391" t="s">
        <v>2232</v>
      </c>
    </row>
    <row r="753" ht="15.75" customHeight="1">
      <c r="B753" s="391" t="s">
        <v>8173</v>
      </c>
      <c r="C753" s="391" t="s">
        <v>8174</v>
      </c>
      <c r="D753" s="391" t="s">
        <v>2195</v>
      </c>
    </row>
    <row r="754" ht="15.75" customHeight="1">
      <c r="B754" s="391" t="s">
        <v>8175</v>
      </c>
      <c r="C754" s="391" t="s">
        <v>8176</v>
      </c>
      <c r="D754" s="391" t="s">
        <v>2232</v>
      </c>
    </row>
    <row r="755" ht="15.75" customHeight="1">
      <c r="B755" s="391" t="s">
        <v>8177</v>
      </c>
      <c r="C755" s="391" t="s">
        <v>8178</v>
      </c>
      <c r="D755" s="391" t="s">
        <v>2232</v>
      </c>
    </row>
    <row r="756" ht="15.75" customHeight="1">
      <c r="B756" s="391" t="s">
        <v>8179</v>
      </c>
      <c r="C756" s="391" t="s">
        <v>8180</v>
      </c>
      <c r="D756" s="391" t="s">
        <v>2195</v>
      </c>
    </row>
    <row r="757" ht="15.75" customHeight="1">
      <c r="B757" s="391" t="s">
        <v>8181</v>
      </c>
      <c r="C757" s="391" t="s">
        <v>8182</v>
      </c>
      <c r="D757" s="391" t="s">
        <v>2195</v>
      </c>
    </row>
    <row r="758" ht="15.75" customHeight="1">
      <c r="B758" s="391" t="s">
        <v>8183</v>
      </c>
      <c r="C758" s="391" t="s">
        <v>8182</v>
      </c>
      <c r="D758" s="391" t="s">
        <v>2195</v>
      </c>
    </row>
    <row r="759" ht="15.75" customHeight="1">
      <c r="B759" s="391" t="s">
        <v>8184</v>
      </c>
      <c r="C759" s="391" t="s">
        <v>8182</v>
      </c>
      <c r="D759" s="391" t="s">
        <v>2232</v>
      </c>
    </row>
    <row r="760" ht="15.75" customHeight="1">
      <c r="B760" s="391" t="s">
        <v>8185</v>
      </c>
      <c r="C760" s="391" t="s">
        <v>8182</v>
      </c>
      <c r="D760" s="391" t="s">
        <v>2232</v>
      </c>
    </row>
    <row r="761" ht="15.75" customHeight="1">
      <c r="B761" s="391" t="s">
        <v>8186</v>
      </c>
      <c r="C761" s="391" t="s">
        <v>8187</v>
      </c>
      <c r="D761" s="391" t="s">
        <v>2195</v>
      </c>
    </row>
    <row r="762" ht="15.75" customHeight="1">
      <c r="B762" s="391" t="s">
        <v>4487</v>
      </c>
      <c r="C762" s="391" t="s">
        <v>8188</v>
      </c>
      <c r="D762" s="391" t="s">
        <v>2232</v>
      </c>
    </row>
    <row r="763" ht="15.75" customHeight="1">
      <c r="B763" s="391" t="s">
        <v>4239</v>
      </c>
      <c r="C763" s="391" t="s">
        <v>8189</v>
      </c>
      <c r="D763" s="391" t="s">
        <v>2166</v>
      </c>
    </row>
    <row r="764" ht="15.75" customHeight="1">
      <c r="B764" s="391" t="s">
        <v>4323</v>
      </c>
      <c r="C764" s="391" t="s">
        <v>8190</v>
      </c>
      <c r="D764" s="391" t="s">
        <v>2166</v>
      </c>
    </row>
    <row r="765" ht="15.75" customHeight="1">
      <c r="B765" s="391" t="s">
        <v>4327</v>
      </c>
      <c r="C765" s="391" t="s">
        <v>8191</v>
      </c>
      <c r="D765" s="391" t="s">
        <v>2232</v>
      </c>
    </row>
    <row r="766" ht="15.75" customHeight="1">
      <c r="B766" s="391" t="s">
        <v>4319</v>
      </c>
      <c r="C766" s="391" t="s">
        <v>8191</v>
      </c>
      <c r="D766" s="391" t="s">
        <v>2166</v>
      </c>
    </row>
    <row r="767" ht="15.75" customHeight="1">
      <c r="B767" s="391" t="s">
        <v>4335</v>
      </c>
      <c r="C767" s="391" t="s">
        <v>8191</v>
      </c>
      <c r="D767" s="391" t="s">
        <v>2232</v>
      </c>
    </row>
    <row r="768" ht="15.75" customHeight="1">
      <c r="B768" s="391" t="s">
        <v>4331</v>
      </c>
      <c r="C768" s="391" t="s">
        <v>8191</v>
      </c>
      <c r="D768" s="391" t="s">
        <v>2232</v>
      </c>
    </row>
    <row r="769" ht="15.75" customHeight="1">
      <c r="B769" s="391" t="s">
        <v>8192</v>
      </c>
      <c r="C769" s="391" t="s">
        <v>8193</v>
      </c>
      <c r="D769" s="391" t="s">
        <v>2195</v>
      </c>
    </row>
    <row r="770" ht="15.75" customHeight="1">
      <c r="B770" s="391" t="s">
        <v>4530</v>
      </c>
      <c r="C770" s="391" t="s">
        <v>8194</v>
      </c>
      <c r="D770" s="391" t="s">
        <v>2195</v>
      </c>
    </row>
    <row r="771" ht="15.75" customHeight="1">
      <c r="B771" s="391" t="s">
        <v>4534</v>
      </c>
      <c r="C771" s="391" t="s">
        <v>8194</v>
      </c>
      <c r="D771" s="391" t="s">
        <v>2232</v>
      </c>
    </row>
    <row r="772" ht="15.75" customHeight="1">
      <c r="B772" s="391" t="s">
        <v>8195</v>
      </c>
      <c r="C772" s="391" t="s">
        <v>8196</v>
      </c>
      <c r="D772" s="391" t="s">
        <v>2195</v>
      </c>
    </row>
    <row r="773" ht="15.75" customHeight="1">
      <c r="B773" s="391" t="s">
        <v>8197</v>
      </c>
      <c r="C773" s="391" t="s">
        <v>8196</v>
      </c>
      <c r="D773" s="391" t="s">
        <v>2195</v>
      </c>
    </row>
    <row r="774" ht="15.75" customHeight="1">
      <c r="B774" s="391" t="s">
        <v>4478</v>
      </c>
      <c r="C774" s="391" t="s">
        <v>8198</v>
      </c>
      <c r="D774" s="391" t="s">
        <v>2195</v>
      </c>
    </row>
    <row r="775" ht="15.75" customHeight="1">
      <c r="B775" s="391" t="s">
        <v>8199</v>
      </c>
      <c r="C775" s="391" t="s">
        <v>8200</v>
      </c>
      <c r="D775" s="391" t="s">
        <v>2195</v>
      </c>
    </row>
    <row r="776" ht="15.75" customHeight="1">
      <c r="B776" s="391" t="s">
        <v>4370</v>
      </c>
      <c r="C776" s="391" t="s">
        <v>8201</v>
      </c>
      <c r="D776" s="391" t="s">
        <v>2195</v>
      </c>
    </row>
    <row r="777" ht="15.75" customHeight="1">
      <c r="B777" s="391" t="s">
        <v>4374</v>
      </c>
      <c r="C777" s="391" t="s">
        <v>8201</v>
      </c>
      <c r="D777" s="391" t="s">
        <v>2195</v>
      </c>
    </row>
    <row r="778" ht="15.75" customHeight="1">
      <c r="B778" s="391" t="s">
        <v>8202</v>
      </c>
      <c r="C778" s="391" t="s">
        <v>8201</v>
      </c>
      <c r="D778" s="391" t="s">
        <v>2232</v>
      </c>
    </row>
    <row r="779" ht="15.75" customHeight="1">
      <c r="B779" s="391" t="s">
        <v>8203</v>
      </c>
      <c r="C779" s="391" t="s">
        <v>8201</v>
      </c>
      <c r="D779" s="391" t="s">
        <v>2195</v>
      </c>
    </row>
    <row r="780" ht="15.75" customHeight="1">
      <c r="B780" s="391" t="s">
        <v>8204</v>
      </c>
      <c r="C780" s="391" t="s">
        <v>8201</v>
      </c>
      <c r="D780" s="391" t="s">
        <v>2195</v>
      </c>
    </row>
    <row r="781" ht="15.75" customHeight="1">
      <c r="B781" s="391" t="s">
        <v>8205</v>
      </c>
      <c r="C781" s="391" t="s">
        <v>8206</v>
      </c>
      <c r="D781" s="391" t="s">
        <v>2195</v>
      </c>
    </row>
    <row r="782" ht="15.75" customHeight="1">
      <c r="B782" s="391" t="s">
        <v>8207</v>
      </c>
      <c r="C782" s="391" t="s">
        <v>8208</v>
      </c>
      <c r="D782" s="391" t="s">
        <v>2195</v>
      </c>
    </row>
    <row r="783" ht="15.75" customHeight="1">
      <c r="B783" s="391" t="s">
        <v>8209</v>
      </c>
      <c r="C783" s="391" t="s">
        <v>8208</v>
      </c>
      <c r="D783" s="391" t="s">
        <v>2195</v>
      </c>
    </row>
    <row r="784" ht="15.75" customHeight="1">
      <c r="B784" s="391" t="s">
        <v>8210</v>
      </c>
      <c r="C784" s="391" t="s">
        <v>8208</v>
      </c>
      <c r="D784" s="391" t="s">
        <v>2195</v>
      </c>
    </row>
    <row r="785" ht="15.75" customHeight="1">
      <c r="B785" s="391" t="s">
        <v>4340</v>
      </c>
      <c r="C785" s="391" t="s">
        <v>8211</v>
      </c>
      <c r="D785" s="391" t="s">
        <v>2232</v>
      </c>
    </row>
    <row r="786" ht="15.75" customHeight="1">
      <c r="B786" s="391" t="s">
        <v>4344</v>
      </c>
      <c r="C786" s="391" t="s">
        <v>8211</v>
      </c>
      <c r="D786" s="391" t="s">
        <v>2195</v>
      </c>
    </row>
    <row r="787" ht="15.75" customHeight="1">
      <c r="B787" s="391" t="s">
        <v>4585</v>
      </c>
      <c r="C787" s="391" t="s">
        <v>8212</v>
      </c>
      <c r="D787" s="391" t="s">
        <v>2166</v>
      </c>
    </row>
    <row r="788" ht="15.75" customHeight="1">
      <c r="B788" s="391" t="s">
        <v>8213</v>
      </c>
      <c r="C788" s="391" t="s">
        <v>8214</v>
      </c>
      <c r="D788" s="391" t="s">
        <v>2195</v>
      </c>
    </row>
    <row r="789" ht="15.75" customHeight="1">
      <c r="B789" s="391" t="s">
        <v>4606</v>
      </c>
      <c r="C789" s="391" t="s">
        <v>8215</v>
      </c>
      <c r="D789" s="391" t="s">
        <v>2232</v>
      </c>
    </row>
    <row r="790" ht="15.75" customHeight="1">
      <c r="B790" s="391" t="s">
        <v>4610</v>
      </c>
      <c r="C790" s="391" t="s">
        <v>8216</v>
      </c>
      <c r="D790" s="391" t="s">
        <v>2232</v>
      </c>
    </row>
    <row r="791" ht="15.75" customHeight="1">
      <c r="B791" s="391" t="s">
        <v>4615</v>
      </c>
      <c r="C791" s="391" t="s">
        <v>8217</v>
      </c>
      <c r="D791" s="391" t="s">
        <v>2232</v>
      </c>
    </row>
    <row r="792" ht="15.75" customHeight="1">
      <c r="B792" s="391" t="s">
        <v>4400</v>
      </c>
      <c r="C792" s="391" t="s">
        <v>8218</v>
      </c>
      <c r="D792" s="391" t="s">
        <v>2166</v>
      </c>
    </row>
    <row r="793" ht="15.75" customHeight="1">
      <c r="B793" s="391" t="s">
        <v>8219</v>
      </c>
      <c r="C793" s="391" t="s">
        <v>8220</v>
      </c>
      <c r="D793" s="391" t="s">
        <v>2166</v>
      </c>
    </row>
    <row r="794" ht="15.75" customHeight="1">
      <c r="B794" s="391">
        <v>8124.0</v>
      </c>
      <c r="C794" s="391" t="s">
        <v>8221</v>
      </c>
      <c r="D794" s="391" t="s">
        <v>2166</v>
      </c>
    </row>
    <row r="795" ht="15.75" customHeight="1">
      <c r="B795" s="391">
        <v>8128.0</v>
      </c>
      <c r="C795" s="391" t="s">
        <v>8221</v>
      </c>
      <c r="D795" s="391" t="s">
        <v>2195</v>
      </c>
    </row>
    <row r="796" ht="15.75" customHeight="1">
      <c r="B796" s="391" t="s">
        <v>4558</v>
      </c>
      <c r="C796" s="391" t="s">
        <v>8221</v>
      </c>
      <c r="D796" s="391" t="s">
        <v>2232</v>
      </c>
    </row>
    <row r="797" ht="15.75" customHeight="1">
      <c r="B797" s="391" t="s">
        <v>8222</v>
      </c>
      <c r="C797" s="391" t="s">
        <v>8221</v>
      </c>
      <c r="D797" s="391" t="s">
        <v>2232</v>
      </c>
    </row>
    <row r="798" ht="15.75" customHeight="1">
      <c r="B798" s="391" t="s">
        <v>4482</v>
      </c>
      <c r="C798" s="391" t="s">
        <v>8221</v>
      </c>
      <c r="D798" s="391" t="s">
        <v>2232</v>
      </c>
    </row>
    <row r="799" ht="15.75" customHeight="1">
      <c r="B799" s="391" t="s">
        <v>4483</v>
      </c>
      <c r="C799" s="391" t="s">
        <v>8221</v>
      </c>
      <c r="D799" s="391" t="s">
        <v>2232</v>
      </c>
    </row>
    <row r="800" ht="15.75" customHeight="1">
      <c r="B800" s="391" t="s">
        <v>8223</v>
      </c>
      <c r="C800" s="391" t="s">
        <v>8221</v>
      </c>
      <c r="D800" s="391" t="s">
        <v>2232</v>
      </c>
    </row>
    <row r="801" ht="15.75" customHeight="1">
      <c r="B801" s="391" t="s">
        <v>8224</v>
      </c>
      <c r="C801" s="391" t="s">
        <v>8221</v>
      </c>
      <c r="D801" s="391" t="s">
        <v>2232</v>
      </c>
    </row>
    <row r="802" ht="15.75" customHeight="1">
      <c r="B802" s="391" t="s">
        <v>4499</v>
      </c>
      <c r="C802" s="391" t="s">
        <v>8221</v>
      </c>
      <c r="D802" s="391" t="s">
        <v>2166</v>
      </c>
    </row>
    <row r="803" ht="15.75" customHeight="1">
      <c r="B803" s="391" t="s">
        <v>4507</v>
      </c>
      <c r="C803" s="391" t="s">
        <v>8221</v>
      </c>
      <c r="D803" s="391" t="s">
        <v>2166</v>
      </c>
    </row>
    <row r="804" ht="15.75" customHeight="1">
      <c r="B804" s="391" t="s">
        <v>8225</v>
      </c>
      <c r="C804" s="391" t="s">
        <v>8221</v>
      </c>
      <c r="D804" s="391" t="s">
        <v>2232</v>
      </c>
    </row>
    <row r="805" ht="15.75" customHeight="1">
      <c r="B805" s="391" t="s">
        <v>8226</v>
      </c>
      <c r="C805" s="391" t="s">
        <v>8221</v>
      </c>
      <c r="D805" s="391" t="s">
        <v>2232</v>
      </c>
    </row>
    <row r="806" ht="15.75" customHeight="1">
      <c r="B806" s="391" t="s">
        <v>4548</v>
      </c>
      <c r="C806" s="391" t="s">
        <v>8221</v>
      </c>
      <c r="D806" s="391" t="s">
        <v>2195</v>
      </c>
    </row>
    <row r="807" ht="15.75" customHeight="1">
      <c r="B807" s="391" t="s">
        <v>4516</v>
      </c>
      <c r="C807" s="391" t="s">
        <v>8221</v>
      </c>
      <c r="D807" s="391" t="s">
        <v>2166</v>
      </c>
    </row>
    <row r="808" ht="15.75" customHeight="1">
      <c r="B808" s="391" t="s">
        <v>8227</v>
      </c>
      <c r="C808" s="391" t="s">
        <v>8221</v>
      </c>
      <c r="D808" s="391" t="s">
        <v>2195</v>
      </c>
    </row>
    <row r="809" ht="15.75" customHeight="1">
      <c r="B809" s="391" t="s">
        <v>8228</v>
      </c>
      <c r="C809" s="391" t="s">
        <v>8221</v>
      </c>
      <c r="D809" s="391" t="s">
        <v>2195</v>
      </c>
    </row>
    <row r="810" ht="15.75" customHeight="1">
      <c r="B810" s="391" t="s">
        <v>8229</v>
      </c>
      <c r="C810" s="391" t="s">
        <v>8221</v>
      </c>
      <c r="D810" s="391" t="s">
        <v>2195</v>
      </c>
    </row>
    <row r="811" ht="15.75" customHeight="1">
      <c r="B811" s="391" t="s">
        <v>8230</v>
      </c>
      <c r="C811" s="391" t="s">
        <v>8221</v>
      </c>
      <c r="D811" s="391" t="s">
        <v>2195</v>
      </c>
    </row>
    <row r="812" ht="15.75" customHeight="1">
      <c r="B812" s="391" t="s">
        <v>4562</v>
      </c>
      <c r="C812" s="391" t="s">
        <v>8231</v>
      </c>
      <c r="D812" s="391" t="s">
        <v>2232</v>
      </c>
    </row>
    <row r="813" ht="15.75" customHeight="1">
      <c r="B813" s="391" t="s">
        <v>4544</v>
      </c>
      <c r="C813" s="391" t="s">
        <v>8232</v>
      </c>
      <c r="D813" s="391" t="s">
        <v>2166</v>
      </c>
    </row>
    <row r="814" ht="15.75" customHeight="1">
      <c r="B814" s="391" t="s">
        <v>4521</v>
      </c>
      <c r="C814" s="391" t="s">
        <v>8233</v>
      </c>
      <c r="D814" s="391" t="s">
        <v>2166</v>
      </c>
    </row>
    <row r="815" ht="15.75" customHeight="1">
      <c r="B815" s="391" t="s">
        <v>4525</v>
      </c>
      <c r="C815" s="391" t="s">
        <v>8233</v>
      </c>
      <c r="D815" s="391" t="s">
        <v>2195</v>
      </c>
    </row>
    <row r="816" ht="15.75" customHeight="1">
      <c r="B816" s="391" t="s">
        <v>4580</v>
      </c>
      <c r="C816" s="391" t="s">
        <v>8234</v>
      </c>
      <c r="D816" s="391" t="s">
        <v>2195</v>
      </c>
    </row>
    <row r="817" ht="15.75" customHeight="1">
      <c r="B817" s="391" t="s">
        <v>8235</v>
      </c>
      <c r="C817" s="391" t="s">
        <v>8236</v>
      </c>
      <c r="D817" s="391" t="s">
        <v>2195</v>
      </c>
    </row>
    <row r="818" ht="15.75" customHeight="1">
      <c r="B818" s="391" t="s">
        <v>4382</v>
      </c>
      <c r="C818" s="391" t="s">
        <v>8237</v>
      </c>
      <c r="D818" s="391" t="s">
        <v>2195</v>
      </c>
    </row>
    <row r="819" ht="15.75" customHeight="1">
      <c r="B819" s="391" t="s">
        <v>8238</v>
      </c>
      <c r="C819" s="391" t="s">
        <v>8239</v>
      </c>
      <c r="D819" s="391" t="s">
        <v>2166</v>
      </c>
    </row>
    <row r="820" ht="15.75" customHeight="1">
      <c r="B820" s="391" t="s">
        <v>8240</v>
      </c>
      <c r="C820" s="391" t="s">
        <v>8239</v>
      </c>
      <c r="D820" s="391" t="s">
        <v>2166</v>
      </c>
    </row>
    <row r="821" ht="15.75" customHeight="1">
      <c r="B821" s="391" t="s">
        <v>8241</v>
      </c>
      <c r="C821" s="391" t="s">
        <v>8239</v>
      </c>
      <c r="D821" s="391" t="s">
        <v>2166</v>
      </c>
    </row>
    <row r="822" ht="15.75" customHeight="1">
      <c r="B822" s="391" t="s">
        <v>8242</v>
      </c>
      <c r="C822" s="391" t="s">
        <v>8239</v>
      </c>
      <c r="D822" s="391" t="s">
        <v>2166</v>
      </c>
    </row>
    <row r="823" ht="15.75" customHeight="1">
      <c r="B823" s="391" t="s">
        <v>4492</v>
      </c>
      <c r="C823" s="391" t="s">
        <v>8243</v>
      </c>
      <c r="D823" s="391" t="s">
        <v>2166</v>
      </c>
    </row>
    <row r="824" ht="15.75" customHeight="1">
      <c r="B824" s="391" t="s">
        <v>4496</v>
      </c>
      <c r="C824" s="391" t="s">
        <v>8243</v>
      </c>
      <c r="D824" s="391" t="s">
        <v>2166</v>
      </c>
    </row>
    <row r="825" ht="15.75" customHeight="1">
      <c r="B825" s="391" t="s">
        <v>8244</v>
      </c>
      <c r="C825" s="391" t="s">
        <v>8245</v>
      </c>
      <c r="D825" s="391" t="s">
        <v>2195</v>
      </c>
    </row>
    <row r="826" ht="15.75" customHeight="1">
      <c r="B826" s="391" t="s">
        <v>8246</v>
      </c>
      <c r="C826" s="391" t="s">
        <v>8247</v>
      </c>
      <c r="D826" s="391" t="s">
        <v>2166</v>
      </c>
    </row>
    <row r="827" ht="15.75" customHeight="1">
      <c r="B827" s="391" t="s">
        <v>8248</v>
      </c>
      <c r="C827" s="391" t="s">
        <v>8249</v>
      </c>
      <c r="D827" s="391" t="s">
        <v>2195</v>
      </c>
    </row>
    <row r="828" ht="15.75" customHeight="1">
      <c r="B828" s="391" t="s">
        <v>4552</v>
      </c>
      <c r="C828" s="391" t="s">
        <v>8250</v>
      </c>
      <c r="D828" s="391" t="s">
        <v>2166</v>
      </c>
    </row>
    <row r="829" ht="15.75" customHeight="1">
      <c r="B829" s="391" t="s">
        <v>4556</v>
      </c>
      <c r="C829" s="391" t="s">
        <v>8250</v>
      </c>
      <c r="D829" s="391" t="s">
        <v>2166</v>
      </c>
    </row>
    <row r="830" ht="15.75" customHeight="1">
      <c r="B830" s="391" t="s">
        <v>8251</v>
      </c>
      <c r="C830" s="391" t="s">
        <v>8250</v>
      </c>
      <c r="D830" s="391" t="s">
        <v>2166</v>
      </c>
    </row>
    <row r="831" ht="15.75" customHeight="1">
      <c r="B831" s="391" t="s">
        <v>8252</v>
      </c>
      <c r="C831" s="391" t="s">
        <v>8250</v>
      </c>
      <c r="D831" s="391" t="s">
        <v>2166</v>
      </c>
    </row>
    <row r="832" ht="15.75" customHeight="1">
      <c r="B832" s="391" t="s">
        <v>8253</v>
      </c>
      <c r="C832" s="391" t="s">
        <v>8250</v>
      </c>
      <c r="D832" s="391" t="s">
        <v>2166</v>
      </c>
    </row>
    <row r="833" ht="15.75" customHeight="1">
      <c r="B833" s="391" t="s">
        <v>8254</v>
      </c>
      <c r="C833" s="391" t="s">
        <v>8250</v>
      </c>
      <c r="D833" s="391" t="s">
        <v>2166</v>
      </c>
    </row>
    <row r="834" ht="15.75" customHeight="1">
      <c r="B834" s="391" t="s">
        <v>8255</v>
      </c>
      <c r="C834" s="391" t="s">
        <v>8250</v>
      </c>
      <c r="D834" s="391" t="s">
        <v>2166</v>
      </c>
    </row>
    <row r="835" ht="15.75" customHeight="1">
      <c r="B835" s="391" t="s">
        <v>8256</v>
      </c>
      <c r="C835" s="391" t="s">
        <v>8250</v>
      </c>
      <c r="D835" s="391" t="s">
        <v>2166</v>
      </c>
    </row>
    <row r="836" ht="15.75" customHeight="1">
      <c r="B836" s="391" t="s">
        <v>8257</v>
      </c>
      <c r="C836" s="391" t="s">
        <v>8250</v>
      </c>
      <c r="D836" s="391" t="s">
        <v>2166</v>
      </c>
    </row>
    <row r="837" ht="15.75" customHeight="1">
      <c r="B837" s="391" t="s">
        <v>8258</v>
      </c>
      <c r="C837" s="391" t="s">
        <v>8250</v>
      </c>
      <c r="D837" s="391" t="s">
        <v>2166</v>
      </c>
    </row>
    <row r="838" ht="15.75" customHeight="1">
      <c r="B838" s="391" t="s">
        <v>8259</v>
      </c>
      <c r="C838" s="391" t="s">
        <v>8250</v>
      </c>
      <c r="D838" s="391" t="s">
        <v>2232</v>
      </c>
    </row>
    <row r="839" ht="15.75" customHeight="1">
      <c r="B839" s="391" t="s">
        <v>8260</v>
      </c>
      <c r="C839" s="391" t="s">
        <v>8250</v>
      </c>
      <c r="D839" s="391" t="s">
        <v>2232</v>
      </c>
    </row>
    <row r="840" ht="15.75" customHeight="1">
      <c r="B840" s="391" t="s">
        <v>8261</v>
      </c>
      <c r="C840" s="391" t="s">
        <v>8250</v>
      </c>
      <c r="D840" s="391" t="s">
        <v>2232</v>
      </c>
    </row>
    <row r="841" ht="15.75" customHeight="1">
      <c r="B841" s="391" t="s">
        <v>4503</v>
      </c>
      <c r="C841" s="391" t="s">
        <v>8250</v>
      </c>
      <c r="D841" s="391" t="s">
        <v>2166</v>
      </c>
    </row>
    <row r="842" ht="15.75" customHeight="1">
      <c r="B842" s="391" t="s">
        <v>4470</v>
      </c>
      <c r="C842" s="391" t="s">
        <v>8250</v>
      </c>
      <c r="D842" s="391" t="s">
        <v>2166</v>
      </c>
    </row>
    <row r="843" ht="15.75" customHeight="1">
      <c r="B843" s="391" t="s">
        <v>4473</v>
      </c>
      <c r="C843" s="391" t="s">
        <v>8250</v>
      </c>
      <c r="D843" s="391" t="s">
        <v>2166</v>
      </c>
    </row>
    <row r="844" ht="15.75" customHeight="1">
      <c r="B844" s="391" t="s">
        <v>4512</v>
      </c>
      <c r="C844" s="391" t="s">
        <v>8250</v>
      </c>
      <c r="D844" s="391" t="s">
        <v>2232</v>
      </c>
    </row>
    <row r="845" ht="15.75" customHeight="1">
      <c r="B845" s="391" t="s">
        <v>8262</v>
      </c>
      <c r="C845" s="391" t="s">
        <v>8263</v>
      </c>
      <c r="D845" s="391" t="s">
        <v>2166</v>
      </c>
    </row>
    <row r="846" ht="15.75" customHeight="1">
      <c r="B846" s="391" t="s">
        <v>4348</v>
      </c>
      <c r="C846" s="391" t="s">
        <v>8264</v>
      </c>
      <c r="D846" s="391" t="s">
        <v>2166</v>
      </c>
    </row>
    <row r="847" ht="15.75" customHeight="1">
      <c r="B847" s="391" t="s">
        <v>8265</v>
      </c>
      <c r="C847" s="391" t="s">
        <v>8266</v>
      </c>
      <c r="D847" s="391" t="s">
        <v>2232</v>
      </c>
    </row>
    <row r="848" ht="15.75" customHeight="1">
      <c r="B848" s="391" t="s">
        <v>3658</v>
      </c>
      <c r="C848" s="391" t="s">
        <v>8267</v>
      </c>
      <c r="D848" s="391" t="s">
        <v>2232</v>
      </c>
    </row>
    <row r="849" ht="15.75" customHeight="1">
      <c r="B849" s="391" t="s">
        <v>3970</v>
      </c>
      <c r="C849" s="391" t="s">
        <v>8268</v>
      </c>
      <c r="D849" s="391" t="s">
        <v>2166</v>
      </c>
    </row>
    <row r="850" ht="15.75" customHeight="1">
      <c r="B850" s="391" t="s">
        <v>3771</v>
      </c>
      <c r="C850" s="391" t="s">
        <v>8269</v>
      </c>
      <c r="D850" s="391" t="s">
        <v>2195</v>
      </c>
    </row>
    <row r="851" ht="15.75" customHeight="1">
      <c r="B851" s="391" t="s">
        <v>3974</v>
      </c>
      <c r="C851" s="391" t="s">
        <v>8270</v>
      </c>
      <c r="D851" s="391" t="s">
        <v>2166</v>
      </c>
    </row>
    <row r="852" ht="15.75" customHeight="1">
      <c r="B852" s="391" t="s">
        <v>3933</v>
      </c>
      <c r="C852" s="391" t="s">
        <v>8271</v>
      </c>
      <c r="D852" s="391" t="s">
        <v>2195</v>
      </c>
    </row>
    <row r="853" ht="15.75" customHeight="1">
      <c r="B853" s="391">
        <v>26703.0</v>
      </c>
      <c r="C853" s="391" t="s">
        <v>8272</v>
      </c>
      <c r="D853" s="391" t="s">
        <v>2195</v>
      </c>
    </row>
    <row r="854" ht="15.75" customHeight="1">
      <c r="B854" s="391" t="s">
        <v>3796</v>
      </c>
      <c r="C854" s="391" t="s">
        <v>8273</v>
      </c>
      <c r="D854" s="391" t="s">
        <v>2195</v>
      </c>
    </row>
    <row r="855" ht="15.75" customHeight="1">
      <c r="B855" s="391" t="s">
        <v>3801</v>
      </c>
      <c r="C855" s="391" t="s">
        <v>8273</v>
      </c>
      <c r="D855" s="391" t="s">
        <v>2166</v>
      </c>
    </row>
    <row r="856" ht="15.75" customHeight="1">
      <c r="B856" s="391" t="s">
        <v>4070</v>
      </c>
      <c r="C856" s="391" t="s">
        <v>8274</v>
      </c>
      <c r="D856" s="391" t="s">
        <v>2166</v>
      </c>
    </row>
    <row r="857" ht="15.75" customHeight="1">
      <c r="B857" s="391" t="s">
        <v>4060</v>
      </c>
      <c r="C857" s="391" t="s">
        <v>8275</v>
      </c>
      <c r="D857" s="391" t="s">
        <v>2232</v>
      </c>
    </row>
    <row r="858" ht="15.75" customHeight="1">
      <c r="B858" s="391" t="s">
        <v>3653</v>
      </c>
      <c r="C858" s="391" t="s">
        <v>8276</v>
      </c>
      <c r="D858" s="391" t="s">
        <v>2232</v>
      </c>
    </row>
    <row r="859" ht="15.75" customHeight="1">
      <c r="B859" s="391" t="s">
        <v>3561</v>
      </c>
      <c r="C859" s="391" t="s">
        <v>8277</v>
      </c>
      <c r="D859" s="391" t="s">
        <v>2195</v>
      </c>
    </row>
    <row r="860" ht="15.75" customHeight="1">
      <c r="B860" s="391" t="s">
        <v>3583</v>
      </c>
      <c r="C860" s="391" t="s">
        <v>8278</v>
      </c>
      <c r="D860" s="391" t="s">
        <v>2195</v>
      </c>
    </row>
    <row r="861" ht="15.75" customHeight="1">
      <c r="B861" s="391" t="s">
        <v>4001</v>
      </c>
      <c r="C861" s="391" t="s">
        <v>8279</v>
      </c>
      <c r="D861" s="391" t="s">
        <v>2195</v>
      </c>
    </row>
    <row r="862" ht="15.75" customHeight="1">
      <c r="B862" s="391" t="s">
        <v>3984</v>
      </c>
      <c r="C862" s="391" t="s">
        <v>8280</v>
      </c>
      <c r="D862" s="391" t="s">
        <v>2166</v>
      </c>
    </row>
    <row r="863" ht="15.75" customHeight="1">
      <c r="B863" s="391" t="s">
        <v>8281</v>
      </c>
      <c r="C863" s="391" t="s">
        <v>8282</v>
      </c>
      <c r="D863" s="391" t="s">
        <v>2195</v>
      </c>
    </row>
    <row r="864" ht="15.75" customHeight="1">
      <c r="B864" s="391" t="s">
        <v>8283</v>
      </c>
      <c r="C864" s="391" t="s">
        <v>8284</v>
      </c>
      <c r="D864" s="391" t="s">
        <v>2166</v>
      </c>
    </row>
    <row r="865" ht="15.75" customHeight="1">
      <c r="B865" s="391" t="s">
        <v>3614</v>
      </c>
      <c r="C865" s="391" t="s">
        <v>8285</v>
      </c>
      <c r="D865" s="391" t="s">
        <v>2195</v>
      </c>
    </row>
    <row r="866" ht="15.75" customHeight="1">
      <c r="B866" s="391" t="s">
        <v>3998</v>
      </c>
      <c r="C866" s="391" t="s">
        <v>8286</v>
      </c>
      <c r="D866" s="391" t="s">
        <v>2166</v>
      </c>
    </row>
    <row r="867" ht="15.75" customHeight="1">
      <c r="B867" s="391" t="s">
        <v>4037</v>
      </c>
      <c r="C867" s="391" t="s">
        <v>8287</v>
      </c>
      <c r="D867" s="391" t="s">
        <v>2166</v>
      </c>
    </row>
    <row r="868" ht="15.75" customHeight="1">
      <c r="B868" s="391" t="s">
        <v>4032</v>
      </c>
      <c r="C868" s="391" t="s">
        <v>8288</v>
      </c>
      <c r="D868" s="391" t="s">
        <v>2166</v>
      </c>
    </row>
    <row r="869" ht="15.75" customHeight="1">
      <c r="B869" s="391" t="s">
        <v>4047</v>
      </c>
      <c r="C869" s="391" t="s">
        <v>8289</v>
      </c>
      <c r="D869" s="391" t="s">
        <v>2232</v>
      </c>
    </row>
    <row r="870" ht="15.75" customHeight="1">
      <c r="B870" s="391" t="s">
        <v>4042</v>
      </c>
      <c r="C870" s="391" t="s">
        <v>8290</v>
      </c>
      <c r="D870" s="391" t="s">
        <v>2232</v>
      </c>
    </row>
    <row r="871" ht="15.75" customHeight="1">
      <c r="B871" s="391" t="s">
        <v>3812</v>
      </c>
      <c r="C871" s="391" t="s">
        <v>8291</v>
      </c>
      <c r="D871" s="391" t="s">
        <v>2166</v>
      </c>
    </row>
    <row r="872" ht="15.75" customHeight="1">
      <c r="B872" s="391" t="s">
        <v>3818</v>
      </c>
      <c r="C872" s="391" t="s">
        <v>8292</v>
      </c>
      <c r="D872" s="391" t="s">
        <v>2166</v>
      </c>
    </row>
    <row r="873" ht="15.75" customHeight="1">
      <c r="B873" s="391" t="s">
        <v>3672</v>
      </c>
      <c r="C873" s="391" t="s">
        <v>8293</v>
      </c>
      <c r="D873" s="391" t="s">
        <v>2232</v>
      </c>
    </row>
    <row r="874" ht="15.75" customHeight="1">
      <c r="B874" s="391" t="s">
        <v>3663</v>
      </c>
      <c r="C874" s="391" t="s">
        <v>8294</v>
      </c>
      <c r="D874" s="391" t="s">
        <v>2232</v>
      </c>
    </row>
    <row r="875" ht="15.75" customHeight="1">
      <c r="B875" s="391" t="s">
        <v>3674</v>
      </c>
      <c r="C875" s="391" t="s">
        <v>8295</v>
      </c>
      <c r="D875" s="391" t="s">
        <v>2166</v>
      </c>
    </row>
    <row r="876" ht="15.75" customHeight="1">
      <c r="B876" s="391" t="s">
        <v>3987</v>
      </c>
      <c r="C876" s="391" t="s">
        <v>8296</v>
      </c>
      <c r="D876" s="391" t="s">
        <v>2166</v>
      </c>
    </row>
    <row r="877" ht="15.75" customHeight="1">
      <c r="B877" s="391" t="s">
        <v>3696</v>
      </c>
      <c r="C877" s="391" t="s">
        <v>8297</v>
      </c>
      <c r="D877" s="391" t="s">
        <v>2166</v>
      </c>
    </row>
    <row r="878" ht="15.75" customHeight="1">
      <c r="B878" s="391" t="s">
        <v>3718</v>
      </c>
      <c r="C878" s="391" t="s">
        <v>8298</v>
      </c>
      <c r="D878" s="391" t="s">
        <v>2166</v>
      </c>
    </row>
    <row r="879" ht="15.75" customHeight="1">
      <c r="B879" s="391" t="s">
        <v>3723</v>
      </c>
      <c r="C879" s="391" t="s">
        <v>8299</v>
      </c>
      <c r="D879" s="391" t="s">
        <v>2195</v>
      </c>
    </row>
    <row r="880" ht="15.75" customHeight="1">
      <c r="B880" s="391" t="s">
        <v>4021</v>
      </c>
      <c r="C880" s="391" t="s">
        <v>8300</v>
      </c>
      <c r="D880" s="391" t="s">
        <v>2232</v>
      </c>
    </row>
    <row r="881" ht="15.75" customHeight="1">
      <c r="B881" s="391" t="s">
        <v>3566</v>
      </c>
      <c r="C881" s="391" t="s">
        <v>8301</v>
      </c>
      <c r="D881" s="391" t="s">
        <v>2232</v>
      </c>
    </row>
    <row r="882" ht="15.75" customHeight="1">
      <c r="B882" s="391" t="s">
        <v>3575</v>
      </c>
      <c r="C882" s="391" t="s">
        <v>8302</v>
      </c>
      <c r="D882" s="391" t="s">
        <v>2166</v>
      </c>
    </row>
    <row r="883" ht="15.75" customHeight="1">
      <c r="B883" s="391" t="s">
        <v>3571</v>
      </c>
      <c r="C883" s="391" t="s">
        <v>8303</v>
      </c>
      <c r="D883" s="391" t="s">
        <v>2195</v>
      </c>
    </row>
    <row r="884" ht="15.75" customHeight="1">
      <c r="B884" s="391" t="s">
        <v>3738</v>
      </c>
      <c r="C884" s="391" t="s">
        <v>8304</v>
      </c>
      <c r="D884" s="391" t="s">
        <v>2195</v>
      </c>
    </row>
    <row r="885" ht="15.75" customHeight="1">
      <c r="B885" s="391" t="s">
        <v>3742</v>
      </c>
      <c r="C885" s="391" t="s">
        <v>8304</v>
      </c>
      <c r="D885" s="391" t="s">
        <v>2195</v>
      </c>
    </row>
    <row r="886" ht="15.75" customHeight="1">
      <c r="B886" s="391" t="s">
        <v>3588</v>
      </c>
      <c r="C886" s="391" t="s">
        <v>8305</v>
      </c>
      <c r="D886" s="391" t="s">
        <v>2195</v>
      </c>
    </row>
    <row r="887" ht="15.75" customHeight="1">
      <c r="B887" s="391" t="s">
        <v>3580</v>
      </c>
      <c r="C887" s="391" t="s">
        <v>8305</v>
      </c>
      <c r="D887" s="391" t="s">
        <v>2232</v>
      </c>
    </row>
    <row r="888" ht="15.75" customHeight="1">
      <c r="B888" s="391" t="s">
        <v>3766</v>
      </c>
      <c r="C888" s="391" t="s">
        <v>8306</v>
      </c>
      <c r="D888" s="391" t="s">
        <v>2195</v>
      </c>
    </row>
    <row r="889" ht="15.75" customHeight="1">
      <c r="B889" s="391" t="s">
        <v>3761</v>
      </c>
      <c r="C889" s="391" t="s">
        <v>8307</v>
      </c>
      <c r="D889" s="391" t="s">
        <v>2166</v>
      </c>
    </row>
    <row r="890" ht="15.75" customHeight="1">
      <c r="B890" s="391" t="s">
        <v>8308</v>
      </c>
      <c r="C890" s="391" t="s">
        <v>8307</v>
      </c>
      <c r="D890" s="391" t="s">
        <v>2195</v>
      </c>
    </row>
    <row r="891" ht="15.75" customHeight="1">
      <c r="B891" s="391" t="s">
        <v>3691</v>
      </c>
      <c r="C891" s="391" t="s">
        <v>8309</v>
      </c>
      <c r="D891" s="391" t="s">
        <v>2166</v>
      </c>
    </row>
    <row r="892" ht="15.75" customHeight="1">
      <c r="B892" s="391" t="s">
        <v>4016</v>
      </c>
      <c r="C892" s="391" t="s">
        <v>8310</v>
      </c>
      <c r="D892" s="391" t="s">
        <v>2166</v>
      </c>
    </row>
    <row r="893" ht="15.75" customHeight="1">
      <c r="B893" s="391" t="s">
        <v>3733</v>
      </c>
      <c r="C893" s="391" t="s">
        <v>8311</v>
      </c>
      <c r="D893" s="391" t="s">
        <v>2195</v>
      </c>
    </row>
    <row r="894" ht="15.75" customHeight="1">
      <c r="B894" s="391" t="s">
        <v>4006</v>
      </c>
      <c r="C894" s="391" t="s">
        <v>8312</v>
      </c>
      <c r="D894" s="391" t="s">
        <v>2195</v>
      </c>
    </row>
    <row r="895" ht="15.75" customHeight="1">
      <c r="B895" s="391" t="s">
        <v>3728</v>
      </c>
      <c r="C895" s="391" t="s">
        <v>8313</v>
      </c>
      <c r="D895" s="391" t="s">
        <v>2195</v>
      </c>
    </row>
    <row r="896" ht="15.75" customHeight="1">
      <c r="B896" s="391" t="s">
        <v>4095</v>
      </c>
      <c r="C896" s="391" t="s">
        <v>8314</v>
      </c>
      <c r="D896" s="391" t="s">
        <v>2232</v>
      </c>
    </row>
    <row r="897" ht="15.75" customHeight="1">
      <c r="B897" s="391" t="s">
        <v>4085</v>
      </c>
      <c r="C897" s="391" t="s">
        <v>8315</v>
      </c>
      <c r="D897" s="391" t="s">
        <v>2232</v>
      </c>
    </row>
    <row r="898" ht="15.75" customHeight="1">
      <c r="B898" s="391" t="s">
        <v>3852</v>
      </c>
      <c r="C898" s="391" t="s">
        <v>8316</v>
      </c>
      <c r="D898" s="391" t="s">
        <v>2232</v>
      </c>
    </row>
    <row r="899" ht="15.75" customHeight="1">
      <c r="B899" s="391" t="s">
        <v>3828</v>
      </c>
      <c r="C899" s="391" t="s">
        <v>8316</v>
      </c>
      <c r="D899" s="391" t="s">
        <v>2195</v>
      </c>
    </row>
    <row r="900" ht="15.75" customHeight="1">
      <c r="B900" s="391" t="s">
        <v>8317</v>
      </c>
      <c r="C900" s="391" t="s">
        <v>8316</v>
      </c>
      <c r="D900" s="391" t="s">
        <v>2195</v>
      </c>
    </row>
    <row r="901" ht="15.75" customHeight="1">
      <c r="B901" s="391" t="s">
        <v>3593</v>
      </c>
      <c r="C901" s="391" t="s">
        <v>8316</v>
      </c>
      <c r="D901" s="391" t="s">
        <v>2195</v>
      </c>
    </row>
    <row r="902" ht="15.75" customHeight="1">
      <c r="B902" s="391" t="s">
        <v>3642</v>
      </c>
      <c r="C902" s="391" t="s">
        <v>8316</v>
      </c>
      <c r="D902" s="391" t="s">
        <v>2232</v>
      </c>
    </row>
    <row r="903" ht="15.75" customHeight="1">
      <c r="B903" s="391" t="s">
        <v>3637</v>
      </c>
      <c r="C903" s="391" t="s">
        <v>8316</v>
      </c>
      <c r="D903" s="391" t="s">
        <v>2232</v>
      </c>
    </row>
    <row r="904" ht="15.75" customHeight="1">
      <c r="B904" s="391" t="s">
        <v>3868</v>
      </c>
      <c r="C904" s="391" t="s">
        <v>8316</v>
      </c>
      <c r="D904" s="391" t="s">
        <v>2195</v>
      </c>
    </row>
    <row r="905" ht="15.75" customHeight="1">
      <c r="B905" s="391" t="s">
        <v>8318</v>
      </c>
      <c r="C905" s="391" t="s">
        <v>8316</v>
      </c>
      <c r="D905" s="391" t="s">
        <v>2195</v>
      </c>
    </row>
    <row r="906" ht="15.75" customHeight="1">
      <c r="B906" s="391" t="s">
        <v>3923</v>
      </c>
      <c r="C906" s="391" t="s">
        <v>8316</v>
      </c>
      <c r="D906" s="391" t="s">
        <v>2195</v>
      </c>
    </row>
    <row r="907" ht="15.75" customHeight="1">
      <c r="B907" s="391" t="s">
        <v>3780</v>
      </c>
      <c r="C907" s="391" t="s">
        <v>8316</v>
      </c>
      <c r="D907" s="391" t="s">
        <v>2232</v>
      </c>
    </row>
    <row r="908" ht="15.75" customHeight="1">
      <c r="B908" s="391" t="s">
        <v>3680</v>
      </c>
      <c r="C908" s="391" t="s">
        <v>8316</v>
      </c>
      <c r="D908" s="391" t="s">
        <v>2195</v>
      </c>
    </row>
    <row r="909" ht="15.75" customHeight="1">
      <c r="B909" s="391" t="s">
        <v>3751</v>
      </c>
      <c r="C909" s="391" t="s">
        <v>8316</v>
      </c>
      <c r="D909" s="391" t="s">
        <v>2195</v>
      </c>
    </row>
    <row r="910" ht="15.75" customHeight="1">
      <c r="B910" s="391" t="s">
        <v>8319</v>
      </c>
      <c r="C910" s="391" t="s">
        <v>8316</v>
      </c>
      <c r="D910" s="391" t="s">
        <v>2195</v>
      </c>
    </row>
    <row r="911" ht="15.75" customHeight="1">
      <c r="B911" s="391" t="s">
        <v>3599</v>
      </c>
      <c r="C911" s="391" t="s">
        <v>8316</v>
      </c>
      <c r="D911" s="391" t="s">
        <v>2166</v>
      </c>
    </row>
    <row r="912" ht="15.75" customHeight="1">
      <c r="B912" s="391" t="s">
        <v>3845</v>
      </c>
      <c r="C912" s="391" t="s">
        <v>8320</v>
      </c>
      <c r="D912" s="391" t="s">
        <v>2195</v>
      </c>
    </row>
    <row r="913" ht="15.75" customHeight="1">
      <c r="B913" s="391" t="s">
        <v>3756</v>
      </c>
      <c r="C913" s="391" t="s">
        <v>8320</v>
      </c>
      <c r="D913" s="391" t="s">
        <v>2166</v>
      </c>
    </row>
    <row r="914" ht="15.75" customHeight="1">
      <c r="B914" s="391">
        <v>27395.0</v>
      </c>
      <c r="C914" s="391" t="s">
        <v>8320</v>
      </c>
      <c r="D914" s="391" t="s">
        <v>2195</v>
      </c>
    </row>
    <row r="915" ht="15.75" customHeight="1">
      <c r="B915" s="391" t="s">
        <v>3850</v>
      </c>
      <c r="C915" s="391" t="s">
        <v>8321</v>
      </c>
      <c r="D915" s="391" t="s">
        <v>2166</v>
      </c>
    </row>
    <row r="916" ht="15.75" customHeight="1">
      <c r="B916" s="391" t="s">
        <v>3668</v>
      </c>
      <c r="C916" s="391" t="s">
        <v>8322</v>
      </c>
      <c r="D916" s="391" t="s">
        <v>2166</v>
      </c>
    </row>
    <row r="917" ht="15.75" customHeight="1">
      <c r="B917" s="391" t="s">
        <v>3781</v>
      </c>
      <c r="C917" s="391" t="s">
        <v>8322</v>
      </c>
      <c r="D917" s="391" t="s">
        <v>2195</v>
      </c>
    </row>
    <row r="918" ht="15.75" customHeight="1">
      <c r="B918" s="391" t="s">
        <v>3685</v>
      </c>
      <c r="C918" s="391" t="s">
        <v>8322</v>
      </c>
      <c r="D918" s="391" t="s">
        <v>2232</v>
      </c>
    </row>
    <row r="919" ht="15.75" customHeight="1">
      <c r="B919" s="391" t="s">
        <v>3785</v>
      </c>
      <c r="C919" s="391" t="s">
        <v>8322</v>
      </c>
      <c r="D919" s="391" t="s">
        <v>2195</v>
      </c>
    </row>
    <row r="920" ht="15.75" customHeight="1">
      <c r="B920" s="391" t="s">
        <v>3787</v>
      </c>
      <c r="C920" s="391" t="s">
        <v>8322</v>
      </c>
      <c r="D920" s="391" t="s">
        <v>2195</v>
      </c>
    </row>
    <row r="921" ht="15.75" customHeight="1">
      <c r="B921" s="391" t="s">
        <v>3746</v>
      </c>
      <c r="C921" s="391" t="s">
        <v>8322</v>
      </c>
      <c r="D921" s="391" t="s">
        <v>2166</v>
      </c>
    </row>
    <row r="922" ht="15.75" customHeight="1">
      <c r="B922" s="391" t="s">
        <v>8323</v>
      </c>
      <c r="C922" s="391" t="s">
        <v>8322</v>
      </c>
      <c r="D922" s="391" t="s">
        <v>2195</v>
      </c>
    </row>
    <row r="923" ht="15.75" customHeight="1">
      <c r="B923" s="391" t="s">
        <v>3791</v>
      </c>
      <c r="C923" s="391" t="s">
        <v>8322</v>
      </c>
      <c r="D923" s="391" t="s">
        <v>2195</v>
      </c>
    </row>
    <row r="924" ht="15.75" customHeight="1">
      <c r="B924" s="391" t="s">
        <v>3712</v>
      </c>
      <c r="C924" s="391" t="s">
        <v>8324</v>
      </c>
      <c r="D924" s="391" t="s">
        <v>2232</v>
      </c>
    </row>
    <row r="925" ht="15.75" customHeight="1">
      <c r="B925" s="391" t="s">
        <v>3928</v>
      </c>
      <c r="C925" s="391" t="s">
        <v>8325</v>
      </c>
      <c r="D925" s="391" t="s">
        <v>2195</v>
      </c>
    </row>
    <row r="926" ht="15.75" customHeight="1">
      <c r="B926" s="391" t="s">
        <v>8326</v>
      </c>
      <c r="C926" s="391" t="s">
        <v>8327</v>
      </c>
      <c r="D926" s="391" t="s">
        <v>2166</v>
      </c>
    </row>
    <row r="927" ht="15.75" customHeight="1">
      <c r="B927" s="391" t="s">
        <v>3877</v>
      </c>
      <c r="C927" s="391" t="s">
        <v>8328</v>
      </c>
      <c r="D927" s="391" t="s">
        <v>2166</v>
      </c>
    </row>
    <row r="928" ht="15.75" customHeight="1">
      <c r="B928" s="391" t="s">
        <v>3882</v>
      </c>
      <c r="C928" s="391" t="s">
        <v>8329</v>
      </c>
      <c r="D928" s="391" t="s">
        <v>2166</v>
      </c>
    </row>
    <row r="929" ht="15.75" customHeight="1">
      <c r="B929" s="391" t="s">
        <v>3863</v>
      </c>
      <c r="C929" s="391" t="s">
        <v>8330</v>
      </c>
      <c r="D929" s="391" t="s">
        <v>2166</v>
      </c>
    </row>
    <row r="930" ht="15.75" customHeight="1">
      <c r="B930" s="391" t="s">
        <v>3889</v>
      </c>
      <c r="C930" s="391" t="s">
        <v>8331</v>
      </c>
      <c r="D930" s="391" t="s">
        <v>2166</v>
      </c>
    </row>
    <row r="931" ht="15.75" customHeight="1">
      <c r="B931" s="391" t="s">
        <v>3898</v>
      </c>
      <c r="C931" s="391" t="s">
        <v>8332</v>
      </c>
      <c r="D931" s="391" t="s">
        <v>2166</v>
      </c>
    </row>
    <row r="932" ht="15.75" customHeight="1">
      <c r="B932" s="391" t="s">
        <v>3873</v>
      </c>
      <c r="C932" s="391" t="s">
        <v>8333</v>
      </c>
      <c r="D932" s="391" t="s">
        <v>2195</v>
      </c>
    </row>
    <row r="933" ht="15.75" customHeight="1">
      <c r="B933" s="391" t="s">
        <v>3915</v>
      </c>
      <c r="C933" s="391" t="s">
        <v>8334</v>
      </c>
      <c r="D933" s="391" t="s">
        <v>2166</v>
      </c>
    </row>
    <row r="934" ht="15.75" customHeight="1">
      <c r="B934" s="391" t="s">
        <v>3894</v>
      </c>
      <c r="C934" s="391" t="s">
        <v>8335</v>
      </c>
      <c r="D934" s="391" t="s">
        <v>2166</v>
      </c>
    </row>
    <row r="935" ht="15.75" customHeight="1">
      <c r="B935" s="391" t="s">
        <v>3912</v>
      </c>
      <c r="C935" s="391" t="s">
        <v>8336</v>
      </c>
      <c r="D935" s="391" t="s">
        <v>2166</v>
      </c>
    </row>
    <row r="936" ht="15.75" customHeight="1">
      <c r="B936" s="391" t="s">
        <v>4056</v>
      </c>
      <c r="C936" s="391" t="s">
        <v>8337</v>
      </c>
      <c r="D936" s="391" t="s">
        <v>2195</v>
      </c>
    </row>
    <row r="937" ht="15.75" customHeight="1">
      <c r="B937" s="391" t="s">
        <v>4065</v>
      </c>
      <c r="C937" s="391" t="s">
        <v>8338</v>
      </c>
      <c r="D937" s="391" t="s">
        <v>2232</v>
      </c>
    </row>
    <row r="938" ht="15.75" customHeight="1">
      <c r="B938" s="391" t="s">
        <v>4081</v>
      </c>
      <c r="C938" s="391" t="s">
        <v>8339</v>
      </c>
      <c r="D938" s="391" t="s">
        <v>2166</v>
      </c>
    </row>
    <row r="939" ht="15.75" customHeight="1">
      <c r="B939" s="391" t="s">
        <v>3823</v>
      </c>
      <c r="C939" s="391" t="s">
        <v>8340</v>
      </c>
      <c r="D939" s="391" t="s">
        <v>2232</v>
      </c>
    </row>
    <row r="940" ht="15.75" customHeight="1">
      <c r="B940" s="391">
        <v>23560.0</v>
      </c>
      <c r="C940" s="391" t="s">
        <v>8341</v>
      </c>
      <c r="D940" s="391" t="s">
        <v>2195</v>
      </c>
    </row>
    <row r="941" ht="15.75" customHeight="1">
      <c r="B941" s="391" t="s">
        <v>3632</v>
      </c>
      <c r="C941" s="391" t="s">
        <v>8342</v>
      </c>
      <c r="D941" s="391" t="s">
        <v>2166</v>
      </c>
    </row>
    <row r="942" ht="15.75" customHeight="1">
      <c r="B942" s="391" t="s">
        <v>8343</v>
      </c>
      <c r="C942" s="391" t="s">
        <v>8342</v>
      </c>
      <c r="D942" s="391" t="s">
        <v>2195</v>
      </c>
    </row>
    <row r="943" ht="15.75" customHeight="1">
      <c r="B943" s="391" t="s">
        <v>3648</v>
      </c>
      <c r="C943" s="391" t="s">
        <v>8342</v>
      </c>
      <c r="D943" s="391" t="s">
        <v>2232</v>
      </c>
    </row>
    <row r="944" ht="15.75" customHeight="1">
      <c r="B944" s="391" t="s">
        <v>4052</v>
      </c>
      <c r="C944" s="391" t="s">
        <v>8344</v>
      </c>
      <c r="D944" s="391" t="s">
        <v>2232</v>
      </c>
    </row>
    <row r="945" ht="15.75" customHeight="1">
      <c r="B945" s="391" t="s">
        <v>8345</v>
      </c>
      <c r="C945" s="391" t="s">
        <v>8344</v>
      </c>
      <c r="D945" s="391" t="s">
        <v>2195</v>
      </c>
    </row>
    <row r="946" ht="15.75" customHeight="1">
      <c r="B946" s="391" t="s">
        <v>3701</v>
      </c>
      <c r="C946" s="391" t="s">
        <v>8344</v>
      </c>
      <c r="D946" s="391" t="s">
        <v>2166</v>
      </c>
    </row>
    <row r="947" ht="15.75" customHeight="1">
      <c r="B947" s="391" t="s">
        <v>3703</v>
      </c>
      <c r="C947" s="391" t="s">
        <v>8344</v>
      </c>
      <c r="D947" s="391" t="s">
        <v>2166</v>
      </c>
    </row>
    <row r="948" ht="15.75" customHeight="1">
      <c r="B948" s="391" t="s">
        <v>8346</v>
      </c>
      <c r="C948" s="391" t="s">
        <v>8347</v>
      </c>
      <c r="D948" s="391" t="s">
        <v>2232</v>
      </c>
    </row>
    <row r="949" ht="15.75" customHeight="1">
      <c r="B949" s="391" t="s">
        <v>3921</v>
      </c>
      <c r="C949" s="391" t="s">
        <v>8348</v>
      </c>
      <c r="D949" s="391" t="s">
        <v>2195</v>
      </c>
    </row>
    <row r="950" ht="15.75" customHeight="1">
      <c r="B950" s="391" t="s">
        <v>4027</v>
      </c>
      <c r="C950" s="391" t="s">
        <v>8349</v>
      </c>
      <c r="D950" s="391" t="s">
        <v>2166</v>
      </c>
    </row>
    <row r="951" ht="15.75" customHeight="1">
      <c r="B951" s="391" t="s">
        <v>3622</v>
      </c>
      <c r="C951" s="391" t="s">
        <v>8350</v>
      </c>
      <c r="D951" s="391" t="s">
        <v>2166</v>
      </c>
    </row>
    <row r="952" ht="15.75" customHeight="1">
      <c r="B952" s="391" t="s">
        <v>3627</v>
      </c>
      <c r="C952" s="391" t="s">
        <v>8351</v>
      </c>
      <c r="D952" s="391" t="s">
        <v>2166</v>
      </c>
    </row>
    <row r="953" ht="15.75" customHeight="1">
      <c r="B953" s="391" t="s">
        <v>3966</v>
      </c>
      <c r="C953" s="391" t="s">
        <v>8352</v>
      </c>
      <c r="D953" s="391" t="s">
        <v>2166</v>
      </c>
    </row>
    <row r="954" ht="15.75" customHeight="1">
      <c r="B954" s="391" t="s">
        <v>3944</v>
      </c>
      <c r="C954" s="391" t="s">
        <v>8353</v>
      </c>
      <c r="D954" s="391" t="s">
        <v>2166</v>
      </c>
    </row>
    <row r="955" ht="15.75" customHeight="1">
      <c r="B955" s="391" t="s">
        <v>3957</v>
      </c>
      <c r="C955" s="391" t="s">
        <v>8354</v>
      </c>
      <c r="D955" s="391" t="s">
        <v>2166</v>
      </c>
    </row>
    <row r="956" ht="15.75" customHeight="1">
      <c r="B956" s="391" t="s">
        <v>3959</v>
      </c>
      <c r="C956" s="391" t="s">
        <v>8355</v>
      </c>
      <c r="D956" s="391" t="s">
        <v>2166</v>
      </c>
    </row>
    <row r="957" ht="15.75" customHeight="1">
      <c r="B957" s="391" t="s">
        <v>3949</v>
      </c>
      <c r="C957" s="391" t="s">
        <v>8356</v>
      </c>
      <c r="D957" s="391" t="s">
        <v>2166</v>
      </c>
    </row>
    <row r="958" ht="15.75" customHeight="1">
      <c r="B958" s="391" t="s">
        <v>4075</v>
      </c>
      <c r="C958" s="391" t="s">
        <v>8357</v>
      </c>
      <c r="D958" s="391" t="s">
        <v>2166</v>
      </c>
    </row>
    <row r="959" ht="15.75" customHeight="1">
      <c r="B959" s="391" t="s">
        <v>3834</v>
      </c>
      <c r="C959" s="391" t="s">
        <v>8358</v>
      </c>
      <c r="D959" s="391" t="s">
        <v>2195</v>
      </c>
    </row>
    <row r="960" ht="15.75" customHeight="1">
      <c r="B960" s="391" t="s">
        <v>3840</v>
      </c>
      <c r="C960" s="391" t="s">
        <v>8359</v>
      </c>
      <c r="D960" s="391" t="s">
        <v>2232</v>
      </c>
    </row>
    <row r="961" ht="15.75" customHeight="1">
      <c r="B961" s="391" t="s">
        <v>3609</v>
      </c>
      <c r="C961" s="391" t="s">
        <v>8360</v>
      </c>
      <c r="D961" s="391" t="s">
        <v>2232</v>
      </c>
    </row>
    <row r="962" ht="15.75" customHeight="1">
      <c r="B962" s="391" t="s">
        <v>3962</v>
      </c>
      <c r="C962" s="391" t="s">
        <v>8361</v>
      </c>
      <c r="D962" s="391" t="s">
        <v>2232</v>
      </c>
    </row>
    <row r="963" ht="15.75" customHeight="1">
      <c r="B963" s="391" t="s">
        <v>3939</v>
      </c>
      <c r="C963" s="391" t="s">
        <v>8362</v>
      </c>
      <c r="D963" s="391" t="s">
        <v>2232</v>
      </c>
    </row>
    <row r="964" ht="15.75" customHeight="1">
      <c r="B964" s="391" t="s">
        <v>3955</v>
      </c>
      <c r="C964" s="391" t="s">
        <v>8363</v>
      </c>
      <c r="D964" s="391" t="s">
        <v>2232</v>
      </c>
    </row>
    <row r="965" ht="15.75" customHeight="1">
      <c r="B965" s="391" t="s">
        <v>4090</v>
      </c>
      <c r="C965" s="391" t="s">
        <v>8364</v>
      </c>
      <c r="D965" s="391" t="s">
        <v>2232</v>
      </c>
    </row>
    <row r="966" ht="15.75" customHeight="1">
      <c r="B966" s="391" t="s">
        <v>3857</v>
      </c>
      <c r="C966" s="391" t="s">
        <v>8365</v>
      </c>
      <c r="D966" s="391" t="s">
        <v>2166</v>
      </c>
    </row>
    <row r="967" ht="15.75" customHeight="1">
      <c r="B967" s="391" t="s">
        <v>3902</v>
      </c>
      <c r="C967" s="391" t="s">
        <v>8366</v>
      </c>
      <c r="D967" s="391" t="s">
        <v>2166</v>
      </c>
    </row>
    <row r="968" ht="15.75" customHeight="1">
      <c r="B968" s="391" t="s">
        <v>3887</v>
      </c>
      <c r="C968" s="391" t="s">
        <v>8367</v>
      </c>
      <c r="D968" s="391" t="s">
        <v>2166</v>
      </c>
    </row>
    <row r="969" ht="15.75" customHeight="1">
      <c r="B969" s="391" t="s">
        <v>3907</v>
      </c>
      <c r="C969" s="391" t="s">
        <v>8368</v>
      </c>
      <c r="D969" s="391" t="s">
        <v>2166</v>
      </c>
    </row>
    <row r="970" ht="15.75" customHeight="1">
      <c r="B970" s="391" t="s">
        <v>3619</v>
      </c>
      <c r="C970" s="391" t="s">
        <v>8369</v>
      </c>
      <c r="D970" s="391" t="s">
        <v>2166</v>
      </c>
    </row>
    <row r="971" ht="15.75" customHeight="1">
      <c r="B971" s="391" t="s">
        <v>3604</v>
      </c>
      <c r="C971" s="391" t="s">
        <v>8370</v>
      </c>
      <c r="D971" s="391" t="s">
        <v>2166</v>
      </c>
    </row>
    <row r="972" ht="15.75" customHeight="1">
      <c r="B972" s="391" t="s">
        <v>3992</v>
      </c>
      <c r="C972" s="391" t="s">
        <v>8371</v>
      </c>
      <c r="D972" s="391" t="s">
        <v>2166</v>
      </c>
    </row>
    <row r="973" ht="15.75" customHeight="1">
      <c r="B973" s="391" t="s">
        <v>3979</v>
      </c>
      <c r="C973" s="391" t="s">
        <v>8372</v>
      </c>
      <c r="D973" s="391" t="s">
        <v>2166</v>
      </c>
    </row>
    <row r="974" ht="15.75" customHeight="1">
      <c r="B974" s="391" t="s">
        <v>4011</v>
      </c>
      <c r="C974" s="391" t="s">
        <v>8373</v>
      </c>
      <c r="D974" s="391" t="s">
        <v>2195</v>
      </c>
    </row>
    <row r="975" ht="15.75" customHeight="1">
      <c r="B975" s="391" t="s">
        <v>7223</v>
      </c>
      <c r="C975" s="391" t="s">
        <v>8374</v>
      </c>
      <c r="D975" s="391" t="s">
        <v>2195</v>
      </c>
    </row>
    <row r="976" ht="15.75" customHeight="1">
      <c r="B976" s="391" t="s">
        <v>7231</v>
      </c>
      <c r="C976" s="391" t="s">
        <v>8374</v>
      </c>
      <c r="D976" s="391" t="s">
        <v>2232</v>
      </c>
    </row>
    <row r="977" ht="15.75" customHeight="1">
      <c r="B977" s="391" t="s">
        <v>8375</v>
      </c>
      <c r="C977" s="391" t="s">
        <v>8374</v>
      </c>
      <c r="D977" s="391" t="s">
        <v>2195</v>
      </c>
    </row>
    <row r="978" ht="15.75" customHeight="1">
      <c r="B978" s="391" t="s">
        <v>8376</v>
      </c>
      <c r="C978" s="391" t="s">
        <v>8374</v>
      </c>
      <c r="D978" s="391" t="s">
        <v>2232</v>
      </c>
    </row>
    <row r="979" ht="15.75" customHeight="1">
      <c r="B979" s="391" t="s">
        <v>8377</v>
      </c>
      <c r="C979" s="391" t="s">
        <v>8378</v>
      </c>
      <c r="D979" s="391" t="s">
        <v>2232</v>
      </c>
    </row>
    <row r="980" ht="15.75" customHeight="1">
      <c r="B980" s="391" t="s">
        <v>8379</v>
      </c>
      <c r="C980" s="391" t="s">
        <v>8380</v>
      </c>
      <c r="D980" s="391" t="s">
        <v>2195</v>
      </c>
    </row>
    <row r="981" ht="15.75" customHeight="1">
      <c r="B981" s="391" t="s">
        <v>6927</v>
      </c>
      <c r="C981" s="391" t="s">
        <v>8381</v>
      </c>
      <c r="D981" s="391" t="s">
        <v>2232</v>
      </c>
    </row>
    <row r="982" ht="15.75" customHeight="1">
      <c r="B982" s="391" t="s">
        <v>7123</v>
      </c>
      <c r="C982" s="391" t="s">
        <v>8382</v>
      </c>
      <c r="D982" s="391" t="s">
        <v>2232</v>
      </c>
    </row>
    <row r="983" ht="15.75" customHeight="1">
      <c r="B983" s="391" t="s">
        <v>8383</v>
      </c>
      <c r="C983" s="391" t="s">
        <v>8384</v>
      </c>
      <c r="D983" s="391" t="s">
        <v>2232</v>
      </c>
    </row>
    <row r="984" ht="15.75" customHeight="1">
      <c r="B984" s="391" t="s">
        <v>7131</v>
      </c>
      <c r="C984" s="391" t="s">
        <v>8385</v>
      </c>
      <c r="D984" s="391" t="s">
        <v>2232</v>
      </c>
    </row>
    <row r="985" ht="15.75" customHeight="1">
      <c r="B985" s="391" t="s">
        <v>7098</v>
      </c>
      <c r="C985" s="391" t="s">
        <v>8386</v>
      </c>
      <c r="D985" s="391" t="s">
        <v>2232</v>
      </c>
    </row>
    <row r="986" ht="15.75" customHeight="1">
      <c r="B986" s="391" t="s">
        <v>8387</v>
      </c>
      <c r="C986" s="391" t="s">
        <v>8388</v>
      </c>
      <c r="D986" s="391" t="s">
        <v>2195</v>
      </c>
    </row>
    <row r="987" ht="15.75" customHeight="1">
      <c r="B987" s="391" t="s">
        <v>7127</v>
      </c>
      <c r="C987" s="391" t="s">
        <v>8389</v>
      </c>
      <c r="D987" s="391" t="s">
        <v>2195</v>
      </c>
    </row>
    <row r="988" ht="15.75" customHeight="1">
      <c r="B988" s="391" t="s">
        <v>6932</v>
      </c>
      <c r="C988" s="391" t="s">
        <v>8389</v>
      </c>
      <c r="D988" s="391" t="s">
        <v>2232</v>
      </c>
    </row>
    <row r="989" ht="15.75" customHeight="1">
      <c r="B989" s="391" t="s">
        <v>6936</v>
      </c>
      <c r="C989" s="391" t="s">
        <v>8389</v>
      </c>
      <c r="D989" s="391" t="s">
        <v>2232</v>
      </c>
    </row>
    <row r="990" ht="15.75" customHeight="1">
      <c r="B990" s="391" t="s">
        <v>8390</v>
      </c>
      <c r="C990" s="391" t="s">
        <v>8389</v>
      </c>
      <c r="D990" s="391" t="s">
        <v>2232</v>
      </c>
    </row>
    <row r="991" ht="15.75" customHeight="1">
      <c r="B991" s="391" t="s">
        <v>8391</v>
      </c>
      <c r="C991" s="391" t="s">
        <v>8389</v>
      </c>
      <c r="D991" s="391" t="s">
        <v>2232</v>
      </c>
    </row>
    <row r="992" ht="15.75" customHeight="1">
      <c r="B992" s="391" t="s">
        <v>6940</v>
      </c>
      <c r="C992" s="391" t="s">
        <v>8389</v>
      </c>
      <c r="D992" s="391" t="s">
        <v>2232</v>
      </c>
    </row>
    <row r="993" ht="15.75" customHeight="1">
      <c r="B993" s="391" t="s">
        <v>6944</v>
      </c>
      <c r="C993" s="391" t="s">
        <v>8389</v>
      </c>
      <c r="D993" s="391" t="s">
        <v>2232</v>
      </c>
    </row>
    <row r="994" ht="15.75" customHeight="1">
      <c r="B994" s="391" t="s">
        <v>7011</v>
      </c>
      <c r="C994" s="391" t="s">
        <v>8389</v>
      </c>
      <c r="D994" s="391" t="s">
        <v>2232</v>
      </c>
    </row>
    <row r="995" ht="15.75" customHeight="1">
      <c r="B995" s="391" t="s">
        <v>7020</v>
      </c>
      <c r="C995" s="391" t="s">
        <v>8389</v>
      </c>
      <c r="D995" s="391" t="s">
        <v>2232</v>
      </c>
    </row>
    <row r="996" ht="15.75" customHeight="1">
      <c r="B996" s="391" t="s">
        <v>7032</v>
      </c>
      <c r="C996" s="391" t="s">
        <v>8389</v>
      </c>
      <c r="D996" s="391" t="s">
        <v>2232</v>
      </c>
    </row>
    <row r="997" ht="15.75" customHeight="1">
      <c r="B997" s="391" t="s">
        <v>8392</v>
      </c>
      <c r="C997" s="391" t="s">
        <v>8389</v>
      </c>
      <c r="D997" s="391" t="s">
        <v>2195</v>
      </c>
    </row>
    <row r="998" ht="15.75" customHeight="1">
      <c r="B998" s="391" t="s">
        <v>8393</v>
      </c>
      <c r="C998" s="391" t="s">
        <v>8389</v>
      </c>
      <c r="D998" s="391" t="s">
        <v>2195</v>
      </c>
    </row>
    <row r="999" ht="15.75" customHeight="1">
      <c r="B999" s="391" t="s">
        <v>6993</v>
      </c>
      <c r="C999" s="391" t="s">
        <v>8389</v>
      </c>
      <c r="D999" s="391" t="s">
        <v>2195</v>
      </c>
    </row>
    <row r="1000" ht="15.75" customHeight="1">
      <c r="B1000" s="391" t="s">
        <v>6989</v>
      </c>
      <c r="C1000" s="391" t="s">
        <v>8389</v>
      </c>
      <c r="D1000" s="391" t="s">
        <v>2166</v>
      </c>
    </row>
    <row r="1001" ht="15.75" customHeight="1">
      <c r="B1001" s="391" t="s">
        <v>8394</v>
      </c>
      <c r="C1001" s="391" t="s">
        <v>8389</v>
      </c>
      <c r="D1001" s="391" t="s">
        <v>2166</v>
      </c>
    </row>
    <row r="1002" ht="15.75" customHeight="1">
      <c r="B1002" s="391" t="s">
        <v>8395</v>
      </c>
      <c r="C1002" s="391" t="s">
        <v>8389</v>
      </c>
      <c r="D1002" s="391" t="s">
        <v>2232</v>
      </c>
    </row>
    <row r="1003" ht="15.75" customHeight="1">
      <c r="B1003" s="391" t="s">
        <v>7094</v>
      </c>
      <c r="C1003" s="391" t="s">
        <v>8389</v>
      </c>
      <c r="D1003" s="391" t="s">
        <v>2195</v>
      </c>
    </row>
    <row r="1004" ht="15.75" customHeight="1">
      <c r="B1004" s="391" t="s">
        <v>8396</v>
      </c>
      <c r="C1004" s="391" t="s">
        <v>8389</v>
      </c>
      <c r="D1004" s="391" t="s">
        <v>2166</v>
      </c>
    </row>
    <row r="1005" ht="15.75" customHeight="1">
      <c r="B1005" s="391" t="s">
        <v>6949</v>
      </c>
      <c r="C1005" s="391" t="s">
        <v>8389</v>
      </c>
      <c r="D1005" s="391" t="s">
        <v>2232</v>
      </c>
    </row>
    <row r="1006" ht="15.75" customHeight="1">
      <c r="B1006" s="391" t="s">
        <v>8397</v>
      </c>
      <c r="C1006" s="391" t="s">
        <v>8389</v>
      </c>
      <c r="D1006" s="391" t="s">
        <v>2195</v>
      </c>
    </row>
    <row r="1007" ht="15.75" customHeight="1">
      <c r="B1007" s="391" t="s">
        <v>6953</v>
      </c>
      <c r="C1007" s="391" t="s">
        <v>8389</v>
      </c>
      <c r="D1007" s="391" t="s">
        <v>2232</v>
      </c>
    </row>
    <row r="1008" ht="15.75" customHeight="1">
      <c r="B1008" s="391" t="s">
        <v>8398</v>
      </c>
      <c r="C1008" s="391" t="s">
        <v>8389</v>
      </c>
      <c r="D1008" s="391" t="s">
        <v>2232</v>
      </c>
    </row>
    <row r="1009" ht="15.75" customHeight="1">
      <c r="B1009" s="391" t="s">
        <v>6957</v>
      </c>
      <c r="C1009" s="391" t="s">
        <v>8389</v>
      </c>
      <c r="D1009" s="391" t="s">
        <v>2195</v>
      </c>
    </row>
    <row r="1010" ht="15.75" customHeight="1">
      <c r="B1010" s="391" t="s">
        <v>8399</v>
      </c>
      <c r="C1010" s="391" t="s">
        <v>8389</v>
      </c>
      <c r="D1010" s="391" t="s">
        <v>2232</v>
      </c>
    </row>
    <row r="1011" ht="15.75" customHeight="1">
      <c r="B1011" s="391" t="s">
        <v>7102</v>
      </c>
      <c r="C1011" s="391" t="s">
        <v>8389</v>
      </c>
      <c r="D1011" s="391" t="s">
        <v>2232</v>
      </c>
    </row>
    <row r="1012" ht="15.75" customHeight="1">
      <c r="B1012" s="391" t="s">
        <v>7080</v>
      </c>
      <c r="C1012" s="391" t="s">
        <v>8389</v>
      </c>
      <c r="D1012" s="391" t="s">
        <v>2232</v>
      </c>
    </row>
    <row r="1013" ht="15.75" customHeight="1">
      <c r="B1013" s="391" t="s">
        <v>7084</v>
      </c>
      <c r="C1013" s="391" t="s">
        <v>8389</v>
      </c>
      <c r="D1013" s="391" t="s">
        <v>2232</v>
      </c>
    </row>
    <row r="1014" ht="15.75" customHeight="1">
      <c r="B1014" s="391" t="s">
        <v>8400</v>
      </c>
      <c r="C1014" s="391" t="s">
        <v>8389</v>
      </c>
      <c r="D1014" s="391" t="s">
        <v>2195</v>
      </c>
    </row>
    <row r="1015" ht="15.75" customHeight="1">
      <c r="B1015" s="391" t="s">
        <v>7058</v>
      </c>
      <c r="C1015" s="391" t="s">
        <v>8389</v>
      </c>
      <c r="D1015" s="391" t="s">
        <v>2232</v>
      </c>
    </row>
    <row r="1016" ht="15.75" customHeight="1">
      <c r="B1016" s="391" t="s">
        <v>7062</v>
      </c>
      <c r="C1016" s="391" t="s">
        <v>8389</v>
      </c>
      <c r="D1016" s="391" t="s">
        <v>2232</v>
      </c>
    </row>
    <row r="1017" ht="15.75" customHeight="1">
      <c r="B1017" s="391" t="s">
        <v>7073</v>
      </c>
      <c r="C1017" s="391" t="s">
        <v>8389</v>
      </c>
      <c r="D1017" s="391" t="s">
        <v>2232</v>
      </c>
    </row>
    <row r="1018" ht="15.75" customHeight="1">
      <c r="B1018" s="391" t="s">
        <v>8401</v>
      </c>
      <c r="C1018" s="391" t="s">
        <v>8389</v>
      </c>
      <c r="D1018" s="391" t="s">
        <v>2232</v>
      </c>
    </row>
    <row r="1019" ht="15.75" customHeight="1">
      <c r="B1019" s="391" t="s">
        <v>7075</v>
      </c>
      <c r="C1019" s="391" t="s">
        <v>8389</v>
      </c>
      <c r="D1019" s="391" t="s">
        <v>2232</v>
      </c>
    </row>
    <row r="1020" ht="15.75" customHeight="1">
      <c r="B1020" s="391" t="s">
        <v>7071</v>
      </c>
      <c r="C1020" s="391" t="s">
        <v>8389</v>
      </c>
      <c r="D1020" s="391" t="s">
        <v>2232</v>
      </c>
    </row>
    <row r="1021" ht="15.75" customHeight="1">
      <c r="B1021" s="391" t="s">
        <v>7067</v>
      </c>
      <c r="C1021" s="391" t="s">
        <v>8389</v>
      </c>
      <c r="D1021" s="391" t="s">
        <v>2232</v>
      </c>
    </row>
    <row r="1022" ht="15.75" customHeight="1">
      <c r="B1022" s="391" t="s">
        <v>6976</v>
      </c>
      <c r="C1022" s="391" t="s">
        <v>8389</v>
      </c>
      <c r="D1022" s="391" t="s">
        <v>2195</v>
      </c>
    </row>
    <row r="1023" ht="15.75" customHeight="1">
      <c r="B1023" s="391" t="s">
        <v>8402</v>
      </c>
      <c r="C1023" s="391" t="s">
        <v>8389</v>
      </c>
      <c r="D1023" s="391" t="s">
        <v>2232</v>
      </c>
    </row>
    <row r="1024" ht="15.75" customHeight="1">
      <c r="B1024" s="391" t="s">
        <v>8403</v>
      </c>
      <c r="C1024" s="391" t="s">
        <v>8389</v>
      </c>
      <c r="D1024" s="391" t="s">
        <v>2232</v>
      </c>
    </row>
    <row r="1025" ht="15.75" customHeight="1">
      <c r="B1025" s="391" t="s">
        <v>6984</v>
      </c>
      <c r="C1025" s="391" t="s">
        <v>8389</v>
      </c>
      <c r="D1025" s="391" t="s">
        <v>2195</v>
      </c>
    </row>
    <row r="1026" ht="15.75" customHeight="1">
      <c r="B1026" s="391" t="s">
        <v>8404</v>
      </c>
      <c r="C1026" s="391" t="s">
        <v>8389</v>
      </c>
      <c r="D1026" s="391" t="s">
        <v>2232</v>
      </c>
    </row>
    <row r="1027" ht="15.75" customHeight="1">
      <c r="B1027" s="391" t="s">
        <v>7006</v>
      </c>
      <c r="C1027" s="391" t="s">
        <v>8389</v>
      </c>
      <c r="D1027" s="391" t="s">
        <v>2232</v>
      </c>
    </row>
    <row r="1028" ht="15.75" customHeight="1">
      <c r="B1028" s="391" t="s">
        <v>8405</v>
      </c>
      <c r="C1028" s="391" t="s">
        <v>8389</v>
      </c>
      <c r="D1028" s="391" t="s">
        <v>2166</v>
      </c>
    </row>
    <row r="1029" ht="15.75" customHeight="1">
      <c r="B1029" s="391" t="s">
        <v>6967</v>
      </c>
      <c r="C1029" s="391" t="s">
        <v>8389</v>
      </c>
      <c r="D1029" s="391" t="s">
        <v>2195</v>
      </c>
    </row>
    <row r="1030" ht="15.75" customHeight="1">
      <c r="B1030" s="391" t="s">
        <v>8406</v>
      </c>
      <c r="C1030" s="391" t="s">
        <v>8389</v>
      </c>
      <c r="D1030" s="391" t="s">
        <v>2232</v>
      </c>
    </row>
    <row r="1031" ht="15.75" customHeight="1">
      <c r="B1031" s="391" t="s">
        <v>8407</v>
      </c>
      <c r="C1031" s="391" t="s">
        <v>8389</v>
      </c>
      <c r="D1031" s="391" t="s">
        <v>2232</v>
      </c>
    </row>
    <row r="1032" ht="15.75" customHeight="1">
      <c r="B1032" s="391" t="s">
        <v>8408</v>
      </c>
      <c r="C1032" s="391" t="s">
        <v>8409</v>
      </c>
      <c r="D1032" s="391" t="s">
        <v>2232</v>
      </c>
    </row>
    <row r="1033" ht="15.75" customHeight="1">
      <c r="B1033" s="391" t="s">
        <v>8410</v>
      </c>
      <c r="C1033" s="391" t="s">
        <v>8411</v>
      </c>
      <c r="D1033" s="391" t="s">
        <v>2232</v>
      </c>
    </row>
    <row r="1034" ht="15.75" customHeight="1">
      <c r="B1034" s="391" t="s">
        <v>8412</v>
      </c>
      <c r="C1034" s="391" t="s">
        <v>8413</v>
      </c>
      <c r="D1034" s="391" t="s">
        <v>2232</v>
      </c>
    </row>
    <row r="1035" ht="15.75" customHeight="1">
      <c r="B1035" s="391" t="s">
        <v>8414</v>
      </c>
      <c r="C1035" s="391" t="s">
        <v>8413</v>
      </c>
      <c r="D1035" s="391" t="s">
        <v>2166</v>
      </c>
    </row>
    <row r="1036" ht="15.75" customHeight="1">
      <c r="B1036" s="391" t="s">
        <v>8415</v>
      </c>
      <c r="C1036" s="391" t="s">
        <v>8413</v>
      </c>
      <c r="D1036" s="391" t="s">
        <v>2232</v>
      </c>
    </row>
    <row r="1037" ht="15.75" customHeight="1">
      <c r="B1037" s="391" t="s">
        <v>8416</v>
      </c>
      <c r="C1037" s="391" t="s">
        <v>8413</v>
      </c>
      <c r="D1037" s="391" t="s">
        <v>2166</v>
      </c>
    </row>
    <row r="1038" ht="15.75" customHeight="1">
      <c r="B1038" s="391" t="s">
        <v>8417</v>
      </c>
      <c r="C1038" s="391" t="s">
        <v>8413</v>
      </c>
      <c r="D1038" s="391" t="s">
        <v>2195</v>
      </c>
    </row>
    <row r="1039" ht="15.75" customHeight="1">
      <c r="B1039" s="391" t="s">
        <v>8418</v>
      </c>
      <c r="C1039" s="391" t="s">
        <v>8413</v>
      </c>
      <c r="D1039" s="391" t="s">
        <v>2166</v>
      </c>
    </row>
    <row r="1040" ht="15.75" customHeight="1">
      <c r="B1040" s="391" t="s">
        <v>8419</v>
      </c>
      <c r="C1040" s="391" t="s">
        <v>8420</v>
      </c>
      <c r="D1040" s="391" t="s">
        <v>2232</v>
      </c>
    </row>
    <row r="1041" ht="15.75" customHeight="1">
      <c r="B1041" s="391" t="s">
        <v>7036</v>
      </c>
      <c r="C1041" s="391" t="s">
        <v>8421</v>
      </c>
      <c r="D1041" s="391" t="s">
        <v>2166</v>
      </c>
    </row>
    <row r="1042" ht="15.75" customHeight="1">
      <c r="B1042" s="391" t="s">
        <v>8422</v>
      </c>
      <c r="C1042" s="391" t="s">
        <v>8423</v>
      </c>
      <c r="D1042" s="391" t="s">
        <v>2232</v>
      </c>
    </row>
    <row r="1043" ht="15.75" customHeight="1">
      <c r="B1043" s="391" t="s">
        <v>7181</v>
      </c>
      <c r="C1043" s="391" t="s">
        <v>8424</v>
      </c>
      <c r="D1043" s="391" t="s">
        <v>2166</v>
      </c>
    </row>
    <row r="1044" ht="15.75" customHeight="1">
      <c r="B1044" s="391" t="s">
        <v>8425</v>
      </c>
      <c r="C1044" s="391" t="s">
        <v>8424</v>
      </c>
      <c r="D1044" s="391" t="s">
        <v>2166</v>
      </c>
    </row>
    <row r="1045" ht="15.75" customHeight="1">
      <c r="B1045" s="391" t="s">
        <v>7191</v>
      </c>
      <c r="C1045" s="391" t="s">
        <v>8424</v>
      </c>
      <c r="D1045" s="391" t="s">
        <v>2166</v>
      </c>
    </row>
    <row r="1046" ht="15.75" customHeight="1">
      <c r="B1046" s="391" t="s">
        <v>8426</v>
      </c>
      <c r="C1046" s="391" t="s">
        <v>8427</v>
      </c>
      <c r="D1046" s="391" t="s">
        <v>2232</v>
      </c>
    </row>
    <row r="1047" ht="15.75" customHeight="1">
      <c r="B1047" s="391" t="s">
        <v>7227</v>
      </c>
      <c r="C1047" s="391" t="s">
        <v>8427</v>
      </c>
      <c r="D1047" s="391" t="s">
        <v>2232</v>
      </c>
    </row>
    <row r="1048" ht="15.75" customHeight="1">
      <c r="B1048" s="391" t="s">
        <v>7235</v>
      </c>
      <c r="C1048" s="391" t="s">
        <v>8427</v>
      </c>
      <c r="D1048" s="391" t="s">
        <v>2166</v>
      </c>
    </row>
    <row r="1049" ht="15.75" customHeight="1">
      <c r="B1049" s="391" t="s">
        <v>8428</v>
      </c>
      <c r="C1049" s="391" t="s">
        <v>8427</v>
      </c>
      <c r="D1049" s="391" t="s">
        <v>2232</v>
      </c>
    </row>
    <row r="1050" ht="15.75" customHeight="1">
      <c r="B1050" s="391" t="s">
        <v>7160</v>
      </c>
      <c r="C1050" s="391" t="s">
        <v>8429</v>
      </c>
      <c r="D1050" s="391" t="s">
        <v>2232</v>
      </c>
    </row>
    <row r="1051" ht="15.75" customHeight="1">
      <c r="B1051" s="391" t="s">
        <v>7164</v>
      </c>
      <c r="C1051" s="391" t="s">
        <v>8429</v>
      </c>
      <c r="D1051" s="391" t="s">
        <v>2232</v>
      </c>
    </row>
    <row r="1052" ht="15.75" customHeight="1">
      <c r="B1052" s="391" t="s">
        <v>7168</v>
      </c>
      <c r="C1052" s="391" t="s">
        <v>8429</v>
      </c>
      <c r="D1052" s="391" t="s">
        <v>2232</v>
      </c>
    </row>
    <row r="1053" ht="15.75" customHeight="1">
      <c r="B1053" s="391" t="s">
        <v>7172</v>
      </c>
      <c r="C1053" s="391" t="s">
        <v>8429</v>
      </c>
      <c r="D1053" s="391" t="s">
        <v>2232</v>
      </c>
    </row>
    <row r="1054" ht="15.75" customHeight="1">
      <c r="B1054" s="391" t="s">
        <v>7176</v>
      </c>
      <c r="C1054" s="391" t="s">
        <v>8429</v>
      </c>
      <c r="D1054" s="391" t="s">
        <v>2166</v>
      </c>
    </row>
    <row r="1055" ht="15.75" customHeight="1">
      <c r="B1055" s="391" t="s">
        <v>8430</v>
      </c>
      <c r="C1055" s="391" t="s">
        <v>8431</v>
      </c>
      <c r="D1055" s="391" t="s">
        <v>2166</v>
      </c>
    </row>
    <row r="1056" ht="15.75" customHeight="1">
      <c r="B1056" s="391" t="s">
        <v>7241</v>
      </c>
      <c r="C1056" s="391" t="s">
        <v>8431</v>
      </c>
      <c r="D1056" s="391" t="s">
        <v>2232</v>
      </c>
    </row>
    <row r="1057" ht="15.75" customHeight="1">
      <c r="B1057" s="391" t="s">
        <v>8432</v>
      </c>
      <c r="C1057" s="391" t="s">
        <v>8431</v>
      </c>
      <c r="D1057" s="391" t="s">
        <v>2166</v>
      </c>
    </row>
    <row r="1058" ht="15.75" customHeight="1">
      <c r="B1058" s="391" t="s">
        <v>7244</v>
      </c>
      <c r="C1058" s="391" t="s">
        <v>8431</v>
      </c>
      <c r="D1058" s="391" t="s">
        <v>2166</v>
      </c>
    </row>
    <row r="1059" ht="15.75" customHeight="1">
      <c r="B1059" s="391" t="s">
        <v>7247</v>
      </c>
      <c r="C1059" s="391" t="s">
        <v>8431</v>
      </c>
      <c r="D1059" s="391" t="s">
        <v>2232</v>
      </c>
    </row>
    <row r="1060" ht="15.75" customHeight="1">
      <c r="B1060" s="391" t="s">
        <v>7250</v>
      </c>
      <c r="C1060" s="391" t="s">
        <v>8431</v>
      </c>
      <c r="D1060" s="391" t="s">
        <v>2166</v>
      </c>
    </row>
    <row r="1061" ht="15.75" customHeight="1">
      <c r="B1061" s="391" t="s">
        <v>7253</v>
      </c>
      <c r="C1061" s="391" t="s">
        <v>8431</v>
      </c>
      <c r="D1061" s="391" t="s">
        <v>2232</v>
      </c>
    </row>
    <row r="1062" ht="15.75" customHeight="1">
      <c r="B1062" s="391" t="s">
        <v>7185</v>
      </c>
      <c r="C1062" s="391" t="s">
        <v>8431</v>
      </c>
      <c r="D1062" s="391" t="s">
        <v>2166</v>
      </c>
    </row>
    <row r="1063" ht="15.75" customHeight="1">
      <c r="B1063" s="391" t="s">
        <v>7192</v>
      </c>
      <c r="C1063" s="391" t="s">
        <v>8431</v>
      </c>
      <c r="D1063" s="391" t="s">
        <v>2195</v>
      </c>
    </row>
    <row r="1064" ht="15.75" customHeight="1">
      <c r="B1064" s="391" t="s">
        <v>8433</v>
      </c>
      <c r="C1064" s="391" t="s">
        <v>8431</v>
      </c>
      <c r="D1064" s="391" t="s">
        <v>2166</v>
      </c>
    </row>
    <row r="1065" ht="15.75" customHeight="1">
      <c r="B1065" s="391" t="s">
        <v>7198</v>
      </c>
      <c r="C1065" s="391" t="s">
        <v>8431</v>
      </c>
      <c r="D1065" s="391" t="s">
        <v>2166</v>
      </c>
    </row>
    <row r="1066" ht="15.75" customHeight="1">
      <c r="B1066" s="391" t="s">
        <v>8434</v>
      </c>
      <c r="C1066" s="391" t="s">
        <v>8431</v>
      </c>
      <c r="D1066" s="391" t="s">
        <v>2166</v>
      </c>
    </row>
    <row r="1067" ht="15.75" customHeight="1">
      <c r="B1067" s="391" t="s">
        <v>7196</v>
      </c>
      <c r="C1067" s="391" t="s">
        <v>8431</v>
      </c>
      <c r="D1067" s="391" t="s">
        <v>2195</v>
      </c>
    </row>
    <row r="1068" ht="15.75" customHeight="1">
      <c r="B1068" s="391" t="s">
        <v>8435</v>
      </c>
      <c r="C1068" s="391" t="s">
        <v>8431</v>
      </c>
      <c r="D1068" s="391" t="s">
        <v>2166</v>
      </c>
    </row>
    <row r="1069" ht="15.75" customHeight="1">
      <c r="B1069" s="391" t="s">
        <v>7202</v>
      </c>
      <c r="C1069" s="391" t="s">
        <v>8431</v>
      </c>
      <c r="D1069" s="391" t="s">
        <v>2166</v>
      </c>
    </row>
    <row r="1070" ht="15.75" customHeight="1">
      <c r="B1070" s="391" t="s">
        <v>7206</v>
      </c>
      <c r="C1070" s="391" t="s">
        <v>8431</v>
      </c>
      <c r="D1070" s="391" t="s">
        <v>2166</v>
      </c>
    </row>
    <row r="1071" ht="15.75" customHeight="1">
      <c r="B1071" s="391" t="s">
        <v>7257</v>
      </c>
      <c r="C1071" s="391" t="s">
        <v>8431</v>
      </c>
      <c r="D1071" s="391" t="s">
        <v>2166</v>
      </c>
    </row>
    <row r="1072" ht="15.75" customHeight="1">
      <c r="B1072" s="391" t="s">
        <v>7260</v>
      </c>
      <c r="C1072" s="391" t="s">
        <v>8431</v>
      </c>
      <c r="D1072" s="391" t="s">
        <v>2166</v>
      </c>
    </row>
    <row r="1073" ht="15.75" customHeight="1">
      <c r="B1073" s="391" t="s">
        <v>7156</v>
      </c>
      <c r="C1073" s="391" t="s">
        <v>8431</v>
      </c>
      <c r="D1073" s="391" t="s">
        <v>2166</v>
      </c>
    </row>
    <row r="1074" ht="15.75" customHeight="1">
      <c r="B1074" s="391" t="s">
        <v>7152</v>
      </c>
      <c r="C1074" s="391" t="s">
        <v>8431</v>
      </c>
      <c r="D1074" s="391" t="s">
        <v>2166</v>
      </c>
    </row>
    <row r="1075" ht="15.75" customHeight="1">
      <c r="B1075" s="391" t="s">
        <v>8436</v>
      </c>
      <c r="C1075" s="391" t="s">
        <v>8431</v>
      </c>
      <c r="D1075" s="391" t="s">
        <v>2166</v>
      </c>
    </row>
    <row r="1076" ht="15.75" customHeight="1">
      <c r="B1076" s="391" t="s">
        <v>8437</v>
      </c>
      <c r="C1076" s="391" t="s">
        <v>8431</v>
      </c>
      <c r="D1076" s="391" t="s">
        <v>2166</v>
      </c>
    </row>
    <row r="1077" ht="15.75" customHeight="1">
      <c r="B1077" s="391" t="s">
        <v>8438</v>
      </c>
      <c r="C1077" s="391" t="s">
        <v>8431</v>
      </c>
      <c r="D1077" s="391" t="s">
        <v>2166</v>
      </c>
    </row>
    <row r="1078" ht="15.75" customHeight="1">
      <c r="B1078" s="391" t="s">
        <v>7135</v>
      </c>
      <c r="C1078" s="391" t="s">
        <v>8431</v>
      </c>
      <c r="D1078" s="391" t="s">
        <v>2232</v>
      </c>
    </row>
    <row r="1079" ht="15.75" customHeight="1">
      <c r="B1079" s="391" t="s">
        <v>7139</v>
      </c>
      <c r="C1079" s="391" t="s">
        <v>8431</v>
      </c>
      <c r="D1079" s="391" t="s">
        <v>2232</v>
      </c>
    </row>
    <row r="1080" ht="15.75" customHeight="1">
      <c r="B1080" s="391" t="s">
        <v>7143</v>
      </c>
      <c r="C1080" s="391" t="s">
        <v>8431</v>
      </c>
      <c r="D1080" s="391" t="s">
        <v>2232</v>
      </c>
    </row>
    <row r="1081" ht="15.75" customHeight="1">
      <c r="B1081" s="391" t="s">
        <v>7147</v>
      </c>
      <c r="C1081" s="391" t="s">
        <v>8431</v>
      </c>
      <c r="D1081" s="391" t="s">
        <v>2232</v>
      </c>
    </row>
    <row r="1082" ht="15.75" customHeight="1">
      <c r="B1082" s="391" t="s">
        <v>7213</v>
      </c>
      <c r="C1082" s="391" t="s">
        <v>8431</v>
      </c>
      <c r="D1082" s="391" t="s">
        <v>2166</v>
      </c>
    </row>
    <row r="1083" ht="15.75" customHeight="1">
      <c r="B1083" s="391" t="s">
        <v>8439</v>
      </c>
      <c r="C1083" s="391" t="s">
        <v>8431</v>
      </c>
      <c r="D1083" s="391" t="s">
        <v>2232</v>
      </c>
    </row>
    <row r="1084" ht="15.75" customHeight="1">
      <c r="B1084" s="391" t="s">
        <v>7217</v>
      </c>
      <c r="C1084" s="391" t="s">
        <v>8431</v>
      </c>
      <c r="D1084" s="391" t="s">
        <v>2232</v>
      </c>
    </row>
    <row r="1085" ht="15.75" customHeight="1">
      <c r="B1085" s="391" t="s">
        <v>7209</v>
      </c>
      <c r="C1085" s="391" t="s">
        <v>8431</v>
      </c>
      <c r="D1085" s="391" t="s">
        <v>2232</v>
      </c>
    </row>
    <row r="1086" ht="15.75" customHeight="1">
      <c r="B1086" s="391" t="s">
        <v>8440</v>
      </c>
      <c r="C1086" s="391" t="s">
        <v>8431</v>
      </c>
      <c r="D1086" s="391" t="s">
        <v>2232</v>
      </c>
    </row>
    <row r="1087" ht="15.75" customHeight="1">
      <c r="B1087" s="391" t="s">
        <v>8441</v>
      </c>
      <c r="C1087" s="391" t="s">
        <v>8431</v>
      </c>
      <c r="D1087" s="391" t="s">
        <v>2232</v>
      </c>
    </row>
    <row r="1088" ht="15.75" customHeight="1">
      <c r="B1088" s="391" t="s">
        <v>8442</v>
      </c>
      <c r="C1088" s="391" t="s">
        <v>8443</v>
      </c>
      <c r="D1088" s="391" t="s">
        <v>2166</v>
      </c>
    </row>
    <row r="1089" ht="15.75" customHeight="1">
      <c r="B1089" s="391" t="s">
        <v>8444</v>
      </c>
      <c r="C1089" s="391" t="s">
        <v>8445</v>
      </c>
      <c r="D1089" s="391" t="s">
        <v>2195</v>
      </c>
    </row>
    <row r="1090" ht="15.75" customHeight="1">
      <c r="B1090" s="391" t="s">
        <v>8446</v>
      </c>
      <c r="C1090" s="391" t="s">
        <v>8447</v>
      </c>
      <c r="D1090" s="391" t="s">
        <v>2195</v>
      </c>
    </row>
    <row r="1091" ht="15.75" customHeight="1">
      <c r="B1091" s="391" t="s">
        <v>8448</v>
      </c>
      <c r="C1091" s="391" t="s">
        <v>8449</v>
      </c>
      <c r="D1091" s="391" t="s">
        <v>2195</v>
      </c>
    </row>
    <row r="1092" ht="15.75" customHeight="1">
      <c r="B1092" s="391" t="s">
        <v>8450</v>
      </c>
      <c r="C1092" s="391" t="s">
        <v>8451</v>
      </c>
      <c r="D1092" s="391" t="s">
        <v>2195</v>
      </c>
    </row>
    <row r="1093" ht="15.75" customHeight="1">
      <c r="B1093" s="391" t="s">
        <v>8452</v>
      </c>
      <c r="C1093" s="391" t="s">
        <v>8453</v>
      </c>
      <c r="D1093" s="391" t="s">
        <v>2232</v>
      </c>
    </row>
    <row r="1094" ht="15.75" customHeight="1">
      <c r="B1094" s="391" t="s">
        <v>8454</v>
      </c>
      <c r="C1094" s="391" t="s">
        <v>8455</v>
      </c>
      <c r="D1094" s="391" t="s">
        <v>2195</v>
      </c>
    </row>
    <row r="1095" ht="15.75" customHeight="1">
      <c r="B1095" s="391" t="s">
        <v>8456</v>
      </c>
      <c r="C1095" s="391" t="s">
        <v>8457</v>
      </c>
      <c r="D1095" s="391" t="s">
        <v>2195</v>
      </c>
    </row>
    <row r="1096" ht="15.75" customHeight="1">
      <c r="B1096" s="391" t="s">
        <v>8458</v>
      </c>
      <c r="C1096" s="391" t="s">
        <v>8459</v>
      </c>
      <c r="D1096" s="391" t="s">
        <v>2195</v>
      </c>
    </row>
    <row r="1097" ht="15.75" customHeight="1">
      <c r="B1097" s="391" t="s">
        <v>8460</v>
      </c>
      <c r="C1097" s="391" t="s">
        <v>8461</v>
      </c>
      <c r="D1097" s="391" t="s">
        <v>2232</v>
      </c>
    </row>
    <row r="1098" ht="15.75" customHeight="1">
      <c r="B1098" s="391" t="s">
        <v>8462</v>
      </c>
      <c r="C1098" s="391" t="s">
        <v>8461</v>
      </c>
      <c r="D1098" s="391" t="s">
        <v>2195</v>
      </c>
    </row>
    <row r="1099" ht="15.75" customHeight="1">
      <c r="B1099" s="391" t="s">
        <v>8463</v>
      </c>
      <c r="C1099" s="391" t="s">
        <v>8461</v>
      </c>
      <c r="D1099" s="391" t="s">
        <v>2232</v>
      </c>
    </row>
    <row r="1100" ht="15.75" customHeight="1">
      <c r="B1100" s="391" t="s">
        <v>8464</v>
      </c>
      <c r="C1100" s="391" t="s">
        <v>8465</v>
      </c>
      <c r="D1100" s="391" t="s">
        <v>2195</v>
      </c>
    </row>
    <row r="1101" ht="15.75" customHeight="1">
      <c r="B1101" s="391" t="s">
        <v>8466</v>
      </c>
      <c r="C1101" s="391" t="s">
        <v>8467</v>
      </c>
      <c r="D1101" s="391" t="s">
        <v>2195</v>
      </c>
    </row>
    <row r="1102" ht="15.75" customHeight="1">
      <c r="B1102" s="391" t="s">
        <v>8468</v>
      </c>
      <c r="C1102" s="391" t="s">
        <v>8467</v>
      </c>
      <c r="D1102" s="391" t="s">
        <v>2232</v>
      </c>
    </row>
    <row r="1103" ht="15.75" customHeight="1">
      <c r="B1103" s="391" t="s">
        <v>8469</v>
      </c>
      <c r="C1103" s="391" t="s">
        <v>8467</v>
      </c>
      <c r="D1103" s="391" t="s">
        <v>2195</v>
      </c>
    </row>
    <row r="1104" ht="15.75" customHeight="1">
      <c r="B1104" s="391" t="s">
        <v>8470</v>
      </c>
      <c r="C1104" s="391" t="s">
        <v>8467</v>
      </c>
      <c r="D1104" s="391" t="s">
        <v>2195</v>
      </c>
    </row>
    <row r="1105" ht="15.75" customHeight="1">
      <c r="B1105" s="391" t="s">
        <v>8471</v>
      </c>
      <c r="C1105" s="391" t="s">
        <v>8472</v>
      </c>
      <c r="D1105" s="391" t="s">
        <v>2195</v>
      </c>
    </row>
    <row r="1106" ht="15.75" customHeight="1">
      <c r="B1106" s="391" t="s">
        <v>8473</v>
      </c>
      <c r="C1106" s="391" t="s">
        <v>8474</v>
      </c>
      <c r="D1106" s="391" t="s">
        <v>2195</v>
      </c>
    </row>
    <row r="1107" ht="15.75" customHeight="1">
      <c r="B1107" s="391" t="s">
        <v>8475</v>
      </c>
      <c r="C1107" s="391" t="s">
        <v>8474</v>
      </c>
      <c r="D1107" s="391" t="s">
        <v>2195</v>
      </c>
    </row>
    <row r="1108" ht="15.75" customHeight="1">
      <c r="B1108" s="391" t="s">
        <v>8476</v>
      </c>
      <c r="C1108" s="391" t="s">
        <v>8474</v>
      </c>
      <c r="D1108" s="391" t="s">
        <v>2195</v>
      </c>
    </row>
    <row r="1109" ht="15.75" customHeight="1">
      <c r="B1109" s="391" t="s">
        <v>8477</v>
      </c>
      <c r="C1109" s="391" t="s">
        <v>8474</v>
      </c>
      <c r="D1109" s="391" t="s">
        <v>2195</v>
      </c>
    </row>
    <row r="1110" ht="15.75" customHeight="1">
      <c r="B1110" s="391" t="s">
        <v>8478</v>
      </c>
      <c r="C1110" s="391" t="s">
        <v>8474</v>
      </c>
      <c r="D1110" s="391" t="s">
        <v>2195</v>
      </c>
    </row>
    <row r="1111" ht="15.75" customHeight="1">
      <c r="B1111" s="391" t="s">
        <v>8479</v>
      </c>
      <c r="C1111" s="391" t="s">
        <v>8474</v>
      </c>
      <c r="D1111" s="391" t="s">
        <v>2195</v>
      </c>
    </row>
    <row r="1112" ht="15.75" customHeight="1">
      <c r="B1112" s="391" t="s">
        <v>8480</v>
      </c>
      <c r="C1112" s="391" t="s">
        <v>8474</v>
      </c>
      <c r="D1112" s="391" t="s">
        <v>2195</v>
      </c>
    </row>
    <row r="1113" ht="15.75" customHeight="1">
      <c r="B1113" s="391" t="s">
        <v>8481</v>
      </c>
      <c r="C1113" s="391" t="s">
        <v>8482</v>
      </c>
      <c r="D1113" s="391" t="s">
        <v>2195</v>
      </c>
    </row>
    <row r="1114" ht="15.75" customHeight="1">
      <c r="B1114" s="391" t="s">
        <v>8483</v>
      </c>
      <c r="C1114" s="391" t="s">
        <v>8484</v>
      </c>
      <c r="D1114" s="391" t="s">
        <v>2195</v>
      </c>
    </row>
    <row r="1115" ht="15.75" customHeight="1">
      <c r="B1115" s="391" t="s">
        <v>8485</v>
      </c>
      <c r="C1115" s="391" t="s">
        <v>8484</v>
      </c>
      <c r="D1115" s="391" t="s">
        <v>2195</v>
      </c>
    </row>
    <row r="1116" ht="15.75" customHeight="1">
      <c r="B1116" s="391" t="s">
        <v>8486</v>
      </c>
      <c r="C1116" s="391" t="s">
        <v>8484</v>
      </c>
      <c r="D1116" s="391" t="s">
        <v>2195</v>
      </c>
    </row>
    <row r="1117" ht="15.75" customHeight="1">
      <c r="B1117" s="391" t="s">
        <v>8487</v>
      </c>
      <c r="C1117" s="391" t="s">
        <v>8488</v>
      </c>
      <c r="D1117" s="391" t="s">
        <v>2195</v>
      </c>
    </row>
    <row r="1118" ht="15.75" customHeight="1">
      <c r="B1118" s="391" t="s">
        <v>2198</v>
      </c>
      <c r="C1118" s="391" t="s">
        <v>8489</v>
      </c>
      <c r="D1118" s="391" t="s">
        <v>2232</v>
      </c>
    </row>
    <row r="1119" ht="15.75" customHeight="1">
      <c r="B1119" s="391" t="s">
        <v>2248</v>
      </c>
      <c r="C1119" s="391" t="s">
        <v>8490</v>
      </c>
      <c r="D1119" s="391" t="s">
        <v>2166</v>
      </c>
    </row>
    <row r="1120" ht="15.75" customHeight="1">
      <c r="B1120" s="391" t="s">
        <v>2252</v>
      </c>
      <c r="C1120" s="391" t="s">
        <v>8490</v>
      </c>
      <c r="D1120" s="391" t="s">
        <v>2166</v>
      </c>
    </row>
    <row r="1121" ht="15.75" customHeight="1">
      <c r="B1121" s="391" t="s">
        <v>8491</v>
      </c>
      <c r="C1121" s="391" t="s">
        <v>8492</v>
      </c>
      <c r="D1121" s="391" t="s">
        <v>2195</v>
      </c>
    </row>
    <row r="1122" ht="15.75" customHeight="1">
      <c r="B1122" s="391" t="s">
        <v>2244</v>
      </c>
      <c r="C1122" s="391" t="s">
        <v>8493</v>
      </c>
      <c r="D1122" s="391" t="s">
        <v>2232</v>
      </c>
    </row>
    <row r="1123" ht="15.75" customHeight="1">
      <c r="B1123" s="391" t="s">
        <v>2345</v>
      </c>
      <c r="C1123" s="391" t="s">
        <v>8494</v>
      </c>
      <c r="D1123" s="391" t="s">
        <v>2232</v>
      </c>
    </row>
    <row r="1124" ht="15.75" customHeight="1">
      <c r="B1124" s="391" t="s">
        <v>2353</v>
      </c>
      <c r="C1124" s="391" t="s">
        <v>8494</v>
      </c>
      <c r="D1124" s="391" t="s">
        <v>2166</v>
      </c>
    </row>
    <row r="1125" ht="15.75" customHeight="1">
      <c r="B1125" s="391" t="s">
        <v>8495</v>
      </c>
      <c r="C1125" s="391" t="s">
        <v>8494</v>
      </c>
      <c r="D1125" s="391" t="s">
        <v>2195</v>
      </c>
    </row>
    <row r="1126" ht="15.75" customHeight="1">
      <c r="B1126" s="391" t="s">
        <v>2428</v>
      </c>
      <c r="C1126" s="391" t="s">
        <v>8494</v>
      </c>
      <c r="D1126" s="391" t="s">
        <v>2166</v>
      </c>
    </row>
    <row r="1127" ht="15.75" customHeight="1">
      <c r="B1127" s="391" t="s">
        <v>2434</v>
      </c>
      <c r="C1127" s="391" t="s">
        <v>8494</v>
      </c>
      <c r="D1127" s="391" t="s">
        <v>2232</v>
      </c>
    </row>
    <row r="1128" ht="15.75" customHeight="1">
      <c r="B1128" s="391" t="s">
        <v>2437</v>
      </c>
      <c r="C1128" s="391" t="s">
        <v>8494</v>
      </c>
      <c r="D1128" s="391" t="s">
        <v>2166</v>
      </c>
    </row>
    <row r="1129" ht="15.75" customHeight="1">
      <c r="B1129" s="391" t="s">
        <v>2456</v>
      </c>
      <c r="C1129" s="391" t="s">
        <v>8494</v>
      </c>
      <c r="D1129" s="391" t="s">
        <v>2232</v>
      </c>
    </row>
    <row r="1130" ht="15.75" customHeight="1">
      <c r="B1130" s="391" t="s">
        <v>8496</v>
      </c>
      <c r="C1130" s="391" t="s">
        <v>8494</v>
      </c>
      <c r="D1130" s="391" t="s">
        <v>2232</v>
      </c>
    </row>
    <row r="1131" ht="15.75" customHeight="1">
      <c r="B1131" s="391" t="s">
        <v>2488</v>
      </c>
      <c r="C1131" s="391" t="s">
        <v>8497</v>
      </c>
      <c r="D1131" s="391" t="s">
        <v>2232</v>
      </c>
    </row>
    <row r="1132" ht="15.75" customHeight="1">
      <c r="B1132" s="391" t="s">
        <v>2492</v>
      </c>
      <c r="C1132" s="391" t="s">
        <v>8497</v>
      </c>
      <c r="D1132" s="391" t="s">
        <v>2166</v>
      </c>
    </row>
    <row r="1133" ht="15.75" customHeight="1">
      <c r="B1133" s="391" t="s">
        <v>8498</v>
      </c>
      <c r="C1133" s="391" t="s">
        <v>8497</v>
      </c>
      <c r="D1133" s="391" t="s">
        <v>2195</v>
      </c>
    </row>
    <row r="1134" ht="15.75" customHeight="1">
      <c r="B1134" s="391" t="s">
        <v>8499</v>
      </c>
      <c r="C1134" s="391" t="s">
        <v>8500</v>
      </c>
      <c r="D1134" s="391" t="s">
        <v>2195</v>
      </c>
    </row>
    <row r="1135" ht="15.75" customHeight="1">
      <c r="B1135" s="391" t="s">
        <v>8501</v>
      </c>
      <c r="C1135" s="391" t="s">
        <v>8500</v>
      </c>
      <c r="D1135" s="391" t="s">
        <v>2232</v>
      </c>
    </row>
    <row r="1136" ht="15.75" customHeight="1">
      <c r="B1136" s="391" t="s">
        <v>8502</v>
      </c>
      <c r="C1136" s="391" t="s">
        <v>8503</v>
      </c>
      <c r="D1136" s="391" t="s">
        <v>2232</v>
      </c>
    </row>
    <row r="1137" ht="15.75" customHeight="1">
      <c r="B1137" s="391" t="s">
        <v>2394</v>
      </c>
      <c r="C1137" s="391" t="s">
        <v>8504</v>
      </c>
      <c r="D1137" s="391" t="s">
        <v>2232</v>
      </c>
    </row>
    <row r="1138" ht="15.75" customHeight="1">
      <c r="B1138" s="391" t="s">
        <v>2392</v>
      </c>
      <c r="C1138" s="391" t="s">
        <v>8505</v>
      </c>
      <c r="D1138" s="391" t="s">
        <v>2195</v>
      </c>
    </row>
    <row r="1139" ht="15.75" customHeight="1">
      <c r="B1139" s="391" t="s">
        <v>2214</v>
      </c>
      <c r="C1139" s="391" t="s">
        <v>8506</v>
      </c>
      <c r="D1139" s="391" t="s">
        <v>2195</v>
      </c>
    </row>
    <row r="1140" ht="15.75" customHeight="1">
      <c r="B1140" s="391" t="s">
        <v>2177</v>
      </c>
      <c r="C1140" s="391" t="s">
        <v>8507</v>
      </c>
      <c r="D1140" s="391" t="s">
        <v>2166</v>
      </c>
    </row>
    <row r="1141" ht="15.75" customHeight="1">
      <c r="B1141" s="391" t="s">
        <v>2173</v>
      </c>
      <c r="C1141" s="391" t="s">
        <v>8507</v>
      </c>
      <c r="D1141" s="391" t="s">
        <v>2166</v>
      </c>
    </row>
    <row r="1142" ht="15.75" customHeight="1">
      <c r="B1142" s="391" t="s">
        <v>2169</v>
      </c>
      <c r="C1142" s="391" t="s">
        <v>8507</v>
      </c>
      <c r="D1142" s="391" t="s">
        <v>2166</v>
      </c>
    </row>
    <row r="1143" ht="15.75" customHeight="1">
      <c r="B1143" s="391" t="s">
        <v>2185</v>
      </c>
      <c r="C1143" s="391" t="s">
        <v>8507</v>
      </c>
      <c r="D1143" s="391" t="s">
        <v>2166</v>
      </c>
    </row>
    <row r="1144" ht="15.75" customHeight="1">
      <c r="B1144" s="391" t="s">
        <v>2181</v>
      </c>
      <c r="C1144" s="391" t="s">
        <v>8507</v>
      </c>
      <c r="D1144" s="391" t="s">
        <v>2166</v>
      </c>
    </row>
    <row r="1145" ht="15.75" customHeight="1">
      <c r="B1145" s="391" t="s">
        <v>8508</v>
      </c>
      <c r="C1145" s="391" t="s">
        <v>8507</v>
      </c>
      <c r="D1145" s="391" t="s">
        <v>2166</v>
      </c>
    </row>
    <row r="1146" ht="15.75" customHeight="1">
      <c r="B1146" s="391" t="s">
        <v>8509</v>
      </c>
      <c r="C1146" s="391" t="s">
        <v>8507</v>
      </c>
      <c r="D1146" s="391" t="s">
        <v>2166</v>
      </c>
    </row>
    <row r="1147" ht="15.75" customHeight="1">
      <c r="B1147" s="391" t="s">
        <v>8510</v>
      </c>
      <c r="C1147" s="391" t="s">
        <v>8507</v>
      </c>
      <c r="D1147" s="391" t="s">
        <v>2232</v>
      </c>
    </row>
    <row r="1148" ht="15.75" customHeight="1">
      <c r="B1148" s="391" t="s">
        <v>8511</v>
      </c>
      <c r="C1148" s="391" t="s">
        <v>8507</v>
      </c>
      <c r="D1148" s="391" t="s">
        <v>2195</v>
      </c>
    </row>
    <row r="1149" ht="15.75" customHeight="1">
      <c r="B1149" s="391" t="s">
        <v>2206</v>
      </c>
      <c r="C1149" s="391" t="s">
        <v>8507</v>
      </c>
      <c r="D1149" s="391" t="s">
        <v>2166</v>
      </c>
    </row>
    <row r="1150" ht="15.75" customHeight="1">
      <c r="B1150" s="391" t="s">
        <v>2164</v>
      </c>
      <c r="C1150" s="391" t="s">
        <v>8507</v>
      </c>
      <c r="D1150" s="391" t="s">
        <v>2166</v>
      </c>
    </row>
    <row r="1151" ht="15.75" customHeight="1">
      <c r="B1151" s="391" t="s">
        <v>8512</v>
      </c>
      <c r="C1151" s="391" t="s">
        <v>8507</v>
      </c>
      <c r="D1151" s="391" t="s">
        <v>2195</v>
      </c>
    </row>
    <row r="1152" ht="15.75" customHeight="1">
      <c r="B1152" s="391" t="s">
        <v>8513</v>
      </c>
      <c r="C1152" s="391" t="s">
        <v>8514</v>
      </c>
      <c r="D1152" s="391" t="s">
        <v>2166</v>
      </c>
    </row>
    <row r="1153" ht="15.75" customHeight="1">
      <c r="B1153" s="391" t="s">
        <v>2230</v>
      </c>
      <c r="C1153" s="391" t="s">
        <v>8515</v>
      </c>
      <c r="D1153" s="391" t="s">
        <v>2232</v>
      </c>
    </row>
    <row r="1154" ht="15.75" customHeight="1">
      <c r="B1154" s="391" t="s">
        <v>2383</v>
      </c>
      <c r="C1154" s="391" t="s">
        <v>8516</v>
      </c>
      <c r="D1154" s="391" t="s">
        <v>2195</v>
      </c>
    </row>
    <row r="1155" ht="15.75" customHeight="1">
      <c r="B1155" s="391" t="s">
        <v>2414</v>
      </c>
      <c r="C1155" s="391" t="s">
        <v>8517</v>
      </c>
      <c r="D1155" s="391" t="s">
        <v>2195</v>
      </c>
    </row>
    <row r="1156" ht="15.75" customHeight="1">
      <c r="B1156" s="391" t="s">
        <v>2416</v>
      </c>
      <c r="C1156" s="391" t="s">
        <v>8517</v>
      </c>
      <c r="D1156" s="391" t="s">
        <v>2232</v>
      </c>
    </row>
    <row r="1157" ht="15.75" customHeight="1">
      <c r="B1157" s="391" t="s">
        <v>2418</v>
      </c>
      <c r="C1157" s="391" t="s">
        <v>8517</v>
      </c>
      <c r="D1157" s="391" t="s">
        <v>2195</v>
      </c>
    </row>
    <row r="1158" ht="15.75" customHeight="1">
      <c r="B1158" s="391" t="s">
        <v>2420</v>
      </c>
      <c r="C1158" s="391" t="s">
        <v>8517</v>
      </c>
      <c r="D1158" s="391" t="s">
        <v>2195</v>
      </c>
    </row>
    <row r="1159" ht="15.75" customHeight="1">
      <c r="B1159" s="391" t="s">
        <v>8518</v>
      </c>
      <c r="C1159" s="391" t="s">
        <v>8517</v>
      </c>
      <c r="D1159" s="391" t="s">
        <v>2232</v>
      </c>
    </row>
    <row r="1160" ht="15.75" customHeight="1">
      <c r="B1160" s="391" t="s">
        <v>8519</v>
      </c>
      <c r="C1160" s="391" t="s">
        <v>8520</v>
      </c>
      <c r="D1160" s="391" t="s">
        <v>2232</v>
      </c>
    </row>
    <row r="1161" ht="15.75" customHeight="1">
      <c r="B1161" s="391" t="s">
        <v>2202</v>
      </c>
      <c r="C1161" s="391" t="s">
        <v>8521</v>
      </c>
      <c r="D1161" s="391" t="s">
        <v>2232</v>
      </c>
    </row>
    <row r="1162" ht="15.75" customHeight="1">
      <c r="B1162" s="391" t="s">
        <v>8522</v>
      </c>
      <c r="C1162" s="391" t="s">
        <v>8523</v>
      </c>
      <c r="D1162" s="391" t="s">
        <v>2232</v>
      </c>
    </row>
    <row r="1163" ht="15.75" customHeight="1">
      <c r="B1163" s="391" t="s">
        <v>8524</v>
      </c>
      <c r="C1163" s="391" t="s">
        <v>8523</v>
      </c>
      <c r="D1163" s="391" t="s">
        <v>2232</v>
      </c>
    </row>
    <row r="1164" ht="15.75" customHeight="1">
      <c r="B1164" s="391" t="s">
        <v>8525</v>
      </c>
      <c r="C1164" s="391" t="s">
        <v>8523</v>
      </c>
      <c r="D1164" s="391" t="s">
        <v>2166</v>
      </c>
    </row>
    <row r="1165" ht="15.75" customHeight="1">
      <c r="B1165" s="391" t="s">
        <v>8526</v>
      </c>
      <c r="C1165" s="391" t="s">
        <v>8527</v>
      </c>
      <c r="D1165" s="391" t="s">
        <v>2195</v>
      </c>
    </row>
    <row r="1166" ht="15.75" customHeight="1">
      <c r="B1166" s="391" t="s">
        <v>5023</v>
      </c>
      <c r="C1166" s="391" t="s">
        <v>8527</v>
      </c>
      <c r="D1166" s="391" t="s">
        <v>2195</v>
      </c>
    </row>
    <row r="1167" ht="15.75" customHeight="1">
      <c r="B1167" s="391" t="s">
        <v>5027</v>
      </c>
      <c r="C1167" s="391" t="s">
        <v>8527</v>
      </c>
      <c r="D1167" s="391" t="s">
        <v>2166</v>
      </c>
    </row>
    <row r="1168" ht="15.75" customHeight="1">
      <c r="B1168" s="391" t="s">
        <v>8528</v>
      </c>
      <c r="C1168" s="391" t="s">
        <v>8529</v>
      </c>
      <c r="D1168" s="391" t="s">
        <v>2166</v>
      </c>
    </row>
    <row r="1169" ht="15.75" customHeight="1">
      <c r="B1169" s="391" t="s">
        <v>5029</v>
      </c>
      <c r="C1169" s="391" t="s">
        <v>8530</v>
      </c>
      <c r="D1169" s="391" t="s">
        <v>2232</v>
      </c>
    </row>
    <row r="1170" ht="15.75" customHeight="1">
      <c r="B1170" s="391" t="s">
        <v>5039</v>
      </c>
      <c r="C1170" s="391" t="s">
        <v>8530</v>
      </c>
      <c r="D1170" s="391" t="s">
        <v>2166</v>
      </c>
    </row>
    <row r="1171" ht="15.75" customHeight="1">
      <c r="B1171" s="391" t="s">
        <v>5037</v>
      </c>
      <c r="C1171" s="391" t="s">
        <v>8530</v>
      </c>
      <c r="D1171" s="391" t="s">
        <v>2166</v>
      </c>
    </row>
    <row r="1172" ht="15.75" customHeight="1">
      <c r="B1172" s="391" t="s">
        <v>5049</v>
      </c>
      <c r="C1172" s="391" t="s">
        <v>8530</v>
      </c>
      <c r="D1172" s="391" t="s">
        <v>2195</v>
      </c>
    </row>
    <row r="1173" ht="15.75" customHeight="1">
      <c r="B1173" s="391" t="s">
        <v>5079</v>
      </c>
      <c r="C1173" s="391" t="s">
        <v>8531</v>
      </c>
      <c r="D1173" s="391" t="s">
        <v>2232</v>
      </c>
    </row>
    <row r="1174" ht="15.75" customHeight="1">
      <c r="B1174" s="391" t="s">
        <v>5033</v>
      </c>
      <c r="C1174" s="391" t="s">
        <v>8532</v>
      </c>
      <c r="D1174" s="391" t="s">
        <v>2166</v>
      </c>
    </row>
    <row r="1175" ht="15.75" customHeight="1">
      <c r="B1175" s="391" t="s">
        <v>5087</v>
      </c>
      <c r="C1175" s="391" t="s">
        <v>8532</v>
      </c>
      <c r="D1175" s="391" t="s">
        <v>2232</v>
      </c>
    </row>
    <row r="1176" ht="15.75" customHeight="1">
      <c r="B1176" s="391" t="s">
        <v>5089</v>
      </c>
      <c r="C1176" s="391" t="s">
        <v>8532</v>
      </c>
      <c r="D1176" s="391" t="s">
        <v>2166</v>
      </c>
    </row>
    <row r="1177" ht="15.75" customHeight="1">
      <c r="B1177" s="391" t="s">
        <v>5055</v>
      </c>
      <c r="C1177" s="391" t="s">
        <v>8533</v>
      </c>
      <c r="D1177" s="391" t="s">
        <v>2166</v>
      </c>
    </row>
    <row r="1178" ht="15.75" customHeight="1">
      <c r="B1178" s="391" t="s">
        <v>5096</v>
      </c>
      <c r="C1178" s="391" t="s">
        <v>8534</v>
      </c>
      <c r="D1178" s="391" t="s">
        <v>2166</v>
      </c>
    </row>
    <row r="1179" ht="15.75" customHeight="1">
      <c r="B1179" s="391" t="s">
        <v>5066</v>
      </c>
      <c r="C1179" s="391" t="s">
        <v>8535</v>
      </c>
      <c r="D1179" s="391" t="s">
        <v>2166</v>
      </c>
    </row>
    <row r="1180" ht="15.75" customHeight="1">
      <c r="B1180" s="391" t="s">
        <v>5070</v>
      </c>
      <c r="C1180" s="391" t="s">
        <v>8536</v>
      </c>
      <c r="D1180" s="391" t="s">
        <v>2166</v>
      </c>
    </row>
    <row r="1181" ht="15.75" customHeight="1">
      <c r="B1181" s="391" t="s">
        <v>5191</v>
      </c>
      <c r="C1181" s="391" t="s">
        <v>8537</v>
      </c>
      <c r="D1181" s="391" t="s">
        <v>2166</v>
      </c>
    </row>
    <row r="1182" ht="15.75" customHeight="1">
      <c r="B1182" s="391" t="s">
        <v>8538</v>
      </c>
      <c r="C1182" s="391" t="s">
        <v>8539</v>
      </c>
      <c r="D1182" s="391" t="s">
        <v>2195</v>
      </c>
    </row>
    <row r="1183" ht="15.75" customHeight="1">
      <c r="B1183" s="391" t="s">
        <v>5175</v>
      </c>
      <c r="C1183" s="391" t="s">
        <v>8540</v>
      </c>
      <c r="D1183" s="391" t="s">
        <v>2166</v>
      </c>
    </row>
    <row r="1184" ht="15.75" customHeight="1">
      <c r="B1184" s="391" t="s">
        <v>5183</v>
      </c>
      <c r="C1184" s="391" t="s">
        <v>8541</v>
      </c>
      <c r="D1184" s="391" t="s">
        <v>2166</v>
      </c>
    </row>
    <row r="1185" ht="15.75" customHeight="1">
      <c r="B1185" s="391" t="s">
        <v>5187</v>
      </c>
      <c r="C1185" s="391" t="s">
        <v>8542</v>
      </c>
      <c r="D1185" s="391" t="s">
        <v>2166</v>
      </c>
    </row>
    <row r="1186" ht="15.75" customHeight="1">
      <c r="B1186" s="391" t="s">
        <v>5179</v>
      </c>
      <c r="C1186" s="391" t="s">
        <v>8543</v>
      </c>
      <c r="D1186" s="391" t="s">
        <v>2166</v>
      </c>
    </row>
    <row r="1187" ht="15.75" customHeight="1">
      <c r="B1187" s="391" t="s">
        <v>5171</v>
      </c>
      <c r="C1187" s="391" t="s">
        <v>8544</v>
      </c>
      <c r="D1187" s="391" t="s">
        <v>2166</v>
      </c>
    </row>
    <row r="1188" ht="15.75" customHeight="1">
      <c r="B1188" s="391" t="s">
        <v>5236</v>
      </c>
      <c r="C1188" s="391" t="s">
        <v>8545</v>
      </c>
      <c r="D1188" s="391" t="s">
        <v>2166</v>
      </c>
    </row>
    <row r="1189" ht="15.75" customHeight="1">
      <c r="B1189" s="391" t="s">
        <v>5441</v>
      </c>
      <c r="C1189" s="391" t="s">
        <v>8546</v>
      </c>
      <c r="D1189" s="391" t="s">
        <v>2232</v>
      </c>
    </row>
    <row r="1190" ht="15.75" customHeight="1">
      <c r="B1190" s="391" t="s">
        <v>5445</v>
      </c>
      <c r="C1190" s="391" t="s">
        <v>8546</v>
      </c>
      <c r="D1190" s="391" t="s">
        <v>2232</v>
      </c>
    </row>
    <row r="1191" ht="15.75" customHeight="1">
      <c r="B1191" s="391" t="s">
        <v>4763</v>
      </c>
      <c r="C1191" s="391" t="s">
        <v>8547</v>
      </c>
      <c r="D1191" s="391" t="s">
        <v>2232</v>
      </c>
    </row>
    <row r="1192" ht="15.75" customHeight="1">
      <c r="B1192" s="391" t="s">
        <v>4863</v>
      </c>
      <c r="C1192" s="391" t="s">
        <v>8548</v>
      </c>
      <c r="D1192" s="391" t="s">
        <v>2166</v>
      </c>
    </row>
    <row r="1193" ht="15.75" customHeight="1">
      <c r="B1193" s="391" t="s">
        <v>4771</v>
      </c>
      <c r="C1193" s="391" t="s">
        <v>8549</v>
      </c>
      <c r="D1193" s="391" t="s">
        <v>2232</v>
      </c>
    </row>
    <row r="1194" ht="15.75" customHeight="1">
      <c r="B1194" s="391" t="s">
        <v>6123</v>
      </c>
      <c r="C1194" s="391" t="s">
        <v>8550</v>
      </c>
      <c r="D1194" s="391" t="s">
        <v>2166</v>
      </c>
    </row>
    <row r="1195" ht="15.75" customHeight="1">
      <c r="B1195" s="391" t="s">
        <v>6127</v>
      </c>
      <c r="C1195" s="391" t="s">
        <v>8551</v>
      </c>
      <c r="D1195" s="391" t="s">
        <v>2166</v>
      </c>
    </row>
    <row r="1196" ht="15.75" customHeight="1">
      <c r="B1196" s="391" t="s">
        <v>8552</v>
      </c>
      <c r="C1196" s="391" t="s">
        <v>8553</v>
      </c>
      <c r="D1196" s="391" t="s">
        <v>2166</v>
      </c>
    </row>
    <row r="1197" ht="15.75" customHeight="1">
      <c r="B1197" s="391" t="s">
        <v>8554</v>
      </c>
      <c r="C1197" s="391" t="s">
        <v>8553</v>
      </c>
      <c r="D1197" s="391" t="s">
        <v>2166</v>
      </c>
    </row>
    <row r="1198" ht="15.75" customHeight="1">
      <c r="B1198" s="391" t="s">
        <v>8555</v>
      </c>
      <c r="C1198" s="391" t="s">
        <v>8553</v>
      </c>
      <c r="D1198" s="391" t="s">
        <v>2195</v>
      </c>
    </row>
    <row r="1199" ht="15.75" customHeight="1">
      <c r="B1199" s="391" t="s">
        <v>5318</v>
      </c>
      <c r="C1199" s="391" t="s">
        <v>8556</v>
      </c>
      <c r="D1199" s="391" t="s">
        <v>2166</v>
      </c>
    </row>
    <row r="1200" ht="15.75" customHeight="1">
      <c r="B1200" s="391" t="s">
        <v>5308</v>
      </c>
      <c r="C1200" s="391" t="s">
        <v>8556</v>
      </c>
      <c r="D1200" s="391" t="s">
        <v>2166</v>
      </c>
    </row>
    <row r="1201" ht="15.75" customHeight="1">
      <c r="B1201" s="391" t="s">
        <v>4755</v>
      </c>
      <c r="C1201" s="391" t="s">
        <v>8556</v>
      </c>
      <c r="D1201" s="391" t="s">
        <v>2166</v>
      </c>
    </row>
    <row r="1202" ht="15.75" customHeight="1">
      <c r="B1202" s="391" t="s">
        <v>4759</v>
      </c>
      <c r="C1202" s="391" t="s">
        <v>8556</v>
      </c>
      <c r="D1202" s="391" t="s">
        <v>2166</v>
      </c>
    </row>
    <row r="1203" ht="15.75" customHeight="1">
      <c r="B1203" s="391" t="s">
        <v>4867</v>
      </c>
      <c r="C1203" s="391" t="s">
        <v>8556</v>
      </c>
      <c r="D1203" s="391" t="s">
        <v>2166</v>
      </c>
    </row>
    <row r="1204" ht="15.75" customHeight="1">
      <c r="B1204" s="391" t="s">
        <v>5045</v>
      </c>
      <c r="C1204" s="391" t="s">
        <v>8556</v>
      </c>
      <c r="D1204" s="391" t="s">
        <v>2166</v>
      </c>
    </row>
    <row r="1205" ht="15.75" customHeight="1">
      <c r="B1205" s="391" t="s">
        <v>5091</v>
      </c>
      <c r="C1205" s="391" t="s">
        <v>8556</v>
      </c>
      <c r="D1205" s="391" t="s">
        <v>2166</v>
      </c>
    </row>
    <row r="1206" ht="15.75" customHeight="1">
      <c r="B1206" s="391" t="s">
        <v>5053</v>
      </c>
      <c r="C1206" s="391" t="s">
        <v>8556</v>
      </c>
      <c r="D1206" s="391" t="s">
        <v>2166</v>
      </c>
    </row>
    <row r="1207" ht="15.75" customHeight="1">
      <c r="B1207" s="391" t="s">
        <v>5100</v>
      </c>
      <c r="C1207" s="391" t="s">
        <v>8556</v>
      </c>
      <c r="D1207" s="391" t="s">
        <v>2166</v>
      </c>
    </row>
    <row r="1208" ht="15.75" customHeight="1">
      <c r="B1208" s="391" t="s">
        <v>5074</v>
      </c>
      <c r="C1208" s="391" t="s">
        <v>8556</v>
      </c>
      <c r="D1208" s="391" t="s">
        <v>2166</v>
      </c>
    </row>
    <row r="1209" ht="15.75" customHeight="1">
      <c r="B1209" s="391" t="s">
        <v>5340</v>
      </c>
      <c r="C1209" s="391" t="s">
        <v>8556</v>
      </c>
      <c r="D1209" s="391" t="s">
        <v>2166</v>
      </c>
    </row>
    <row r="1210" ht="15.75" customHeight="1">
      <c r="B1210" s="391" t="s">
        <v>5344</v>
      </c>
      <c r="C1210" s="391" t="s">
        <v>8556</v>
      </c>
      <c r="D1210" s="391" t="s">
        <v>2166</v>
      </c>
    </row>
    <row r="1211" ht="15.75" customHeight="1">
      <c r="B1211" s="391" t="s">
        <v>5202</v>
      </c>
      <c r="C1211" s="391" t="s">
        <v>8557</v>
      </c>
      <c r="D1211" s="391" t="s">
        <v>2195</v>
      </c>
    </row>
    <row r="1212" ht="15.75" customHeight="1">
      <c r="B1212" s="391" t="s">
        <v>5209</v>
      </c>
      <c r="C1212" s="391" t="s">
        <v>8557</v>
      </c>
      <c r="D1212" s="391" t="s">
        <v>2166</v>
      </c>
    </row>
    <row r="1213" ht="15.75" customHeight="1">
      <c r="B1213" s="391" t="s">
        <v>5228</v>
      </c>
      <c r="C1213" s="391" t="s">
        <v>8557</v>
      </c>
      <c r="D1213" s="391" t="s">
        <v>2166</v>
      </c>
    </row>
    <row r="1214" ht="15.75" customHeight="1">
      <c r="B1214" s="391" t="s">
        <v>5232</v>
      </c>
      <c r="C1214" s="391" t="s">
        <v>8558</v>
      </c>
      <c r="D1214" s="391" t="s">
        <v>2166</v>
      </c>
    </row>
    <row r="1215" ht="15.75" customHeight="1">
      <c r="B1215" s="391" t="s">
        <v>5206</v>
      </c>
      <c r="C1215" s="391" t="s">
        <v>8559</v>
      </c>
      <c r="D1215" s="391" t="s">
        <v>2166</v>
      </c>
    </row>
    <row r="1216" ht="15.75" customHeight="1">
      <c r="B1216" s="391" t="s">
        <v>5210</v>
      </c>
      <c r="C1216" s="391" t="s">
        <v>8559</v>
      </c>
      <c r="D1216" s="391" t="s">
        <v>2166</v>
      </c>
    </row>
    <row r="1217" ht="15.75" customHeight="1">
      <c r="B1217" s="391" t="s">
        <v>5297</v>
      </c>
      <c r="C1217" s="391" t="s">
        <v>8560</v>
      </c>
      <c r="D1217" s="391" t="s">
        <v>2166</v>
      </c>
    </row>
    <row r="1218" ht="15.75" customHeight="1">
      <c r="B1218" s="391" t="s">
        <v>5287</v>
      </c>
      <c r="C1218" s="391" t="s">
        <v>8560</v>
      </c>
      <c r="D1218" s="391" t="s">
        <v>2166</v>
      </c>
    </row>
    <row r="1219" ht="15.75" customHeight="1">
      <c r="B1219" s="391" t="s">
        <v>5289</v>
      </c>
      <c r="C1219" s="391" t="s">
        <v>8560</v>
      </c>
      <c r="D1219" s="391" t="s">
        <v>2166</v>
      </c>
    </row>
    <row r="1220" ht="15.75" customHeight="1">
      <c r="B1220" s="391" t="s">
        <v>5301</v>
      </c>
      <c r="C1220" s="391" t="s">
        <v>8560</v>
      </c>
      <c r="D1220" s="391" t="s">
        <v>2195</v>
      </c>
    </row>
    <row r="1221" ht="15.75" customHeight="1">
      <c r="B1221" s="391" t="s">
        <v>5291</v>
      </c>
      <c r="C1221" s="391" t="s">
        <v>8560</v>
      </c>
      <c r="D1221" s="391" t="s">
        <v>2166</v>
      </c>
    </row>
    <row r="1222" ht="15.75" customHeight="1">
      <c r="B1222" s="391" t="s">
        <v>5314</v>
      </c>
      <c r="C1222" s="391" t="s">
        <v>8561</v>
      </c>
      <c r="D1222" s="391" t="s">
        <v>2166</v>
      </c>
    </row>
    <row r="1223" ht="15.75" customHeight="1">
      <c r="B1223" s="391" t="s">
        <v>5312</v>
      </c>
      <c r="C1223" s="391" t="s">
        <v>8561</v>
      </c>
      <c r="D1223" s="391" t="s">
        <v>2166</v>
      </c>
    </row>
    <row r="1224" ht="15.75" customHeight="1">
      <c r="B1224" s="391" t="s">
        <v>5304</v>
      </c>
      <c r="C1224" s="391" t="s">
        <v>8561</v>
      </c>
      <c r="D1224" s="391" t="s">
        <v>2166</v>
      </c>
    </row>
    <row r="1225" ht="15.75" customHeight="1">
      <c r="B1225" s="391" t="s">
        <v>5295</v>
      </c>
      <c r="C1225" s="391" t="s">
        <v>8561</v>
      </c>
      <c r="D1225" s="391" t="s">
        <v>2166</v>
      </c>
    </row>
    <row r="1226" ht="15.75" customHeight="1">
      <c r="B1226" s="391" t="s">
        <v>5372</v>
      </c>
      <c r="C1226" s="391" t="s">
        <v>8562</v>
      </c>
      <c r="D1226" s="391" t="s">
        <v>2166</v>
      </c>
    </row>
    <row r="1227" ht="15.75" customHeight="1">
      <c r="B1227" s="391" t="s">
        <v>5376</v>
      </c>
      <c r="C1227" s="391" t="s">
        <v>8562</v>
      </c>
      <c r="D1227" s="391" t="s">
        <v>2166</v>
      </c>
    </row>
    <row r="1228" ht="15.75" customHeight="1">
      <c r="B1228" s="391" t="s">
        <v>5388</v>
      </c>
      <c r="C1228" s="391" t="s">
        <v>8563</v>
      </c>
      <c r="D1228" s="391" t="s">
        <v>2166</v>
      </c>
    </row>
    <row r="1229" ht="15.75" customHeight="1">
      <c r="B1229" s="391" t="s">
        <v>5323</v>
      </c>
      <c r="C1229" s="391" t="s">
        <v>8564</v>
      </c>
      <c r="D1229" s="391" t="s">
        <v>2195</v>
      </c>
    </row>
    <row r="1230" ht="15.75" customHeight="1">
      <c r="B1230" s="391" t="s">
        <v>5336</v>
      </c>
      <c r="C1230" s="391" t="s">
        <v>8565</v>
      </c>
      <c r="D1230" s="391" t="s">
        <v>2166</v>
      </c>
    </row>
    <row r="1231" ht="15.75" customHeight="1">
      <c r="B1231" s="391" t="s">
        <v>5332</v>
      </c>
      <c r="C1231" s="391" t="s">
        <v>8565</v>
      </c>
      <c r="D1231" s="391" t="s">
        <v>2166</v>
      </c>
    </row>
    <row r="1232" ht="15.75" customHeight="1">
      <c r="B1232" s="391" t="s">
        <v>8566</v>
      </c>
      <c r="C1232" s="391" t="s">
        <v>8567</v>
      </c>
      <c r="D1232" s="391" t="s">
        <v>2195</v>
      </c>
    </row>
    <row r="1233" ht="15.75" customHeight="1">
      <c r="B1233" s="391" t="s">
        <v>5384</v>
      </c>
      <c r="C1233" s="391" t="s">
        <v>8567</v>
      </c>
      <c r="D1233" s="391" t="s">
        <v>2232</v>
      </c>
    </row>
    <row r="1234" ht="15.75" customHeight="1">
      <c r="B1234" s="391" t="s">
        <v>5699</v>
      </c>
      <c r="C1234" s="391" t="s">
        <v>8568</v>
      </c>
      <c r="D1234" s="391" t="s">
        <v>2232</v>
      </c>
    </row>
    <row r="1235" ht="15.75" customHeight="1">
      <c r="B1235" s="391" t="s">
        <v>8569</v>
      </c>
      <c r="C1235" s="391" t="s">
        <v>8570</v>
      </c>
      <c r="D1235" s="391" t="s">
        <v>2166</v>
      </c>
    </row>
    <row r="1236" ht="15.75" customHeight="1">
      <c r="B1236" s="391" t="s">
        <v>5245</v>
      </c>
      <c r="C1236" s="391" t="s">
        <v>8571</v>
      </c>
      <c r="D1236" s="391" t="s">
        <v>2166</v>
      </c>
    </row>
    <row r="1237" ht="15.75" customHeight="1">
      <c r="B1237" s="391" t="s">
        <v>5249</v>
      </c>
      <c r="C1237" s="391" t="s">
        <v>8571</v>
      </c>
      <c r="D1237" s="391" t="s">
        <v>2166</v>
      </c>
    </row>
    <row r="1238" ht="15.75" customHeight="1">
      <c r="B1238" s="391" t="s">
        <v>5259</v>
      </c>
      <c r="C1238" s="391" t="s">
        <v>8572</v>
      </c>
      <c r="D1238" s="391" t="s">
        <v>2166</v>
      </c>
    </row>
    <row r="1239" ht="15.75" customHeight="1">
      <c r="B1239" s="391" t="s">
        <v>5255</v>
      </c>
      <c r="C1239" s="391" t="s">
        <v>8572</v>
      </c>
      <c r="D1239" s="391" t="s">
        <v>2166</v>
      </c>
    </row>
    <row r="1240" ht="15.75" customHeight="1">
      <c r="B1240" s="391" t="s">
        <v>5265</v>
      </c>
      <c r="C1240" s="391" t="s">
        <v>8572</v>
      </c>
      <c r="D1240" s="391" t="s">
        <v>2166</v>
      </c>
    </row>
    <row r="1241" ht="15.75" customHeight="1">
      <c r="B1241" s="391" t="s">
        <v>5261</v>
      </c>
      <c r="C1241" s="391" t="s">
        <v>8572</v>
      </c>
      <c r="D1241" s="391" t="s">
        <v>2195</v>
      </c>
    </row>
    <row r="1242" ht="15.75" customHeight="1">
      <c r="B1242" s="391" t="s">
        <v>5241</v>
      </c>
      <c r="C1242" s="391" t="s">
        <v>8572</v>
      </c>
      <c r="D1242" s="391" t="s">
        <v>2166</v>
      </c>
    </row>
    <row r="1243" ht="15.75" customHeight="1">
      <c r="B1243" s="391" t="s">
        <v>5251</v>
      </c>
      <c r="C1243" s="391" t="s">
        <v>8573</v>
      </c>
      <c r="D1243" s="391" t="s">
        <v>2166</v>
      </c>
    </row>
    <row r="1244" ht="15.75" customHeight="1">
      <c r="B1244" s="391" t="s">
        <v>5269</v>
      </c>
      <c r="C1244" s="391" t="s">
        <v>8573</v>
      </c>
      <c r="D1244" s="391" t="s">
        <v>2166</v>
      </c>
    </row>
    <row r="1245" ht="15.75" customHeight="1">
      <c r="B1245" s="391" t="s">
        <v>8574</v>
      </c>
      <c r="C1245" s="391" t="s">
        <v>8575</v>
      </c>
      <c r="D1245" s="391" t="s">
        <v>2166</v>
      </c>
    </row>
    <row r="1246" ht="15.75" customHeight="1">
      <c r="B1246" s="391" t="s">
        <v>8576</v>
      </c>
      <c r="C1246" s="391" t="s">
        <v>8577</v>
      </c>
      <c r="D1246" s="391" t="s">
        <v>2166</v>
      </c>
    </row>
    <row r="1247" ht="15.75" customHeight="1">
      <c r="B1247" s="391" t="s">
        <v>8578</v>
      </c>
      <c r="C1247" s="391" t="s">
        <v>8579</v>
      </c>
      <c r="D1247" s="391" t="s">
        <v>2166</v>
      </c>
    </row>
    <row r="1248" ht="15.75" customHeight="1">
      <c r="B1248" s="391" t="s">
        <v>4841</v>
      </c>
      <c r="C1248" s="391" t="s">
        <v>8580</v>
      </c>
      <c r="D1248" s="391" t="s">
        <v>2166</v>
      </c>
    </row>
    <row r="1249" ht="15.75" customHeight="1">
      <c r="B1249" s="391" t="s">
        <v>5168</v>
      </c>
      <c r="C1249" s="391" t="s">
        <v>8581</v>
      </c>
      <c r="D1249" s="391" t="s">
        <v>2166</v>
      </c>
    </row>
    <row r="1250" ht="15.75" customHeight="1">
      <c r="B1250" s="391" t="s">
        <v>5164</v>
      </c>
      <c r="C1250" s="391" t="s">
        <v>8581</v>
      </c>
      <c r="D1250" s="391" t="s">
        <v>2166</v>
      </c>
    </row>
    <row r="1251" ht="15.75" customHeight="1">
      <c r="B1251" s="391" t="s">
        <v>5014</v>
      </c>
      <c r="C1251" s="391" t="s">
        <v>8582</v>
      </c>
      <c r="D1251" s="391" t="s">
        <v>2166</v>
      </c>
    </row>
    <row r="1252" ht="15.75" customHeight="1">
      <c r="B1252" s="391" t="s">
        <v>5018</v>
      </c>
      <c r="C1252" s="391" t="s">
        <v>8583</v>
      </c>
      <c r="D1252" s="391" t="s">
        <v>2166</v>
      </c>
    </row>
    <row r="1253" ht="15.75" customHeight="1">
      <c r="B1253" s="391" t="s">
        <v>5113</v>
      </c>
      <c r="C1253" s="391" t="s">
        <v>8584</v>
      </c>
      <c r="D1253" s="391" t="s">
        <v>2166</v>
      </c>
    </row>
    <row r="1254" ht="15.75" customHeight="1">
      <c r="B1254" s="391" t="s">
        <v>8585</v>
      </c>
      <c r="C1254" s="391" t="s">
        <v>8586</v>
      </c>
      <c r="D1254" s="391" t="s">
        <v>2166</v>
      </c>
    </row>
    <row r="1255" ht="15.75" customHeight="1">
      <c r="B1255" s="391" t="s">
        <v>8587</v>
      </c>
      <c r="C1255" s="391" t="s">
        <v>8588</v>
      </c>
      <c r="D1255" s="391" t="s">
        <v>2166</v>
      </c>
    </row>
    <row r="1256" ht="15.75" customHeight="1">
      <c r="B1256" s="391" t="s">
        <v>8589</v>
      </c>
      <c r="C1256" s="391" t="s">
        <v>8590</v>
      </c>
      <c r="D1256" s="391" t="s">
        <v>2166</v>
      </c>
    </row>
    <row r="1257" ht="15.75" customHeight="1">
      <c r="B1257" s="391" t="s">
        <v>8591</v>
      </c>
      <c r="C1257" s="391" t="s">
        <v>8592</v>
      </c>
      <c r="D1257" s="391" t="s">
        <v>2166</v>
      </c>
    </row>
    <row r="1258" ht="15.75" customHeight="1">
      <c r="B1258" s="391" t="s">
        <v>8593</v>
      </c>
      <c r="C1258" s="391" t="s">
        <v>8594</v>
      </c>
      <c r="D1258" s="391" t="s">
        <v>2166</v>
      </c>
    </row>
    <row r="1259" ht="15.75" customHeight="1">
      <c r="B1259" s="391" t="s">
        <v>5121</v>
      </c>
      <c r="C1259" s="391" t="s">
        <v>8595</v>
      </c>
      <c r="D1259" s="391" t="s">
        <v>2166</v>
      </c>
    </row>
    <row r="1260" ht="15.75" customHeight="1">
      <c r="B1260" s="391" t="s">
        <v>5436</v>
      </c>
      <c r="C1260" s="391" t="s">
        <v>8596</v>
      </c>
      <c r="D1260" s="391" t="s">
        <v>2166</v>
      </c>
    </row>
    <row r="1261" ht="15.75" customHeight="1">
      <c r="B1261" s="391" t="s">
        <v>5150</v>
      </c>
      <c r="C1261" s="391" t="s">
        <v>8597</v>
      </c>
      <c r="D1261" s="391" t="s">
        <v>2166</v>
      </c>
    </row>
    <row r="1262" ht="15.75" customHeight="1">
      <c r="B1262" s="391" t="s">
        <v>5356</v>
      </c>
      <c r="C1262" s="391" t="s">
        <v>8598</v>
      </c>
      <c r="D1262" s="391" t="s">
        <v>2232</v>
      </c>
    </row>
    <row r="1263" ht="15.75" customHeight="1">
      <c r="B1263" s="391" t="s">
        <v>5357</v>
      </c>
      <c r="C1263" s="391" t="s">
        <v>8599</v>
      </c>
      <c r="D1263" s="391" t="s">
        <v>2166</v>
      </c>
    </row>
    <row r="1264" ht="15.75" customHeight="1">
      <c r="B1264" s="391" t="s">
        <v>5360</v>
      </c>
      <c r="C1264" s="391" t="s">
        <v>8600</v>
      </c>
      <c r="D1264" s="391" t="s">
        <v>2166</v>
      </c>
    </row>
    <row r="1265" ht="15.75" customHeight="1">
      <c r="B1265" s="391" t="s">
        <v>5366</v>
      </c>
      <c r="C1265" s="391" t="s">
        <v>8601</v>
      </c>
      <c r="D1265" s="391" t="s">
        <v>2166</v>
      </c>
    </row>
    <row r="1266" ht="15.75" customHeight="1">
      <c r="B1266" s="391" t="s">
        <v>5697</v>
      </c>
      <c r="C1266" s="391" t="s">
        <v>8602</v>
      </c>
      <c r="D1266" s="391" t="s">
        <v>2166</v>
      </c>
    </row>
    <row r="1267" ht="15.75" customHeight="1">
      <c r="B1267" s="391" t="s">
        <v>5698</v>
      </c>
      <c r="C1267" s="391" t="s">
        <v>8603</v>
      </c>
      <c r="D1267" s="391" t="s">
        <v>2166</v>
      </c>
    </row>
    <row r="1268" ht="15.75" customHeight="1">
      <c r="B1268" s="391" t="s">
        <v>5349</v>
      </c>
      <c r="C1268" s="391" t="s">
        <v>8604</v>
      </c>
      <c r="D1268" s="391" t="s">
        <v>2166</v>
      </c>
    </row>
    <row r="1269" ht="15.75" customHeight="1">
      <c r="B1269" s="391" t="s">
        <v>5352</v>
      </c>
      <c r="C1269" s="391" t="s">
        <v>8605</v>
      </c>
      <c r="D1269" s="391" t="s">
        <v>2166</v>
      </c>
    </row>
    <row r="1270" ht="15.75" customHeight="1">
      <c r="B1270" s="391" t="s">
        <v>5353</v>
      </c>
      <c r="C1270" s="391" t="s">
        <v>8606</v>
      </c>
      <c r="D1270" s="391" t="s">
        <v>2166</v>
      </c>
    </row>
    <row r="1271" ht="15.75" customHeight="1">
      <c r="B1271" s="391" t="s">
        <v>5369</v>
      </c>
      <c r="C1271" s="391" t="s">
        <v>8607</v>
      </c>
      <c r="D1271" s="391" t="s">
        <v>2166</v>
      </c>
    </row>
    <row r="1272" ht="15.75" customHeight="1">
      <c r="B1272" s="391" t="s">
        <v>4839</v>
      </c>
      <c r="C1272" s="391" t="s">
        <v>8608</v>
      </c>
      <c r="D1272" s="391" t="s">
        <v>2166</v>
      </c>
    </row>
    <row r="1273" ht="15.75" customHeight="1">
      <c r="B1273" s="391" t="s">
        <v>5403</v>
      </c>
      <c r="C1273" s="391" t="s">
        <v>8609</v>
      </c>
      <c r="D1273" s="391" t="s">
        <v>2195</v>
      </c>
    </row>
    <row r="1274" ht="15.75" customHeight="1">
      <c r="B1274" s="391" t="s">
        <v>5407</v>
      </c>
      <c r="C1274" s="391" t="s">
        <v>8610</v>
      </c>
      <c r="D1274" s="391" t="s">
        <v>2232</v>
      </c>
    </row>
    <row r="1275" ht="15.75" customHeight="1">
      <c r="B1275" s="391" t="s">
        <v>5411</v>
      </c>
      <c r="C1275" s="391" t="s">
        <v>8610</v>
      </c>
      <c r="D1275" s="391" t="s">
        <v>2166</v>
      </c>
    </row>
    <row r="1276" ht="15.75" customHeight="1">
      <c r="B1276" s="391" t="s">
        <v>5464</v>
      </c>
      <c r="C1276" s="391" t="s">
        <v>8611</v>
      </c>
      <c r="D1276" s="391" t="s">
        <v>2166</v>
      </c>
    </row>
    <row r="1277" ht="15.75" customHeight="1">
      <c r="B1277" s="391" t="s">
        <v>8612</v>
      </c>
      <c r="C1277" s="391" t="s">
        <v>8613</v>
      </c>
      <c r="D1277" s="391" t="s">
        <v>2166</v>
      </c>
    </row>
    <row r="1278" ht="15.75" customHeight="1">
      <c r="B1278" s="391" t="s">
        <v>5428</v>
      </c>
      <c r="C1278" s="391" t="s">
        <v>8614</v>
      </c>
      <c r="D1278" s="391" t="s">
        <v>2166</v>
      </c>
    </row>
    <row r="1279" ht="15.75" customHeight="1">
      <c r="B1279" s="391" t="s">
        <v>5424</v>
      </c>
      <c r="C1279" s="391" t="s">
        <v>8614</v>
      </c>
      <c r="D1279" s="391" t="s">
        <v>2166</v>
      </c>
    </row>
    <row r="1280" ht="15.75" customHeight="1">
      <c r="B1280" s="391" t="s">
        <v>5702</v>
      </c>
      <c r="C1280" s="391" t="s">
        <v>8614</v>
      </c>
      <c r="D1280" s="391" t="s">
        <v>2166</v>
      </c>
    </row>
    <row r="1281" ht="15.75" customHeight="1">
      <c r="B1281" s="391" t="s">
        <v>8615</v>
      </c>
      <c r="C1281" s="391" t="s">
        <v>8614</v>
      </c>
      <c r="D1281" s="391" t="s">
        <v>2166</v>
      </c>
    </row>
    <row r="1282" ht="15.75" customHeight="1">
      <c r="B1282" s="391" t="s">
        <v>8616</v>
      </c>
      <c r="C1282" s="391" t="s">
        <v>8614</v>
      </c>
      <c r="D1282" s="391" t="s">
        <v>2166</v>
      </c>
    </row>
    <row r="1283" ht="15.75" customHeight="1">
      <c r="B1283" s="391" t="s">
        <v>8617</v>
      </c>
      <c r="C1283" s="391" t="s">
        <v>8614</v>
      </c>
      <c r="D1283" s="391" t="s">
        <v>2232</v>
      </c>
    </row>
    <row r="1284" ht="15.75" customHeight="1">
      <c r="B1284" s="391" t="s">
        <v>5397</v>
      </c>
      <c r="C1284" s="391" t="s">
        <v>8614</v>
      </c>
      <c r="D1284" s="391" t="s">
        <v>2166</v>
      </c>
    </row>
    <row r="1285" ht="15.75" customHeight="1">
      <c r="B1285" s="391" t="s">
        <v>5393</v>
      </c>
      <c r="C1285" s="391" t="s">
        <v>8614</v>
      </c>
      <c r="D1285" s="391" t="s">
        <v>2166</v>
      </c>
    </row>
    <row r="1286" ht="15.75" customHeight="1">
      <c r="B1286" s="391" t="s">
        <v>5140</v>
      </c>
      <c r="C1286" s="391" t="s">
        <v>8618</v>
      </c>
      <c r="D1286" s="391" t="s">
        <v>2166</v>
      </c>
    </row>
    <row r="1287" ht="15.75" customHeight="1">
      <c r="B1287" s="391" t="s">
        <v>5130</v>
      </c>
      <c r="C1287" s="391" t="s">
        <v>8619</v>
      </c>
      <c r="D1287" s="391" t="s">
        <v>2166</v>
      </c>
    </row>
    <row r="1288" ht="15.75" customHeight="1">
      <c r="B1288" s="391" t="s">
        <v>5136</v>
      </c>
      <c r="C1288" s="391" t="s">
        <v>8620</v>
      </c>
      <c r="D1288" s="391" t="s">
        <v>2166</v>
      </c>
    </row>
    <row r="1289" ht="15.75" customHeight="1">
      <c r="B1289" s="391" t="s">
        <v>8621</v>
      </c>
      <c r="C1289" s="391" t="s">
        <v>8620</v>
      </c>
      <c r="D1289" s="391" t="s">
        <v>2195</v>
      </c>
    </row>
    <row r="1290" ht="15.75" customHeight="1">
      <c r="B1290" s="391" t="s">
        <v>5134</v>
      </c>
      <c r="C1290" s="391" t="s">
        <v>8622</v>
      </c>
      <c r="D1290" s="391" t="s">
        <v>2166</v>
      </c>
    </row>
    <row r="1291" ht="15.75" customHeight="1">
      <c r="B1291" s="391" t="s">
        <v>5144</v>
      </c>
      <c r="C1291" s="391" t="s">
        <v>8623</v>
      </c>
      <c r="D1291" s="391" t="s">
        <v>2166</v>
      </c>
    </row>
    <row r="1292" ht="15.75" customHeight="1">
      <c r="B1292" s="391" t="s">
        <v>8624</v>
      </c>
      <c r="C1292" s="391" t="s">
        <v>8625</v>
      </c>
      <c r="D1292" s="391" t="s">
        <v>2195</v>
      </c>
    </row>
    <row r="1293" ht="15.75" customHeight="1">
      <c r="B1293" s="391" t="s">
        <v>5146</v>
      </c>
      <c r="C1293" s="391" t="s">
        <v>8626</v>
      </c>
      <c r="D1293" s="391" t="s">
        <v>2166</v>
      </c>
    </row>
    <row r="1294" ht="15.75" customHeight="1">
      <c r="B1294" s="391" t="s">
        <v>5431</v>
      </c>
      <c r="C1294" s="391" t="s">
        <v>8627</v>
      </c>
      <c r="D1294" s="391" t="s">
        <v>2166</v>
      </c>
    </row>
    <row r="1295" ht="15.75" customHeight="1">
      <c r="B1295" s="391" t="s">
        <v>8628</v>
      </c>
      <c r="C1295" s="391" t="s">
        <v>8629</v>
      </c>
      <c r="D1295" s="391" t="s">
        <v>2166</v>
      </c>
    </row>
    <row r="1296" ht="15.75" customHeight="1">
      <c r="B1296" s="391" t="s">
        <v>5213</v>
      </c>
      <c r="C1296" s="391" t="s">
        <v>8630</v>
      </c>
      <c r="D1296" s="391" t="s">
        <v>2195</v>
      </c>
    </row>
    <row r="1297" ht="15.75" customHeight="1">
      <c r="B1297" s="391" t="s">
        <v>5196</v>
      </c>
      <c r="C1297" s="391" t="s">
        <v>8630</v>
      </c>
      <c r="D1297" s="391" t="s">
        <v>2166</v>
      </c>
    </row>
    <row r="1298" ht="15.75" customHeight="1">
      <c r="B1298" s="391" t="s">
        <v>5215</v>
      </c>
      <c r="C1298" s="391" t="s">
        <v>8630</v>
      </c>
      <c r="D1298" s="391" t="s">
        <v>2166</v>
      </c>
    </row>
    <row r="1299" ht="15.75" customHeight="1">
      <c r="B1299" s="391" t="s">
        <v>5200</v>
      </c>
      <c r="C1299" s="391" t="s">
        <v>8630</v>
      </c>
      <c r="D1299" s="391" t="s">
        <v>2166</v>
      </c>
    </row>
    <row r="1300" ht="15.75" customHeight="1">
      <c r="B1300" s="391" t="s">
        <v>5217</v>
      </c>
      <c r="C1300" s="391" t="s">
        <v>8631</v>
      </c>
      <c r="D1300" s="391" t="s">
        <v>2166</v>
      </c>
    </row>
    <row r="1301" ht="15.75" customHeight="1">
      <c r="B1301" s="391" t="s">
        <v>5221</v>
      </c>
      <c r="C1301" s="391" t="s">
        <v>8631</v>
      </c>
      <c r="D1301" s="391" t="s">
        <v>2166</v>
      </c>
    </row>
    <row r="1302" ht="15.75" customHeight="1">
      <c r="B1302" s="391" t="s">
        <v>5224</v>
      </c>
      <c r="C1302" s="391" t="s">
        <v>8631</v>
      </c>
      <c r="D1302" s="391" t="s">
        <v>2166</v>
      </c>
    </row>
    <row r="1303" ht="15.75" customHeight="1">
      <c r="B1303" s="391" t="s">
        <v>5363</v>
      </c>
      <c r="C1303" s="391" t="s">
        <v>8632</v>
      </c>
      <c r="D1303" s="391" t="s">
        <v>2166</v>
      </c>
    </row>
    <row r="1304" ht="15.75" customHeight="1">
      <c r="B1304" s="391" t="s">
        <v>5664</v>
      </c>
      <c r="C1304" s="391" t="s">
        <v>8633</v>
      </c>
      <c r="D1304" s="391" t="s">
        <v>2166</v>
      </c>
    </row>
    <row r="1305" ht="15.75" customHeight="1">
      <c r="B1305" s="391" t="s">
        <v>8634</v>
      </c>
      <c r="C1305" s="391" t="s">
        <v>8635</v>
      </c>
      <c r="D1305" s="391" t="s">
        <v>2166</v>
      </c>
    </row>
    <row r="1306" ht="15.75" customHeight="1">
      <c r="B1306" s="391" t="s">
        <v>5159</v>
      </c>
      <c r="C1306" s="391" t="s">
        <v>8636</v>
      </c>
      <c r="D1306" s="391" t="s">
        <v>2166</v>
      </c>
    </row>
    <row r="1307" ht="15.75" customHeight="1">
      <c r="B1307" s="391" t="s">
        <v>4835</v>
      </c>
      <c r="C1307" s="391" t="s">
        <v>8637</v>
      </c>
      <c r="D1307" s="391" t="s">
        <v>2166</v>
      </c>
    </row>
    <row r="1308" ht="15.75" customHeight="1">
      <c r="B1308" s="391" t="s">
        <v>5041</v>
      </c>
      <c r="C1308" s="391" t="s">
        <v>8638</v>
      </c>
      <c r="D1308" s="391" t="s">
        <v>2195</v>
      </c>
    </row>
    <row r="1309" ht="15.75" customHeight="1">
      <c r="B1309" s="391" t="s">
        <v>5059</v>
      </c>
      <c r="C1309" s="391" t="s">
        <v>8639</v>
      </c>
      <c r="D1309" s="391" t="s">
        <v>2232</v>
      </c>
    </row>
    <row r="1310" ht="15.75" customHeight="1">
      <c r="B1310" s="391" t="s">
        <v>5063</v>
      </c>
      <c r="C1310" s="391" t="s">
        <v>8639</v>
      </c>
      <c r="D1310" s="391" t="s">
        <v>2195</v>
      </c>
    </row>
    <row r="1311" ht="15.75" customHeight="1">
      <c r="B1311" s="391" t="s">
        <v>5083</v>
      </c>
      <c r="C1311" s="391" t="s">
        <v>8640</v>
      </c>
      <c r="D1311" s="391" t="s">
        <v>2166</v>
      </c>
    </row>
    <row r="1312" ht="15.75" customHeight="1">
      <c r="B1312" s="391" t="s">
        <v>5093</v>
      </c>
      <c r="C1312" s="391" t="s">
        <v>8641</v>
      </c>
      <c r="D1312" s="391" t="s">
        <v>2166</v>
      </c>
    </row>
    <row r="1313" ht="15.75" customHeight="1">
      <c r="B1313" s="391" t="s">
        <v>5117</v>
      </c>
      <c r="C1313" s="391" t="s">
        <v>8642</v>
      </c>
      <c r="D1313" s="391" t="s">
        <v>2166</v>
      </c>
    </row>
    <row r="1314" ht="15.75" customHeight="1">
      <c r="B1314" s="391" t="s">
        <v>5125</v>
      </c>
      <c r="C1314" s="391" t="s">
        <v>8642</v>
      </c>
      <c r="D1314" s="391" t="s">
        <v>2166</v>
      </c>
    </row>
    <row r="1315" ht="15.75" customHeight="1">
      <c r="B1315" s="391" t="s">
        <v>5328</v>
      </c>
      <c r="C1315" s="391" t="s">
        <v>8643</v>
      </c>
      <c r="D1315" s="391" t="s">
        <v>2166</v>
      </c>
    </row>
    <row r="1316" ht="15.75" customHeight="1">
      <c r="B1316" s="391" t="s">
        <v>4787</v>
      </c>
      <c r="C1316" s="391" t="s">
        <v>8644</v>
      </c>
      <c r="D1316" s="391" t="s">
        <v>2195</v>
      </c>
    </row>
    <row r="1317" ht="15.75" customHeight="1">
      <c r="B1317" s="391" t="s">
        <v>4767</v>
      </c>
      <c r="C1317" s="391" t="s">
        <v>8645</v>
      </c>
      <c r="D1317" s="391" t="s">
        <v>2166</v>
      </c>
    </row>
    <row r="1318" ht="15.75" customHeight="1">
      <c r="B1318" s="391" t="s">
        <v>5009</v>
      </c>
      <c r="C1318" s="391" t="s">
        <v>8646</v>
      </c>
      <c r="D1318" s="391" t="s">
        <v>2166</v>
      </c>
    </row>
    <row r="1319" ht="15.75" customHeight="1">
      <c r="B1319" s="391" t="s">
        <v>4967</v>
      </c>
      <c r="C1319" s="391" t="s">
        <v>8647</v>
      </c>
      <c r="D1319" s="391" t="s">
        <v>2166</v>
      </c>
    </row>
    <row r="1320" ht="15.75" customHeight="1">
      <c r="B1320" s="391" t="s">
        <v>4981</v>
      </c>
      <c r="C1320" s="391" t="s">
        <v>8647</v>
      </c>
      <c r="D1320" s="391" t="s">
        <v>2166</v>
      </c>
    </row>
    <row r="1321" ht="15.75" customHeight="1">
      <c r="B1321" s="391" t="s">
        <v>4830</v>
      </c>
      <c r="C1321" s="391" t="s">
        <v>8648</v>
      </c>
      <c r="D1321" s="391" t="s">
        <v>2166</v>
      </c>
    </row>
    <row r="1322" ht="15.75" customHeight="1">
      <c r="B1322" s="391" t="s">
        <v>5005</v>
      </c>
      <c r="C1322" s="391" t="s">
        <v>8649</v>
      </c>
      <c r="D1322" s="391" t="s">
        <v>2166</v>
      </c>
    </row>
    <row r="1323" ht="15.75" customHeight="1">
      <c r="B1323" s="391" t="s">
        <v>4998</v>
      </c>
      <c r="C1323" s="391" t="s">
        <v>8649</v>
      </c>
      <c r="D1323" s="391" t="s">
        <v>2166</v>
      </c>
    </row>
    <row r="1324" ht="15.75" customHeight="1">
      <c r="B1324" s="391" t="s">
        <v>5002</v>
      </c>
      <c r="C1324" s="391" t="s">
        <v>8649</v>
      </c>
      <c r="D1324" s="391" t="s">
        <v>2166</v>
      </c>
    </row>
    <row r="1325" ht="15.75" customHeight="1">
      <c r="B1325" s="391" t="s">
        <v>4783</v>
      </c>
      <c r="C1325" s="391" t="s">
        <v>8650</v>
      </c>
      <c r="D1325" s="391" t="s">
        <v>2166</v>
      </c>
    </row>
    <row r="1326" ht="15.75" customHeight="1">
      <c r="B1326" s="391" t="s">
        <v>4798</v>
      </c>
      <c r="C1326" s="391" t="s">
        <v>8650</v>
      </c>
      <c r="D1326" s="391" t="s">
        <v>2166</v>
      </c>
    </row>
    <row r="1327" ht="15.75" customHeight="1">
      <c r="B1327" s="391" t="s">
        <v>4775</v>
      </c>
      <c r="C1327" s="391" t="s">
        <v>8650</v>
      </c>
      <c r="D1327" s="391" t="s">
        <v>2166</v>
      </c>
    </row>
    <row r="1328" ht="15.75" customHeight="1">
      <c r="B1328" s="391" t="s">
        <v>4814</v>
      </c>
      <c r="C1328" s="391" t="s">
        <v>8650</v>
      </c>
      <c r="D1328" s="391" t="s">
        <v>2166</v>
      </c>
    </row>
    <row r="1329" ht="15.75" customHeight="1">
      <c r="B1329" s="391" t="s">
        <v>4806</v>
      </c>
      <c r="C1329" s="391" t="s">
        <v>8650</v>
      </c>
      <c r="D1329" s="391" t="s">
        <v>2166</v>
      </c>
    </row>
    <row r="1330" ht="15.75" customHeight="1">
      <c r="B1330" s="391" t="s">
        <v>4910</v>
      </c>
      <c r="C1330" s="391" t="s">
        <v>8651</v>
      </c>
      <c r="D1330" s="391" t="s">
        <v>2166</v>
      </c>
    </row>
    <row r="1331" ht="15.75" customHeight="1">
      <c r="B1331" s="391" t="s">
        <v>4902</v>
      </c>
      <c r="C1331" s="391" t="s">
        <v>8651</v>
      </c>
      <c r="D1331" s="391" t="s">
        <v>2166</v>
      </c>
    </row>
    <row r="1332" ht="15.75" customHeight="1">
      <c r="B1332" s="391" t="s">
        <v>4822</v>
      </c>
      <c r="C1332" s="391" t="s">
        <v>8652</v>
      </c>
      <c r="D1332" s="391" t="s">
        <v>2166</v>
      </c>
    </row>
    <row r="1333" ht="15.75" customHeight="1">
      <c r="B1333" s="391" t="s">
        <v>4989</v>
      </c>
      <c r="C1333" s="391" t="s">
        <v>8653</v>
      </c>
      <c r="D1333" s="391" t="s">
        <v>2195</v>
      </c>
    </row>
    <row r="1334" ht="15.75" customHeight="1">
      <c r="B1334" s="391" t="s">
        <v>4975</v>
      </c>
      <c r="C1334" s="391" t="s">
        <v>8654</v>
      </c>
      <c r="D1334" s="391" t="s">
        <v>2166</v>
      </c>
    </row>
    <row r="1335" ht="15.75" customHeight="1">
      <c r="B1335" s="391" t="s">
        <v>4971</v>
      </c>
      <c r="C1335" s="391" t="s">
        <v>8655</v>
      </c>
      <c r="D1335" s="391" t="s">
        <v>2166</v>
      </c>
    </row>
    <row r="1336" ht="15.75" customHeight="1">
      <c r="B1336" s="391" t="s">
        <v>4985</v>
      </c>
      <c r="C1336" s="391" t="s">
        <v>8655</v>
      </c>
      <c r="D1336" s="391" t="s">
        <v>2166</v>
      </c>
    </row>
    <row r="1337" ht="15.75" customHeight="1">
      <c r="B1337" s="391" t="s">
        <v>4791</v>
      </c>
      <c r="C1337" s="391" t="s">
        <v>8656</v>
      </c>
      <c r="D1337" s="391" t="s">
        <v>2166</v>
      </c>
    </row>
    <row r="1338" ht="15.75" customHeight="1">
      <c r="B1338" s="391" t="s">
        <v>4802</v>
      </c>
      <c r="C1338" s="391" t="s">
        <v>8656</v>
      </c>
      <c r="D1338" s="391" t="s">
        <v>2166</v>
      </c>
    </row>
    <row r="1339" ht="15.75" customHeight="1">
      <c r="B1339" s="391" t="s">
        <v>4779</v>
      </c>
      <c r="C1339" s="391" t="s">
        <v>8656</v>
      </c>
      <c r="D1339" s="391" t="s">
        <v>2166</v>
      </c>
    </row>
    <row r="1340" ht="15.75" customHeight="1">
      <c r="B1340" s="391" t="s">
        <v>4818</v>
      </c>
      <c r="C1340" s="391" t="s">
        <v>8656</v>
      </c>
      <c r="D1340" s="391" t="s">
        <v>2166</v>
      </c>
    </row>
    <row r="1341" ht="15.75" customHeight="1">
      <c r="B1341" s="391" t="s">
        <v>4810</v>
      </c>
      <c r="C1341" s="391" t="s">
        <v>8656</v>
      </c>
      <c r="D1341" s="391" t="s">
        <v>2166</v>
      </c>
    </row>
    <row r="1342" ht="15.75" customHeight="1">
      <c r="B1342" s="391" t="s">
        <v>4914</v>
      </c>
      <c r="C1342" s="391" t="s">
        <v>8657</v>
      </c>
      <c r="D1342" s="391" t="s">
        <v>2166</v>
      </c>
    </row>
    <row r="1343" ht="15.75" customHeight="1">
      <c r="B1343" s="391" t="s">
        <v>4922</v>
      </c>
      <c r="C1343" s="391" t="s">
        <v>8657</v>
      </c>
      <c r="D1343" s="391" t="s">
        <v>2166</v>
      </c>
    </row>
    <row r="1344" ht="15.75" customHeight="1">
      <c r="B1344" s="391" t="s">
        <v>4906</v>
      </c>
      <c r="C1344" s="391" t="s">
        <v>8657</v>
      </c>
      <c r="D1344" s="391" t="s">
        <v>2166</v>
      </c>
    </row>
    <row r="1345" ht="15.75" customHeight="1">
      <c r="B1345" s="391" t="s">
        <v>4826</v>
      </c>
      <c r="C1345" s="391" t="s">
        <v>8658</v>
      </c>
      <c r="D1345" s="391" t="s">
        <v>2166</v>
      </c>
    </row>
    <row r="1346" ht="15.75" customHeight="1">
      <c r="B1346" s="391" t="s">
        <v>4993</v>
      </c>
      <c r="C1346" s="391" t="s">
        <v>8659</v>
      </c>
      <c r="D1346" s="391" t="s">
        <v>2195</v>
      </c>
    </row>
    <row r="1347" ht="15.75" customHeight="1">
      <c r="B1347" s="391" t="s">
        <v>4979</v>
      </c>
      <c r="C1347" s="391" t="s">
        <v>8660</v>
      </c>
      <c r="D1347" s="391" t="s">
        <v>2166</v>
      </c>
    </row>
    <row r="1348" ht="15.75" customHeight="1">
      <c r="B1348" s="391" t="s">
        <v>4854</v>
      </c>
      <c r="C1348" s="391" t="s">
        <v>8661</v>
      </c>
      <c r="D1348" s="391" t="s">
        <v>2166</v>
      </c>
    </row>
    <row r="1349" ht="15.75" customHeight="1">
      <c r="B1349" s="391" t="s">
        <v>4850</v>
      </c>
      <c r="C1349" s="391" t="s">
        <v>8661</v>
      </c>
      <c r="D1349" s="391" t="s">
        <v>2166</v>
      </c>
    </row>
    <row r="1350" ht="15.75" customHeight="1">
      <c r="B1350" s="391" t="s">
        <v>4935</v>
      </c>
      <c r="C1350" s="391" t="s">
        <v>8662</v>
      </c>
      <c r="D1350" s="391" t="s">
        <v>2166</v>
      </c>
    </row>
    <row r="1351" ht="15.75" customHeight="1">
      <c r="B1351" s="391" t="s">
        <v>4927</v>
      </c>
      <c r="C1351" s="391" t="s">
        <v>8662</v>
      </c>
      <c r="D1351" s="391" t="s">
        <v>2166</v>
      </c>
    </row>
    <row r="1352" ht="15.75" customHeight="1">
      <c r="B1352" s="391" t="s">
        <v>4858</v>
      </c>
      <c r="C1352" s="391" t="s">
        <v>8663</v>
      </c>
      <c r="D1352" s="391" t="s">
        <v>2166</v>
      </c>
    </row>
    <row r="1353" ht="15.75" customHeight="1">
      <c r="B1353" s="391" t="s">
        <v>4937</v>
      </c>
      <c r="C1353" s="391" t="s">
        <v>8664</v>
      </c>
      <c r="D1353" s="391" t="s">
        <v>2166</v>
      </c>
    </row>
    <row r="1354" ht="15.75" customHeight="1">
      <c r="B1354" s="391" t="s">
        <v>4931</v>
      </c>
      <c r="C1354" s="391" t="s">
        <v>8664</v>
      </c>
      <c r="D1354" s="391" t="s">
        <v>2166</v>
      </c>
    </row>
    <row r="1355" ht="15.75" customHeight="1">
      <c r="B1355" s="391" t="s">
        <v>4871</v>
      </c>
      <c r="C1355" s="391" t="s">
        <v>8665</v>
      </c>
      <c r="D1355" s="391" t="s">
        <v>2166</v>
      </c>
    </row>
    <row r="1356" ht="15.75" customHeight="1">
      <c r="B1356" s="391" t="s">
        <v>8666</v>
      </c>
      <c r="C1356" s="391" t="s">
        <v>8667</v>
      </c>
      <c r="D1356" s="391" t="s">
        <v>2195</v>
      </c>
    </row>
    <row r="1357" ht="15.75" customHeight="1">
      <c r="B1357" s="391" t="s">
        <v>4942</v>
      </c>
      <c r="C1357" s="391" t="s">
        <v>8667</v>
      </c>
      <c r="D1357" s="391" t="s">
        <v>2166</v>
      </c>
    </row>
    <row r="1358" ht="15.75" customHeight="1">
      <c r="B1358" s="391" t="s">
        <v>4875</v>
      </c>
      <c r="C1358" s="391" t="s">
        <v>8668</v>
      </c>
      <c r="D1358" s="391" t="s">
        <v>2166</v>
      </c>
    </row>
    <row r="1359" ht="15.75" customHeight="1">
      <c r="B1359" s="391" t="s">
        <v>4950</v>
      </c>
      <c r="C1359" s="391" t="s">
        <v>8669</v>
      </c>
      <c r="D1359" s="391" t="s">
        <v>2166</v>
      </c>
    </row>
    <row r="1360" ht="15.75" customHeight="1">
      <c r="B1360" s="391" t="s">
        <v>4946</v>
      </c>
      <c r="C1360" s="391" t="s">
        <v>8669</v>
      </c>
      <c r="D1360" s="391" t="s">
        <v>2166</v>
      </c>
    </row>
    <row r="1361" ht="15.75" customHeight="1">
      <c r="B1361" s="391" t="s">
        <v>4880</v>
      </c>
      <c r="C1361" s="391" t="s">
        <v>8670</v>
      </c>
      <c r="D1361" s="391" t="s">
        <v>2166</v>
      </c>
    </row>
    <row r="1362" ht="15.75" customHeight="1">
      <c r="B1362" s="391" t="s">
        <v>4884</v>
      </c>
      <c r="C1362" s="391" t="s">
        <v>8671</v>
      </c>
      <c r="D1362" s="391" t="s">
        <v>2166</v>
      </c>
    </row>
    <row r="1363" ht="15.75" customHeight="1">
      <c r="B1363" s="391" t="s">
        <v>4893</v>
      </c>
      <c r="C1363" s="391" t="s">
        <v>8672</v>
      </c>
      <c r="D1363" s="391" t="s">
        <v>2166</v>
      </c>
    </row>
    <row r="1364" ht="15.75" customHeight="1">
      <c r="B1364" s="391" t="s">
        <v>4963</v>
      </c>
      <c r="C1364" s="391" t="s">
        <v>8673</v>
      </c>
      <c r="D1364" s="391" t="s">
        <v>2166</v>
      </c>
    </row>
    <row r="1365" ht="15.75" customHeight="1">
      <c r="B1365" s="391" t="s">
        <v>4955</v>
      </c>
      <c r="C1365" s="391" t="s">
        <v>8674</v>
      </c>
      <c r="D1365" s="391" t="s">
        <v>2166</v>
      </c>
    </row>
    <row r="1366" ht="15.75" customHeight="1">
      <c r="B1366" s="391" t="s">
        <v>4897</v>
      </c>
      <c r="C1366" s="391" t="s">
        <v>8675</v>
      </c>
      <c r="D1366" s="391" t="s">
        <v>2166</v>
      </c>
    </row>
    <row r="1367" ht="15.75" customHeight="1">
      <c r="B1367" s="391" t="s">
        <v>4889</v>
      </c>
      <c r="C1367" s="391" t="s">
        <v>8675</v>
      </c>
      <c r="D1367" s="391" t="s">
        <v>2166</v>
      </c>
    </row>
    <row r="1368" ht="15.75" customHeight="1">
      <c r="B1368" s="391" t="s">
        <v>4959</v>
      </c>
      <c r="C1368" s="391" t="s">
        <v>8676</v>
      </c>
      <c r="D1368" s="391" t="s">
        <v>2166</v>
      </c>
    </row>
    <row r="1369" ht="15.75" customHeight="1">
      <c r="B1369" s="391" t="s">
        <v>8677</v>
      </c>
      <c r="C1369" s="391" t="s">
        <v>8678</v>
      </c>
      <c r="D1369" s="391" t="s">
        <v>2166</v>
      </c>
    </row>
    <row r="1370" ht="15.75" customHeight="1">
      <c r="B1370" s="391" t="s">
        <v>8679</v>
      </c>
      <c r="C1370" s="391" t="s">
        <v>8680</v>
      </c>
      <c r="D1370" s="391" t="s">
        <v>2166</v>
      </c>
    </row>
    <row r="1371" ht="15.75" customHeight="1">
      <c r="B1371" s="391" t="s">
        <v>5591</v>
      </c>
      <c r="C1371" s="391" t="s">
        <v>8681</v>
      </c>
      <c r="D1371" s="391" t="s">
        <v>2166</v>
      </c>
    </row>
    <row r="1372" ht="15.75" customHeight="1">
      <c r="B1372" s="391" t="s">
        <v>5574</v>
      </c>
      <c r="C1372" s="391" t="s">
        <v>8682</v>
      </c>
      <c r="D1372" s="391" t="s">
        <v>2166</v>
      </c>
    </row>
    <row r="1373" ht="15.75" customHeight="1">
      <c r="B1373" s="391" t="s">
        <v>5584</v>
      </c>
      <c r="C1373" s="391" t="s">
        <v>8683</v>
      </c>
      <c r="D1373" s="391" t="s">
        <v>2166</v>
      </c>
    </row>
    <row r="1374" ht="15.75" customHeight="1">
      <c r="B1374" s="391" t="s">
        <v>5581</v>
      </c>
      <c r="C1374" s="391" t="s">
        <v>8684</v>
      </c>
      <c r="D1374" s="391" t="s">
        <v>2195</v>
      </c>
    </row>
    <row r="1375" ht="15.75" customHeight="1">
      <c r="B1375" s="391" t="s">
        <v>5629</v>
      </c>
      <c r="C1375" s="391" t="s">
        <v>8685</v>
      </c>
      <c r="D1375" s="391" t="s">
        <v>2166</v>
      </c>
    </row>
    <row r="1376" ht="15.75" customHeight="1">
      <c r="B1376" s="391" t="s">
        <v>5593</v>
      </c>
      <c r="C1376" s="391" t="s">
        <v>8686</v>
      </c>
      <c r="D1376" s="391" t="s">
        <v>2195</v>
      </c>
    </row>
    <row r="1377" ht="15.75" customHeight="1">
      <c r="B1377" s="391" t="s">
        <v>5586</v>
      </c>
      <c r="C1377" s="391" t="s">
        <v>8687</v>
      </c>
      <c r="D1377" s="391" t="s">
        <v>2166</v>
      </c>
    </row>
    <row r="1378" ht="15.75" customHeight="1">
      <c r="B1378" s="391" t="s">
        <v>8688</v>
      </c>
      <c r="C1378" s="391" t="s">
        <v>8687</v>
      </c>
      <c r="D1378" s="391" t="s">
        <v>2166</v>
      </c>
    </row>
    <row r="1379" ht="15.75" customHeight="1">
      <c r="B1379" s="391" t="s">
        <v>5587</v>
      </c>
      <c r="C1379" s="391" t="s">
        <v>8689</v>
      </c>
      <c r="D1379" s="391" t="s">
        <v>2166</v>
      </c>
    </row>
    <row r="1380" ht="15.75" customHeight="1">
      <c r="B1380" s="391" t="s">
        <v>5677</v>
      </c>
      <c r="C1380" s="391" t="s">
        <v>8690</v>
      </c>
      <c r="D1380" s="391" t="s">
        <v>2166</v>
      </c>
    </row>
    <row r="1381" ht="15.75" customHeight="1">
      <c r="B1381" s="391" t="s">
        <v>5570</v>
      </c>
      <c r="C1381" s="391" t="s">
        <v>8691</v>
      </c>
      <c r="D1381" s="391" t="s">
        <v>2232</v>
      </c>
    </row>
    <row r="1382" ht="15.75" customHeight="1">
      <c r="B1382" s="391" t="s">
        <v>5577</v>
      </c>
      <c r="C1382" s="391" t="s">
        <v>8692</v>
      </c>
      <c r="D1382" s="391" t="s">
        <v>2166</v>
      </c>
    </row>
    <row r="1383" ht="15.75" customHeight="1">
      <c r="B1383" s="391" t="s">
        <v>5549</v>
      </c>
      <c r="C1383" s="391" t="s">
        <v>8693</v>
      </c>
      <c r="D1383" s="391" t="s">
        <v>2166</v>
      </c>
    </row>
    <row r="1384" ht="15.75" customHeight="1">
      <c r="B1384" s="391" t="s">
        <v>5693</v>
      </c>
      <c r="C1384" s="391" t="s">
        <v>8694</v>
      </c>
      <c r="D1384" s="391" t="s">
        <v>2166</v>
      </c>
    </row>
    <row r="1385" ht="15.75" customHeight="1">
      <c r="B1385" s="391" t="s">
        <v>5542</v>
      </c>
      <c r="C1385" s="391" t="s">
        <v>8695</v>
      </c>
      <c r="D1385" s="391" t="s">
        <v>2166</v>
      </c>
    </row>
    <row r="1386" ht="15.75" customHeight="1">
      <c r="B1386" s="391" t="s">
        <v>5544</v>
      </c>
      <c r="C1386" s="391" t="s">
        <v>8696</v>
      </c>
      <c r="D1386" s="391" t="s">
        <v>2166</v>
      </c>
    </row>
    <row r="1387" ht="15.75" customHeight="1">
      <c r="B1387" s="391" t="s">
        <v>5538</v>
      </c>
      <c r="C1387" s="391" t="s">
        <v>8697</v>
      </c>
      <c r="D1387" s="391" t="s">
        <v>2166</v>
      </c>
    </row>
    <row r="1388" ht="15.75" customHeight="1">
      <c r="B1388" s="391" t="s">
        <v>5528</v>
      </c>
      <c r="C1388" s="391" t="s">
        <v>8698</v>
      </c>
      <c r="D1388" s="391" t="s">
        <v>2166</v>
      </c>
    </row>
    <row r="1389" ht="15.75" customHeight="1">
      <c r="B1389" s="391" t="s">
        <v>5595</v>
      </c>
      <c r="C1389" s="391" t="s">
        <v>8699</v>
      </c>
      <c r="D1389" s="391" t="s">
        <v>2195</v>
      </c>
    </row>
    <row r="1390" ht="15.75" customHeight="1">
      <c r="B1390" s="391" t="s">
        <v>4847</v>
      </c>
      <c r="C1390" s="391" t="s">
        <v>8700</v>
      </c>
      <c r="D1390" s="391" t="s">
        <v>2166</v>
      </c>
    </row>
    <row r="1391" ht="15.75" customHeight="1">
      <c r="B1391" s="391" t="s">
        <v>5104</v>
      </c>
      <c r="C1391" s="391" t="s">
        <v>8701</v>
      </c>
      <c r="D1391" s="391" t="s">
        <v>2232</v>
      </c>
    </row>
    <row r="1392" ht="15.75" customHeight="1">
      <c r="B1392" s="391" t="s">
        <v>5108</v>
      </c>
      <c r="C1392" s="391" t="s">
        <v>8701</v>
      </c>
      <c r="D1392" s="391" t="s">
        <v>2166</v>
      </c>
    </row>
    <row r="1393" ht="15.75" customHeight="1">
      <c r="B1393" s="391" t="s">
        <v>5547</v>
      </c>
      <c r="C1393" s="391" t="s">
        <v>8702</v>
      </c>
      <c r="D1393" s="391" t="s">
        <v>2166</v>
      </c>
    </row>
    <row r="1394" ht="15.75" customHeight="1">
      <c r="B1394" s="391" t="s">
        <v>5454</v>
      </c>
      <c r="C1394" s="391" t="s">
        <v>8703</v>
      </c>
      <c r="D1394" s="391" t="s">
        <v>2166</v>
      </c>
    </row>
    <row r="1395" ht="15.75" customHeight="1">
      <c r="B1395" s="391" t="s">
        <v>5460</v>
      </c>
      <c r="C1395" s="391" t="s">
        <v>8704</v>
      </c>
      <c r="D1395" s="391" t="s">
        <v>2166</v>
      </c>
    </row>
    <row r="1396" ht="15.75" customHeight="1">
      <c r="B1396" s="391" t="s">
        <v>5456</v>
      </c>
      <c r="C1396" s="391" t="s">
        <v>8705</v>
      </c>
      <c r="D1396" s="391" t="s">
        <v>2166</v>
      </c>
    </row>
    <row r="1397" ht="15.75" customHeight="1">
      <c r="B1397" s="391" t="s">
        <v>5450</v>
      </c>
      <c r="C1397" s="391" t="s">
        <v>8706</v>
      </c>
      <c r="D1397" s="391" t="s">
        <v>2166</v>
      </c>
    </row>
    <row r="1398" ht="15.75" customHeight="1">
      <c r="B1398" s="391" t="s">
        <v>8707</v>
      </c>
      <c r="C1398" s="391" t="s">
        <v>8706</v>
      </c>
      <c r="D1398" s="391" t="s">
        <v>2166</v>
      </c>
    </row>
    <row r="1399" ht="15.75" customHeight="1">
      <c r="B1399" s="391" t="s">
        <v>8708</v>
      </c>
      <c r="C1399" s="391" t="s">
        <v>8709</v>
      </c>
      <c r="D1399" s="391" t="s">
        <v>2166</v>
      </c>
    </row>
    <row r="1400" ht="15.75" customHeight="1">
      <c r="B1400" s="391" t="s">
        <v>8710</v>
      </c>
      <c r="C1400" s="391" t="s">
        <v>8711</v>
      </c>
      <c r="D1400" s="391" t="s">
        <v>2166</v>
      </c>
    </row>
    <row r="1401" ht="15.75" customHeight="1">
      <c r="B1401" s="391" t="s">
        <v>5604</v>
      </c>
      <c r="C1401" s="391" t="s">
        <v>8712</v>
      </c>
      <c r="D1401" s="391" t="s">
        <v>2166</v>
      </c>
    </row>
    <row r="1402" ht="15.75" customHeight="1">
      <c r="B1402" s="391" t="s">
        <v>5600</v>
      </c>
      <c r="C1402" s="391" t="s">
        <v>8713</v>
      </c>
      <c r="D1402" s="391" t="s">
        <v>2166</v>
      </c>
    </row>
    <row r="1403" ht="15.75" customHeight="1">
      <c r="B1403" s="391" t="s">
        <v>5608</v>
      </c>
      <c r="C1403" s="391" t="s">
        <v>8713</v>
      </c>
      <c r="D1403" s="391" t="s">
        <v>2166</v>
      </c>
    </row>
    <row r="1404" ht="15.75" customHeight="1">
      <c r="B1404" s="391" t="s">
        <v>5612</v>
      </c>
      <c r="C1404" s="391" t="s">
        <v>8713</v>
      </c>
      <c r="D1404" s="391" t="s">
        <v>2166</v>
      </c>
    </row>
    <row r="1405" ht="15.75" customHeight="1">
      <c r="B1405" s="391" t="s">
        <v>5616</v>
      </c>
      <c r="C1405" s="391" t="s">
        <v>8714</v>
      </c>
      <c r="D1405" s="391" t="s">
        <v>2166</v>
      </c>
    </row>
    <row r="1406" ht="15.75" customHeight="1">
      <c r="B1406" s="391" t="s">
        <v>5618</v>
      </c>
      <c r="C1406" s="391" t="s">
        <v>8715</v>
      </c>
      <c r="D1406" s="391" t="s">
        <v>2166</v>
      </c>
    </row>
    <row r="1407" ht="15.75" customHeight="1">
      <c r="B1407" s="391" t="s">
        <v>5641</v>
      </c>
      <c r="C1407" s="391" t="s">
        <v>8716</v>
      </c>
      <c r="D1407" s="391" t="s">
        <v>2166</v>
      </c>
    </row>
    <row r="1408" ht="15.75" customHeight="1">
      <c r="B1408" s="391" t="s">
        <v>5637</v>
      </c>
      <c r="C1408" s="391" t="s">
        <v>8717</v>
      </c>
      <c r="D1408" s="391" t="s">
        <v>2166</v>
      </c>
    </row>
    <row r="1409" ht="15.75" customHeight="1">
      <c r="B1409" s="391" t="s">
        <v>5655</v>
      </c>
      <c r="C1409" s="391" t="s">
        <v>8718</v>
      </c>
      <c r="D1409" s="391" t="s">
        <v>2166</v>
      </c>
    </row>
    <row r="1410" ht="15.75" customHeight="1">
      <c r="B1410" s="391" t="s">
        <v>5562</v>
      </c>
      <c r="C1410" s="391" t="s">
        <v>8719</v>
      </c>
      <c r="D1410" s="391" t="s">
        <v>2166</v>
      </c>
    </row>
    <row r="1411" ht="15.75" customHeight="1">
      <c r="B1411" s="391" t="s">
        <v>8720</v>
      </c>
      <c r="C1411" s="391" t="s">
        <v>8721</v>
      </c>
      <c r="D1411" s="391" t="s">
        <v>2195</v>
      </c>
    </row>
    <row r="1412" ht="15.75" customHeight="1">
      <c r="B1412" s="391" t="s">
        <v>5468</v>
      </c>
      <c r="C1412" s="391" t="s">
        <v>8722</v>
      </c>
      <c r="D1412" s="391" t="s">
        <v>2166</v>
      </c>
    </row>
    <row r="1413" ht="15.75" customHeight="1">
      <c r="B1413" s="391" t="s">
        <v>5470</v>
      </c>
      <c r="C1413" s="391" t="s">
        <v>8723</v>
      </c>
      <c r="D1413" s="391" t="s">
        <v>2166</v>
      </c>
    </row>
    <row r="1414" ht="15.75" customHeight="1">
      <c r="B1414" s="391" t="s">
        <v>5476</v>
      </c>
      <c r="C1414" s="391" t="s">
        <v>8724</v>
      </c>
      <c r="D1414" s="391" t="s">
        <v>2166</v>
      </c>
    </row>
    <row r="1415" ht="15.75" customHeight="1">
      <c r="B1415" s="391" t="s">
        <v>5590</v>
      </c>
      <c r="C1415" s="391" t="s">
        <v>8725</v>
      </c>
      <c r="D1415" s="391" t="s">
        <v>2166</v>
      </c>
    </row>
    <row r="1416" ht="15.75" customHeight="1">
      <c r="B1416" s="391" t="s">
        <v>5558</v>
      </c>
      <c r="C1416" s="391" t="s">
        <v>8726</v>
      </c>
      <c r="D1416" s="391" t="s">
        <v>2166</v>
      </c>
    </row>
    <row r="1417" ht="15.75" customHeight="1">
      <c r="B1417" s="391" t="s">
        <v>5552</v>
      </c>
      <c r="C1417" s="391" t="s">
        <v>8727</v>
      </c>
      <c r="D1417" s="391" t="s">
        <v>2166</v>
      </c>
    </row>
    <row r="1418" ht="15.75" customHeight="1">
      <c r="B1418" s="391" t="s">
        <v>5555</v>
      </c>
      <c r="C1418" s="391" t="s">
        <v>8728</v>
      </c>
      <c r="D1418" s="391" t="s">
        <v>2195</v>
      </c>
    </row>
    <row r="1419" ht="15.75" customHeight="1">
      <c r="B1419" s="391" t="s">
        <v>5627</v>
      </c>
      <c r="C1419" s="391" t="s">
        <v>8729</v>
      </c>
      <c r="D1419" s="391" t="s">
        <v>2166</v>
      </c>
    </row>
    <row r="1420" ht="15.75" customHeight="1">
      <c r="B1420" s="391" t="s">
        <v>5623</v>
      </c>
      <c r="C1420" s="391" t="s">
        <v>8730</v>
      </c>
      <c r="D1420" s="391" t="s">
        <v>2166</v>
      </c>
    </row>
    <row r="1421" ht="15.75" customHeight="1">
      <c r="B1421" s="391" t="s">
        <v>5633</v>
      </c>
      <c r="C1421" s="391" t="s">
        <v>8731</v>
      </c>
      <c r="D1421" s="391" t="s">
        <v>2166</v>
      </c>
    </row>
    <row r="1422" ht="15.75" customHeight="1">
      <c r="B1422" s="391" t="s">
        <v>5635</v>
      </c>
      <c r="C1422" s="391" t="s">
        <v>8732</v>
      </c>
      <c r="D1422" s="391" t="s">
        <v>2166</v>
      </c>
    </row>
    <row r="1423" ht="15.75" customHeight="1">
      <c r="B1423" s="391" t="s">
        <v>5532</v>
      </c>
      <c r="C1423" s="391" t="s">
        <v>8733</v>
      </c>
      <c r="D1423" s="391" t="s">
        <v>2166</v>
      </c>
    </row>
    <row r="1424" ht="15.75" customHeight="1">
      <c r="B1424" s="391" t="s">
        <v>5524</v>
      </c>
      <c r="C1424" s="391" t="s">
        <v>8734</v>
      </c>
      <c r="D1424" s="391" t="s">
        <v>2166</v>
      </c>
    </row>
    <row r="1425" ht="15.75" customHeight="1">
      <c r="B1425" s="391" t="s">
        <v>4843</v>
      </c>
      <c r="C1425" s="391" t="s">
        <v>8735</v>
      </c>
      <c r="D1425" s="391" t="s">
        <v>2166</v>
      </c>
    </row>
    <row r="1426" ht="15.75" customHeight="1">
      <c r="B1426" s="391" t="s">
        <v>5488</v>
      </c>
      <c r="C1426" s="391" t="s">
        <v>8736</v>
      </c>
      <c r="D1426" s="391" t="s">
        <v>2166</v>
      </c>
    </row>
    <row r="1427" ht="15.75" customHeight="1">
      <c r="B1427" s="391" t="s">
        <v>5492</v>
      </c>
      <c r="C1427" s="391" t="s">
        <v>8737</v>
      </c>
      <c r="D1427" s="391" t="s">
        <v>2166</v>
      </c>
    </row>
    <row r="1428" ht="15.75" customHeight="1">
      <c r="B1428" s="391" t="s">
        <v>5685</v>
      </c>
      <c r="C1428" s="391" t="s">
        <v>8738</v>
      </c>
      <c r="D1428" s="391" t="s">
        <v>2166</v>
      </c>
    </row>
    <row r="1429" ht="15.75" customHeight="1">
      <c r="B1429" s="391" t="s">
        <v>5689</v>
      </c>
      <c r="C1429" s="391" t="s">
        <v>8739</v>
      </c>
      <c r="D1429" s="391" t="s">
        <v>2166</v>
      </c>
    </row>
    <row r="1430" ht="15.75" customHeight="1">
      <c r="B1430" s="391" t="s">
        <v>5681</v>
      </c>
      <c r="C1430" s="391" t="s">
        <v>8740</v>
      </c>
      <c r="D1430" s="391" t="s">
        <v>2166</v>
      </c>
    </row>
    <row r="1431" ht="15.75" customHeight="1">
      <c r="B1431" s="391" t="s">
        <v>5536</v>
      </c>
      <c r="C1431" s="391" t="s">
        <v>8741</v>
      </c>
      <c r="D1431" s="391" t="s">
        <v>2166</v>
      </c>
    </row>
    <row r="1432" ht="15.75" customHeight="1">
      <c r="B1432" s="391" t="s">
        <v>5537</v>
      </c>
      <c r="C1432" s="391" t="s">
        <v>8742</v>
      </c>
      <c r="D1432" s="391" t="s">
        <v>2166</v>
      </c>
    </row>
    <row r="1433" ht="15.75" customHeight="1">
      <c r="B1433" s="391" t="s">
        <v>5502</v>
      </c>
      <c r="C1433" s="391" t="s">
        <v>8743</v>
      </c>
      <c r="D1433" s="391" t="s">
        <v>2166</v>
      </c>
    </row>
    <row r="1434" ht="15.75" customHeight="1">
      <c r="B1434" s="391" t="s">
        <v>5508</v>
      </c>
      <c r="C1434" s="391" t="s">
        <v>8744</v>
      </c>
      <c r="D1434" s="391" t="s">
        <v>2166</v>
      </c>
    </row>
    <row r="1435" ht="15.75" customHeight="1">
      <c r="B1435" s="391" t="s">
        <v>5512</v>
      </c>
      <c r="C1435" s="391" t="s">
        <v>8744</v>
      </c>
      <c r="D1435" s="391" t="s">
        <v>2166</v>
      </c>
    </row>
    <row r="1436" ht="15.75" customHeight="1">
      <c r="B1436" s="391" t="s">
        <v>5496</v>
      </c>
      <c r="C1436" s="391" t="s">
        <v>8744</v>
      </c>
      <c r="D1436" s="391" t="s">
        <v>2166</v>
      </c>
    </row>
    <row r="1437" ht="15.75" customHeight="1">
      <c r="B1437" s="391" t="s">
        <v>5505</v>
      </c>
      <c r="C1437" s="391" t="s">
        <v>8745</v>
      </c>
      <c r="D1437" s="391" t="s">
        <v>2166</v>
      </c>
    </row>
    <row r="1438" ht="15.75" customHeight="1">
      <c r="B1438" s="391" t="s">
        <v>5520</v>
      </c>
      <c r="C1438" s="391" t="s">
        <v>8746</v>
      </c>
      <c r="D1438" s="391" t="s">
        <v>2166</v>
      </c>
    </row>
    <row r="1439" ht="15.75" customHeight="1">
      <c r="B1439" s="391" t="s">
        <v>5516</v>
      </c>
      <c r="C1439" s="391" t="s">
        <v>8747</v>
      </c>
      <c r="D1439" s="391" t="s">
        <v>2166</v>
      </c>
    </row>
    <row r="1440" ht="15.75" customHeight="1">
      <c r="B1440" s="391" t="s">
        <v>5500</v>
      </c>
      <c r="C1440" s="391" t="s">
        <v>8747</v>
      </c>
      <c r="D1440" s="391" t="s">
        <v>2166</v>
      </c>
    </row>
    <row r="1441" ht="15.75" customHeight="1">
      <c r="B1441" s="391" t="s">
        <v>5659</v>
      </c>
      <c r="C1441" s="391" t="s">
        <v>8748</v>
      </c>
      <c r="D1441" s="391" t="s">
        <v>2166</v>
      </c>
    </row>
    <row r="1442" ht="15.75" customHeight="1">
      <c r="B1442" s="391" t="s">
        <v>5278</v>
      </c>
      <c r="C1442" s="391" t="s">
        <v>8748</v>
      </c>
      <c r="D1442" s="391" t="s">
        <v>2195</v>
      </c>
    </row>
    <row r="1443" ht="15.75" customHeight="1">
      <c r="B1443" s="391" t="s">
        <v>5282</v>
      </c>
      <c r="C1443" s="391" t="s">
        <v>8748</v>
      </c>
      <c r="D1443" s="391" t="s">
        <v>2232</v>
      </c>
    </row>
    <row r="1444" ht="15.75" customHeight="1">
      <c r="B1444" s="391" t="s">
        <v>5566</v>
      </c>
      <c r="C1444" s="391" t="s">
        <v>8748</v>
      </c>
      <c r="D1444" s="391" t="s">
        <v>2166</v>
      </c>
    </row>
    <row r="1445" ht="15.75" customHeight="1">
      <c r="B1445" s="391" t="s">
        <v>5668</v>
      </c>
      <c r="C1445" s="391" t="s">
        <v>8748</v>
      </c>
      <c r="D1445" s="391" t="s">
        <v>2166</v>
      </c>
    </row>
    <row r="1446" ht="15.75" customHeight="1">
      <c r="B1446" s="391" t="s">
        <v>5672</v>
      </c>
      <c r="C1446" s="391" t="s">
        <v>8748</v>
      </c>
      <c r="D1446" s="391" t="s">
        <v>2166</v>
      </c>
    </row>
    <row r="1447" ht="15.75" customHeight="1">
      <c r="B1447" s="391" t="s">
        <v>5651</v>
      </c>
      <c r="C1447" s="391" t="s">
        <v>8749</v>
      </c>
      <c r="D1447" s="391" t="s">
        <v>2166</v>
      </c>
    </row>
    <row r="1448" ht="15.75" customHeight="1">
      <c r="B1448" s="391" t="s">
        <v>5534</v>
      </c>
      <c r="C1448" s="391" t="s">
        <v>8750</v>
      </c>
      <c r="D1448" s="391" t="s">
        <v>2166</v>
      </c>
    </row>
    <row r="1449" ht="15.75" customHeight="1">
      <c r="B1449" s="391" t="s">
        <v>8751</v>
      </c>
      <c r="C1449" s="391" t="s">
        <v>8751</v>
      </c>
      <c r="D1449" s="391" t="s">
        <v>2232</v>
      </c>
    </row>
    <row r="1450" ht="15.75" customHeight="1">
      <c r="B1450" s="391" t="s">
        <v>8752</v>
      </c>
      <c r="C1450" s="391" t="s">
        <v>8753</v>
      </c>
      <c r="D1450" s="391" t="s">
        <v>2232</v>
      </c>
    </row>
    <row r="1451" ht="15.75" customHeight="1">
      <c r="B1451" s="391" t="s">
        <v>8754</v>
      </c>
      <c r="C1451" s="391" t="s">
        <v>8753</v>
      </c>
      <c r="D1451" s="391" t="s">
        <v>2232</v>
      </c>
    </row>
    <row r="1452" ht="15.75" customHeight="1">
      <c r="B1452" s="391" t="s">
        <v>8755</v>
      </c>
      <c r="C1452" s="391" t="s">
        <v>8753</v>
      </c>
      <c r="D1452" s="391" t="s">
        <v>2232</v>
      </c>
    </row>
    <row r="1453" ht="15.75" customHeight="1">
      <c r="B1453" s="391" t="s">
        <v>8756</v>
      </c>
      <c r="C1453" s="391" t="s">
        <v>8753</v>
      </c>
      <c r="D1453" s="391" t="s">
        <v>2232</v>
      </c>
    </row>
    <row r="1454" ht="15.75" customHeight="1">
      <c r="B1454" s="391" t="s">
        <v>8757</v>
      </c>
      <c r="C1454" s="391" t="s">
        <v>8758</v>
      </c>
      <c r="D1454" s="391" t="s">
        <v>2195</v>
      </c>
    </row>
    <row r="1455" ht="15.75" customHeight="1">
      <c r="B1455" s="391" t="s">
        <v>8759</v>
      </c>
      <c r="C1455" s="391" t="s">
        <v>8760</v>
      </c>
      <c r="D1455" s="391" t="s">
        <v>2232</v>
      </c>
    </row>
    <row r="1456" ht="15.75" customHeight="1">
      <c r="B1456" s="391" t="s">
        <v>8761</v>
      </c>
      <c r="C1456" s="391" t="s">
        <v>8762</v>
      </c>
      <c r="D1456" s="391" t="s">
        <v>2232</v>
      </c>
    </row>
    <row r="1457" ht="15.75" customHeight="1">
      <c r="B1457" s="391" t="s">
        <v>8763</v>
      </c>
      <c r="C1457" s="391" t="s">
        <v>8764</v>
      </c>
      <c r="D1457" s="391" t="s">
        <v>2195</v>
      </c>
    </row>
    <row r="1458" ht="15.75" customHeight="1">
      <c r="B1458" s="391" t="s">
        <v>8765</v>
      </c>
      <c r="C1458" s="391" t="s">
        <v>8766</v>
      </c>
      <c r="D1458" s="391" t="s">
        <v>2166</v>
      </c>
    </row>
    <row r="1459" ht="15.75" customHeight="1">
      <c r="B1459" s="391" t="s">
        <v>8767</v>
      </c>
      <c r="C1459" s="391" t="s">
        <v>8766</v>
      </c>
      <c r="D1459" s="391" t="s">
        <v>2166</v>
      </c>
    </row>
    <row r="1460" ht="15.75" customHeight="1">
      <c r="B1460" s="391" t="s">
        <v>8768</v>
      </c>
      <c r="C1460" s="391" t="s">
        <v>8766</v>
      </c>
      <c r="D1460" s="391" t="s">
        <v>2166</v>
      </c>
    </row>
    <row r="1461" ht="15.75" customHeight="1">
      <c r="B1461" s="391" t="s">
        <v>8769</v>
      </c>
      <c r="C1461" s="391" t="s">
        <v>8766</v>
      </c>
      <c r="D1461" s="391" t="s">
        <v>2232</v>
      </c>
    </row>
    <row r="1462" ht="15.75" customHeight="1">
      <c r="B1462" s="391" t="s">
        <v>8770</v>
      </c>
      <c r="C1462" s="391" t="s">
        <v>8771</v>
      </c>
      <c r="D1462" s="391" t="s">
        <v>2195</v>
      </c>
    </row>
    <row r="1463" ht="15.75" customHeight="1">
      <c r="B1463" s="391" t="s">
        <v>6074</v>
      </c>
      <c r="C1463" s="391" t="s">
        <v>8771</v>
      </c>
      <c r="D1463" s="391" t="s">
        <v>2195</v>
      </c>
    </row>
    <row r="1464" ht="15.75" customHeight="1">
      <c r="B1464" s="391" t="s">
        <v>6078</v>
      </c>
      <c r="C1464" s="391" t="s">
        <v>8771</v>
      </c>
      <c r="D1464" s="391" t="s">
        <v>2166</v>
      </c>
    </row>
    <row r="1465" ht="15.75" customHeight="1">
      <c r="B1465" s="391" t="s">
        <v>6082</v>
      </c>
      <c r="C1465" s="391" t="s">
        <v>8771</v>
      </c>
      <c r="D1465" s="391" t="s">
        <v>2232</v>
      </c>
    </row>
    <row r="1466" ht="15.75" customHeight="1">
      <c r="B1466" s="391" t="s">
        <v>8772</v>
      </c>
      <c r="C1466" s="391" t="s">
        <v>8773</v>
      </c>
      <c r="D1466" s="391" t="s">
        <v>2195</v>
      </c>
    </row>
    <row r="1467" ht="15.75" customHeight="1">
      <c r="B1467" s="391" t="s">
        <v>6086</v>
      </c>
      <c r="C1467" s="391" t="s">
        <v>8774</v>
      </c>
      <c r="D1467" s="391" t="s">
        <v>2232</v>
      </c>
    </row>
    <row r="1468" ht="15.75" customHeight="1">
      <c r="B1468" s="391" t="s">
        <v>8775</v>
      </c>
      <c r="C1468" s="391" t="s">
        <v>8776</v>
      </c>
      <c r="D1468" s="391" t="s">
        <v>2195</v>
      </c>
    </row>
    <row r="1469" ht="15.75" customHeight="1">
      <c r="B1469" s="391" t="s">
        <v>6113</v>
      </c>
      <c r="C1469" s="391" t="s">
        <v>8777</v>
      </c>
      <c r="D1469" s="391" t="s">
        <v>2195</v>
      </c>
    </row>
    <row r="1470" ht="15.75" customHeight="1">
      <c r="B1470" s="391" t="s">
        <v>8778</v>
      </c>
      <c r="C1470" s="391" t="s">
        <v>8777</v>
      </c>
      <c r="D1470" s="391" t="s">
        <v>2195</v>
      </c>
    </row>
    <row r="1471" ht="15.75" customHeight="1">
      <c r="B1471" s="391" t="s">
        <v>6117</v>
      </c>
      <c r="C1471" s="391" t="s">
        <v>8777</v>
      </c>
      <c r="D1471" s="391" t="s">
        <v>2166</v>
      </c>
    </row>
    <row r="1472" ht="15.75" customHeight="1">
      <c r="B1472" s="391" t="s">
        <v>8779</v>
      </c>
      <c r="C1472" s="391" t="s">
        <v>8780</v>
      </c>
      <c r="D1472" s="391" t="s">
        <v>2232</v>
      </c>
    </row>
    <row r="1473" ht="15.75" customHeight="1">
      <c r="B1473" s="391" t="s">
        <v>6106</v>
      </c>
      <c r="C1473" s="391" t="s">
        <v>8781</v>
      </c>
      <c r="D1473" s="391" t="s">
        <v>2195</v>
      </c>
    </row>
    <row r="1474" ht="15.75" customHeight="1">
      <c r="B1474" s="391" t="s">
        <v>6108</v>
      </c>
      <c r="C1474" s="391" t="s">
        <v>8781</v>
      </c>
      <c r="D1474" s="391" t="s">
        <v>2195</v>
      </c>
    </row>
    <row r="1475" ht="15.75" customHeight="1">
      <c r="B1475" s="391" t="s">
        <v>6110</v>
      </c>
      <c r="C1475" s="391" t="s">
        <v>8781</v>
      </c>
      <c r="D1475" s="391" t="s">
        <v>2195</v>
      </c>
    </row>
    <row r="1476" ht="15.75" customHeight="1">
      <c r="B1476" s="391" t="s">
        <v>8782</v>
      </c>
      <c r="C1476" s="391" t="s">
        <v>8781</v>
      </c>
      <c r="D1476" s="391" t="s">
        <v>2166</v>
      </c>
    </row>
    <row r="1477" ht="15.75" customHeight="1">
      <c r="B1477" s="391" t="s">
        <v>8783</v>
      </c>
      <c r="C1477" s="391" t="s">
        <v>8781</v>
      </c>
      <c r="D1477" s="391" t="s">
        <v>2232</v>
      </c>
    </row>
    <row r="1478" ht="15.75" customHeight="1">
      <c r="B1478" s="391" t="s">
        <v>8784</v>
      </c>
      <c r="C1478" s="391" t="s">
        <v>8781</v>
      </c>
      <c r="D1478" s="391" t="s">
        <v>2232</v>
      </c>
    </row>
    <row r="1479" ht="15.75" customHeight="1">
      <c r="B1479" s="391" t="s">
        <v>8785</v>
      </c>
      <c r="C1479" s="391" t="s">
        <v>8781</v>
      </c>
      <c r="D1479" s="391" t="s">
        <v>2232</v>
      </c>
    </row>
    <row r="1480" ht="15.75" customHeight="1">
      <c r="B1480" s="391" t="s">
        <v>8786</v>
      </c>
      <c r="C1480" s="391" t="s">
        <v>8781</v>
      </c>
      <c r="D1480" s="391" t="s">
        <v>2166</v>
      </c>
    </row>
    <row r="1481" ht="15.75" customHeight="1">
      <c r="B1481" s="391" t="s">
        <v>8787</v>
      </c>
      <c r="C1481" s="391" t="s">
        <v>8788</v>
      </c>
      <c r="D1481" s="391" t="s">
        <v>2166</v>
      </c>
    </row>
    <row r="1482" ht="15.75" customHeight="1">
      <c r="B1482" s="391" t="s">
        <v>5646</v>
      </c>
      <c r="C1482" s="391" t="s">
        <v>8789</v>
      </c>
      <c r="D1482" s="391" t="s">
        <v>2166</v>
      </c>
    </row>
    <row r="1483" ht="15.75" customHeight="1">
      <c r="B1483" s="391" t="s">
        <v>5650</v>
      </c>
      <c r="C1483" s="391" t="s">
        <v>8790</v>
      </c>
      <c r="D1483" s="391" t="s">
        <v>2166</v>
      </c>
    </row>
    <row r="1484" ht="15.75" customHeight="1">
      <c r="B1484" s="391" t="s">
        <v>8791</v>
      </c>
      <c r="C1484" s="391" t="s">
        <v>8792</v>
      </c>
      <c r="D1484" s="391" t="s">
        <v>2166</v>
      </c>
    </row>
    <row r="1485" ht="15.75" customHeight="1">
      <c r="B1485" s="391" t="s">
        <v>8793</v>
      </c>
      <c r="C1485" s="391" t="s">
        <v>8792</v>
      </c>
      <c r="D1485" s="391" t="s">
        <v>2166</v>
      </c>
    </row>
    <row r="1486" ht="15.75" customHeight="1">
      <c r="B1486" s="391" t="s">
        <v>8794</v>
      </c>
      <c r="C1486" s="391" t="s">
        <v>8795</v>
      </c>
      <c r="D1486" s="391" t="s">
        <v>2166</v>
      </c>
    </row>
    <row r="1487" ht="15.75" customHeight="1">
      <c r="B1487" s="391" t="s">
        <v>8796</v>
      </c>
      <c r="C1487" s="391" t="s">
        <v>8796</v>
      </c>
      <c r="D1487" s="391" t="s">
        <v>2166</v>
      </c>
    </row>
    <row r="1488" ht="15.75" customHeight="1">
      <c r="B1488" s="391" t="s">
        <v>8797</v>
      </c>
      <c r="C1488" s="391" t="s">
        <v>8796</v>
      </c>
      <c r="D1488" s="391" t="s">
        <v>2166</v>
      </c>
    </row>
    <row r="1489" ht="15.75" customHeight="1">
      <c r="B1489" s="391" t="s">
        <v>6826</v>
      </c>
      <c r="C1489" s="391" t="s">
        <v>8798</v>
      </c>
      <c r="D1489" s="391" t="s">
        <v>2232</v>
      </c>
    </row>
    <row r="1490" ht="15.75" customHeight="1">
      <c r="B1490" s="391" t="s">
        <v>6577</v>
      </c>
      <c r="C1490" s="391" t="s">
        <v>8799</v>
      </c>
      <c r="D1490" s="391" t="s">
        <v>2166</v>
      </c>
    </row>
    <row r="1491" ht="15.75" customHeight="1">
      <c r="B1491" s="391" t="s">
        <v>6685</v>
      </c>
      <c r="C1491" s="391" t="s">
        <v>8799</v>
      </c>
      <c r="D1491" s="391" t="s">
        <v>2195</v>
      </c>
    </row>
    <row r="1492" ht="15.75" customHeight="1">
      <c r="B1492" s="391" t="s">
        <v>6587</v>
      </c>
      <c r="C1492" s="391" t="s">
        <v>8799</v>
      </c>
      <c r="D1492" s="391" t="s">
        <v>2166</v>
      </c>
    </row>
    <row r="1493" ht="15.75" customHeight="1">
      <c r="B1493" s="391" t="s">
        <v>6625</v>
      </c>
      <c r="C1493" s="391" t="s">
        <v>8799</v>
      </c>
      <c r="D1493" s="391" t="s">
        <v>2195</v>
      </c>
    </row>
    <row r="1494" ht="15.75" customHeight="1">
      <c r="B1494" s="391" t="s">
        <v>6707</v>
      </c>
      <c r="C1494" s="391" t="s">
        <v>8799</v>
      </c>
      <c r="D1494" s="391" t="s">
        <v>2195</v>
      </c>
    </row>
    <row r="1495" ht="15.75" customHeight="1">
      <c r="B1495" s="391" t="s">
        <v>6794</v>
      </c>
      <c r="C1495" s="391" t="s">
        <v>8799</v>
      </c>
      <c r="D1495" s="391" t="s">
        <v>2166</v>
      </c>
    </row>
    <row r="1496" ht="15.75" customHeight="1">
      <c r="B1496" s="391" t="s">
        <v>6832</v>
      </c>
      <c r="C1496" s="391" t="s">
        <v>8799</v>
      </c>
      <c r="D1496" s="391" t="s">
        <v>2195</v>
      </c>
    </row>
    <row r="1497" ht="15.75" customHeight="1">
      <c r="B1497" s="391" t="s">
        <v>6484</v>
      </c>
      <c r="C1497" s="391" t="s">
        <v>8800</v>
      </c>
      <c r="D1497" s="391" t="s">
        <v>2166</v>
      </c>
    </row>
    <row r="1498" ht="15.75" customHeight="1">
      <c r="B1498" s="391" t="s">
        <v>6480</v>
      </c>
      <c r="C1498" s="391" t="s">
        <v>8801</v>
      </c>
      <c r="D1498" s="391" t="s">
        <v>2232</v>
      </c>
    </row>
    <row r="1499" ht="15.75" customHeight="1">
      <c r="B1499" s="391" t="s">
        <v>6630</v>
      </c>
      <c r="C1499" s="391" t="s">
        <v>8802</v>
      </c>
      <c r="D1499" s="391" t="s">
        <v>2166</v>
      </c>
    </row>
    <row r="1500" ht="15.75" customHeight="1">
      <c r="B1500" s="391" t="s">
        <v>6638</v>
      </c>
      <c r="C1500" s="391" t="s">
        <v>8802</v>
      </c>
      <c r="D1500" s="391" t="s">
        <v>2166</v>
      </c>
    </row>
    <row r="1501" ht="15.75" customHeight="1">
      <c r="B1501" s="391" t="s">
        <v>6640</v>
      </c>
      <c r="C1501" s="391" t="s">
        <v>8802</v>
      </c>
      <c r="D1501" s="391" t="s">
        <v>2166</v>
      </c>
    </row>
    <row r="1502" ht="15.75" customHeight="1">
      <c r="B1502" s="391" t="s">
        <v>6642</v>
      </c>
      <c r="C1502" s="391" t="s">
        <v>8802</v>
      </c>
      <c r="D1502" s="391" t="s">
        <v>2166</v>
      </c>
    </row>
    <row r="1503" ht="15.75" customHeight="1">
      <c r="B1503" s="391" t="s">
        <v>6509</v>
      </c>
      <c r="C1503" s="391" t="s">
        <v>8802</v>
      </c>
      <c r="D1503" s="391" t="s">
        <v>2166</v>
      </c>
    </row>
    <row r="1504" ht="15.75" customHeight="1">
      <c r="B1504" s="391" t="s">
        <v>6604</v>
      </c>
      <c r="C1504" s="391" t="s">
        <v>8802</v>
      </c>
      <c r="D1504" s="391" t="s">
        <v>2195</v>
      </c>
    </row>
    <row r="1505" ht="15.75" customHeight="1">
      <c r="B1505" s="391" t="s">
        <v>6606</v>
      </c>
      <c r="C1505" s="391" t="s">
        <v>8802</v>
      </c>
      <c r="D1505" s="391" t="s">
        <v>2166</v>
      </c>
    </row>
    <row r="1506" ht="15.75" customHeight="1">
      <c r="B1506" s="391" t="s">
        <v>6610</v>
      </c>
      <c r="C1506" s="391" t="s">
        <v>8802</v>
      </c>
      <c r="D1506" s="391" t="s">
        <v>2166</v>
      </c>
    </row>
    <row r="1507" ht="15.75" customHeight="1">
      <c r="B1507" s="391" t="s">
        <v>6616</v>
      </c>
      <c r="C1507" s="391" t="s">
        <v>8802</v>
      </c>
      <c r="D1507" s="391" t="s">
        <v>2232</v>
      </c>
    </row>
    <row r="1508" ht="15.75" customHeight="1">
      <c r="B1508" s="391" t="s">
        <v>6486</v>
      </c>
      <c r="C1508" s="391" t="s">
        <v>8802</v>
      </c>
      <c r="D1508" s="391" t="s">
        <v>2166</v>
      </c>
    </row>
    <row r="1509" ht="15.75" customHeight="1">
      <c r="B1509" s="391" t="s">
        <v>6488</v>
      </c>
      <c r="C1509" s="391" t="s">
        <v>8802</v>
      </c>
      <c r="D1509" s="391" t="s">
        <v>2166</v>
      </c>
    </row>
    <row r="1510" ht="15.75" customHeight="1">
      <c r="B1510" s="391" t="s">
        <v>6492</v>
      </c>
      <c r="C1510" s="391" t="s">
        <v>8802</v>
      </c>
      <c r="D1510" s="391" t="s">
        <v>2232</v>
      </c>
    </row>
    <row r="1511" ht="15.75" customHeight="1">
      <c r="B1511" s="391" t="s">
        <v>6496</v>
      </c>
      <c r="C1511" s="391" t="s">
        <v>8802</v>
      </c>
      <c r="D1511" s="391" t="s">
        <v>2195</v>
      </c>
    </row>
    <row r="1512" ht="15.75" customHeight="1">
      <c r="B1512" s="391" t="s">
        <v>6498</v>
      </c>
      <c r="C1512" s="391" t="s">
        <v>8802</v>
      </c>
      <c r="D1512" s="391" t="s">
        <v>2166</v>
      </c>
    </row>
    <row r="1513" ht="15.75" customHeight="1">
      <c r="B1513" s="391" t="s">
        <v>6501</v>
      </c>
      <c r="C1513" s="391" t="s">
        <v>8802</v>
      </c>
      <c r="D1513" s="391" t="s">
        <v>2166</v>
      </c>
    </row>
    <row r="1514" ht="15.75" customHeight="1">
      <c r="B1514" s="391" t="s">
        <v>6595</v>
      </c>
      <c r="C1514" s="391" t="s">
        <v>8802</v>
      </c>
      <c r="D1514" s="391" t="s">
        <v>2166</v>
      </c>
    </row>
    <row r="1515" ht="15.75" customHeight="1">
      <c r="B1515" s="391" t="s">
        <v>6513</v>
      </c>
      <c r="C1515" s="391" t="s">
        <v>8802</v>
      </c>
      <c r="D1515" s="391" t="s">
        <v>2166</v>
      </c>
    </row>
    <row r="1516" ht="15.75" customHeight="1">
      <c r="B1516" s="391" t="s">
        <v>6664</v>
      </c>
      <c r="C1516" s="391" t="s">
        <v>8803</v>
      </c>
      <c r="D1516" s="391" t="s">
        <v>2166</v>
      </c>
    </row>
    <row r="1517" ht="15.75" customHeight="1">
      <c r="B1517" s="391" t="s">
        <v>6668</v>
      </c>
      <c r="C1517" s="391" t="s">
        <v>8804</v>
      </c>
      <c r="D1517" s="391" t="s">
        <v>2166</v>
      </c>
    </row>
    <row r="1518" ht="15.75" customHeight="1">
      <c r="B1518" s="391" t="s">
        <v>8805</v>
      </c>
      <c r="C1518" s="391" t="s">
        <v>8806</v>
      </c>
      <c r="D1518" s="391" t="s">
        <v>2232</v>
      </c>
    </row>
    <row r="1519" ht="15.75" customHeight="1">
      <c r="B1519" s="391" t="s">
        <v>6542</v>
      </c>
      <c r="C1519" s="391" t="s">
        <v>8807</v>
      </c>
      <c r="D1519" s="391" t="s">
        <v>2166</v>
      </c>
    </row>
    <row r="1520" ht="15.75" customHeight="1">
      <c r="B1520" s="391" t="s">
        <v>6476</v>
      </c>
      <c r="C1520" s="391" t="s">
        <v>8808</v>
      </c>
      <c r="D1520" s="391" t="s">
        <v>2166</v>
      </c>
    </row>
    <row r="1521" ht="15.75" customHeight="1">
      <c r="B1521" s="391" t="s">
        <v>6526</v>
      </c>
      <c r="C1521" s="391" t="s">
        <v>8809</v>
      </c>
      <c r="D1521" s="391" t="s">
        <v>2166</v>
      </c>
    </row>
    <row r="1522" ht="15.75" customHeight="1">
      <c r="B1522" s="391" t="s">
        <v>8810</v>
      </c>
      <c r="C1522" s="391" t="s">
        <v>8809</v>
      </c>
      <c r="D1522" s="391" t="s">
        <v>2166</v>
      </c>
    </row>
    <row r="1523" ht="15.75" customHeight="1">
      <c r="B1523" s="391" t="s">
        <v>8811</v>
      </c>
      <c r="C1523" s="391" t="s">
        <v>8809</v>
      </c>
      <c r="D1523" s="391" t="s">
        <v>2166</v>
      </c>
    </row>
    <row r="1524" ht="15.75" customHeight="1">
      <c r="B1524" s="391" t="s">
        <v>8812</v>
      </c>
      <c r="C1524" s="391" t="s">
        <v>8809</v>
      </c>
      <c r="D1524" s="391" t="s">
        <v>2166</v>
      </c>
    </row>
    <row r="1525" ht="15.75" customHeight="1">
      <c r="B1525" s="391" t="s">
        <v>8813</v>
      </c>
      <c r="C1525" s="391" t="s">
        <v>8814</v>
      </c>
      <c r="D1525" s="391" t="s">
        <v>2166</v>
      </c>
    </row>
    <row r="1526" ht="15.75" customHeight="1">
      <c r="B1526" s="391" t="s">
        <v>6675</v>
      </c>
      <c r="C1526" s="391" t="s">
        <v>8815</v>
      </c>
      <c r="D1526" s="391" t="s">
        <v>2166</v>
      </c>
    </row>
    <row r="1527" ht="15.75" customHeight="1">
      <c r="B1527" s="391" t="s">
        <v>5845</v>
      </c>
      <c r="C1527" s="391" t="s">
        <v>8815</v>
      </c>
      <c r="D1527" s="391" t="s">
        <v>2166</v>
      </c>
    </row>
    <row r="1528" ht="15.75" customHeight="1">
      <c r="B1528" s="391" t="s">
        <v>6334</v>
      </c>
      <c r="C1528" s="391" t="s">
        <v>8816</v>
      </c>
      <c r="D1528" s="391" t="s">
        <v>2195</v>
      </c>
    </row>
    <row r="1529" ht="15.75" customHeight="1">
      <c r="B1529" s="391" t="s">
        <v>8817</v>
      </c>
      <c r="C1529" s="391" t="s">
        <v>8818</v>
      </c>
      <c r="D1529" s="391" t="s">
        <v>2195</v>
      </c>
    </row>
    <row r="1530" ht="15.75" customHeight="1">
      <c r="B1530" s="391" t="s">
        <v>6810</v>
      </c>
      <c r="C1530" s="391" t="s">
        <v>8819</v>
      </c>
      <c r="D1530" s="391" t="s">
        <v>2166</v>
      </c>
    </row>
    <row r="1531" ht="15.75" customHeight="1">
      <c r="B1531" s="391" t="s">
        <v>6360</v>
      </c>
      <c r="C1531" s="391" t="s">
        <v>8820</v>
      </c>
      <c r="D1531" s="391" t="s">
        <v>2195</v>
      </c>
    </row>
    <row r="1532" ht="15.75" customHeight="1">
      <c r="B1532" s="391" t="s">
        <v>6771</v>
      </c>
      <c r="C1532" s="391" t="s">
        <v>8821</v>
      </c>
      <c r="D1532" s="391" t="s">
        <v>2166</v>
      </c>
    </row>
    <row r="1533" ht="15.75" customHeight="1">
      <c r="B1533" s="391" t="s">
        <v>6691</v>
      </c>
      <c r="C1533" s="391" t="s">
        <v>8822</v>
      </c>
      <c r="D1533" s="391" t="s">
        <v>2166</v>
      </c>
    </row>
    <row r="1534" ht="15.75" customHeight="1">
      <c r="B1534" s="391" t="s">
        <v>6299</v>
      </c>
      <c r="C1534" s="391" t="s">
        <v>8823</v>
      </c>
      <c r="D1534" s="391" t="s">
        <v>2195</v>
      </c>
    </row>
    <row r="1535" ht="15.75" customHeight="1">
      <c r="B1535" s="391" t="s">
        <v>6697</v>
      </c>
      <c r="C1535" s="391" t="s">
        <v>8823</v>
      </c>
      <c r="D1535" s="391" t="s">
        <v>2166</v>
      </c>
    </row>
    <row r="1536" ht="15.75" customHeight="1">
      <c r="B1536" s="391" t="s">
        <v>6699</v>
      </c>
      <c r="C1536" s="391" t="s">
        <v>8823</v>
      </c>
      <c r="D1536" s="391" t="s">
        <v>2166</v>
      </c>
    </row>
    <row r="1537" ht="15.75" customHeight="1">
      <c r="B1537" s="391" t="s">
        <v>6701</v>
      </c>
      <c r="C1537" s="391" t="s">
        <v>8823</v>
      </c>
      <c r="D1537" s="391" t="s">
        <v>2166</v>
      </c>
    </row>
    <row r="1538" ht="15.75" customHeight="1">
      <c r="B1538" s="391" t="s">
        <v>8824</v>
      </c>
      <c r="C1538" s="391" t="s">
        <v>8825</v>
      </c>
      <c r="D1538" s="391" t="s">
        <v>2195</v>
      </c>
    </row>
    <row r="1539" ht="15.75" customHeight="1">
      <c r="B1539" s="391" t="s">
        <v>6370</v>
      </c>
      <c r="C1539" s="391" t="s">
        <v>8826</v>
      </c>
      <c r="D1539" s="391" t="s">
        <v>2232</v>
      </c>
    </row>
    <row r="1540" ht="15.75" customHeight="1">
      <c r="B1540" s="391" t="s">
        <v>6368</v>
      </c>
      <c r="C1540" s="391" t="s">
        <v>8827</v>
      </c>
      <c r="D1540" s="391" t="s">
        <v>2166</v>
      </c>
    </row>
    <row r="1541" ht="15.75" customHeight="1">
      <c r="B1541" s="391" t="s">
        <v>6711</v>
      </c>
      <c r="C1541" s="391" t="s">
        <v>8828</v>
      </c>
      <c r="D1541" s="391" t="s">
        <v>2232</v>
      </c>
    </row>
    <row r="1542" ht="15.75" customHeight="1">
      <c r="B1542" s="391" t="s">
        <v>6738</v>
      </c>
      <c r="C1542" s="391" t="s">
        <v>8828</v>
      </c>
      <c r="D1542" s="391" t="s">
        <v>2232</v>
      </c>
    </row>
    <row r="1543" ht="15.75" customHeight="1">
      <c r="B1543" s="391" t="s">
        <v>6709</v>
      </c>
      <c r="C1543" s="391" t="s">
        <v>8829</v>
      </c>
      <c r="D1543" s="391" t="s">
        <v>2166</v>
      </c>
    </row>
    <row r="1544" ht="15.75" customHeight="1">
      <c r="B1544" s="391" t="s">
        <v>8830</v>
      </c>
      <c r="C1544" s="391" t="s">
        <v>8831</v>
      </c>
      <c r="D1544" s="391" t="s">
        <v>2195</v>
      </c>
    </row>
    <row r="1545" ht="15.75" customHeight="1">
      <c r="B1545" s="391" t="s">
        <v>8832</v>
      </c>
      <c r="C1545" s="391" t="s">
        <v>8833</v>
      </c>
      <c r="D1545" s="391" t="s">
        <v>2166</v>
      </c>
    </row>
    <row r="1546" ht="15.75" customHeight="1">
      <c r="B1546" s="391" t="s">
        <v>8834</v>
      </c>
      <c r="C1546" s="391" t="s">
        <v>8833</v>
      </c>
      <c r="D1546" s="391" t="s">
        <v>2166</v>
      </c>
    </row>
    <row r="1547" ht="15.75" customHeight="1">
      <c r="B1547" s="391" t="s">
        <v>6362</v>
      </c>
      <c r="C1547" s="391" t="s">
        <v>8833</v>
      </c>
      <c r="D1547" s="391" t="s">
        <v>2195</v>
      </c>
    </row>
    <row r="1548" ht="15.75" customHeight="1">
      <c r="B1548" s="391" t="s">
        <v>6854</v>
      </c>
      <c r="C1548" s="391" t="s">
        <v>8835</v>
      </c>
      <c r="D1548" s="391" t="s">
        <v>2166</v>
      </c>
    </row>
    <row r="1549" ht="15.75" customHeight="1">
      <c r="B1549" s="391" t="s">
        <v>6857</v>
      </c>
      <c r="C1549" s="391" t="s">
        <v>8835</v>
      </c>
      <c r="D1549" s="391" t="s">
        <v>2166</v>
      </c>
    </row>
    <row r="1550" ht="15.75" customHeight="1">
      <c r="B1550" s="391" t="s">
        <v>6164</v>
      </c>
      <c r="C1550" s="391" t="s">
        <v>8836</v>
      </c>
      <c r="D1550" s="391" t="s">
        <v>2195</v>
      </c>
    </row>
    <row r="1551" ht="15.75" customHeight="1">
      <c r="B1551" s="391" t="s">
        <v>6221</v>
      </c>
      <c r="C1551" s="391" t="s">
        <v>8836</v>
      </c>
      <c r="D1551" s="391" t="s">
        <v>2195</v>
      </c>
    </row>
    <row r="1552" ht="15.75" customHeight="1">
      <c r="B1552" s="391" t="s">
        <v>6225</v>
      </c>
      <c r="C1552" s="391" t="s">
        <v>8836</v>
      </c>
      <c r="D1552" s="391" t="s">
        <v>2166</v>
      </c>
    </row>
    <row r="1553" ht="15.75" customHeight="1">
      <c r="B1553" s="391" t="s">
        <v>6233</v>
      </c>
      <c r="C1553" s="391" t="s">
        <v>8836</v>
      </c>
      <c r="D1553" s="391" t="s">
        <v>2195</v>
      </c>
    </row>
    <row r="1554" ht="15.75" customHeight="1">
      <c r="B1554" s="391" t="s">
        <v>8837</v>
      </c>
      <c r="C1554" s="391" t="s">
        <v>8838</v>
      </c>
      <c r="D1554" s="391" t="s">
        <v>2232</v>
      </c>
    </row>
    <row r="1555" ht="15.75" customHeight="1">
      <c r="B1555" s="391" t="s">
        <v>8839</v>
      </c>
      <c r="C1555" s="391" t="s">
        <v>8838</v>
      </c>
      <c r="D1555" s="391" t="s">
        <v>2195</v>
      </c>
    </row>
    <row r="1556" ht="15.75" customHeight="1">
      <c r="B1556" s="391" t="s">
        <v>8840</v>
      </c>
      <c r="C1556" s="391" t="s">
        <v>8838</v>
      </c>
      <c r="D1556" s="391" t="s">
        <v>2195</v>
      </c>
    </row>
    <row r="1557" ht="15.75" customHeight="1">
      <c r="B1557" s="391" t="s">
        <v>8841</v>
      </c>
      <c r="C1557" s="391" t="s">
        <v>8842</v>
      </c>
      <c r="D1557" s="391" t="s">
        <v>2195</v>
      </c>
    </row>
    <row r="1558" ht="15.75" customHeight="1">
      <c r="B1558" s="391" t="s">
        <v>8843</v>
      </c>
      <c r="C1558" s="391" t="s">
        <v>8844</v>
      </c>
      <c r="D1558" s="391" t="s">
        <v>2195</v>
      </c>
    </row>
    <row r="1559" ht="15.75" customHeight="1">
      <c r="B1559" s="391" t="s">
        <v>6402</v>
      </c>
      <c r="C1559" s="391" t="s">
        <v>8844</v>
      </c>
      <c r="D1559" s="391" t="s">
        <v>2166</v>
      </c>
    </row>
    <row r="1560" ht="15.75" customHeight="1">
      <c r="B1560" s="391" t="s">
        <v>6174</v>
      </c>
      <c r="C1560" s="391" t="s">
        <v>8845</v>
      </c>
      <c r="D1560" s="391" t="s">
        <v>2166</v>
      </c>
    </row>
    <row r="1561" ht="15.75" customHeight="1">
      <c r="B1561" s="391" t="s">
        <v>6229</v>
      </c>
      <c r="C1561" s="391" t="s">
        <v>8845</v>
      </c>
      <c r="D1561" s="391" t="s">
        <v>2195</v>
      </c>
    </row>
    <row r="1562" ht="15.75" customHeight="1">
      <c r="B1562" s="391" t="s">
        <v>6242</v>
      </c>
      <c r="C1562" s="391" t="s">
        <v>8846</v>
      </c>
      <c r="D1562" s="391" t="s">
        <v>2166</v>
      </c>
    </row>
    <row r="1563" ht="15.75" customHeight="1">
      <c r="B1563" s="391" t="s">
        <v>6250</v>
      </c>
      <c r="C1563" s="391" t="s">
        <v>8846</v>
      </c>
      <c r="D1563" s="391" t="s">
        <v>2166</v>
      </c>
    </row>
    <row r="1564" ht="15.75" customHeight="1">
      <c r="B1564" s="391" t="s">
        <v>6246</v>
      </c>
      <c r="C1564" s="391" t="s">
        <v>8847</v>
      </c>
      <c r="D1564" s="391" t="s">
        <v>2166</v>
      </c>
    </row>
    <row r="1565" ht="15.75" customHeight="1">
      <c r="B1565" s="391" t="s">
        <v>6256</v>
      </c>
      <c r="C1565" s="391" t="s">
        <v>8847</v>
      </c>
      <c r="D1565" s="391" t="s">
        <v>2195</v>
      </c>
    </row>
    <row r="1566" ht="15.75" customHeight="1">
      <c r="B1566" s="391" t="s">
        <v>6260</v>
      </c>
      <c r="C1566" s="391" t="s">
        <v>8847</v>
      </c>
      <c r="D1566" s="391" t="s">
        <v>2166</v>
      </c>
    </row>
    <row r="1567" ht="15.75" customHeight="1">
      <c r="B1567" s="391" t="s">
        <v>6268</v>
      </c>
      <c r="C1567" s="391" t="s">
        <v>8848</v>
      </c>
      <c r="D1567" s="391" t="s">
        <v>2166</v>
      </c>
    </row>
    <row r="1568" ht="15.75" customHeight="1">
      <c r="B1568" s="391" t="s">
        <v>6859</v>
      </c>
      <c r="C1568" s="391" t="s">
        <v>8848</v>
      </c>
      <c r="D1568" s="391" t="s">
        <v>2166</v>
      </c>
    </row>
    <row r="1569" ht="15.75" customHeight="1">
      <c r="B1569" s="391" t="s">
        <v>6324</v>
      </c>
      <c r="C1569" s="391" t="s">
        <v>8848</v>
      </c>
      <c r="D1569" s="391" t="s">
        <v>2195</v>
      </c>
    </row>
    <row r="1570" ht="15.75" customHeight="1">
      <c r="B1570" s="391" t="s">
        <v>6337</v>
      </c>
      <c r="C1570" s="391" t="s">
        <v>8848</v>
      </c>
      <c r="D1570" s="391" t="s">
        <v>2195</v>
      </c>
    </row>
    <row r="1571" ht="15.75" customHeight="1">
      <c r="B1571" s="391" t="s">
        <v>6185</v>
      </c>
      <c r="C1571" s="391" t="s">
        <v>8849</v>
      </c>
      <c r="D1571" s="391" t="s">
        <v>2166</v>
      </c>
    </row>
    <row r="1572" ht="15.75" customHeight="1">
      <c r="B1572" s="391" t="s">
        <v>6189</v>
      </c>
      <c r="C1572" s="391" t="s">
        <v>8849</v>
      </c>
      <c r="D1572" s="391" t="s">
        <v>2166</v>
      </c>
    </row>
    <row r="1573" ht="15.75" customHeight="1">
      <c r="B1573" s="391" t="s">
        <v>6145</v>
      </c>
      <c r="C1573" s="391" t="s">
        <v>8850</v>
      </c>
      <c r="D1573" s="391" t="s">
        <v>2166</v>
      </c>
    </row>
    <row r="1574" ht="15.75" customHeight="1">
      <c r="B1574" s="391" t="s">
        <v>6156</v>
      </c>
      <c r="C1574" s="391" t="s">
        <v>8850</v>
      </c>
      <c r="D1574" s="391" t="s">
        <v>2166</v>
      </c>
    </row>
    <row r="1575" ht="15.75" customHeight="1">
      <c r="B1575" s="391" t="s">
        <v>6160</v>
      </c>
      <c r="C1575" s="391" t="s">
        <v>8850</v>
      </c>
      <c r="D1575" s="391" t="s">
        <v>2166</v>
      </c>
    </row>
    <row r="1576" ht="15.75" customHeight="1">
      <c r="B1576" s="391" t="s">
        <v>8851</v>
      </c>
      <c r="C1576" s="391" t="s">
        <v>8850</v>
      </c>
      <c r="D1576" s="391" t="s">
        <v>2195</v>
      </c>
    </row>
    <row r="1577" ht="15.75" customHeight="1">
      <c r="B1577" s="391" t="s">
        <v>6193</v>
      </c>
      <c r="C1577" s="391" t="s">
        <v>8850</v>
      </c>
      <c r="D1577" s="391" t="s">
        <v>2166</v>
      </c>
    </row>
    <row r="1578" ht="15.75" customHeight="1">
      <c r="B1578" s="391" t="s">
        <v>6203</v>
      </c>
      <c r="C1578" s="391" t="s">
        <v>8850</v>
      </c>
      <c r="D1578" s="391" t="s">
        <v>2195</v>
      </c>
    </row>
    <row r="1579" ht="15.75" customHeight="1">
      <c r="B1579" s="391" t="s">
        <v>8852</v>
      </c>
      <c r="C1579" s="391" t="s">
        <v>8850</v>
      </c>
      <c r="D1579" s="391" t="s">
        <v>2195</v>
      </c>
    </row>
    <row r="1580" ht="15.75" customHeight="1">
      <c r="B1580" s="391" t="s">
        <v>6213</v>
      </c>
      <c r="C1580" s="391" t="s">
        <v>8850</v>
      </c>
      <c r="D1580" s="391" t="s">
        <v>2166</v>
      </c>
    </row>
    <row r="1581" ht="15.75" customHeight="1">
      <c r="B1581" s="391" t="s">
        <v>6273</v>
      </c>
      <c r="C1581" s="391" t="s">
        <v>8853</v>
      </c>
      <c r="D1581" s="391" t="s">
        <v>2166</v>
      </c>
    </row>
    <row r="1582" ht="15.75" customHeight="1">
      <c r="B1582" s="391" t="s">
        <v>6197</v>
      </c>
      <c r="C1582" s="391" t="s">
        <v>8853</v>
      </c>
      <c r="D1582" s="391" t="s">
        <v>2232</v>
      </c>
    </row>
    <row r="1583" ht="15.75" customHeight="1">
      <c r="B1583" s="391" t="s">
        <v>8854</v>
      </c>
      <c r="C1583" s="391" t="s">
        <v>8853</v>
      </c>
      <c r="D1583" s="391" t="s">
        <v>2166</v>
      </c>
    </row>
    <row r="1584" ht="15.75" customHeight="1">
      <c r="B1584" s="391" t="s">
        <v>7271</v>
      </c>
      <c r="C1584" s="391" t="s">
        <v>8853</v>
      </c>
      <c r="D1584" s="391" t="s">
        <v>2232</v>
      </c>
    </row>
    <row r="1585" ht="15.75" customHeight="1">
      <c r="B1585" s="391" t="s">
        <v>6301</v>
      </c>
      <c r="C1585" s="391" t="s">
        <v>8855</v>
      </c>
      <c r="D1585" s="391" t="s">
        <v>2166</v>
      </c>
    </row>
    <row r="1586" ht="15.75" customHeight="1">
      <c r="B1586" s="391" t="s">
        <v>6303</v>
      </c>
      <c r="C1586" s="391" t="s">
        <v>8855</v>
      </c>
      <c r="D1586" s="391" t="s">
        <v>2195</v>
      </c>
    </row>
    <row r="1587" ht="15.75" customHeight="1">
      <c r="B1587" s="391" t="s">
        <v>6309</v>
      </c>
      <c r="C1587" s="391" t="s">
        <v>8855</v>
      </c>
      <c r="D1587" s="391" t="s">
        <v>2166</v>
      </c>
    </row>
    <row r="1588" ht="15.75" customHeight="1">
      <c r="B1588" s="391" t="s">
        <v>6858</v>
      </c>
      <c r="C1588" s="391" t="s">
        <v>8855</v>
      </c>
      <c r="D1588" s="391" t="s">
        <v>2166</v>
      </c>
    </row>
    <row r="1589" ht="15.75" customHeight="1">
      <c r="B1589" s="391" t="s">
        <v>7273</v>
      </c>
      <c r="C1589" s="391" t="s">
        <v>8856</v>
      </c>
      <c r="D1589" s="391" t="s">
        <v>2232</v>
      </c>
    </row>
    <row r="1590" ht="15.75" customHeight="1">
      <c r="B1590" s="391" t="s">
        <v>6275</v>
      </c>
      <c r="C1590" s="391" t="s">
        <v>8856</v>
      </c>
      <c r="D1590" s="391" t="s">
        <v>2166</v>
      </c>
    </row>
    <row r="1591" ht="15.75" customHeight="1">
      <c r="B1591" s="391" t="s">
        <v>6279</v>
      </c>
      <c r="C1591" s="391" t="s">
        <v>8857</v>
      </c>
      <c r="D1591" s="391" t="s">
        <v>2166</v>
      </c>
    </row>
    <row r="1592" ht="15.75" customHeight="1">
      <c r="B1592" s="391" t="s">
        <v>6281</v>
      </c>
      <c r="C1592" s="391" t="s">
        <v>8857</v>
      </c>
      <c r="D1592" s="391" t="s">
        <v>2166</v>
      </c>
    </row>
    <row r="1593" ht="15.75" customHeight="1">
      <c r="B1593" s="391" t="s">
        <v>6285</v>
      </c>
      <c r="C1593" s="391" t="s">
        <v>8857</v>
      </c>
      <c r="D1593" s="391" t="s">
        <v>2166</v>
      </c>
    </row>
    <row r="1594" ht="15.75" customHeight="1">
      <c r="B1594" s="391" t="s">
        <v>6350</v>
      </c>
      <c r="C1594" s="391" t="s">
        <v>8858</v>
      </c>
      <c r="D1594" s="391" t="s">
        <v>2166</v>
      </c>
    </row>
    <row r="1595" ht="15.75" customHeight="1">
      <c r="B1595" s="391" t="s">
        <v>6171</v>
      </c>
      <c r="C1595" s="391" t="s">
        <v>8859</v>
      </c>
      <c r="D1595" s="391" t="s">
        <v>2166</v>
      </c>
    </row>
    <row r="1596" ht="15.75" customHeight="1">
      <c r="B1596" s="391" t="s">
        <v>8860</v>
      </c>
      <c r="C1596" s="391" t="s">
        <v>8861</v>
      </c>
      <c r="D1596" s="391" t="s">
        <v>2195</v>
      </c>
    </row>
    <row r="1597" ht="15.75" customHeight="1">
      <c r="B1597" s="391" t="s">
        <v>8862</v>
      </c>
      <c r="C1597" s="391" t="s">
        <v>8863</v>
      </c>
      <c r="D1597" s="391" t="s">
        <v>2166</v>
      </c>
    </row>
    <row r="1598" ht="15.75" customHeight="1">
      <c r="B1598" s="391" t="s">
        <v>8864</v>
      </c>
      <c r="C1598" s="391" t="s">
        <v>8865</v>
      </c>
      <c r="D1598" s="391" t="s">
        <v>2195</v>
      </c>
    </row>
    <row r="1599" ht="15.75" customHeight="1">
      <c r="B1599" s="391" t="s">
        <v>6834</v>
      </c>
      <c r="C1599" s="391" t="s">
        <v>8865</v>
      </c>
      <c r="D1599" s="391" t="s">
        <v>2232</v>
      </c>
    </row>
    <row r="1600" ht="15.75" customHeight="1">
      <c r="B1600" s="391" t="s">
        <v>6836</v>
      </c>
      <c r="C1600" s="391" t="s">
        <v>8866</v>
      </c>
      <c r="D1600" s="391" t="s">
        <v>2195</v>
      </c>
    </row>
    <row r="1601" ht="15.75" customHeight="1">
      <c r="B1601" s="391" t="s">
        <v>6840</v>
      </c>
      <c r="C1601" s="391" t="s">
        <v>8866</v>
      </c>
      <c r="D1601" s="391" t="s">
        <v>2232</v>
      </c>
    </row>
    <row r="1602" ht="15.75" customHeight="1">
      <c r="B1602" s="391" t="s">
        <v>6842</v>
      </c>
      <c r="C1602" s="391" t="s">
        <v>8866</v>
      </c>
      <c r="D1602" s="391" t="s">
        <v>2232</v>
      </c>
    </row>
    <row r="1603" ht="15.75" customHeight="1">
      <c r="B1603" s="391" t="s">
        <v>6844</v>
      </c>
      <c r="C1603" s="391" t="s">
        <v>8866</v>
      </c>
      <c r="D1603" s="391" t="s">
        <v>2232</v>
      </c>
    </row>
    <row r="1604" ht="15.75" customHeight="1">
      <c r="B1604" s="391" t="s">
        <v>6846</v>
      </c>
      <c r="C1604" s="391" t="s">
        <v>8866</v>
      </c>
      <c r="D1604" s="391" t="s">
        <v>2232</v>
      </c>
    </row>
    <row r="1605" ht="15.75" customHeight="1">
      <c r="B1605" s="391" t="s">
        <v>6848</v>
      </c>
      <c r="C1605" s="391" t="s">
        <v>8866</v>
      </c>
      <c r="D1605" s="391" t="s">
        <v>2232</v>
      </c>
    </row>
    <row r="1606" ht="15.75" customHeight="1">
      <c r="B1606" s="391" t="s">
        <v>6850</v>
      </c>
      <c r="C1606" s="391" t="s">
        <v>8866</v>
      </c>
      <c r="D1606" s="391" t="s">
        <v>2232</v>
      </c>
    </row>
    <row r="1607" ht="15.75" customHeight="1">
      <c r="B1607" s="391" t="s">
        <v>6852</v>
      </c>
      <c r="C1607" s="391" t="s">
        <v>8866</v>
      </c>
      <c r="D1607" s="391" t="s">
        <v>2232</v>
      </c>
    </row>
    <row r="1608" ht="15.75" customHeight="1">
      <c r="B1608" s="391" t="s">
        <v>6796</v>
      </c>
      <c r="C1608" s="391" t="s">
        <v>8866</v>
      </c>
      <c r="D1608" s="391" t="s">
        <v>2166</v>
      </c>
    </row>
    <row r="1609" ht="15.75" customHeight="1">
      <c r="B1609" s="391" t="s">
        <v>6798</v>
      </c>
      <c r="C1609" s="391" t="s">
        <v>8866</v>
      </c>
      <c r="D1609" s="391" t="s">
        <v>2166</v>
      </c>
    </row>
    <row r="1610" ht="15.75" customHeight="1">
      <c r="B1610" s="391" t="s">
        <v>6801</v>
      </c>
      <c r="C1610" s="391" t="s">
        <v>8866</v>
      </c>
      <c r="D1610" s="391" t="s">
        <v>2195</v>
      </c>
    </row>
    <row r="1611" ht="15.75" customHeight="1">
      <c r="B1611" s="391" t="s">
        <v>6773</v>
      </c>
      <c r="C1611" s="391" t="s">
        <v>8867</v>
      </c>
      <c r="D1611" s="391" t="s">
        <v>2166</v>
      </c>
    </row>
    <row r="1612" ht="15.75" customHeight="1">
      <c r="B1612" s="391" t="s">
        <v>6786</v>
      </c>
      <c r="C1612" s="391" t="s">
        <v>8867</v>
      </c>
      <c r="D1612" s="391" t="s">
        <v>2166</v>
      </c>
    </row>
    <row r="1613" ht="15.75" customHeight="1">
      <c r="B1613" s="391" t="s">
        <v>6802</v>
      </c>
      <c r="C1613" s="391" t="s">
        <v>8867</v>
      </c>
      <c r="D1613" s="391" t="s">
        <v>2232</v>
      </c>
    </row>
    <row r="1614" ht="15.75" customHeight="1">
      <c r="B1614" s="391" t="s">
        <v>6806</v>
      </c>
      <c r="C1614" s="391" t="s">
        <v>8867</v>
      </c>
      <c r="D1614" s="391" t="s">
        <v>2166</v>
      </c>
    </row>
    <row r="1615" ht="15.75" customHeight="1">
      <c r="B1615" s="391" t="s">
        <v>6777</v>
      </c>
      <c r="C1615" s="391" t="s">
        <v>8868</v>
      </c>
      <c r="D1615" s="391" t="s">
        <v>2195</v>
      </c>
    </row>
    <row r="1616" ht="15.75" customHeight="1">
      <c r="B1616" s="391" t="s">
        <v>6779</v>
      </c>
      <c r="C1616" s="391" t="s">
        <v>8868</v>
      </c>
      <c r="D1616" s="391" t="s">
        <v>2166</v>
      </c>
    </row>
    <row r="1617" ht="15.75" customHeight="1">
      <c r="B1617" s="391" t="s">
        <v>6785</v>
      </c>
      <c r="C1617" s="391" t="s">
        <v>8868</v>
      </c>
      <c r="D1617" s="391" t="s">
        <v>2166</v>
      </c>
    </row>
    <row r="1618" ht="15.75" customHeight="1">
      <c r="B1618" s="391" t="s">
        <v>6828</v>
      </c>
      <c r="C1618" s="391" t="s">
        <v>8868</v>
      </c>
      <c r="D1618" s="391" t="s">
        <v>2166</v>
      </c>
    </row>
    <row r="1619" ht="15.75" customHeight="1">
      <c r="B1619" s="391" t="s">
        <v>6830</v>
      </c>
      <c r="C1619" s="391" t="s">
        <v>8868</v>
      </c>
      <c r="D1619" s="391" t="s">
        <v>2166</v>
      </c>
    </row>
    <row r="1620" ht="15.75" customHeight="1">
      <c r="B1620" s="391" t="s">
        <v>8869</v>
      </c>
      <c r="C1620" s="391" t="s">
        <v>8870</v>
      </c>
      <c r="D1620" s="391" t="s">
        <v>2166</v>
      </c>
    </row>
    <row r="1621" ht="15.75" customHeight="1">
      <c r="B1621" s="391" t="s">
        <v>6744</v>
      </c>
      <c r="C1621" s="391" t="s">
        <v>8871</v>
      </c>
      <c r="D1621" s="391" t="s">
        <v>2195</v>
      </c>
    </row>
    <row r="1622" ht="15.75" customHeight="1">
      <c r="B1622" s="391" t="s">
        <v>6746</v>
      </c>
      <c r="C1622" s="391" t="s">
        <v>8871</v>
      </c>
      <c r="D1622" s="391" t="s">
        <v>2166</v>
      </c>
    </row>
    <row r="1623" ht="15.75" customHeight="1">
      <c r="B1623" s="391" t="s">
        <v>6790</v>
      </c>
      <c r="C1623" s="391" t="s">
        <v>8872</v>
      </c>
      <c r="D1623" s="391" t="s">
        <v>2166</v>
      </c>
    </row>
    <row r="1624" ht="15.75" customHeight="1">
      <c r="B1624" s="391" t="s">
        <v>6437</v>
      </c>
      <c r="C1624" s="391" t="s">
        <v>8873</v>
      </c>
      <c r="D1624" s="391" t="s">
        <v>2195</v>
      </c>
    </row>
    <row r="1625" ht="15.75" customHeight="1">
      <c r="B1625" s="391" t="s">
        <v>8874</v>
      </c>
      <c r="C1625" s="391" t="s">
        <v>8873</v>
      </c>
      <c r="D1625" s="391" t="s">
        <v>2195</v>
      </c>
    </row>
    <row r="1626" ht="15.75" customHeight="1">
      <c r="B1626" s="391" t="s">
        <v>8875</v>
      </c>
      <c r="C1626" s="391" t="s">
        <v>8876</v>
      </c>
      <c r="D1626" s="391" t="s">
        <v>2232</v>
      </c>
    </row>
    <row r="1627" ht="15.75" customHeight="1">
      <c r="B1627" s="391" t="s">
        <v>8877</v>
      </c>
      <c r="C1627" s="391" t="s">
        <v>8876</v>
      </c>
      <c r="D1627" s="391" t="s">
        <v>2232</v>
      </c>
    </row>
    <row r="1628" ht="15.75" customHeight="1">
      <c r="B1628" s="391" t="s">
        <v>8878</v>
      </c>
      <c r="C1628" s="391" t="s">
        <v>8876</v>
      </c>
      <c r="D1628" s="391" t="s">
        <v>2232</v>
      </c>
    </row>
    <row r="1629" ht="15.75" customHeight="1">
      <c r="B1629" s="391" t="s">
        <v>8879</v>
      </c>
      <c r="C1629" s="391" t="s">
        <v>8876</v>
      </c>
      <c r="D1629" s="391" t="s">
        <v>2195</v>
      </c>
    </row>
    <row r="1630" ht="15.75" customHeight="1">
      <c r="B1630" s="391" t="s">
        <v>8880</v>
      </c>
      <c r="C1630" s="391" t="s">
        <v>8876</v>
      </c>
      <c r="D1630" s="391" t="s">
        <v>2232</v>
      </c>
    </row>
    <row r="1631" ht="15.75" customHeight="1">
      <c r="B1631" s="391" t="s">
        <v>8881</v>
      </c>
      <c r="C1631" s="391" t="s">
        <v>8882</v>
      </c>
      <c r="D1631" s="391" t="s">
        <v>2232</v>
      </c>
    </row>
    <row r="1632" ht="15.75" customHeight="1">
      <c r="B1632" s="391" t="s">
        <v>8883</v>
      </c>
      <c r="C1632" s="391" t="s">
        <v>8884</v>
      </c>
      <c r="D1632" s="391" t="s">
        <v>2195</v>
      </c>
    </row>
    <row r="1633" ht="15.75" customHeight="1">
      <c r="B1633" s="391" t="s">
        <v>6426</v>
      </c>
      <c r="C1633" s="391" t="s">
        <v>8884</v>
      </c>
      <c r="D1633" s="391" t="s">
        <v>2166</v>
      </c>
    </row>
    <row r="1634" ht="15.75" customHeight="1">
      <c r="B1634" s="391" t="s">
        <v>8885</v>
      </c>
      <c r="C1634" s="391" t="s">
        <v>8886</v>
      </c>
      <c r="D1634" s="391" t="s">
        <v>2195</v>
      </c>
    </row>
    <row r="1635" ht="15.75" customHeight="1">
      <c r="B1635" s="391" t="s">
        <v>8887</v>
      </c>
      <c r="C1635" s="391" t="s">
        <v>8888</v>
      </c>
      <c r="D1635" s="391" t="s">
        <v>2166</v>
      </c>
    </row>
    <row r="1636" ht="15.75" customHeight="1">
      <c r="B1636" s="391" t="s">
        <v>6599</v>
      </c>
      <c r="C1636" s="391" t="s">
        <v>8889</v>
      </c>
      <c r="D1636" s="391" t="s">
        <v>2166</v>
      </c>
    </row>
    <row r="1637" ht="15.75" customHeight="1">
      <c r="B1637" s="391" t="s">
        <v>6354</v>
      </c>
      <c r="C1637" s="391" t="s">
        <v>8890</v>
      </c>
      <c r="D1637" s="391" t="s">
        <v>2166</v>
      </c>
    </row>
    <row r="1638" ht="15.75" customHeight="1">
      <c r="B1638" s="391" t="s">
        <v>6715</v>
      </c>
      <c r="C1638" s="391" t="s">
        <v>8891</v>
      </c>
      <c r="D1638" s="391" t="s">
        <v>2166</v>
      </c>
    </row>
    <row r="1639" ht="15.75" customHeight="1">
      <c r="B1639" s="391" t="s">
        <v>6673</v>
      </c>
      <c r="C1639" s="391" t="s">
        <v>8892</v>
      </c>
      <c r="D1639" s="391" t="s">
        <v>2166</v>
      </c>
    </row>
    <row r="1640" ht="15.75" customHeight="1">
      <c r="B1640" s="391" t="s">
        <v>8893</v>
      </c>
      <c r="C1640" s="391" t="s">
        <v>8894</v>
      </c>
      <c r="D1640" s="391" t="s">
        <v>2195</v>
      </c>
    </row>
    <row r="1641" ht="15.75" customHeight="1">
      <c r="B1641" s="391" t="s">
        <v>8895</v>
      </c>
      <c r="C1641" s="391" t="s">
        <v>8896</v>
      </c>
      <c r="D1641" s="391" t="s">
        <v>2166</v>
      </c>
    </row>
    <row r="1642" ht="15.75" customHeight="1">
      <c r="B1642" s="391" t="s">
        <v>6316</v>
      </c>
      <c r="C1642" s="391" t="s">
        <v>8897</v>
      </c>
      <c r="D1642" s="391" t="s">
        <v>2166</v>
      </c>
    </row>
    <row r="1643" ht="15.75" customHeight="1">
      <c r="B1643" s="391" t="s">
        <v>6433</v>
      </c>
      <c r="C1643" s="391" t="s">
        <v>8898</v>
      </c>
      <c r="D1643" s="391" t="s">
        <v>2232</v>
      </c>
    </row>
    <row r="1644" ht="15.75" customHeight="1">
      <c r="B1644" s="391" t="s">
        <v>6750</v>
      </c>
      <c r="C1644" s="391" t="s">
        <v>8899</v>
      </c>
      <c r="D1644" s="391" t="s">
        <v>2166</v>
      </c>
    </row>
    <row r="1645" ht="15.75" customHeight="1">
      <c r="B1645" s="391" t="s">
        <v>6754</v>
      </c>
      <c r="C1645" s="391" t="s">
        <v>8899</v>
      </c>
      <c r="D1645" s="391" t="s">
        <v>2166</v>
      </c>
    </row>
    <row r="1646" ht="15.75" customHeight="1">
      <c r="B1646" s="391" t="s">
        <v>6767</v>
      </c>
      <c r="C1646" s="391" t="s">
        <v>8900</v>
      </c>
      <c r="D1646" s="391" t="s">
        <v>2232</v>
      </c>
    </row>
    <row r="1647" ht="15.75" customHeight="1">
      <c r="B1647" s="391" t="s">
        <v>6720</v>
      </c>
      <c r="C1647" s="391" t="s">
        <v>8901</v>
      </c>
      <c r="D1647" s="391" t="s">
        <v>2232</v>
      </c>
    </row>
    <row r="1648" ht="15.75" customHeight="1">
      <c r="B1648" s="391" t="s">
        <v>6722</v>
      </c>
      <c r="C1648" s="391" t="s">
        <v>8901</v>
      </c>
      <c r="D1648" s="391" t="s">
        <v>2166</v>
      </c>
    </row>
    <row r="1649" ht="15.75" customHeight="1">
      <c r="B1649" s="391" t="s">
        <v>6726</v>
      </c>
      <c r="C1649" s="391" t="s">
        <v>8901</v>
      </c>
      <c r="D1649" s="391" t="s">
        <v>2166</v>
      </c>
    </row>
    <row r="1650" ht="15.75" customHeight="1">
      <c r="B1650" s="391" t="s">
        <v>6730</v>
      </c>
      <c r="C1650" s="391" t="s">
        <v>8901</v>
      </c>
      <c r="D1650" s="391" t="s">
        <v>2166</v>
      </c>
    </row>
    <row r="1651" ht="15.75" customHeight="1">
      <c r="B1651" s="391" t="s">
        <v>6732</v>
      </c>
      <c r="C1651" s="391" t="s">
        <v>8901</v>
      </c>
      <c r="D1651" s="391" t="s">
        <v>2166</v>
      </c>
    </row>
    <row r="1652" ht="15.75" customHeight="1">
      <c r="B1652" s="391" t="s">
        <v>6734</v>
      </c>
      <c r="C1652" s="391" t="s">
        <v>8901</v>
      </c>
      <c r="D1652" s="391" t="s">
        <v>2166</v>
      </c>
    </row>
    <row r="1653" ht="15.75" customHeight="1">
      <c r="B1653" s="391" t="s">
        <v>6740</v>
      </c>
      <c r="C1653" s="391" t="s">
        <v>8901</v>
      </c>
      <c r="D1653" s="391" t="s">
        <v>2232</v>
      </c>
    </row>
    <row r="1654" ht="15.75" customHeight="1">
      <c r="B1654" s="391" t="s">
        <v>8902</v>
      </c>
      <c r="C1654" s="391" t="s">
        <v>8903</v>
      </c>
      <c r="D1654" s="391" t="s">
        <v>2195</v>
      </c>
    </row>
    <row r="1655" ht="15.75" customHeight="1">
      <c r="B1655" s="391" t="s">
        <v>8904</v>
      </c>
      <c r="C1655" s="391" t="s">
        <v>8905</v>
      </c>
      <c r="D1655" s="391" t="s">
        <v>2232</v>
      </c>
    </row>
    <row r="1656" ht="15.75" customHeight="1">
      <c r="B1656" s="391" t="s">
        <v>8906</v>
      </c>
      <c r="C1656" s="391" t="s">
        <v>8907</v>
      </c>
      <c r="D1656" s="391" t="s">
        <v>2195</v>
      </c>
    </row>
    <row r="1657" ht="15.75" customHeight="1">
      <c r="B1657" s="391" t="s">
        <v>6343</v>
      </c>
      <c r="C1657" s="391" t="s">
        <v>8908</v>
      </c>
      <c r="D1657" s="391" t="s">
        <v>2166</v>
      </c>
    </row>
    <row r="1658" ht="15.75" customHeight="1">
      <c r="B1658" s="391" t="s">
        <v>6345</v>
      </c>
      <c r="C1658" s="391" t="s">
        <v>8909</v>
      </c>
      <c r="D1658" s="391" t="s">
        <v>2166</v>
      </c>
    </row>
    <row r="1659" ht="15.75" customHeight="1">
      <c r="B1659" s="391" t="s">
        <v>8910</v>
      </c>
      <c r="C1659" s="391" t="s">
        <v>8911</v>
      </c>
      <c r="D1659" s="391" t="s">
        <v>2195</v>
      </c>
    </row>
    <row r="1660" ht="15.75" customHeight="1">
      <c r="B1660" s="391" t="s">
        <v>8912</v>
      </c>
      <c r="C1660" s="391" t="s">
        <v>8913</v>
      </c>
      <c r="D1660" s="391" t="s">
        <v>2166</v>
      </c>
    </row>
    <row r="1661" ht="15.75" customHeight="1">
      <c r="B1661" s="391" t="s">
        <v>6330</v>
      </c>
      <c r="C1661" s="391" t="s">
        <v>8914</v>
      </c>
      <c r="D1661" s="391" t="s">
        <v>2195</v>
      </c>
    </row>
    <row r="1662" ht="15.75" customHeight="1">
      <c r="B1662" s="391" t="s">
        <v>8915</v>
      </c>
      <c r="C1662" s="391" t="s">
        <v>8916</v>
      </c>
      <c r="D1662" s="391" t="s">
        <v>2232</v>
      </c>
    </row>
    <row r="1663" ht="15.75" customHeight="1">
      <c r="B1663" s="391" t="s">
        <v>8917</v>
      </c>
      <c r="C1663" s="391" t="s">
        <v>8918</v>
      </c>
      <c r="D1663" s="391" t="s">
        <v>2195</v>
      </c>
    </row>
    <row r="1664" ht="15.75" customHeight="1">
      <c r="B1664" s="391" t="s">
        <v>6393</v>
      </c>
      <c r="C1664" s="391" t="s">
        <v>8919</v>
      </c>
      <c r="D1664" s="391" t="s">
        <v>2195</v>
      </c>
    </row>
    <row r="1665" ht="15.75" customHeight="1">
      <c r="B1665" s="391" t="s">
        <v>8920</v>
      </c>
      <c r="C1665" s="391" t="s">
        <v>8921</v>
      </c>
      <c r="D1665" s="391" t="s">
        <v>2166</v>
      </c>
    </row>
    <row r="1666" ht="15.75" customHeight="1">
      <c r="B1666" s="391" t="s">
        <v>8922</v>
      </c>
      <c r="C1666" s="391" t="s">
        <v>8923</v>
      </c>
      <c r="D1666" s="391" t="s">
        <v>2195</v>
      </c>
    </row>
    <row r="1667" ht="15.75" customHeight="1">
      <c r="B1667" s="391" t="s">
        <v>6397</v>
      </c>
      <c r="C1667" s="391" t="s">
        <v>8924</v>
      </c>
      <c r="D1667" s="391" t="s">
        <v>2166</v>
      </c>
    </row>
    <row r="1668" ht="15.75" customHeight="1">
      <c r="B1668" s="391" t="s">
        <v>6377</v>
      </c>
      <c r="C1668" s="391" t="s">
        <v>8924</v>
      </c>
      <c r="D1668" s="391" t="s">
        <v>2166</v>
      </c>
    </row>
    <row r="1669" ht="15.75" customHeight="1">
      <c r="B1669" s="391" t="s">
        <v>8925</v>
      </c>
      <c r="C1669" s="391" t="s">
        <v>8926</v>
      </c>
      <c r="D1669" s="391" t="s">
        <v>2166</v>
      </c>
    </row>
    <row r="1670" ht="15.75" customHeight="1">
      <c r="B1670" s="391" t="s">
        <v>8927</v>
      </c>
      <c r="C1670" s="391" t="s">
        <v>8928</v>
      </c>
      <c r="D1670" s="391" t="s">
        <v>2232</v>
      </c>
    </row>
    <row r="1671" ht="15.75" customHeight="1">
      <c r="B1671" s="391" t="s">
        <v>8929</v>
      </c>
      <c r="C1671" s="391" t="s">
        <v>8930</v>
      </c>
      <c r="D1671" s="391" t="s">
        <v>2232</v>
      </c>
    </row>
    <row r="1672" ht="15.75" customHeight="1">
      <c r="B1672" s="391" t="s">
        <v>8931</v>
      </c>
      <c r="C1672" s="391" t="s">
        <v>8932</v>
      </c>
      <c r="D1672" s="391" t="s">
        <v>2195</v>
      </c>
    </row>
    <row r="1673" ht="15.75" customHeight="1">
      <c r="B1673" s="391" t="s">
        <v>4151</v>
      </c>
      <c r="C1673" s="391" t="s">
        <v>8933</v>
      </c>
      <c r="D1673" s="391" t="s">
        <v>2232</v>
      </c>
    </row>
    <row r="1674" ht="15.75" customHeight="1">
      <c r="B1674" s="391" t="s">
        <v>8934</v>
      </c>
      <c r="C1674" s="391" t="s">
        <v>8935</v>
      </c>
      <c r="D1674" s="391" t="s">
        <v>2195</v>
      </c>
    </row>
    <row r="1675" ht="15.75" customHeight="1">
      <c r="B1675" s="391" t="s">
        <v>8936</v>
      </c>
      <c r="C1675" s="391" t="s">
        <v>8937</v>
      </c>
      <c r="D1675" s="391" t="s">
        <v>2195</v>
      </c>
    </row>
    <row r="1676" ht="15.75" customHeight="1">
      <c r="B1676" s="391" t="s">
        <v>8938</v>
      </c>
      <c r="C1676" s="391" t="s">
        <v>8939</v>
      </c>
      <c r="D1676" s="391" t="s">
        <v>2232</v>
      </c>
    </row>
    <row r="1677" ht="15.75" customHeight="1">
      <c r="B1677" s="391" t="s">
        <v>8940</v>
      </c>
      <c r="C1677" s="391" t="s">
        <v>8939</v>
      </c>
      <c r="D1677" s="391" t="s">
        <v>2195</v>
      </c>
    </row>
    <row r="1678" ht="15.75" customHeight="1">
      <c r="B1678" s="391" t="s">
        <v>8941</v>
      </c>
      <c r="C1678" s="391" t="s">
        <v>8942</v>
      </c>
      <c r="D1678" s="391" t="s">
        <v>2195</v>
      </c>
    </row>
    <row r="1679" ht="15.75" customHeight="1">
      <c r="B1679" s="391" t="s">
        <v>8943</v>
      </c>
      <c r="C1679" s="391" t="s">
        <v>8942</v>
      </c>
      <c r="D1679" s="391" t="s">
        <v>2195</v>
      </c>
    </row>
    <row r="1680" ht="15.75" customHeight="1">
      <c r="B1680" s="391" t="s">
        <v>8944</v>
      </c>
      <c r="C1680" s="391" t="s">
        <v>8942</v>
      </c>
      <c r="D1680" s="391" t="s">
        <v>2195</v>
      </c>
    </row>
    <row r="1681" ht="15.75" customHeight="1">
      <c r="B1681" s="391" t="s">
        <v>8945</v>
      </c>
      <c r="C1681" s="391" t="s">
        <v>8942</v>
      </c>
      <c r="D1681" s="391" t="s">
        <v>2195</v>
      </c>
    </row>
    <row r="1682" ht="15.75" customHeight="1">
      <c r="B1682" s="391" t="s">
        <v>8946</v>
      </c>
      <c r="C1682" s="391" t="s">
        <v>8942</v>
      </c>
      <c r="D1682" s="391" t="s">
        <v>2195</v>
      </c>
    </row>
    <row r="1683" ht="15.75" customHeight="1">
      <c r="B1683" s="391" t="s">
        <v>8947</v>
      </c>
      <c r="C1683" s="391" t="s">
        <v>8948</v>
      </c>
      <c r="D1683" s="391" t="s">
        <v>2166</v>
      </c>
    </row>
    <row r="1684" ht="15.75" customHeight="1">
      <c r="B1684" s="391" t="s">
        <v>8949</v>
      </c>
      <c r="C1684" s="391" t="s">
        <v>8950</v>
      </c>
      <c r="D1684" s="391" t="s">
        <v>2232</v>
      </c>
    </row>
    <row r="1685" ht="15.75" customHeight="1">
      <c r="B1685" s="391" t="s">
        <v>946</v>
      </c>
      <c r="C1685" s="391" t="s">
        <v>8951</v>
      </c>
      <c r="D1685" s="391" t="s">
        <v>2195</v>
      </c>
    </row>
    <row r="1686" ht="15.75" customHeight="1">
      <c r="B1686" s="391" t="s">
        <v>952</v>
      </c>
      <c r="C1686" s="391" t="s">
        <v>8951</v>
      </c>
      <c r="D1686" s="391" t="s">
        <v>2232</v>
      </c>
    </row>
    <row r="1687" ht="15.75" customHeight="1">
      <c r="B1687" s="391" t="s">
        <v>284</v>
      </c>
      <c r="C1687" s="391" t="s">
        <v>8951</v>
      </c>
      <c r="D1687" s="391" t="s">
        <v>2166</v>
      </c>
    </row>
    <row r="1688" ht="15.75" customHeight="1">
      <c r="B1688" s="391" t="s">
        <v>286</v>
      </c>
      <c r="C1688" s="391" t="s">
        <v>8951</v>
      </c>
      <c r="D1688" s="391" t="s">
        <v>2166</v>
      </c>
    </row>
    <row r="1689" ht="15.75" customHeight="1">
      <c r="B1689" s="391" t="s">
        <v>725</v>
      </c>
      <c r="C1689" s="391" t="s">
        <v>8952</v>
      </c>
      <c r="D1689" s="391" t="s">
        <v>2166</v>
      </c>
    </row>
    <row r="1690" ht="15.75" customHeight="1">
      <c r="B1690" s="391" t="s">
        <v>994</v>
      </c>
      <c r="C1690" s="391" t="s">
        <v>8953</v>
      </c>
      <c r="D1690" s="391" t="s">
        <v>2232</v>
      </c>
    </row>
    <row r="1691" ht="15.75" customHeight="1">
      <c r="B1691" s="391" t="s">
        <v>8954</v>
      </c>
      <c r="C1691" s="391" t="s">
        <v>8955</v>
      </c>
      <c r="D1691" s="391" t="s">
        <v>2195</v>
      </c>
    </row>
    <row r="1692" ht="15.75" customHeight="1">
      <c r="B1692" s="391" t="s">
        <v>8956</v>
      </c>
      <c r="C1692" s="391" t="s">
        <v>8955</v>
      </c>
      <c r="D1692" s="391" t="s">
        <v>2232</v>
      </c>
    </row>
    <row r="1693" ht="15.75" customHeight="1">
      <c r="B1693" s="391" t="s">
        <v>1283</v>
      </c>
      <c r="C1693" s="391" t="s">
        <v>8957</v>
      </c>
      <c r="D1693" s="391" t="s">
        <v>2166</v>
      </c>
    </row>
    <row r="1694" ht="15.75" customHeight="1">
      <c r="B1694" s="391" t="s">
        <v>1631</v>
      </c>
      <c r="C1694" s="391" t="s">
        <v>8958</v>
      </c>
      <c r="D1694" s="391" t="s">
        <v>2232</v>
      </c>
    </row>
    <row r="1695" ht="15.75" customHeight="1">
      <c r="B1695" s="391" t="s">
        <v>1640</v>
      </c>
      <c r="C1695" s="391" t="s">
        <v>8958</v>
      </c>
      <c r="D1695" s="391" t="s">
        <v>2232</v>
      </c>
    </row>
    <row r="1696" ht="15.75" customHeight="1">
      <c r="B1696" s="391" t="s">
        <v>8959</v>
      </c>
      <c r="C1696" s="391" t="s">
        <v>8960</v>
      </c>
      <c r="D1696" s="391" t="s">
        <v>2166</v>
      </c>
    </row>
    <row r="1697" ht="15.75" customHeight="1">
      <c r="B1697" s="391" t="s">
        <v>1633</v>
      </c>
      <c r="C1697" s="391" t="s">
        <v>8961</v>
      </c>
      <c r="D1697" s="391" t="s">
        <v>2232</v>
      </c>
    </row>
    <row r="1698" ht="15.75" customHeight="1">
      <c r="B1698" s="391" t="s">
        <v>178</v>
      </c>
      <c r="C1698" s="391" t="s">
        <v>8961</v>
      </c>
      <c r="D1698" s="391" t="s">
        <v>2166</v>
      </c>
    </row>
    <row r="1699" ht="15.75" customHeight="1">
      <c r="B1699" s="391" t="s">
        <v>182</v>
      </c>
      <c r="C1699" s="391" t="s">
        <v>8961</v>
      </c>
      <c r="D1699" s="391" t="s">
        <v>2232</v>
      </c>
    </row>
    <row r="1700" ht="15.75" customHeight="1">
      <c r="B1700" s="391" t="s">
        <v>8962</v>
      </c>
      <c r="C1700" s="391" t="s">
        <v>8963</v>
      </c>
      <c r="D1700" s="391" t="s">
        <v>2232</v>
      </c>
    </row>
    <row r="1701" ht="15.75" customHeight="1">
      <c r="B1701" s="391" t="s">
        <v>939</v>
      </c>
      <c r="C1701" s="391" t="s">
        <v>8964</v>
      </c>
      <c r="D1701" s="391" t="s">
        <v>2232</v>
      </c>
    </row>
    <row r="1702" ht="15.75" customHeight="1">
      <c r="B1702" s="391" t="s">
        <v>479</v>
      </c>
      <c r="C1702" s="391" t="s">
        <v>8965</v>
      </c>
      <c r="D1702" s="391" t="s">
        <v>2232</v>
      </c>
    </row>
    <row r="1703" ht="15.75" customHeight="1">
      <c r="B1703" s="391" t="s">
        <v>8966</v>
      </c>
      <c r="C1703" s="391" t="s">
        <v>8967</v>
      </c>
      <c r="D1703" s="391" t="s">
        <v>2195</v>
      </c>
    </row>
    <row r="1704" ht="15.75" customHeight="1">
      <c r="B1704" s="391" t="s">
        <v>477</v>
      </c>
      <c r="C1704" s="391" t="s">
        <v>8967</v>
      </c>
      <c r="D1704" s="391" t="s">
        <v>2166</v>
      </c>
    </row>
    <row r="1705" ht="15.75" customHeight="1">
      <c r="B1705" s="391" t="s">
        <v>8968</v>
      </c>
      <c r="C1705" s="391" t="s">
        <v>8967</v>
      </c>
      <c r="D1705" s="391" t="s">
        <v>2232</v>
      </c>
    </row>
    <row r="1706" ht="15.75" customHeight="1">
      <c r="B1706" s="391" t="s">
        <v>924</v>
      </c>
      <c r="C1706" s="391" t="s">
        <v>8967</v>
      </c>
      <c r="D1706" s="391" t="s">
        <v>2232</v>
      </c>
    </row>
    <row r="1707" ht="15.75" customHeight="1">
      <c r="B1707" s="391" t="s">
        <v>926</v>
      </c>
      <c r="C1707" s="391" t="s">
        <v>8967</v>
      </c>
      <c r="D1707" s="391" t="s">
        <v>2232</v>
      </c>
    </row>
    <row r="1708" ht="15.75" customHeight="1">
      <c r="B1708" s="391" t="s">
        <v>467</v>
      </c>
      <c r="C1708" s="391" t="s">
        <v>8969</v>
      </c>
      <c r="D1708" s="391" t="s">
        <v>2166</v>
      </c>
    </row>
    <row r="1709" ht="15.75" customHeight="1">
      <c r="B1709" s="391" t="s">
        <v>473</v>
      </c>
      <c r="C1709" s="391" t="s">
        <v>8969</v>
      </c>
      <c r="D1709" s="391" t="s">
        <v>2166</v>
      </c>
    </row>
    <row r="1710" ht="15.75" customHeight="1">
      <c r="B1710" s="391" t="s">
        <v>511</v>
      </c>
      <c r="C1710" s="391" t="s">
        <v>8970</v>
      </c>
      <c r="D1710" s="391" t="s">
        <v>2166</v>
      </c>
    </row>
    <row r="1711" ht="15.75" customHeight="1">
      <c r="B1711" s="391" t="s">
        <v>8971</v>
      </c>
      <c r="C1711" s="391" t="s">
        <v>8970</v>
      </c>
      <c r="D1711" s="391" t="s">
        <v>2232</v>
      </c>
    </row>
    <row r="1712" ht="15.75" customHeight="1">
      <c r="B1712" s="391" t="s">
        <v>576</v>
      </c>
      <c r="C1712" s="391" t="s">
        <v>8970</v>
      </c>
      <c r="D1712" s="391" t="s">
        <v>2232</v>
      </c>
    </row>
    <row r="1713" ht="15.75" customHeight="1">
      <c r="B1713" s="391" t="s">
        <v>584</v>
      </c>
      <c r="C1713" s="391" t="s">
        <v>8970</v>
      </c>
      <c r="D1713" s="391" t="s">
        <v>2232</v>
      </c>
    </row>
    <row r="1714" ht="15.75" customHeight="1">
      <c r="B1714" s="391" t="s">
        <v>481</v>
      </c>
      <c r="C1714" s="391" t="s">
        <v>8972</v>
      </c>
      <c r="D1714" s="391" t="s">
        <v>2166</v>
      </c>
    </row>
    <row r="1715" ht="15.75" customHeight="1">
      <c r="B1715" s="391" t="s">
        <v>8973</v>
      </c>
      <c r="C1715" s="391" t="s">
        <v>8974</v>
      </c>
      <c r="D1715" s="391" t="s">
        <v>2232</v>
      </c>
    </row>
    <row r="1716" ht="15.75" customHeight="1">
      <c r="B1716" s="391" t="s">
        <v>1604</v>
      </c>
      <c r="C1716" s="391" t="s">
        <v>8975</v>
      </c>
      <c r="D1716" s="391" t="s">
        <v>2232</v>
      </c>
    </row>
    <row r="1717" ht="15.75" customHeight="1">
      <c r="B1717" s="391" t="s">
        <v>8976</v>
      </c>
      <c r="C1717" s="391" t="s">
        <v>8977</v>
      </c>
      <c r="D1717" s="391" t="s">
        <v>2195</v>
      </c>
    </row>
    <row r="1718" ht="15.75" customHeight="1">
      <c r="B1718" s="391" t="s">
        <v>8978</v>
      </c>
      <c r="C1718" s="391" t="s">
        <v>8977</v>
      </c>
      <c r="D1718" s="391" t="s">
        <v>2195</v>
      </c>
    </row>
    <row r="1719" ht="15.75" customHeight="1">
      <c r="B1719" s="391" t="s">
        <v>8979</v>
      </c>
      <c r="C1719" s="391" t="s">
        <v>8977</v>
      </c>
      <c r="D1719" s="391" t="s">
        <v>2195</v>
      </c>
    </row>
    <row r="1720" ht="15.75" customHeight="1">
      <c r="B1720" s="391" t="s">
        <v>8980</v>
      </c>
      <c r="C1720" s="391" t="s">
        <v>8977</v>
      </c>
      <c r="D1720" s="391" t="s">
        <v>2195</v>
      </c>
    </row>
    <row r="1721" ht="15.75" customHeight="1">
      <c r="B1721" s="391" t="s">
        <v>8981</v>
      </c>
      <c r="C1721" s="391" t="s">
        <v>8977</v>
      </c>
      <c r="D1721" s="391" t="s">
        <v>2195</v>
      </c>
    </row>
    <row r="1722" ht="15.75" customHeight="1">
      <c r="B1722" s="391" t="s">
        <v>8982</v>
      </c>
      <c r="C1722" s="391" t="s">
        <v>8977</v>
      </c>
      <c r="D1722" s="391" t="s">
        <v>2195</v>
      </c>
    </row>
    <row r="1723" ht="15.75" customHeight="1">
      <c r="B1723" s="391" t="s">
        <v>66</v>
      </c>
      <c r="C1723" s="391" t="s">
        <v>8977</v>
      </c>
      <c r="D1723" s="391" t="s">
        <v>2195</v>
      </c>
    </row>
    <row r="1724" ht="15.75" customHeight="1">
      <c r="B1724" s="391" t="s">
        <v>68</v>
      </c>
      <c r="C1724" s="391" t="s">
        <v>8977</v>
      </c>
      <c r="D1724" s="391" t="s">
        <v>2166</v>
      </c>
    </row>
    <row r="1725" ht="15.75" customHeight="1">
      <c r="B1725" s="391" t="s">
        <v>8983</v>
      </c>
      <c r="C1725" s="391" t="s">
        <v>8977</v>
      </c>
      <c r="D1725" s="391" t="s">
        <v>2195</v>
      </c>
    </row>
    <row r="1726" ht="15.75" customHeight="1">
      <c r="B1726" s="391" t="s">
        <v>8984</v>
      </c>
      <c r="C1726" s="391" t="s">
        <v>8977</v>
      </c>
      <c r="D1726" s="391" t="s">
        <v>2195</v>
      </c>
    </row>
    <row r="1727" ht="15.75" customHeight="1">
      <c r="B1727" s="391" t="s">
        <v>8985</v>
      </c>
      <c r="C1727" s="391" t="s">
        <v>8977</v>
      </c>
      <c r="D1727" s="391" t="s">
        <v>2195</v>
      </c>
    </row>
    <row r="1728" ht="15.75" customHeight="1">
      <c r="B1728" s="391" t="s">
        <v>8986</v>
      </c>
      <c r="C1728" s="391" t="s">
        <v>8977</v>
      </c>
      <c r="D1728" s="391" t="s">
        <v>2195</v>
      </c>
    </row>
    <row r="1729" ht="15.75" customHeight="1">
      <c r="B1729" s="391" t="s">
        <v>8987</v>
      </c>
      <c r="C1729" s="391" t="s">
        <v>8977</v>
      </c>
      <c r="D1729" s="391" t="s">
        <v>2195</v>
      </c>
    </row>
    <row r="1730" ht="15.75" customHeight="1">
      <c r="B1730" s="391" t="s">
        <v>8988</v>
      </c>
      <c r="C1730" s="391" t="s">
        <v>8989</v>
      </c>
      <c r="D1730" s="391" t="s">
        <v>2195</v>
      </c>
    </row>
    <row r="1731" ht="15.75" customHeight="1">
      <c r="B1731" s="391" t="s">
        <v>8990</v>
      </c>
      <c r="C1731" s="391" t="s">
        <v>8989</v>
      </c>
      <c r="D1731" s="391" t="s">
        <v>2195</v>
      </c>
    </row>
    <row r="1732" ht="15.75" customHeight="1">
      <c r="B1732" s="391" t="s">
        <v>8991</v>
      </c>
      <c r="C1732" s="391" t="s">
        <v>8989</v>
      </c>
      <c r="D1732" s="391" t="s">
        <v>2195</v>
      </c>
    </row>
    <row r="1733" ht="15.75" customHeight="1">
      <c r="B1733" s="391" t="s">
        <v>8992</v>
      </c>
      <c r="C1733" s="391" t="s">
        <v>8989</v>
      </c>
      <c r="D1733" s="391" t="s">
        <v>2195</v>
      </c>
    </row>
    <row r="1734" ht="15.75" customHeight="1">
      <c r="B1734" s="391" t="s">
        <v>8993</v>
      </c>
      <c r="C1734" s="391" t="s">
        <v>8989</v>
      </c>
      <c r="D1734" s="391" t="s">
        <v>2195</v>
      </c>
    </row>
    <row r="1735" ht="15.75" customHeight="1">
      <c r="B1735" s="391" t="s">
        <v>8994</v>
      </c>
      <c r="C1735" s="391" t="s">
        <v>8989</v>
      </c>
      <c r="D1735" s="391" t="s">
        <v>2195</v>
      </c>
    </row>
    <row r="1736" ht="15.75" customHeight="1">
      <c r="B1736" s="391" t="s">
        <v>8995</v>
      </c>
      <c r="C1736" s="391" t="s">
        <v>8989</v>
      </c>
      <c r="D1736" s="391" t="s">
        <v>2195</v>
      </c>
    </row>
    <row r="1737" ht="15.75" customHeight="1">
      <c r="B1737" s="391" t="s">
        <v>8996</v>
      </c>
      <c r="C1737" s="391" t="s">
        <v>8989</v>
      </c>
      <c r="D1737" s="391" t="s">
        <v>2195</v>
      </c>
    </row>
    <row r="1738" ht="15.75" customHeight="1">
      <c r="B1738" s="391" t="s">
        <v>8997</v>
      </c>
      <c r="C1738" s="391" t="s">
        <v>8989</v>
      </c>
      <c r="D1738" s="391" t="s">
        <v>2232</v>
      </c>
    </row>
    <row r="1739" ht="15.75" customHeight="1">
      <c r="B1739" s="391" t="s">
        <v>8998</v>
      </c>
      <c r="C1739" s="391" t="s">
        <v>8989</v>
      </c>
      <c r="D1739" s="391" t="s">
        <v>2195</v>
      </c>
    </row>
    <row r="1740" ht="15.75" customHeight="1">
      <c r="B1740" s="391" t="s">
        <v>32</v>
      </c>
      <c r="C1740" s="391" t="s">
        <v>8999</v>
      </c>
      <c r="D1740" s="391" t="s">
        <v>2166</v>
      </c>
    </row>
    <row r="1741" ht="15.75" customHeight="1">
      <c r="B1741" s="391" t="s">
        <v>9000</v>
      </c>
      <c r="C1741" s="391" t="s">
        <v>8999</v>
      </c>
      <c r="D1741" s="391" t="s">
        <v>2195</v>
      </c>
    </row>
    <row r="1742" ht="15.75" customHeight="1">
      <c r="B1742" s="391" t="s">
        <v>9001</v>
      </c>
      <c r="C1742" s="391" t="s">
        <v>8999</v>
      </c>
      <c r="D1742" s="391" t="s">
        <v>2195</v>
      </c>
    </row>
    <row r="1743" ht="15.75" customHeight="1">
      <c r="B1743" s="391" t="s">
        <v>9002</v>
      </c>
      <c r="C1743" s="391" t="s">
        <v>9003</v>
      </c>
      <c r="D1743" s="391" t="s">
        <v>2195</v>
      </c>
    </row>
    <row r="1744" ht="15.75" customHeight="1">
      <c r="B1744" s="391" t="s">
        <v>9004</v>
      </c>
      <c r="C1744" s="391" t="s">
        <v>9003</v>
      </c>
      <c r="D1744" s="391" t="s">
        <v>2195</v>
      </c>
    </row>
    <row r="1745" ht="15.75" customHeight="1">
      <c r="B1745" s="391" t="s">
        <v>9005</v>
      </c>
      <c r="C1745" s="391" t="s">
        <v>9006</v>
      </c>
      <c r="D1745" s="391" t="s">
        <v>2232</v>
      </c>
    </row>
    <row r="1746" ht="15.75" customHeight="1">
      <c r="B1746" s="391" t="s">
        <v>9007</v>
      </c>
      <c r="C1746" s="391" t="s">
        <v>9006</v>
      </c>
      <c r="D1746" s="391" t="s">
        <v>2166</v>
      </c>
    </row>
    <row r="1747" ht="15.75" customHeight="1">
      <c r="B1747" s="391" t="s">
        <v>9008</v>
      </c>
      <c r="C1747" s="391" t="s">
        <v>9006</v>
      </c>
      <c r="D1747" s="391" t="s">
        <v>2195</v>
      </c>
    </row>
    <row r="1748" ht="15.75" customHeight="1">
      <c r="B1748" s="391" t="s">
        <v>9009</v>
      </c>
      <c r="C1748" s="391" t="s">
        <v>9006</v>
      </c>
      <c r="D1748" s="391" t="s">
        <v>2195</v>
      </c>
    </row>
    <row r="1749" ht="15.75" customHeight="1">
      <c r="B1749" s="391" t="s">
        <v>9010</v>
      </c>
      <c r="C1749" s="391" t="s">
        <v>9011</v>
      </c>
      <c r="D1749" s="391" t="s">
        <v>2166</v>
      </c>
    </row>
    <row r="1750" ht="15.75" customHeight="1">
      <c r="B1750" s="391" t="s">
        <v>9012</v>
      </c>
      <c r="C1750" s="391" t="s">
        <v>9011</v>
      </c>
      <c r="D1750" s="391" t="s">
        <v>2166</v>
      </c>
    </row>
    <row r="1751" ht="15.75" customHeight="1">
      <c r="B1751" s="391" t="s">
        <v>9013</v>
      </c>
      <c r="C1751" s="391" t="s">
        <v>9014</v>
      </c>
      <c r="D1751" s="391" t="s">
        <v>2195</v>
      </c>
    </row>
    <row r="1752" ht="15.75" customHeight="1">
      <c r="B1752" s="391" t="s">
        <v>9015</v>
      </c>
      <c r="C1752" s="391" t="s">
        <v>9014</v>
      </c>
      <c r="D1752" s="391" t="s">
        <v>2195</v>
      </c>
    </row>
    <row r="1753" ht="15.75" customHeight="1">
      <c r="B1753" s="391" t="s">
        <v>9016</v>
      </c>
      <c r="C1753" s="391" t="s">
        <v>9014</v>
      </c>
      <c r="D1753" s="391" t="s">
        <v>2232</v>
      </c>
    </row>
    <row r="1754" ht="15.75" customHeight="1">
      <c r="B1754" s="391" t="s">
        <v>9017</v>
      </c>
      <c r="C1754" s="391" t="s">
        <v>9014</v>
      </c>
      <c r="D1754" s="391" t="s">
        <v>2166</v>
      </c>
    </row>
    <row r="1755" ht="15.75" customHeight="1">
      <c r="B1755" s="391" t="s">
        <v>9018</v>
      </c>
      <c r="C1755" s="391" t="s">
        <v>9014</v>
      </c>
      <c r="D1755" s="391" t="s">
        <v>2195</v>
      </c>
    </row>
    <row r="1756" ht="15.75" customHeight="1">
      <c r="B1756" s="391" t="s">
        <v>9019</v>
      </c>
      <c r="C1756" s="391" t="s">
        <v>9014</v>
      </c>
      <c r="D1756" s="391" t="s">
        <v>2232</v>
      </c>
    </row>
    <row r="1757" ht="15.75" customHeight="1">
      <c r="B1757" s="391" t="s">
        <v>9020</v>
      </c>
      <c r="C1757" s="391" t="s">
        <v>9014</v>
      </c>
      <c r="D1757" s="391" t="s">
        <v>2232</v>
      </c>
    </row>
    <row r="1758" ht="15.75" customHeight="1">
      <c r="B1758" s="391" t="s">
        <v>9021</v>
      </c>
      <c r="C1758" s="391" t="s">
        <v>9014</v>
      </c>
      <c r="D1758" s="391" t="s">
        <v>2195</v>
      </c>
    </row>
    <row r="1759" ht="15.75" customHeight="1">
      <c r="B1759" s="391" t="s">
        <v>9022</v>
      </c>
      <c r="C1759" s="391" t="s">
        <v>9014</v>
      </c>
      <c r="D1759" s="391" t="s">
        <v>2232</v>
      </c>
    </row>
    <row r="1760" ht="15.75" customHeight="1">
      <c r="B1760" s="391" t="s">
        <v>9023</v>
      </c>
      <c r="C1760" s="391" t="s">
        <v>9014</v>
      </c>
      <c r="D1760" s="391" t="s">
        <v>2195</v>
      </c>
    </row>
    <row r="1761" ht="15.75" customHeight="1">
      <c r="B1761" s="391" t="s">
        <v>9024</v>
      </c>
      <c r="C1761" s="391" t="s">
        <v>9014</v>
      </c>
      <c r="D1761" s="391" t="s">
        <v>2195</v>
      </c>
    </row>
    <row r="1762" ht="15.75" customHeight="1">
      <c r="B1762" s="391" t="s">
        <v>9025</v>
      </c>
      <c r="C1762" s="391" t="s">
        <v>9014</v>
      </c>
      <c r="D1762" s="391" t="s">
        <v>2195</v>
      </c>
    </row>
    <row r="1763" ht="15.75" customHeight="1">
      <c r="B1763" s="391" t="s">
        <v>9026</v>
      </c>
      <c r="C1763" s="391" t="s">
        <v>9014</v>
      </c>
      <c r="D1763" s="391" t="s">
        <v>2195</v>
      </c>
    </row>
    <row r="1764" ht="15.75" customHeight="1">
      <c r="B1764" s="391" t="s">
        <v>9027</v>
      </c>
      <c r="C1764" s="391" t="s">
        <v>9014</v>
      </c>
      <c r="D1764" s="391" t="s">
        <v>2195</v>
      </c>
    </row>
    <row r="1765" ht="15.75" customHeight="1">
      <c r="B1765" s="391" t="s">
        <v>9028</v>
      </c>
      <c r="C1765" s="391" t="s">
        <v>9014</v>
      </c>
      <c r="D1765" s="391" t="s">
        <v>2195</v>
      </c>
    </row>
    <row r="1766" ht="15.75" customHeight="1">
      <c r="B1766" s="391" t="s">
        <v>9029</v>
      </c>
      <c r="C1766" s="391" t="s">
        <v>9014</v>
      </c>
      <c r="D1766" s="391" t="s">
        <v>2195</v>
      </c>
    </row>
    <row r="1767" ht="15.75" customHeight="1">
      <c r="B1767" s="391" t="s">
        <v>9030</v>
      </c>
      <c r="C1767" s="391" t="s">
        <v>9014</v>
      </c>
      <c r="D1767" s="391" t="s">
        <v>2195</v>
      </c>
    </row>
    <row r="1768" ht="15.75" customHeight="1">
      <c r="B1768" s="391" t="s">
        <v>9031</v>
      </c>
      <c r="C1768" s="391" t="s">
        <v>9014</v>
      </c>
      <c r="D1768" s="391" t="s">
        <v>2195</v>
      </c>
    </row>
    <row r="1769" ht="15.75" customHeight="1">
      <c r="B1769" s="391" t="s">
        <v>9032</v>
      </c>
      <c r="C1769" s="391" t="s">
        <v>9014</v>
      </c>
      <c r="D1769" s="391" t="s">
        <v>2195</v>
      </c>
    </row>
    <row r="1770" ht="15.75" customHeight="1">
      <c r="B1770" s="391" t="s">
        <v>9033</v>
      </c>
      <c r="C1770" s="391" t="s">
        <v>9014</v>
      </c>
      <c r="D1770" s="391" t="s">
        <v>2195</v>
      </c>
    </row>
    <row r="1771" ht="15.75" customHeight="1">
      <c r="B1771" s="391" t="s">
        <v>9034</v>
      </c>
      <c r="C1771" s="391" t="s">
        <v>9014</v>
      </c>
      <c r="D1771" s="391" t="s">
        <v>2195</v>
      </c>
    </row>
    <row r="1772" ht="15.75" customHeight="1">
      <c r="B1772" s="391" t="s">
        <v>9035</v>
      </c>
      <c r="C1772" s="391" t="s">
        <v>9014</v>
      </c>
      <c r="D1772" s="391" t="s">
        <v>2195</v>
      </c>
    </row>
    <row r="1773" ht="15.75" customHeight="1">
      <c r="B1773" s="391" t="s">
        <v>9036</v>
      </c>
      <c r="C1773" s="391" t="s">
        <v>9037</v>
      </c>
      <c r="D1773" s="391" t="s">
        <v>2195</v>
      </c>
    </row>
    <row r="1774" ht="15.75" customHeight="1">
      <c r="B1774" s="391" t="s">
        <v>9038</v>
      </c>
      <c r="C1774" s="391" t="s">
        <v>9037</v>
      </c>
      <c r="D1774" s="391" t="s">
        <v>2195</v>
      </c>
    </row>
    <row r="1775" ht="15.75" customHeight="1">
      <c r="B1775" s="391" t="s">
        <v>7266</v>
      </c>
      <c r="C1775" s="391" t="s">
        <v>9037</v>
      </c>
      <c r="D1775" s="391" t="s">
        <v>2195</v>
      </c>
    </row>
    <row r="1776" ht="15.75" customHeight="1">
      <c r="B1776" s="391" t="s">
        <v>9039</v>
      </c>
      <c r="C1776" s="391" t="s">
        <v>9037</v>
      </c>
      <c r="D1776" s="391" t="s">
        <v>2195</v>
      </c>
    </row>
    <row r="1777" ht="15.75" customHeight="1">
      <c r="B1777" s="391" t="s">
        <v>9040</v>
      </c>
      <c r="C1777" s="391" t="s">
        <v>9037</v>
      </c>
      <c r="D1777" s="391" t="s">
        <v>2195</v>
      </c>
    </row>
    <row r="1778" ht="15.75" customHeight="1">
      <c r="B1778" s="391" t="s">
        <v>9041</v>
      </c>
      <c r="C1778" s="391" t="s">
        <v>9037</v>
      </c>
      <c r="D1778" s="391" t="s">
        <v>2195</v>
      </c>
    </row>
    <row r="1779" ht="15.75" customHeight="1">
      <c r="B1779" s="391" t="s">
        <v>9042</v>
      </c>
      <c r="C1779" s="391" t="s">
        <v>9037</v>
      </c>
      <c r="D1779" s="391" t="s">
        <v>2195</v>
      </c>
    </row>
    <row r="1780" ht="15.75" customHeight="1">
      <c r="B1780" s="391" t="s">
        <v>9043</v>
      </c>
      <c r="C1780" s="391" t="s">
        <v>9037</v>
      </c>
      <c r="D1780" s="391" t="s">
        <v>2195</v>
      </c>
    </row>
    <row r="1781" ht="15.75" customHeight="1">
      <c r="B1781" s="391" t="s">
        <v>9044</v>
      </c>
      <c r="C1781" s="391" t="s">
        <v>9037</v>
      </c>
      <c r="D1781" s="391" t="s">
        <v>2195</v>
      </c>
    </row>
    <row r="1782" ht="15.75" customHeight="1">
      <c r="B1782" s="391" t="s">
        <v>9045</v>
      </c>
      <c r="C1782" s="391" t="s">
        <v>9037</v>
      </c>
      <c r="D1782" s="391" t="s">
        <v>2195</v>
      </c>
    </row>
    <row r="1783" ht="15.75" customHeight="1">
      <c r="B1783" s="391" t="s">
        <v>9046</v>
      </c>
      <c r="C1783" s="391" t="s">
        <v>9037</v>
      </c>
      <c r="D1783" s="391" t="s">
        <v>2195</v>
      </c>
    </row>
    <row r="1784" ht="15.75" customHeight="1">
      <c r="B1784" s="391" t="s">
        <v>9047</v>
      </c>
      <c r="C1784" s="391" t="s">
        <v>9037</v>
      </c>
      <c r="D1784" s="391" t="s">
        <v>2195</v>
      </c>
    </row>
    <row r="1785" ht="15.75" customHeight="1">
      <c r="B1785" s="391" t="s">
        <v>9048</v>
      </c>
      <c r="C1785" s="391" t="s">
        <v>9037</v>
      </c>
      <c r="D1785" s="391" t="s">
        <v>2195</v>
      </c>
    </row>
    <row r="1786" ht="15.75" customHeight="1">
      <c r="B1786" s="391" t="s">
        <v>9049</v>
      </c>
      <c r="C1786" s="391" t="s">
        <v>9037</v>
      </c>
      <c r="D1786" s="391" t="s">
        <v>2195</v>
      </c>
    </row>
    <row r="1787" ht="15.75" customHeight="1">
      <c r="B1787" s="391" t="s">
        <v>9050</v>
      </c>
      <c r="C1787" s="391" t="s">
        <v>9037</v>
      </c>
      <c r="D1787" s="391" t="s">
        <v>2195</v>
      </c>
    </row>
    <row r="1788" ht="15.75" customHeight="1">
      <c r="B1788" s="391" t="s">
        <v>9051</v>
      </c>
      <c r="C1788" s="391" t="s">
        <v>9037</v>
      </c>
      <c r="D1788" s="391" t="s">
        <v>2195</v>
      </c>
    </row>
    <row r="1789" ht="15.75" customHeight="1">
      <c r="B1789" s="391" t="s">
        <v>9052</v>
      </c>
      <c r="C1789" s="391" t="s">
        <v>9053</v>
      </c>
      <c r="D1789" s="391" t="s">
        <v>2195</v>
      </c>
    </row>
    <row r="1790" ht="15.75" customHeight="1">
      <c r="B1790" s="391" t="s">
        <v>9054</v>
      </c>
      <c r="C1790" s="391" t="s">
        <v>9055</v>
      </c>
      <c r="D1790" s="391" t="s">
        <v>2195</v>
      </c>
    </row>
    <row r="1791" ht="15.75" customHeight="1">
      <c r="B1791" s="391" t="s">
        <v>9056</v>
      </c>
      <c r="C1791" s="391" t="s">
        <v>9057</v>
      </c>
      <c r="D1791" s="391" t="s">
        <v>2166</v>
      </c>
    </row>
    <row r="1792" ht="15.75" customHeight="1">
      <c r="B1792" s="391" t="s">
        <v>9058</v>
      </c>
      <c r="C1792" s="391" t="s">
        <v>9057</v>
      </c>
      <c r="D1792" s="391" t="s">
        <v>2166</v>
      </c>
    </row>
    <row r="1793" ht="15.75" customHeight="1">
      <c r="B1793" s="391" t="s">
        <v>9059</v>
      </c>
      <c r="C1793" s="391" t="s">
        <v>9057</v>
      </c>
      <c r="D1793" s="391" t="s">
        <v>2195</v>
      </c>
    </row>
    <row r="1794" ht="15.75" customHeight="1">
      <c r="B1794" s="391" t="s">
        <v>9060</v>
      </c>
      <c r="C1794" s="391" t="s">
        <v>9057</v>
      </c>
      <c r="D1794" s="391" t="s">
        <v>2195</v>
      </c>
    </row>
    <row r="1795" ht="15.75" customHeight="1">
      <c r="B1795" s="391" t="s">
        <v>9061</v>
      </c>
      <c r="C1795" s="391" t="s">
        <v>9057</v>
      </c>
      <c r="D1795" s="391" t="s">
        <v>2195</v>
      </c>
    </row>
    <row r="1796" ht="15.75" customHeight="1">
      <c r="B1796" s="391" t="s">
        <v>9062</v>
      </c>
      <c r="C1796" s="391" t="s">
        <v>9057</v>
      </c>
      <c r="D1796" s="391" t="s">
        <v>2195</v>
      </c>
    </row>
    <row r="1797" ht="15.75" customHeight="1">
      <c r="B1797" s="391" t="s">
        <v>9063</v>
      </c>
      <c r="C1797" s="391" t="s">
        <v>9057</v>
      </c>
      <c r="D1797" s="391" t="s">
        <v>2195</v>
      </c>
    </row>
    <row r="1798" ht="15.75" customHeight="1">
      <c r="B1798" s="391" t="s">
        <v>9064</v>
      </c>
      <c r="C1798" s="391" t="s">
        <v>9057</v>
      </c>
      <c r="D1798" s="391" t="s">
        <v>2195</v>
      </c>
    </row>
    <row r="1799" ht="15.75" customHeight="1">
      <c r="B1799" s="391" t="s">
        <v>9065</v>
      </c>
      <c r="C1799" s="391" t="s">
        <v>9066</v>
      </c>
      <c r="D1799" s="391" t="s">
        <v>2195</v>
      </c>
    </row>
    <row r="1800" ht="15.75" customHeight="1">
      <c r="B1800" s="391" t="s">
        <v>9067</v>
      </c>
      <c r="C1800" s="391" t="s">
        <v>9068</v>
      </c>
      <c r="D1800" s="391" t="s">
        <v>2195</v>
      </c>
    </row>
    <row r="1801" ht="15.75" customHeight="1">
      <c r="B1801" s="391" t="s">
        <v>60</v>
      </c>
      <c r="C1801" s="391" t="s">
        <v>9069</v>
      </c>
      <c r="D1801" s="391" t="s">
        <v>2166</v>
      </c>
    </row>
    <row r="1802" ht="15.75" customHeight="1">
      <c r="B1802" s="391" t="s">
        <v>62</v>
      </c>
      <c r="C1802" s="391" t="s">
        <v>9069</v>
      </c>
      <c r="D1802" s="391" t="s">
        <v>2195</v>
      </c>
    </row>
    <row r="1803" ht="15.75" customHeight="1">
      <c r="B1803" s="391" t="s">
        <v>82</v>
      </c>
      <c r="C1803" s="391" t="s">
        <v>9069</v>
      </c>
      <c r="D1803" s="391" t="s">
        <v>2195</v>
      </c>
    </row>
    <row r="1804" ht="15.75" customHeight="1">
      <c r="B1804" s="391" t="s">
        <v>9070</v>
      </c>
      <c r="C1804" s="391" t="s">
        <v>9069</v>
      </c>
      <c r="D1804" s="391" t="s">
        <v>2195</v>
      </c>
    </row>
    <row r="1805" ht="15.75" customHeight="1">
      <c r="B1805" s="391" t="s">
        <v>9071</v>
      </c>
      <c r="C1805" s="391" t="s">
        <v>9072</v>
      </c>
      <c r="D1805" s="391" t="s">
        <v>2195</v>
      </c>
    </row>
    <row r="1806" ht="15.75" customHeight="1">
      <c r="B1806" s="391" t="s">
        <v>9073</v>
      </c>
      <c r="C1806" s="391" t="s">
        <v>9072</v>
      </c>
      <c r="D1806" s="391" t="s">
        <v>2166</v>
      </c>
    </row>
    <row r="1807" ht="15.75" customHeight="1">
      <c r="B1807" s="391" t="s">
        <v>7264</v>
      </c>
      <c r="C1807" s="391" t="s">
        <v>9072</v>
      </c>
      <c r="D1807" s="391" t="s">
        <v>2166</v>
      </c>
    </row>
    <row r="1808" ht="15.75" customHeight="1">
      <c r="B1808" s="391" t="s">
        <v>9074</v>
      </c>
      <c r="C1808" s="391" t="s">
        <v>9075</v>
      </c>
      <c r="D1808" s="391" t="s">
        <v>2195</v>
      </c>
    </row>
    <row r="1809" ht="15.75" customHeight="1">
      <c r="B1809" s="391" t="s">
        <v>9076</v>
      </c>
      <c r="C1809" s="391" t="s">
        <v>9077</v>
      </c>
      <c r="D1809" s="391" t="s">
        <v>2195</v>
      </c>
    </row>
    <row r="1810" ht="15.75" customHeight="1">
      <c r="B1810" s="391" t="s">
        <v>9078</v>
      </c>
      <c r="C1810" s="391" t="s">
        <v>9077</v>
      </c>
      <c r="D1810" s="391" t="s">
        <v>2195</v>
      </c>
    </row>
    <row r="1811" ht="15.75" customHeight="1">
      <c r="B1811" s="391" t="s">
        <v>9079</v>
      </c>
      <c r="C1811" s="391" t="s">
        <v>9077</v>
      </c>
      <c r="D1811" s="391" t="s">
        <v>2195</v>
      </c>
    </row>
    <row r="1812" ht="15.75" customHeight="1">
      <c r="B1812" s="391" t="s">
        <v>36</v>
      </c>
      <c r="C1812" s="391" t="s">
        <v>9077</v>
      </c>
      <c r="D1812" s="391" t="s">
        <v>2166</v>
      </c>
    </row>
    <row r="1813" ht="15.75" customHeight="1">
      <c r="B1813" s="391" t="s">
        <v>56</v>
      </c>
      <c r="C1813" s="391" t="s">
        <v>9077</v>
      </c>
      <c r="D1813" s="391" t="s">
        <v>2166</v>
      </c>
    </row>
    <row r="1814" ht="15.75" customHeight="1">
      <c r="B1814" s="391" t="s">
        <v>9080</v>
      </c>
      <c r="C1814" s="391" t="s">
        <v>9077</v>
      </c>
      <c r="D1814" s="391" t="s">
        <v>2195</v>
      </c>
    </row>
    <row r="1815" ht="15.75" customHeight="1">
      <c r="B1815" s="391" t="s">
        <v>9081</v>
      </c>
      <c r="C1815" s="391" t="s">
        <v>9077</v>
      </c>
      <c r="D1815" s="391" t="s">
        <v>2195</v>
      </c>
    </row>
    <row r="1816" ht="15.75" customHeight="1">
      <c r="B1816" s="391" t="s">
        <v>9082</v>
      </c>
      <c r="C1816" s="391" t="s">
        <v>9077</v>
      </c>
      <c r="D1816" s="391" t="s">
        <v>2166</v>
      </c>
    </row>
    <row r="1817" ht="15.75" customHeight="1">
      <c r="B1817" s="391" t="s">
        <v>9083</v>
      </c>
      <c r="C1817" s="391" t="s">
        <v>9077</v>
      </c>
      <c r="D1817" s="391" t="s">
        <v>2195</v>
      </c>
    </row>
    <row r="1818" ht="15.75" customHeight="1">
      <c r="B1818" s="391" t="s">
        <v>9084</v>
      </c>
      <c r="C1818" s="391" t="s">
        <v>9077</v>
      </c>
      <c r="D1818" s="391" t="s">
        <v>2195</v>
      </c>
    </row>
    <row r="1819" ht="15.75" customHeight="1">
      <c r="B1819" s="391" t="s">
        <v>9085</v>
      </c>
      <c r="C1819" s="391" t="s">
        <v>9077</v>
      </c>
      <c r="D1819" s="391" t="s">
        <v>2195</v>
      </c>
    </row>
    <row r="1820" ht="15.75" customHeight="1">
      <c r="B1820" s="391" t="s">
        <v>9086</v>
      </c>
      <c r="C1820" s="391" t="s">
        <v>9077</v>
      </c>
      <c r="D1820" s="391" t="s">
        <v>2195</v>
      </c>
    </row>
    <row r="1821" ht="15.75" customHeight="1">
      <c r="B1821" s="391" t="s">
        <v>9087</v>
      </c>
      <c r="C1821" s="391" t="s">
        <v>9077</v>
      </c>
      <c r="D1821" s="391" t="s">
        <v>2195</v>
      </c>
    </row>
    <row r="1822" ht="15.75" customHeight="1">
      <c r="B1822" s="391" t="s">
        <v>9088</v>
      </c>
      <c r="C1822" s="391" t="s">
        <v>9077</v>
      </c>
      <c r="D1822" s="391" t="s">
        <v>2195</v>
      </c>
    </row>
    <row r="1823" ht="15.75" customHeight="1">
      <c r="B1823" s="391" t="s">
        <v>9089</v>
      </c>
      <c r="C1823" s="391" t="s">
        <v>9077</v>
      </c>
      <c r="D1823" s="391" t="s">
        <v>2195</v>
      </c>
    </row>
    <row r="1824" ht="15.75" customHeight="1">
      <c r="B1824" s="391" t="s">
        <v>9090</v>
      </c>
      <c r="C1824" s="391" t="s">
        <v>9077</v>
      </c>
      <c r="D1824" s="391" t="s">
        <v>2195</v>
      </c>
    </row>
    <row r="1825" ht="15.75" customHeight="1">
      <c r="B1825" s="391" t="s">
        <v>9091</v>
      </c>
      <c r="C1825" s="391" t="s">
        <v>9077</v>
      </c>
      <c r="D1825" s="391" t="s">
        <v>2195</v>
      </c>
    </row>
    <row r="1826" ht="15.75" customHeight="1">
      <c r="B1826" s="391" t="s">
        <v>9092</v>
      </c>
      <c r="C1826" s="391" t="s">
        <v>9077</v>
      </c>
      <c r="D1826" s="391" t="s">
        <v>2166</v>
      </c>
    </row>
    <row r="1827" ht="15.75" customHeight="1">
      <c r="B1827" s="391" t="s">
        <v>9093</v>
      </c>
      <c r="C1827" s="391" t="s">
        <v>9077</v>
      </c>
      <c r="D1827" s="391" t="s">
        <v>2232</v>
      </c>
    </row>
    <row r="1828" ht="15.75" customHeight="1">
      <c r="B1828" s="391" t="s">
        <v>9094</v>
      </c>
      <c r="C1828" s="391" t="s">
        <v>9077</v>
      </c>
      <c r="D1828" s="391" t="s">
        <v>2195</v>
      </c>
    </row>
    <row r="1829" ht="15.75" customHeight="1">
      <c r="B1829" s="391" t="s">
        <v>9095</v>
      </c>
      <c r="C1829" s="391" t="s">
        <v>9077</v>
      </c>
      <c r="D1829" s="391" t="s">
        <v>2166</v>
      </c>
    </row>
    <row r="1830" ht="15.75" customHeight="1">
      <c r="B1830" s="391" t="s">
        <v>9096</v>
      </c>
      <c r="C1830" s="391" t="s">
        <v>9077</v>
      </c>
      <c r="D1830" s="391" t="s">
        <v>2195</v>
      </c>
    </row>
    <row r="1831" ht="15.75" customHeight="1">
      <c r="B1831" s="391" t="s">
        <v>9097</v>
      </c>
      <c r="C1831" s="391" t="s">
        <v>9077</v>
      </c>
      <c r="D1831" s="391" t="s">
        <v>2166</v>
      </c>
    </row>
    <row r="1832" ht="15.75" customHeight="1">
      <c r="B1832" s="391" t="s">
        <v>9098</v>
      </c>
      <c r="C1832" s="391" t="s">
        <v>9077</v>
      </c>
      <c r="D1832" s="391" t="s">
        <v>2195</v>
      </c>
    </row>
    <row r="1833" ht="15.75" customHeight="1">
      <c r="B1833" s="391" t="s">
        <v>9099</v>
      </c>
      <c r="C1833" s="391" t="s">
        <v>9077</v>
      </c>
      <c r="D1833" s="391" t="s">
        <v>2166</v>
      </c>
    </row>
    <row r="1834" ht="15.75" customHeight="1">
      <c r="B1834" s="391" t="s">
        <v>9100</v>
      </c>
      <c r="C1834" s="391" t="s">
        <v>9077</v>
      </c>
      <c r="D1834" s="391" t="s">
        <v>2195</v>
      </c>
    </row>
    <row r="1835" ht="15.75" customHeight="1">
      <c r="B1835" s="391" t="s">
        <v>9101</v>
      </c>
      <c r="C1835" s="391" t="s">
        <v>9077</v>
      </c>
      <c r="D1835" s="391" t="s">
        <v>2166</v>
      </c>
    </row>
    <row r="1836" ht="15.75" customHeight="1">
      <c r="B1836" s="391" t="s">
        <v>9102</v>
      </c>
      <c r="C1836" s="391" t="s">
        <v>9077</v>
      </c>
      <c r="D1836" s="391" t="s">
        <v>2195</v>
      </c>
    </row>
    <row r="1837" ht="15.75" customHeight="1">
      <c r="B1837" s="391" t="s">
        <v>72</v>
      </c>
      <c r="C1837" s="391" t="s">
        <v>9077</v>
      </c>
      <c r="D1837" s="391" t="s">
        <v>2166</v>
      </c>
    </row>
    <row r="1838" ht="15.75" customHeight="1">
      <c r="B1838" s="391" t="s">
        <v>9103</v>
      </c>
      <c r="C1838" s="391" t="s">
        <v>9077</v>
      </c>
      <c r="D1838" s="391" t="s">
        <v>2195</v>
      </c>
    </row>
    <row r="1839" ht="15.75" customHeight="1">
      <c r="B1839" s="391" t="s">
        <v>9104</v>
      </c>
      <c r="C1839" s="391" t="s">
        <v>9077</v>
      </c>
      <c r="D1839" s="391" t="s">
        <v>2166</v>
      </c>
    </row>
    <row r="1840" ht="15.75" customHeight="1">
      <c r="B1840" s="391" t="s">
        <v>9105</v>
      </c>
      <c r="C1840" s="391" t="s">
        <v>9077</v>
      </c>
      <c r="D1840" s="391" t="s">
        <v>2195</v>
      </c>
    </row>
    <row r="1841" ht="15.75" customHeight="1">
      <c r="B1841" s="391" t="s">
        <v>9106</v>
      </c>
      <c r="C1841" s="391" t="s">
        <v>9077</v>
      </c>
      <c r="D1841" s="391" t="s">
        <v>2195</v>
      </c>
    </row>
    <row r="1842" ht="15.75" customHeight="1">
      <c r="B1842" s="391" t="s">
        <v>9107</v>
      </c>
      <c r="C1842" s="391" t="s">
        <v>9077</v>
      </c>
      <c r="D1842" s="391" t="s">
        <v>2195</v>
      </c>
    </row>
    <row r="1843" ht="15.75" customHeight="1">
      <c r="B1843" s="391" t="s">
        <v>9108</v>
      </c>
      <c r="C1843" s="391" t="s">
        <v>9077</v>
      </c>
      <c r="D1843" s="391" t="s">
        <v>2195</v>
      </c>
    </row>
    <row r="1844" ht="15.75" customHeight="1">
      <c r="B1844" s="391" t="s">
        <v>9109</v>
      </c>
      <c r="C1844" s="391" t="s">
        <v>9110</v>
      </c>
      <c r="D1844" s="391" t="s">
        <v>2195</v>
      </c>
    </row>
    <row r="1845" ht="15.75" customHeight="1">
      <c r="B1845" s="391" t="s">
        <v>40</v>
      </c>
      <c r="C1845" s="391" t="s">
        <v>9111</v>
      </c>
      <c r="D1845" s="391" t="s">
        <v>2166</v>
      </c>
    </row>
    <row r="1846" ht="15.75" customHeight="1">
      <c r="B1846" s="391" t="s">
        <v>48</v>
      </c>
      <c r="C1846" s="391" t="s">
        <v>9111</v>
      </c>
      <c r="D1846" s="391" t="s">
        <v>2166</v>
      </c>
    </row>
    <row r="1847" ht="15.75" customHeight="1">
      <c r="B1847" s="391" t="s">
        <v>52</v>
      </c>
      <c r="C1847" s="391" t="s">
        <v>9111</v>
      </c>
      <c r="D1847" s="391" t="s">
        <v>2166</v>
      </c>
    </row>
    <row r="1848" ht="15.75" customHeight="1">
      <c r="B1848" s="391" t="s">
        <v>9112</v>
      </c>
      <c r="C1848" s="391" t="s">
        <v>9111</v>
      </c>
      <c r="D1848" s="391" t="s">
        <v>2232</v>
      </c>
    </row>
    <row r="1849" ht="15.75" customHeight="1">
      <c r="B1849" s="391" t="s">
        <v>9113</v>
      </c>
      <c r="C1849" s="391" t="s">
        <v>9111</v>
      </c>
      <c r="D1849" s="391" t="s">
        <v>2195</v>
      </c>
    </row>
    <row r="1850" ht="15.75" customHeight="1">
      <c r="B1850" s="391" t="s">
        <v>9114</v>
      </c>
      <c r="C1850" s="391" t="s">
        <v>9111</v>
      </c>
      <c r="D1850" s="391" t="s">
        <v>2195</v>
      </c>
    </row>
    <row r="1851" ht="15.75" customHeight="1">
      <c r="B1851" s="391" t="s">
        <v>9115</v>
      </c>
      <c r="C1851" s="391" t="s">
        <v>9116</v>
      </c>
      <c r="D1851" s="391" t="s">
        <v>2232</v>
      </c>
    </row>
    <row r="1852" ht="15.75" customHeight="1">
      <c r="B1852" s="391" t="s">
        <v>9117</v>
      </c>
      <c r="C1852" s="391" t="s">
        <v>9118</v>
      </c>
      <c r="D1852" s="391" t="s">
        <v>2195</v>
      </c>
    </row>
    <row r="1853" ht="15.75" customHeight="1">
      <c r="B1853" s="391" t="s">
        <v>9119</v>
      </c>
      <c r="C1853" s="391" t="s">
        <v>9118</v>
      </c>
      <c r="D1853" s="391" t="s">
        <v>2195</v>
      </c>
    </row>
    <row r="1854" ht="15.75" customHeight="1">
      <c r="B1854" s="391" t="s">
        <v>9120</v>
      </c>
      <c r="C1854" s="391" t="s">
        <v>9118</v>
      </c>
      <c r="D1854" s="391" t="s">
        <v>2195</v>
      </c>
    </row>
    <row r="1855" ht="15.75" customHeight="1">
      <c r="B1855" s="391" t="s">
        <v>9121</v>
      </c>
      <c r="C1855" s="391" t="s">
        <v>9118</v>
      </c>
      <c r="D1855" s="391" t="s">
        <v>2195</v>
      </c>
    </row>
    <row r="1856" ht="15.75" customHeight="1">
      <c r="B1856" s="391" t="s">
        <v>9122</v>
      </c>
      <c r="C1856" s="391" t="s">
        <v>9118</v>
      </c>
      <c r="D1856" s="391" t="s">
        <v>2195</v>
      </c>
    </row>
    <row r="1857" ht="15.75" customHeight="1">
      <c r="B1857" s="391" t="s">
        <v>9123</v>
      </c>
      <c r="C1857" s="391" t="s">
        <v>9118</v>
      </c>
      <c r="D1857" s="391" t="s">
        <v>2195</v>
      </c>
    </row>
    <row r="1858" ht="15.75" customHeight="1">
      <c r="B1858" s="391" t="s">
        <v>1567</v>
      </c>
      <c r="C1858" s="391" t="s">
        <v>9124</v>
      </c>
      <c r="D1858" s="391" t="s">
        <v>2166</v>
      </c>
    </row>
    <row r="1859" ht="15.75" customHeight="1">
      <c r="B1859" s="391" t="s">
        <v>1569</v>
      </c>
      <c r="C1859" s="391" t="s">
        <v>9124</v>
      </c>
      <c r="D1859" s="391" t="s">
        <v>2232</v>
      </c>
    </row>
    <row r="1860" ht="15.75" customHeight="1">
      <c r="B1860" s="391" t="s">
        <v>1571</v>
      </c>
      <c r="C1860" s="391" t="s">
        <v>9124</v>
      </c>
      <c r="D1860" s="391" t="s">
        <v>2166</v>
      </c>
    </row>
    <row r="1861" ht="15.75" customHeight="1">
      <c r="B1861" s="391" t="s">
        <v>9125</v>
      </c>
      <c r="C1861" s="391" t="s">
        <v>9124</v>
      </c>
      <c r="D1861" s="391" t="s">
        <v>2232</v>
      </c>
    </row>
    <row r="1862" ht="15.75" customHeight="1">
      <c r="B1862" s="391" t="s">
        <v>9126</v>
      </c>
      <c r="C1862" s="391" t="s">
        <v>9124</v>
      </c>
      <c r="D1862" s="391" t="s">
        <v>2195</v>
      </c>
    </row>
    <row r="1863" ht="15.75" customHeight="1">
      <c r="B1863" s="391" t="s">
        <v>9127</v>
      </c>
      <c r="C1863" s="391" t="s">
        <v>9128</v>
      </c>
      <c r="D1863" s="391" t="s">
        <v>2232</v>
      </c>
    </row>
    <row r="1864" ht="15.75" customHeight="1">
      <c r="B1864" s="391" t="s">
        <v>9129</v>
      </c>
      <c r="C1864" s="391" t="s">
        <v>9128</v>
      </c>
      <c r="D1864" s="391" t="s">
        <v>2195</v>
      </c>
    </row>
    <row r="1865" ht="15.75" customHeight="1">
      <c r="B1865" s="391" t="s">
        <v>9130</v>
      </c>
      <c r="C1865" s="391" t="s">
        <v>9128</v>
      </c>
      <c r="D1865" s="391" t="s">
        <v>2195</v>
      </c>
    </row>
    <row r="1866" ht="15.75" customHeight="1">
      <c r="B1866" s="391" t="s">
        <v>9131</v>
      </c>
      <c r="C1866" s="391" t="s">
        <v>9128</v>
      </c>
      <c r="D1866" s="391" t="s">
        <v>2166</v>
      </c>
    </row>
    <row r="1867" ht="15.75" customHeight="1">
      <c r="B1867" s="391" t="s">
        <v>9132</v>
      </c>
      <c r="C1867" s="391" t="s">
        <v>9133</v>
      </c>
      <c r="D1867" s="391" t="s">
        <v>2166</v>
      </c>
    </row>
    <row r="1868" ht="15.75" customHeight="1">
      <c r="B1868" s="391" t="s">
        <v>9134</v>
      </c>
      <c r="C1868" s="391" t="s">
        <v>9133</v>
      </c>
      <c r="D1868" s="391" t="s">
        <v>2166</v>
      </c>
    </row>
    <row r="1869" ht="15.75" customHeight="1">
      <c r="B1869" s="391" t="s">
        <v>9135</v>
      </c>
      <c r="C1869" s="391" t="s">
        <v>9136</v>
      </c>
      <c r="D1869" s="391" t="s">
        <v>2166</v>
      </c>
    </row>
    <row r="1870" ht="15.75" customHeight="1">
      <c r="B1870" s="391" t="s">
        <v>9137</v>
      </c>
      <c r="C1870" s="391" t="s">
        <v>9136</v>
      </c>
      <c r="D1870" s="391" t="s">
        <v>2166</v>
      </c>
    </row>
    <row r="1871" ht="15.75" customHeight="1">
      <c r="B1871" s="391" t="s">
        <v>1325</v>
      </c>
      <c r="C1871" s="391" t="s">
        <v>9136</v>
      </c>
      <c r="D1871" s="391" t="s">
        <v>2232</v>
      </c>
    </row>
    <row r="1872" ht="15.75" customHeight="1">
      <c r="B1872" s="391" t="s">
        <v>291</v>
      </c>
      <c r="C1872" s="391" t="s">
        <v>9136</v>
      </c>
      <c r="D1872" s="391" t="s">
        <v>2166</v>
      </c>
    </row>
    <row r="1873" ht="15.75" customHeight="1">
      <c r="B1873" s="391" t="s">
        <v>9138</v>
      </c>
      <c r="C1873" s="391" t="s">
        <v>9136</v>
      </c>
      <c r="D1873" s="391" t="s">
        <v>2195</v>
      </c>
    </row>
    <row r="1874" ht="15.75" customHeight="1">
      <c r="B1874" s="391" t="s">
        <v>1646</v>
      </c>
      <c r="C1874" s="391" t="s">
        <v>9136</v>
      </c>
      <c r="D1874" s="391" t="s">
        <v>2166</v>
      </c>
    </row>
    <row r="1875" ht="15.75" customHeight="1">
      <c r="B1875" s="391" t="s">
        <v>1648</v>
      </c>
      <c r="C1875" s="391" t="s">
        <v>9136</v>
      </c>
      <c r="D1875" s="391" t="s">
        <v>2166</v>
      </c>
    </row>
    <row r="1876" ht="15.75" customHeight="1">
      <c r="B1876" s="391" t="s">
        <v>1650</v>
      </c>
      <c r="C1876" s="391" t="s">
        <v>9136</v>
      </c>
      <c r="D1876" s="391" t="s">
        <v>2166</v>
      </c>
    </row>
    <row r="1877" ht="15.75" customHeight="1">
      <c r="B1877" s="391" t="s">
        <v>9139</v>
      </c>
      <c r="C1877" s="391" t="s">
        <v>9136</v>
      </c>
      <c r="D1877" s="391" t="s">
        <v>2166</v>
      </c>
    </row>
    <row r="1878" ht="15.75" customHeight="1">
      <c r="B1878" s="391" t="s">
        <v>287</v>
      </c>
      <c r="C1878" s="391" t="s">
        <v>9140</v>
      </c>
      <c r="D1878" s="391" t="s">
        <v>2166</v>
      </c>
    </row>
    <row r="1879" ht="15.75" customHeight="1">
      <c r="B1879" s="391" t="s">
        <v>9141</v>
      </c>
      <c r="C1879" s="391" t="s">
        <v>9142</v>
      </c>
      <c r="D1879" s="391" t="s">
        <v>2232</v>
      </c>
    </row>
    <row r="1880" ht="15.75" customHeight="1">
      <c r="B1880" s="391" t="s">
        <v>1654</v>
      </c>
      <c r="C1880" s="391" t="s">
        <v>9143</v>
      </c>
      <c r="D1880" s="391" t="s">
        <v>2166</v>
      </c>
    </row>
    <row r="1881" ht="15.75" customHeight="1">
      <c r="B1881" s="391" t="s">
        <v>9144</v>
      </c>
      <c r="C1881" s="391" t="s">
        <v>9145</v>
      </c>
      <c r="D1881" s="391" t="s">
        <v>2166</v>
      </c>
    </row>
    <row r="1882" ht="15.75" customHeight="1">
      <c r="B1882" s="391" t="s">
        <v>9146</v>
      </c>
      <c r="C1882" s="391" t="s">
        <v>9145</v>
      </c>
      <c r="D1882" s="391" t="s">
        <v>2195</v>
      </c>
    </row>
    <row r="1883" ht="15.75" customHeight="1">
      <c r="B1883" s="391" t="s">
        <v>9147</v>
      </c>
      <c r="C1883" s="391" t="s">
        <v>9145</v>
      </c>
      <c r="D1883" s="391" t="s">
        <v>2195</v>
      </c>
    </row>
    <row r="1884" ht="15.75" customHeight="1">
      <c r="B1884" s="391" t="s">
        <v>9148</v>
      </c>
      <c r="C1884" s="391" t="s">
        <v>9149</v>
      </c>
      <c r="D1884" s="391" t="s">
        <v>2166</v>
      </c>
    </row>
    <row r="1885" ht="15.75" customHeight="1">
      <c r="B1885" s="391" t="s">
        <v>232</v>
      </c>
      <c r="C1885" s="391" t="s">
        <v>9150</v>
      </c>
      <c r="D1885" s="391" t="s">
        <v>2166</v>
      </c>
    </row>
    <row r="1886" ht="15.75" customHeight="1">
      <c r="B1886" s="391" t="s">
        <v>236</v>
      </c>
      <c r="C1886" s="391" t="s">
        <v>9150</v>
      </c>
      <c r="D1886" s="391" t="s">
        <v>2166</v>
      </c>
    </row>
    <row r="1887" ht="15.75" customHeight="1">
      <c r="B1887" s="391" t="s">
        <v>9151</v>
      </c>
      <c r="C1887" s="391" t="s">
        <v>9150</v>
      </c>
      <c r="D1887" s="391" t="s">
        <v>2232</v>
      </c>
    </row>
    <row r="1888" ht="15.75" customHeight="1">
      <c r="B1888" s="391" t="s">
        <v>261</v>
      </c>
      <c r="C1888" s="391" t="s">
        <v>9152</v>
      </c>
      <c r="D1888" s="391" t="s">
        <v>2166</v>
      </c>
    </row>
    <row r="1889" ht="15.75" customHeight="1">
      <c r="B1889" s="391" t="s">
        <v>488</v>
      </c>
      <c r="C1889" s="391" t="s">
        <v>9153</v>
      </c>
      <c r="D1889" s="391" t="s">
        <v>2195</v>
      </c>
    </row>
    <row r="1890" ht="15.75" customHeight="1">
      <c r="B1890" s="391" t="s">
        <v>9154</v>
      </c>
      <c r="C1890" s="391" t="s">
        <v>9153</v>
      </c>
      <c r="D1890" s="391" t="s">
        <v>2195</v>
      </c>
    </row>
    <row r="1891" ht="15.75" customHeight="1">
      <c r="B1891" s="391" t="s">
        <v>9155</v>
      </c>
      <c r="C1891" s="391" t="s">
        <v>9153</v>
      </c>
      <c r="D1891" s="391" t="s">
        <v>2195</v>
      </c>
    </row>
    <row r="1892" ht="15.75" customHeight="1">
      <c r="B1892" s="391" t="s">
        <v>9156</v>
      </c>
      <c r="C1892" s="391" t="s">
        <v>9153</v>
      </c>
      <c r="D1892" s="391" t="s">
        <v>2195</v>
      </c>
    </row>
    <row r="1893" ht="15.75" customHeight="1">
      <c r="B1893" s="391" t="s">
        <v>9157</v>
      </c>
      <c r="C1893" s="391" t="s">
        <v>9153</v>
      </c>
      <c r="D1893" s="391" t="s">
        <v>2232</v>
      </c>
    </row>
    <row r="1894" ht="15.75" customHeight="1">
      <c r="B1894" s="391" t="s">
        <v>9158</v>
      </c>
      <c r="C1894" s="391" t="s">
        <v>9153</v>
      </c>
      <c r="D1894" s="391" t="s">
        <v>2232</v>
      </c>
    </row>
    <row r="1895" ht="15.75" customHeight="1">
      <c r="B1895" s="391" t="s">
        <v>485</v>
      </c>
      <c r="C1895" s="391" t="s">
        <v>9159</v>
      </c>
      <c r="D1895" s="391" t="s">
        <v>2195</v>
      </c>
    </row>
    <row r="1896" ht="15.75" customHeight="1">
      <c r="B1896" s="391" t="s">
        <v>487</v>
      </c>
      <c r="C1896" s="391" t="s">
        <v>9160</v>
      </c>
      <c r="D1896" s="391" t="s">
        <v>2232</v>
      </c>
    </row>
    <row r="1897" ht="15.75" customHeight="1">
      <c r="B1897" s="391" t="s">
        <v>289</v>
      </c>
      <c r="C1897" s="391" t="s">
        <v>9161</v>
      </c>
      <c r="D1897" s="391" t="s">
        <v>2195</v>
      </c>
    </row>
    <row r="1898" ht="15.75" customHeight="1">
      <c r="B1898" s="391" t="s">
        <v>518</v>
      </c>
      <c r="C1898" s="391" t="s">
        <v>9162</v>
      </c>
      <c r="D1898" s="391" t="s">
        <v>2166</v>
      </c>
    </row>
    <row r="1899" ht="15.75" customHeight="1">
      <c r="B1899" s="391" t="s">
        <v>522</v>
      </c>
      <c r="C1899" s="391" t="s">
        <v>9162</v>
      </c>
      <c r="D1899" s="391" t="s">
        <v>2166</v>
      </c>
    </row>
    <row r="1900" ht="15.75" customHeight="1">
      <c r="B1900" s="391" t="s">
        <v>534</v>
      </c>
      <c r="C1900" s="391" t="s">
        <v>9162</v>
      </c>
      <c r="D1900" s="391" t="s">
        <v>2166</v>
      </c>
    </row>
    <row r="1901" ht="15.75" customHeight="1">
      <c r="B1901" s="391" t="s">
        <v>301</v>
      </c>
      <c r="C1901" s="391" t="s">
        <v>9162</v>
      </c>
      <c r="D1901" s="391" t="s">
        <v>2166</v>
      </c>
    </row>
    <row r="1902" ht="15.75" customHeight="1">
      <c r="B1902" s="391" t="s">
        <v>9163</v>
      </c>
      <c r="C1902" s="391" t="s">
        <v>9162</v>
      </c>
      <c r="D1902" s="391" t="s">
        <v>2232</v>
      </c>
    </row>
    <row r="1903" ht="15.75" customHeight="1">
      <c r="B1903" s="391" t="s">
        <v>9164</v>
      </c>
      <c r="C1903" s="391" t="s">
        <v>9162</v>
      </c>
      <c r="D1903" s="391" t="s">
        <v>2166</v>
      </c>
    </row>
    <row r="1904" ht="15.75" customHeight="1">
      <c r="B1904" s="391" t="s">
        <v>9165</v>
      </c>
      <c r="C1904" s="391" t="s">
        <v>9162</v>
      </c>
      <c r="D1904" s="391" t="s">
        <v>2232</v>
      </c>
    </row>
    <row r="1905" ht="15.75" customHeight="1">
      <c r="B1905" s="391" t="s">
        <v>9166</v>
      </c>
      <c r="C1905" s="391" t="s">
        <v>9162</v>
      </c>
      <c r="D1905" s="391" t="s">
        <v>2232</v>
      </c>
    </row>
    <row r="1906" ht="15.75" customHeight="1">
      <c r="B1906" s="391" t="s">
        <v>9167</v>
      </c>
      <c r="C1906" s="391" t="s">
        <v>9162</v>
      </c>
      <c r="D1906" s="391" t="s">
        <v>2232</v>
      </c>
    </row>
    <row r="1907" ht="15.75" customHeight="1">
      <c r="B1907" s="391" t="s">
        <v>9168</v>
      </c>
      <c r="C1907" s="391" t="s">
        <v>9169</v>
      </c>
      <c r="D1907" s="391" t="s">
        <v>2166</v>
      </c>
    </row>
    <row r="1908" ht="15.75" customHeight="1">
      <c r="B1908" s="391" t="s">
        <v>9170</v>
      </c>
      <c r="C1908" s="391" t="s">
        <v>9171</v>
      </c>
      <c r="D1908" s="391" t="s">
        <v>2232</v>
      </c>
    </row>
    <row r="1909" ht="15.75" customHeight="1">
      <c r="B1909" s="391" t="s">
        <v>9172</v>
      </c>
      <c r="C1909" s="391" t="s">
        <v>9173</v>
      </c>
      <c r="D1909" s="391" t="s">
        <v>2232</v>
      </c>
    </row>
    <row r="1910" ht="15.75" customHeight="1">
      <c r="B1910" s="391" t="s">
        <v>9174</v>
      </c>
      <c r="C1910" s="391" t="s">
        <v>9175</v>
      </c>
      <c r="D1910" s="391" t="s">
        <v>2232</v>
      </c>
    </row>
    <row r="1911" ht="15.75" customHeight="1">
      <c r="B1911" s="391" t="s">
        <v>588</v>
      </c>
      <c r="C1911" s="391" t="s">
        <v>9176</v>
      </c>
      <c r="D1911" s="391" t="s">
        <v>2166</v>
      </c>
    </row>
    <row r="1912" ht="15.75" customHeight="1">
      <c r="B1912" s="391" t="s">
        <v>9177</v>
      </c>
      <c r="C1912" s="391" t="s">
        <v>9178</v>
      </c>
      <c r="D1912" s="391" t="s">
        <v>2232</v>
      </c>
    </row>
    <row r="1913" ht="15.75" customHeight="1">
      <c r="B1913" s="391" t="s">
        <v>9179</v>
      </c>
      <c r="C1913" s="391" t="s">
        <v>9180</v>
      </c>
      <c r="D1913" s="391" t="s">
        <v>2166</v>
      </c>
    </row>
    <row r="1914" ht="15.75" customHeight="1">
      <c r="B1914" s="391" t="s">
        <v>9181</v>
      </c>
      <c r="C1914" s="391" t="s">
        <v>9180</v>
      </c>
      <c r="D1914" s="391" t="s">
        <v>2166</v>
      </c>
    </row>
    <row r="1915" ht="15.75" customHeight="1">
      <c r="B1915" s="391" t="s">
        <v>526</v>
      </c>
      <c r="C1915" s="391" t="s">
        <v>9182</v>
      </c>
      <c r="D1915" s="391" t="s">
        <v>2166</v>
      </c>
    </row>
    <row r="1916" ht="15.75" customHeight="1">
      <c r="B1916" s="391" t="s">
        <v>542</v>
      </c>
      <c r="C1916" s="391" t="s">
        <v>9182</v>
      </c>
      <c r="D1916" s="391" t="s">
        <v>2166</v>
      </c>
    </row>
    <row r="1917" ht="15.75" customHeight="1">
      <c r="B1917" s="391" t="s">
        <v>9183</v>
      </c>
      <c r="C1917" s="391" t="s">
        <v>9182</v>
      </c>
      <c r="D1917" s="391" t="s">
        <v>2195</v>
      </c>
    </row>
    <row r="1918" ht="15.75" customHeight="1">
      <c r="B1918" s="391" t="s">
        <v>9184</v>
      </c>
      <c r="C1918" s="391" t="s">
        <v>9182</v>
      </c>
      <c r="D1918" s="391" t="s">
        <v>2166</v>
      </c>
    </row>
    <row r="1919" ht="15.75" customHeight="1">
      <c r="B1919" s="391" t="s">
        <v>9185</v>
      </c>
      <c r="C1919" s="391" t="s">
        <v>9182</v>
      </c>
      <c r="D1919" s="391" t="s">
        <v>2195</v>
      </c>
    </row>
    <row r="1920" ht="15.75" customHeight="1">
      <c r="B1920" s="391" t="s">
        <v>9186</v>
      </c>
      <c r="C1920" s="391" t="s">
        <v>9187</v>
      </c>
      <c r="D1920" s="391" t="s">
        <v>2195</v>
      </c>
    </row>
    <row r="1921" ht="15.75" customHeight="1">
      <c r="B1921" s="391" t="s">
        <v>1553</v>
      </c>
      <c r="C1921" s="391" t="s">
        <v>9188</v>
      </c>
      <c r="D1921" s="391" t="s">
        <v>2195</v>
      </c>
    </row>
    <row r="1922" ht="15.75" customHeight="1">
      <c r="B1922" s="391" t="s">
        <v>9189</v>
      </c>
      <c r="C1922" s="391" t="s">
        <v>9188</v>
      </c>
      <c r="D1922" s="391" t="s">
        <v>2232</v>
      </c>
    </row>
    <row r="1923" ht="15.75" customHeight="1">
      <c r="B1923" s="391" t="s">
        <v>1437</v>
      </c>
      <c r="C1923" s="391" t="s">
        <v>9190</v>
      </c>
      <c r="D1923" s="391" t="s">
        <v>2166</v>
      </c>
    </row>
    <row r="1924" ht="15.75" customHeight="1">
      <c r="B1924" s="391" t="s">
        <v>1439</v>
      </c>
      <c r="C1924" s="391" t="s">
        <v>9190</v>
      </c>
      <c r="D1924" s="391" t="s">
        <v>2166</v>
      </c>
    </row>
    <row r="1925" ht="15.75" customHeight="1">
      <c r="B1925" s="391" t="s">
        <v>1423</v>
      </c>
      <c r="C1925" s="391" t="s">
        <v>9191</v>
      </c>
      <c r="D1925" s="391" t="s">
        <v>2166</v>
      </c>
    </row>
    <row r="1926" ht="15.75" customHeight="1">
      <c r="B1926" s="391" t="s">
        <v>1427</v>
      </c>
      <c r="C1926" s="391" t="s">
        <v>9191</v>
      </c>
      <c r="D1926" s="391" t="s">
        <v>2166</v>
      </c>
    </row>
    <row r="1927" ht="15.75" customHeight="1">
      <c r="B1927" s="391" t="s">
        <v>9192</v>
      </c>
      <c r="C1927" s="391" t="s">
        <v>9191</v>
      </c>
      <c r="D1927" s="391" t="s">
        <v>2166</v>
      </c>
    </row>
    <row r="1928" ht="15.75" customHeight="1">
      <c r="B1928" s="391" t="s">
        <v>1431</v>
      </c>
      <c r="C1928" s="391" t="s">
        <v>9193</v>
      </c>
      <c r="D1928" s="391" t="s">
        <v>2166</v>
      </c>
    </row>
    <row r="1929" ht="15.75" customHeight="1">
      <c r="B1929" s="391" t="s">
        <v>1433</v>
      </c>
      <c r="C1929" s="391" t="s">
        <v>9194</v>
      </c>
      <c r="D1929" s="391" t="s">
        <v>2195</v>
      </c>
    </row>
    <row r="1930" ht="15.75" customHeight="1">
      <c r="B1930" s="391" t="s">
        <v>1435</v>
      </c>
      <c r="C1930" s="391" t="s">
        <v>9195</v>
      </c>
      <c r="D1930" s="391" t="s">
        <v>2166</v>
      </c>
    </row>
    <row r="1931" ht="15.75" customHeight="1">
      <c r="B1931" s="391" t="s">
        <v>1436</v>
      </c>
      <c r="C1931" s="391" t="s">
        <v>9196</v>
      </c>
      <c r="D1931" s="391" t="s">
        <v>2166</v>
      </c>
    </row>
    <row r="1932" ht="15.75" customHeight="1">
      <c r="B1932" s="391" t="s">
        <v>9197</v>
      </c>
      <c r="C1932" s="391" t="s">
        <v>9198</v>
      </c>
      <c r="D1932" s="391" t="s">
        <v>2232</v>
      </c>
    </row>
    <row r="1933" ht="15.75" customHeight="1">
      <c r="B1933" s="391" t="s">
        <v>9199</v>
      </c>
      <c r="C1933" s="391" t="s">
        <v>9198</v>
      </c>
      <c r="D1933" s="391" t="s">
        <v>2195</v>
      </c>
    </row>
    <row r="1934" ht="15.75" customHeight="1">
      <c r="B1934" s="391" t="s">
        <v>9200</v>
      </c>
      <c r="C1934" s="391" t="s">
        <v>9201</v>
      </c>
      <c r="D1934" s="391" t="s">
        <v>2166</v>
      </c>
    </row>
    <row r="1935" ht="15.75" customHeight="1">
      <c r="B1935" s="391" t="s">
        <v>9202</v>
      </c>
      <c r="C1935" s="391" t="s">
        <v>9203</v>
      </c>
      <c r="D1935" s="391" t="s">
        <v>2166</v>
      </c>
    </row>
    <row r="1936" ht="15.75" customHeight="1">
      <c r="B1936" s="391" t="s">
        <v>9204</v>
      </c>
      <c r="C1936" s="391" t="s">
        <v>9205</v>
      </c>
      <c r="D1936" s="391" t="s">
        <v>2166</v>
      </c>
    </row>
    <row r="1937" ht="15.75" customHeight="1">
      <c r="B1937" s="391" t="s">
        <v>798</v>
      </c>
      <c r="C1937" s="391" t="s">
        <v>9206</v>
      </c>
      <c r="D1937" s="391" t="s">
        <v>2166</v>
      </c>
    </row>
    <row r="1938" ht="15.75" customHeight="1">
      <c r="B1938" s="391" t="s">
        <v>9207</v>
      </c>
      <c r="C1938" s="391" t="s">
        <v>9208</v>
      </c>
      <c r="D1938" s="391" t="s">
        <v>2232</v>
      </c>
    </row>
    <row r="1939" ht="15.75" customHeight="1">
      <c r="B1939" s="391" t="s">
        <v>1643</v>
      </c>
      <c r="C1939" s="391" t="s">
        <v>9209</v>
      </c>
      <c r="D1939" s="391" t="s">
        <v>2195</v>
      </c>
    </row>
    <row r="1940" ht="15.75" customHeight="1">
      <c r="B1940" s="391" t="s">
        <v>793</v>
      </c>
      <c r="C1940" s="391" t="s">
        <v>9210</v>
      </c>
      <c r="D1940" s="391" t="s">
        <v>2232</v>
      </c>
    </row>
    <row r="1941" ht="15.75" customHeight="1">
      <c r="B1941" s="391" t="s">
        <v>800</v>
      </c>
      <c r="C1941" s="391" t="s">
        <v>9211</v>
      </c>
      <c r="D1941" s="391" t="s">
        <v>2166</v>
      </c>
    </row>
    <row r="1942" ht="15.75" customHeight="1">
      <c r="B1942" s="391" t="s">
        <v>950</v>
      </c>
      <c r="C1942" s="391" t="s">
        <v>9212</v>
      </c>
      <c r="D1942" s="391" t="s">
        <v>2232</v>
      </c>
    </row>
    <row r="1943" ht="15.75" customHeight="1">
      <c r="B1943" s="391" t="s">
        <v>184</v>
      </c>
      <c r="C1943" s="391" t="s">
        <v>9213</v>
      </c>
      <c r="D1943" s="391" t="s">
        <v>2195</v>
      </c>
    </row>
    <row r="1944" ht="15.75" customHeight="1">
      <c r="B1944" s="391" t="s">
        <v>9214</v>
      </c>
      <c r="C1944" s="391" t="s">
        <v>9215</v>
      </c>
      <c r="D1944" s="391" t="s">
        <v>2166</v>
      </c>
    </row>
    <row r="1945" ht="15.75" customHeight="1">
      <c r="B1945" s="391" t="s">
        <v>1289</v>
      </c>
      <c r="C1945" s="391" t="s">
        <v>9216</v>
      </c>
      <c r="D1945" s="391" t="s">
        <v>2166</v>
      </c>
    </row>
    <row r="1946" ht="15.75" customHeight="1">
      <c r="B1946" s="391" t="s">
        <v>1287</v>
      </c>
      <c r="C1946" s="391" t="s">
        <v>9217</v>
      </c>
      <c r="D1946" s="391" t="s">
        <v>2195</v>
      </c>
    </row>
    <row r="1947" ht="15.75" customHeight="1">
      <c r="B1947" s="391" t="s">
        <v>1159</v>
      </c>
      <c r="C1947" s="391" t="s">
        <v>9218</v>
      </c>
      <c r="D1947" s="391" t="s">
        <v>2166</v>
      </c>
    </row>
    <row r="1948" ht="15.75" customHeight="1">
      <c r="B1948" s="391" t="s">
        <v>1161</v>
      </c>
      <c r="C1948" s="391" t="s">
        <v>9218</v>
      </c>
      <c r="D1948" s="391" t="s">
        <v>2166</v>
      </c>
    </row>
    <row r="1949" ht="15.75" customHeight="1">
      <c r="B1949" s="391" t="s">
        <v>1163</v>
      </c>
      <c r="C1949" s="391" t="s">
        <v>9218</v>
      </c>
      <c r="D1949" s="391" t="s">
        <v>2166</v>
      </c>
    </row>
    <row r="1950" ht="15.75" customHeight="1">
      <c r="B1950" s="391" t="s">
        <v>490</v>
      </c>
      <c r="C1950" s="391" t="s">
        <v>9219</v>
      </c>
      <c r="D1950" s="391" t="s">
        <v>2232</v>
      </c>
    </row>
    <row r="1951" ht="15.75" customHeight="1">
      <c r="B1951" s="391" t="s">
        <v>502</v>
      </c>
      <c r="C1951" s="391" t="s">
        <v>9219</v>
      </c>
      <c r="D1951" s="391" t="s">
        <v>2166</v>
      </c>
    </row>
    <row r="1952" ht="15.75" customHeight="1">
      <c r="B1952" s="391" t="s">
        <v>9220</v>
      </c>
      <c r="C1952" s="391" t="s">
        <v>9219</v>
      </c>
      <c r="D1952" s="391" t="s">
        <v>2195</v>
      </c>
    </row>
    <row r="1953" ht="15.75" customHeight="1">
      <c r="B1953" s="391" t="s">
        <v>9221</v>
      </c>
      <c r="C1953" s="391" t="s">
        <v>9219</v>
      </c>
      <c r="D1953" s="391" t="s">
        <v>2195</v>
      </c>
    </row>
    <row r="1954" ht="15.75" customHeight="1">
      <c r="B1954" s="391" t="s">
        <v>494</v>
      </c>
      <c r="C1954" s="391" t="s">
        <v>9219</v>
      </c>
      <c r="D1954" s="391" t="s">
        <v>2232</v>
      </c>
    </row>
    <row r="1955" ht="15.75" customHeight="1">
      <c r="B1955" s="391" t="s">
        <v>9222</v>
      </c>
      <c r="C1955" s="391" t="s">
        <v>9223</v>
      </c>
      <c r="D1955" s="391" t="s">
        <v>2195</v>
      </c>
    </row>
    <row r="1956" ht="15.75" customHeight="1">
      <c r="B1956" s="391" t="s">
        <v>1483</v>
      </c>
      <c r="C1956" s="391" t="s">
        <v>9224</v>
      </c>
      <c r="D1956" s="391" t="s">
        <v>2232</v>
      </c>
    </row>
    <row r="1957" ht="15.75" customHeight="1">
      <c r="B1957" s="391" t="s">
        <v>1493</v>
      </c>
      <c r="C1957" s="391" t="s">
        <v>9224</v>
      </c>
      <c r="D1957" s="391" t="s">
        <v>2166</v>
      </c>
    </row>
    <row r="1958" ht="15.75" customHeight="1">
      <c r="B1958" s="391" t="s">
        <v>188</v>
      </c>
      <c r="C1958" s="391" t="s">
        <v>9224</v>
      </c>
      <c r="D1958" s="391" t="s">
        <v>2166</v>
      </c>
    </row>
    <row r="1959" ht="15.75" customHeight="1">
      <c r="B1959" s="391" t="s">
        <v>1495</v>
      </c>
      <c r="C1959" s="391" t="s">
        <v>9225</v>
      </c>
      <c r="D1959" s="391" t="s">
        <v>2195</v>
      </c>
    </row>
    <row r="1960" ht="15.75" customHeight="1">
      <c r="B1960" s="391" t="s">
        <v>1497</v>
      </c>
      <c r="C1960" s="391" t="s">
        <v>9226</v>
      </c>
      <c r="D1960" s="391" t="s">
        <v>2195</v>
      </c>
    </row>
    <row r="1961" ht="15.75" customHeight="1">
      <c r="B1961" s="391" t="s">
        <v>9227</v>
      </c>
      <c r="C1961" s="391" t="s">
        <v>9228</v>
      </c>
      <c r="D1961" s="391" t="s">
        <v>2166</v>
      </c>
    </row>
    <row r="1962" ht="15.75" customHeight="1">
      <c r="B1962" s="391" t="s">
        <v>9229</v>
      </c>
      <c r="C1962" s="391" t="s">
        <v>9230</v>
      </c>
      <c r="D1962" s="391" t="s">
        <v>2232</v>
      </c>
    </row>
    <row r="1963" ht="15.75" customHeight="1">
      <c r="B1963" s="391" t="s">
        <v>888</v>
      </c>
      <c r="C1963" s="391" t="s">
        <v>9231</v>
      </c>
      <c r="D1963" s="391" t="s">
        <v>2166</v>
      </c>
    </row>
    <row r="1964" ht="15.75" customHeight="1">
      <c r="B1964" s="391" t="s">
        <v>471</v>
      </c>
      <c r="C1964" s="391" t="s">
        <v>9232</v>
      </c>
      <c r="D1964" s="391" t="s">
        <v>2166</v>
      </c>
    </row>
    <row r="1965" ht="15.75" customHeight="1">
      <c r="B1965" s="391" t="s">
        <v>9233</v>
      </c>
      <c r="C1965" s="391" t="s">
        <v>9234</v>
      </c>
      <c r="D1965" s="391" t="s">
        <v>2195</v>
      </c>
    </row>
    <row r="1966" ht="15.75" customHeight="1">
      <c r="B1966" s="391" t="s">
        <v>9235</v>
      </c>
      <c r="C1966" s="391" t="s">
        <v>9236</v>
      </c>
      <c r="D1966" s="391" t="s">
        <v>2195</v>
      </c>
    </row>
    <row r="1967" ht="15.75" customHeight="1">
      <c r="B1967" s="391" t="s">
        <v>1448</v>
      </c>
      <c r="C1967" s="391" t="s">
        <v>9236</v>
      </c>
      <c r="D1967" s="391" t="s">
        <v>2232</v>
      </c>
    </row>
    <row r="1968" ht="15.75" customHeight="1">
      <c r="B1968" s="391" t="s">
        <v>9237</v>
      </c>
      <c r="C1968" s="391" t="s">
        <v>9238</v>
      </c>
      <c r="D1968" s="391" t="s">
        <v>2195</v>
      </c>
    </row>
    <row r="1969" ht="15.75" customHeight="1">
      <c r="B1969" s="391" t="s">
        <v>267</v>
      </c>
      <c r="C1969" s="391" t="s">
        <v>9239</v>
      </c>
      <c r="D1969" s="391" t="s">
        <v>2166</v>
      </c>
    </row>
    <row r="1970" ht="15.75" customHeight="1">
      <c r="B1970" s="391" t="s">
        <v>2570</v>
      </c>
      <c r="C1970" s="391" t="s">
        <v>9240</v>
      </c>
      <c r="D1970" s="391" t="s">
        <v>2232</v>
      </c>
    </row>
    <row r="1971" ht="15.75" customHeight="1">
      <c r="B1971" s="391" t="s">
        <v>9241</v>
      </c>
      <c r="C1971" s="391" t="s">
        <v>9242</v>
      </c>
      <c r="D1971" s="391" t="s">
        <v>2195</v>
      </c>
    </row>
    <row r="1972" ht="15.75" customHeight="1">
      <c r="B1972" s="391" t="s">
        <v>9243</v>
      </c>
      <c r="C1972" s="391" t="s">
        <v>9244</v>
      </c>
      <c r="D1972" s="391" t="s">
        <v>2195</v>
      </c>
    </row>
    <row r="1973" ht="15.75" customHeight="1">
      <c r="B1973" s="391" t="s">
        <v>9245</v>
      </c>
      <c r="C1973" s="391" t="s">
        <v>9246</v>
      </c>
      <c r="D1973" s="391" t="s">
        <v>2195</v>
      </c>
    </row>
    <row r="1974" ht="15.75" customHeight="1">
      <c r="B1974" s="391" t="s">
        <v>9247</v>
      </c>
      <c r="C1974" s="391" t="s">
        <v>9248</v>
      </c>
      <c r="D1974" s="391" t="s">
        <v>2195</v>
      </c>
    </row>
    <row r="1975" ht="15.75" customHeight="1">
      <c r="B1975" s="391" t="s">
        <v>2544</v>
      </c>
      <c r="C1975" s="391" t="s">
        <v>9249</v>
      </c>
      <c r="D1975" s="391" t="s">
        <v>2232</v>
      </c>
    </row>
    <row r="1976" ht="15.75" customHeight="1">
      <c r="B1976" s="391" t="s">
        <v>9250</v>
      </c>
      <c r="C1976" s="391" t="s">
        <v>9251</v>
      </c>
      <c r="D1976" s="391" t="s">
        <v>2166</v>
      </c>
    </row>
    <row r="1977" ht="15.75" customHeight="1">
      <c r="B1977" s="391" t="s">
        <v>9252</v>
      </c>
      <c r="C1977" s="391" t="s">
        <v>9251</v>
      </c>
      <c r="D1977" s="391" t="s">
        <v>2166</v>
      </c>
    </row>
    <row r="1978" ht="15.75" customHeight="1">
      <c r="B1978" s="391" t="s">
        <v>9253</v>
      </c>
      <c r="C1978" s="391" t="s">
        <v>9254</v>
      </c>
      <c r="D1978" s="391" t="s">
        <v>2166</v>
      </c>
    </row>
    <row r="1979" ht="15.75" customHeight="1">
      <c r="B1979" s="391" t="s">
        <v>840</v>
      </c>
      <c r="C1979" s="391" t="s">
        <v>9255</v>
      </c>
      <c r="D1979" s="391" t="s">
        <v>2166</v>
      </c>
    </row>
    <row r="1980" ht="15.75" customHeight="1">
      <c r="B1980" s="391" t="s">
        <v>1065</v>
      </c>
      <c r="C1980" s="391" t="s">
        <v>9256</v>
      </c>
      <c r="D1980" s="391" t="s">
        <v>2232</v>
      </c>
    </row>
    <row r="1981" ht="15.75" customHeight="1">
      <c r="B1981" s="391" t="s">
        <v>9257</v>
      </c>
      <c r="C1981" s="391" t="s">
        <v>9258</v>
      </c>
      <c r="D1981" s="391" t="s">
        <v>2195</v>
      </c>
    </row>
    <row r="1982" ht="15.75" customHeight="1">
      <c r="B1982" s="391" t="s">
        <v>963</v>
      </c>
      <c r="C1982" s="391" t="s">
        <v>9259</v>
      </c>
      <c r="D1982" s="391" t="s">
        <v>2195</v>
      </c>
    </row>
    <row r="1983" ht="15.75" customHeight="1">
      <c r="B1983" s="391" t="s">
        <v>9260</v>
      </c>
      <c r="C1983" s="391" t="s">
        <v>9259</v>
      </c>
      <c r="D1983" s="391" t="s">
        <v>2166</v>
      </c>
    </row>
    <row r="1984" ht="15.75" customHeight="1">
      <c r="B1984" s="391" t="s">
        <v>9261</v>
      </c>
      <c r="C1984" s="391" t="s">
        <v>9259</v>
      </c>
      <c r="D1984" s="391" t="s">
        <v>2232</v>
      </c>
    </row>
    <row r="1985" ht="15.75" customHeight="1">
      <c r="B1985" s="391" t="s">
        <v>982</v>
      </c>
      <c r="C1985" s="391" t="s">
        <v>9262</v>
      </c>
      <c r="D1985" s="391" t="s">
        <v>2195</v>
      </c>
    </row>
    <row r="1986" ht="15.75" customHeight="1">
      <c r="B1986" s="391" t="s">
        <v>988</v>
      </c>
      <c r="C1986" s="391" t="s">
        <v>9262</v>
      </c>
      <c r="D1986" s="391" t="s">
        <v>2195</v>
      </c>
    </row>
    <row r="1987" ht="15.75" customHeight="1">
      <c r="B1987" s="391" t="s">
        <v>990</v>
      </c>
      <c r="C1987" s="391" t="s">
        <v>9262</v>
      </c>
      <c r="D1987" s="391" t="s">
        <v>2195</v>
      </c>
    </row>
    <row r="1988" ht="15.75" customHeight="1">
      <c r="B1988" s="391" t="s">
        <v>95</v>
      </c>
      <c r="C1988" s="391" t="s">
        <v>9263</v>
      </c>
      <c r="D1988" s="391" t="s">
        <v>2166</v>
      </c>
    </row>
    <row r="1989" ht="15.75" customHeight="1">
      <c r="B1989" s="391" t="s">
        <v>97</v>
      </c>
      <c r="C1989" s="391" t="s">
        <v>9263</v>
      </c>
      <c r="D1989" s="391" t="s">
        <v>2166</v>
      </c>
    </row>
    <row r="1990" ht="15.75" customHeight="1">
      <c r="B1990" s="391" t="s">
        <v>124</v>
      </c>
      <c r="C1990" s="391" t="s">
        <v>9263</v>
      </c>
      <c r="D1990" s="391" t="s">
        <v>2166</v>
      </c>
    </row>
    <row r="1991" ht="15.75" customHeight="1">
      <c r="B1991" s="391" t="s">
        <v>126</v>
      </c>
      <c r="C1991" s="391" t="s">
        <v>9263</v>
      </c>
      <c r="D1991" s="391" t="s">
        <v>2166</v>
      </c>
    </row>
    <row r="1992" ht="15.75" customHeight="1">
      <c r="B1992" s="391" t="s">
        <v>9264</v>
      </c>
      <c r="C1992" s="391" t="s">
        <v>9263</v>
      </c>
      <c r="D1992" s="391" t="s">
        <v>2195</v>
      </c>
    </row>
    <row r="1993" ht="15.75" customHeight="1">
      <c r="B1993" s="391" t="s">
        <v>1515</v>
      </c>
      <c r="C1993" s="391" t="s">
        <v>9265</v>
      </c>
      <c r="D1993" s="391" t="s">
        <v>2166</v>
      </c>
    </row>
    <row r="1994" ht="15.75" customHeight="1">
      <c r="B1994" s="391" t="s">
        <v>1519</v>
      </c>
      <c r="C1994" s="391" t="s">
        <v>9265</v>
      </c>
      <c r="D1994" s="391" t="s">
        <v>2166</v>
      </c>
    </row>
    <row r="1995" ht="15.75" customHeight="1">
      <c r="B1995" s="391" t="s">
        <v>105</v>
      </c>
      <c r="C1995" s="391" t="s">
        <v>9266</v>
      </c>
      <c r="D1995" s="391" t="s">
        <v>2195</v>
      </c>
    </row>
    <row r="1996" ht="15.75" customHeight="1">
      <c r="B1996" s="391" t="s">
        <v>149</v>
      </c>
      <c r="C1996" s="391" t="s">
        <v>9267</v>
      </c>
      <c r="D1996" s="391" t="s">
        <v>2166</v>
      </c>
    </row>
    <row r="1997" ht="15.75" customHeight="1">
      <c r="B1997" s="391" t="s">
        <v>157</v>
      </c>
      <c r="C1997" s="391" t="s">
        <v>9267</v>
      </c>
      <c r="D1997" s="391" t="s">
        <v>2232</v>
      </c>
    </row>
    <row r="1998" ht="15.75" customHeight="1">
      <c r="B1998" s="391" t="s">
        <v>1419</v>
      </c>
      <c r="C1998" s="391" t="s">
        <v>9267</v>
      </c>
      <c r="D1998" s="391" t="s">
        <v>2195</v>
      </c>
    </row>
    <row r="1999" ht="15.75" customHeight="1">
      <c r="B1999" s="391" t="s">
        <v>9268</v>
      </c>
      <c r="C1999" s="391" t="s">
        <v>9269</v>
      </c>
      <c r="D1999" s="391" t="s">
        <v>2195</v>
      </c>
    </row>
    <row r="2000" ht="15.75" customHeight="1">
      <c r="B2000" s="391" t="s">
        <v>9270</v>
      </c>
      <c r="C2000" s="391" t="s">
        <v>9269</v>
      </c>
      <c r="D2000" s="391" t="s">
        <v>2195</v>
      </c>
    </row>
    <row r="2001" ht="15.75" customHeight="1">
      <c r="B2001" s="391" t="s">
        <v>895</v>
      </c>
      <c r="C2001" s="391" t="s">
        <v>9269</v>
      </c>
      <c r="D2001" s="391" t="s">
        <v>2232</v>
      </c>
    </row>
    <row r="2002" ht="15.75" customHeight="1">
      <c r="B2002" s="391" t="s">
        <v>899</v>
      </c>
      <c r="C2002" s="391" t="s">
        <v>9269</v>
      </c>
      <c r="D2002" s="391" t="s">
        <v>2166</v>
      </c>
    </row>
    <row r="2003" ht="15.75" customHeight="1">
      <c r="B2003" s="391" t="s">
        <v>849</v>
      </c>
      <c r="C2003" s="391" t="s">
        <v>9269</v>
      </c>
      <c r="D2003" s="391" t="s">
        <v>2232</v>
      </c>
    </row>
    <row r="2004" ht="15.75" customHeight="1">
      <c r="B2004" s="391" t="s">
        <v>855</v>
      </c>
      <c r="C2004" s="391" t="s">
        <v>9269</v>
      </c>
      <c r="D2004" s="391" t="s">
        <v>2166</v>
      </c>
    </row>
    <row r="2005" ht="15.75" customHeight="1">
      <c r="B2005" s="391" t="s">
        <v>99</v>
      </c>
      <c r="C2005" s="391" t="s">
        <v>9271</v>
      </c>
      <c r="D2005" s="391" t="s">
        <v>2166</v>
      </c>
    </row>
    <row r="2006" ht="15.75" customHeight="1">
      <c r="B2006" s="391" t="s">
        <v>103</v>
      </c>
      <c r="C2006" s="391" t="s">
        <v>9271</v>
      </c>
      <c r="D2006" s="391" t="s">
        <v>2166</v>
      </c>
    </row>
    <row r="2007" ht="15.75" customHeight="1">
      <c r="B2007" s="391" t="s">
        <v>128</v>
      </c>
      <c r="C2007" s="391" t="s">
        <v>9271</v>
      </c>
      <c r="D2007" s="391" t="s">
        <v>2166</v>
      </c>
    </row>
    <row r="2008" ht="15.75" customHeight="1">
      <c r="B2008" s="391" t="s">
        <v>9272</v>
      </c>
      <c r="C2008" s="391" t="s">
        <v>9271</v>
      </c>
      <c r="D2008" s="391" t="s">
        <v>2195</v>
      </c>
    </row>
    <row r="2009" ht="15.75" customHeight="1">
      <c r="B2009" s="391" t="s">
        <v>116</v>
      </c>
      <c r="C2009" s="391" t="s">
        <v>9273</v>
      </c>
      <c r="D2009" s="391" t="s">
        <v>2166</v>
      </c>
    </row>
    <row r="2010" ht="15.75" customHeight="1">
      <c r="B2010" s="391" t="s">
        <v>1112</v>
      </c>
      <c r="C2010" s="391" t="s">
        <v>9274</v>
      </c>
      <c r="D2010" s="391" t="s">
        <v>2166</v>
      </c>
    </row>
    <row r="2011" ht="15.75" customHeight="1">
      <c r="B2011" s="391" t="s">
        <v>1116</v>
      </c>
      <c r="C2011" s="391" t="s">
        <v>9274</v>
      </c>
      <c r="D2011" s="391" t="s">
        <v>2166</v>
      </c>
    </row>
    <row r="2012" ht="15.75" customHeight="1">
      <c r="B2012" s="391" t="s">
        <v>1122</v>
      </c>
      <c r="C2012" s="391" t="s">
        <v>9274</v>
      </c>
      <c r="D2012" s="391" t="s">
        <v>2195</v>
      </c>
    </row>
    <row r="2013" ht="15.75" customHeight="1">
      <c r="B2013" s="391" t="s">
        <v>802</v>
      </c>
      <c r="C2013" s="391" t="s">
        <v>9274</v>
      </c>
      <c r="D2013" s="391" t="s">
        <v>2232</v>
      </c>
    </row>
    <row r="2014" ht="15.75" customHeight="1">
      <c r="B2014" s="391" t="s">
        <v>806</v>
      </c>
      <c r="C2014" s="391" t="s">
        <v>9274</v>
      </c>
      <c r="D2014" s="391" t="s">
        <v>2195</v>
      </c>
    </row>
    <row r="2015" ht="15.75" customHeight="1">
      <c r="B2015" s="391" t="s">
        <v>814</v>
      </c>
      <c r="C2015" s="391" t="s">
        <v>9274</v>
      </c>
      <c r="D2015" s="391" t="s">
        <v>2166</v>
      </c>
    </row>
    <row r="2016" ht="15.75" customHeight="1">
      <c r="B2016" s="391" t="s">
        <v>1452</v>
      </c>
      <c r="C2016" s="391" t="s">
        <v>9275</v>
      </c>
      <c r="D2016" s="391" t="s">
        <v>2232</v>
      </c>
    </row>
    <row r="2017" ht="15.75" customHeight="1">
      <c r="B2017" s="391" t="s">
        <v>1462</v>
      </c>
      <c r="C2017" s="391" t="s">
        <v>9275</v>
      </c>
      <c r="D2017" s="391" t="s">
        <v>2166</v>
      </c>
    </row>
    <row r="2018" ht="15.75" customHeight="1">
      <c r="B2018" s="391" t="s">
        <v>1464</v>
      </c>
      <c r="C2018" s="391" t="s">
        <v>9275</v>
      </c>
      <c r="D2018" s="391" t="s">
        <v>2232</v>
      </c>
    </row>
    <row r="2019" ht="15.75" customHeight="1">
      <c r="B2019" s="391" t="s">
        <v>9276</v>
      </c>
      <c r="C2019" s="391" t="s">
        <v>9275</v>
      </c>
      <c r="D2019" s="391" t="s">
        <v>2166</v>
      </c>
    </row>
    <row r="2020" ht="15.75" customHeight="1">
      <c r="B2020" s="391" t="s">
        <v>9277</v>
      </c>
      <c r="C2020" s="391" t="s">
        <v>9275</v>
      </c>
      <c r="D2020" s="391" t="s">
        <v>2232</v>
      </c>
    </row>
    <row r="2021" ht="15.75" customHeight="1">
      <c r="B2021" s="391" t="s">
        <v>9278</v>
      </c>
      <c r="C2021" s="391" t="s">
        <v>9275</v>
      </c>
      <c r="D2021" s="391" t="s">
        <v>2166</v>
      </c>
    </row>
    <row r="2022" ht="15.75" customHeight="1">
      <c r="B2022" s="391" t="s">
        <v>829</v>
      </c>
      <c r="C2022" s="391" t="s">
        <v>9275</v>
      </c>
      <c r="D2022" s="391" t="s">
        <v>2232</v>
      </c>
    </row>
    <row r="2023" ht="15.75" customHeight="1">
      <c r="B2023" s="391" t="s">
        <v>831</v>
      </c>
      <c r="C2023" s="391" t="s">
        <v>9275</v>
      </c>
      <c r="D2023" s="391" t="s">
        <v>2232</v>
      </c>
    </row>
    <row r="2024" ht="15.75" customHeight="1">
      <c r="B2024" s="391" t="s">
        <v>835</v>
      </c>
      <c r="C2024" s="391" t="s">
        <v>9275</v>
      </c>
      <c r="D2024" s="391" t="s">
        <v>2166</v>
      </c>
    </row>
    <row r="2025" ht="15.75" customHeight="1">
      <c r="B2025" s="391" t="s">
        <v>9279</v>
      </c>
      <c r="C2025" s="391" t="s">
        <v>9275</v>
      </c>
      <c r="D2025" s="391" t="s">
        <v>2232</v>
      </c>
    </row>
    <row r="2026" ht="15.75" customHeight="1">
      <c r="B2026" s="391" t="s">
        <v>9280</v>
      </c>
      <c r="C2026" s="391" t="s">
        <v>9281</v>
      </c>
      <c r="D2026" s="391" t="s">
        <v>2195</v>
      </c>
    </row>
    <row r="2027" ht="15.75" customHeight="1">
      <c r="B2027" s="391" t="s">
        <v>9282</v>
      </c>
      <c r="C2027" s="391" t="s">
        <v>9281</v>
      </c>
      <c r="D2027" s="391" t="s">
        <v>2195</v>
      </c>
    </row>
    <row r="2028" ht="15.75" customHeight="1">
      <c r="B2028" s="391" t="s">
        <v>160</v>
      </c>
      <c r="C2028" s="391" t="s">
        <v>9283</v>
      </c>
      <c r="D2028" s="391" t="s">
        <v>2166</v>
      </c>
    </row>
    <row r="2029" ht="15.75" customHeight="1">
      <c r="B2029" s="391" t="s">
        <v>164</v>
      </c>
      <c r="C2029" s="391" t="s">
        <v>9283</v>
      </c>
      <c r="D2029" s="391" t="s">
        <v>2195</v>
      </c>
    </row>
    <row r="2030" ht="15.75" customHeight="1">
      <c r="B2030" s="391" t="s">
        <v>168</v>
      </c>
      <c r="C2030" s="391" t="s">
        <v>9283</v>
      </c>
      <c r="D2030" s="391" t="s">
        <v>2232</v>
      </c>
    </row>
    <row r="2031" ht="15.75" customHeight="1">
      <c r="B2031" s="391" t="s">
        <v>9284</v>
      </c>
      <c r="C2031" s="391" t="s">
        <v>9285</v>
      </c>
      <c r="D2031" s="391" t="s">
        <v>2195</v>
      </c>
    </row>
    <row r="2032" ht="15.75" customHeight="1">
      <c r="B2032" s="391" t="s">
        <v>107</v>
      </c>
      <c r="C2032" s="391" t="s">
        <v>9285</v>
      </c>
      <c r="D2032" s="391" t="s">
        <v>2166</v>
      </c>
    </row>
    <row r="2033" ht="15.75" customHeight="1">
      <c r="B2033" s="391" t="s">
        <v>108</v>
      </c>
      <c r="C2033" s="391" t="s">
        <v>9285</v>
      </c>
      <c r="D2033" s="391" t="s">
        <v>2166</v>
      </c>
    </row>
    <row r="2034" ht="15.75" customHeight="1">
      <c r="B2034" s="391" t="s">
        <v>110</v>
      </c>
      <c r="C2034" s="391" t="s">
        <v>9285</v>
      </c>
      <c r="D2034" s="391" t="s">
        <v>2232</v>
      </c>
    </row>
    <row r="2035" ht="15.75" customHeight="1">
      <c r="B2035" s="391" t="s">
        <v>114</v>
      </c>
      <c r="C2035" s="391" t="s">
        <v>9285</v>
      </c>
      <c r="D2035" s="391" t="s">
        <v>2195</v>
      </c>
    </row>
    <row r="2036" ht="15.75" customHeight="1">
      <c r="B2036" s="391" t="s">
        <v>122</v>
      </c>
      <c r="C2036" s="391" t="s">
        <v>9286</v>
      </c>
      <c r="D2036" s="391" t="s">
        <v>2232</v>
      </c>
    </row>
    <row r="2037" ht="15.75" customHeight="1">
      <c r="B2037" s="391" t="s">
        <v>136</v>
      </c>
      <c r="C2037" s="391" t="s">
        <v>9286</v>
      </c>
      <c r="D2037" s="391" t="s">
        <v>2195</v>
      </c>
    </row>
    <row r="2038" ht="15.75" customHeight="1">
      <c r="B2038" s="391" t="s">
        <v>138</v>
      </c>
      <c r="C2038" s="391" t="s">
        <v>9286</v>
      </c>
      <c r="D2038" s="391" t="s">
        <v>2166</v>
      </c>
    </row>
    <row r="2039" ht="15.75" customHeight="1">
      <c r="B2039" s="391" t="s">
        <v>141</v>
      </c>
      <c r="C2039" s="391" t="s">
        <v>9286</v>
      </c>
      <c r="D2039" s="391" t="s">
        <v>2195</v>
      </c>
    </row>
    <row r="2040" ht="15.75" customHeight="1">
      <c r="B2040" s="391" t="s">
        <v>87</v>
      </c>
      <c r="C2040" s="391" t="s">
        <v>9285</v>
      </c>
      <c r="D2040" s="391" t="s">
        <v>2166</v>
      </c>
    </row>
    <row r="2041" ht="15.75" customHeight="1">
      <c r="B2041" s="391" t="s">
        <v>1167</v>
      </c>
      <c r="C2041" s="391" t="s">
        <v>9287</v>
      </c>
      <c r="D2041" s="391" t="s">
        <v>2166</v>
      </c>
    </row>
    <row r="2042" ht="15.75" customHeight="1">
      <c r="B2042" s="391" t="s">
        <v>1169</v>
      </c>
      <c r="C2042" s="391" t="s">
        <v>9287</v>
      </c>
      <c r="D2042" s="391" t="s">
        <v>2166</v>
      </c>
    </row>
    <row r="2043" ht="15.75" customHeight="1">
      <c r="B2043" s="391" t="s">
        <v>9288</v>
      </c>
      <c r="C2043" s="391" t="s">
        <v>9287</v>
      </c>
      <c r="D2043" s="391" t="s">
        <v>2166</v>
      </c>
    </row>
    <row r="2044" ht="15.75" customHeight="1">
      <c r="B2044" s="391" t="s">
        <v>1171</v>
      </c>
      <c r="C2044" s="391" t="s">
        <v>9287</v>
      </c>
      <c r="D2044" s="391" t="s">
        <v>2166</v>
      </c>
    </row>
    <row r="2045" ht="15.75" customHeight="1">
      <c r="B2045" s="391" t="s">
        <v>1177</v>
      </c>
      <c r="C2045" s="391" t="s">
        <v>9287</v>
      </c>
      <c r="D2045" s="391" t="s">
        <v>2195</v>
      </c>
    </row>
    <row r="2046" ht="15.75" customHeight="1">
      <c r="B2046" s="391" t="s">
        <v>1181</v>
      </c>
      <c r="C2046" s="391" t="s">
        <v>9287</v>
      </c>
      <c r="D2046" s="391" t="s">
        <v>2166</v>
      </c>
    </row>
    <row r="2047" ht="15.75" customHeight="1">
      <c r="B2047" s="391" t="s">
        <v>1183</v>
      </c>
      <c r="C2047" s="391" t="s">
        <v>9287</v>
      </c>
      <c r="D2047" s="391" t="s">
        <v>2166</v>
      </c>
    </row>
    <row r="2048" ht="15.75" customHeight="1">
      <c r="B2048" s="391" t="s">
        <v>1191</v>
      </c>
      <c r="C2048" s="391" t="s">
        <v>9287</v>
      </c>
      <c r="D2048" s="391" t="s">
        <v>2195</v>
      </c>
    </row>
    <row r="2049" ht="15.75" customHeight="1">
      <c r="B2049" s="391" t="s">
        <v>1193</v>
      </c>
      <c r="C2049" s="391" t="s">
        <v>9287</v>
      </c>
      <c r="D2049" s="391" t="s">
        <v>2232</v>
      </c>
    </row>
    <row r="2050" ht="15.75" customHeight="1">
      <c r="B2050" s="391" t="s">
        <v>1197</v>
      </c>
      <c r="C2050" s="391" t="s">
        <v>9287</v>
      </c>
      <c r="D2050" s="391" t="s">
        <v>2195</v>
      </c>
    </row>
    <row r="2051" ht="15.75" customHeight="1">
      <c r="B2051" s="391" t="s">
        <v>1199</v>
      </c>
      <c r="C2051" s="391" t="s">
        <v>9287</v>
      </c>
      <c r="D2051" s="391" t="s">
        <v>2166</v>
      </c>
    </row>
    <row r="2052" ht="15.75" customHeight="1">
      <c r="B2052" s="391" t="s">
        <v>1221</v>
      </c>
      <c r="C2052" s="391" t="s">
        <v>9287</v>
      </c>
      <c r="D2052" s="391" t="s">
        <v>2195</v>
      </c>
    </row>
    <row r="2053" ht="15.75" customHeight="1">
      <c r="B2053" s="391" t="s">
        <v>1237</v>
      </c>
      <c r="C2053" s="391" t="s">
        <v>9287</v>
      </c>
      <c r="D2053" s="391" t="s">
        <v>2166</v>
      </c>
    </row>
    <row r="2054" ht="15.75" customHeight="1">
      <c r="B2054" s="391" t="s">
        <v>9289</v>
      </c>
      <c r="C2054" s="391" t="s">
        <v>9287</v>
      </c>
      <c r="D2054" s="391" t="s">
        <v>2166</v>
      </c>
    </row>
    <row r="2055" ht="15.75" customHeight="1">
      <c r="B2055" s="391" t="s">
        <v>9290</v>
      </c>
      <c r="C2055" s="391" t="s">
        <v>9287</v>
      </c>
      <c r="D2055" s="391" t="s">
        <v>2166</v>
      </c>
    </row>
    <row r="2056" ht="15.75" customHeight="1">
      <c r="B2056" s="391" t="s">
        <v>9291</v>
      </c>
      <c r="C2056" s="391" t="s">
        <v>9287</v>
      </c>
      <c r="D2056" s="391" t="s">
        <v>2166</v>
      </c>
    </row>
    <row r="2057" ht="15.75" customHeight="1">
      <c r="B2057" s="391" t="s">
        <v>9292</v>
      </c>
      <c r="C2057" s="391" t="s">
        <v>9293</v>
      </c>
      <c r="D2057" s="391" t="s">
        <v>2195</v>
      </c>
    </row>
    <row r="2058" ht="15.75" customHeight="1">
      <c r="B2058" s="391" t="s">
        <v>9294</v>
      </c>
      <c r="C2058" s="391" t="s">
        <v>9295</v>
      </c>
      <c r="D2058" s="391" t="s">
        <v>2232</v>
      </c>
    </row>
    <row r="2059" ht="15.75" customHeight="1">
      <c r="B2059" s="391" t="s">
        <v>1348</v>
      </c>
      <c r="C2059" s="391" t="s">
        <v>9296</v>
      </c>
      <c r="D2059" s="391" t="s">
        <v>2195</v>
      </c>
    </row>
    <row r="2060" ht="15.75" customHeight="1">
      <c r="B2060" s="391" t="s">
        <v>1365</v>
      </c>
      <c r="C2060" s="391" t="s">
        <v>9296</v>
      </c>
      <c r="D2060" s="391" t="s">
        <v>2195</v>
      </c>
    </row>
    <row r="2061" ht="15.75" customHeight="1">
      <c r="B2061" s="391" t="s">
        <v>9297</v>
      </c>
      <c r="C2061" s="391" t="s">
        <v>9296</v>
      </c>
      <c r="D2061" s="391" t="s">
        <v>2166</v>
      </c>
    </row>
    <row r="2062" ht="15.75" customHeight="1">
      <c r="B2062" s="391" t="s">
        <v>9298</v>
      </c>
      <c r="C2062" s="391" t="s">
        <v>9299</v>
      </c>
      <c r="D2062" s="391" t="s">
        <v>2195</v>
      </c>
    </row>
    <row r="2063" ht="15.75" customHeight="1">
      <c r="B2063" s="391" t="s">
        <v>9300</v>
      </c>
      <c r="C2063" s="391" t="s">
        <v>9301</v>
      </c>
      <c r="D2063" s="391" t="s">
        <v>2195</v>
      </c>
    </row>
    <row r="2064" ht="15.75" customHeight="1">
      <c r="B2064" s="391" t="s">
        <v>1369</v>
      </c>
      <c r="C2064" s="391" t="s">
        <v>9301</v>
      </c>
      <c r="D2064" s="391" t="s">
        <v>2232</v>
      </c>
    </row>
    <row r="2065" ht="15.75" customHeight="1">
      <c r="B2065" s="391" t="s">
        <v>1371</v>
      </c>
      <c r="C2065" s="391" t="s">
        <v>9301</v>
      </c>
      <c r="D2065" s="391" t="s">
        <v>2232</v>
      </c>
    </row>
    <row r="2066" ht="15.75" customHeight="1">
      <c r="B2066" s="391" t="s">
        <v>1397</v>
      </c>
      <c r="C2066" s="391" t="s">
        <v>9301</v>
      </c>
      <c r="D2066" s="391" t="s">
        <v>2232</v>
      </c>
    </row>
    <row r="2067" ht="15.75" customHeight="1">
      <c r="B2067" s="391" t="s">
        <v>1351</v>
      </c>
      <c r="C2067" s="391" t="s">
        <v>9302</v>
      </c>
      <c r="D2067" s="391" t="s">
        <v>2232</v>
      </c>
    </row>
    <row r="2068" ht="15.75" customHeight="1">
      <c r="B2068" s="391" t="s">
        <v>9303</v>
      </c>
      <c r="C2068" s="391" t="s">
        <v>9304</v>
      </c>
      <c r="D2068" s="391" t="s">
        <v>2195</v>
      </c>
    </row>
    <row r="2069" ht="15.75" customHeight="1">
      <c r="B2069" s="391" t="s">
        <v>1399</v>
      </c>
      <c r="C2069" s="391" t="s">
        <v>9305</v>
      </c>
      <c r="D2069" s="391" t="s">
        <v>2166</v>
      </c>
    </row>
    <row r="2070" ht="15.75" customHeight="1">
      <c r="B2070" s="391" t="s">
        <v>9306</v>
      </c>
      <c r="C2070" s="391" t="s">
        <v>9307</v>
      </c>
      <c r="D2070" s="391" t="s">
        <v>2195</v>
      </c>
    </row>
    <row r="2071" ht="15.75" customHeight="1">
      <c r="B2071" s="391" t="s">
        <v>9308</v>
      </c>
      <c r="C2071" s="391" t="s">
        <v>9307</v>
      </c>
      <c r="D2071" s="391" t="s">
        <v>2195</v>
      </c>
    </row>
    <row r="2072" ht="15.75" customHeight="1">
      <c r="B2072" s="391" t="s">
        <v>1446</v>
      </c>
      <c r="C2072" s="391" t="s">
        <v>9309</v>
      </c>
      <c r="D2072" s="391" t="s">
        <v>2195</v>
      </c>
    </row>
    <row r="2073" ht="15.75" customHeight="1">
      <c r="B2073" s="391" t="s">
        <v>1450</v>
      </c>
      <c r="C2073" s="391" t="s">
        <v>9309</v>
      </c>
      <c r="D2073" s="391" t="s">
        <v>2232</v>
      </c>
    </row>
    <row r="2074" ht="15.75" customHeight="1">
      <c r="B2074" s="391" t="s">
        <v>9310</v>
      </c>
      <c r="C2074" s="391" t="s">
        <v>9309</v>
      </c>
      <c r="D2074" s="391" t="s">
        <v>2195</v>
      </c>
    </row>
    <row r="2075" ht="15.75" customHeight="1">
      <c r="B2075" s="391" t="s">
        <v>9311</v>
      </c>
      <c r="C2075" s="391" t="s">
        <v>9309</v>
      </c>
      <c r="D2075" s="391" t="s">
        <v>2232</v>
      </c>
    </row>
    <row r="2076" ht="15.75" customHeight="1">
      <c r="B2076" s="391" t="s">
        <v>9312</v>
      </c>
      <c r="C2076" s="391" t="s">
        <v>9309</v>
      </c>
      <c r="D2076" s="391" t="s">
        <v>2195</v>
      </c>
    </row>
    <row r="2077" ht="15.75" customHeight="1">
      <c r="B2077" s="391" t="s">
        <v>9313</v>
      </c>
      <c r="C2077" s="391" t="s">
        <v>9309</v>
      </c>
      <c r="D2077" s="391" t="s">
        <v>2195</v>
      </c>
    </row>
    <row r="2078" ht="15.75" customHeight="1">
      <c r="B2078" s="391" t="s">
        <v>9314</v>
      </c>
      <c r="C2078" s="391" t="s">
        <v>9309</v>
      </c>
      <c r="D2078" s="391" t="s">
        <v>2195</v>
      </c>
    </row>
    <row r="2079" ht="15.75" customHeight="1">
      <c r="B2079" s="391" t="s">
        <v>325</v>
      </c>
      <c r="C2079" s="391" t="s">
        <v>9309</v>
      </c>
      <c r="D2079" s="391" t="s">
        <v>2195</v>
      </c>
    </row>
    <row r="2080" ht="15.75" customHeight="1">
      <c r="B2080" s="391" t="s">
        <v>9315</v>
      </c>
      <c r="C2080" s="391" t="s">
        <v>9309</v>
      </c>
      <c r="D2080" s="391" t="s">
        <v>2195</v>
      </c>
    </row>
    <row r="2081" ht="15.75" customHeight="1">
      <c r="B2081" s="391" t="s">
        <v>355</v>
      </c>
      <c r="C2081" s="391" t="s">
        <v>9309</v>
      </c>
      <c r="D2081" s="391" t="s">
        <v>2195</v>
      </c>
    </row>
    <row r="2082" ht="15.75" customHeight="1">
      <c r="B2082" s="391" t="s">
        <v>356</v>
      </c>
      <c r="C2082" s="391" t="s">
        <v>9309</v>
      </c>
      <c r="D2082" s="391" t="s">
        <v>2195</v>
      </c>
    </row>
    <row r="2083" ht="15.75" customHeight="1">
      <c r="B2083" s="391" t="s">
        <v>360</v>
      </c>
      <c r="C2083" s="391" t="s">
        <v>9309</v>
      </c>
      <c r="D2083" s="391" t="s">
        <v>2195</v>
      </c>
    </row>
    <row r="2084" ht="15.75" customHeight="1">
      <c r="B2084" s="391" t="s">
        <v>9316</v>
      </c>
      <c r="C2084" s="391" t="s">
        <v>9309</v>
      </c>
      <c r="D2084" s="391" t="s">
        <v>2195</v>
      </c>
    </row>
    <row r="2085" ht="15.75" customHeight="1">
      <c r="B2085" s="391" t="s">
        <v>9317</v>
      </c>
      <c r="C2085" s="391" t="s">
        <v>9309</v>
      </c>
      <c r="D2085" s="391" t="s">
        <v>2195</v>
      </c>
    </row>
    <row r="2086" ht="15.75" customHeight="1">
      <c r="B2086" s="391" t="s">
        <v>9318</v>
      </c>
      <c r="C2086" s="391" t="s">
        <v>9309</v>
      </c>
      <c r="D2086" s="391" t="s">
        <v>2195</v>
      </c>
    </row>
    <row r="2087" ht="15.75" customHeight="1">
      <c r="B2087" s="391" t="s">
        <v>9319</v>
      </c>
      <c r="C2087" s="391" t="s">
        <v>9309</v>
      </c>
      <c r="D2087" s="391" t="s">
        <v>2195</v>
      </c>
    </row>
    <row r="2088" ht="15.75" customHeight="1">
      <c r="B2088" s="391" t="s">
        <v>9320</v>
      </c>
      <c r="C2088" s="391" t="s">
        <v>9309</v>
      </c>
      <c r="D2088" s="391" t="s">
        <v>2195</v>
      </c>
    </row>
    <row r="2089" ht="15.75" customHeight="1">
      <c r="B2089" s="391" t="s">
        <v>9321</v>
      </c>
      <c r="C2089" s="391" t="s">
        <v>9309</v>
      </c>
      <c r="D2089" s="391" t="s">
        <v>2195</v>
      </c>
    </row>
    <row r="2090" ht="15.75" customHeight="1">
      <c r="B2090" s="391" t="s">
        <v>647</v>
      </c>
      <c r="C2090" s="391" t="s">
        <v>9309</v>
      </c>
      <c r="D2090" s="391" t="s">
        <v>2166</v>
      </c>
    </row>
    <row r="2091" ht="15.75" customHeight="1">
      <c r="B2091" s="391" t="s">
        <v>597</v>
      </c>
      <c r="C2091" s="391" t="s">
        <v>9309</v>
      </c>
      <c r="D2091" s="391" t="s">
        <v>2195</v>
      </c>
    </row>
    <row r="2092" ht="15.75" customHeight="1">
      <c r="B2092" s="391" t="s">
        <v>611</v>
      </c>
      <c r="C2092" s="391" t="s">
        <v>9309</v>
      </c>
      <c r="D2092" s="391" t="s">
        <v>2195</v>
      </c>
    </row>
    <row r="2093" ht="15.75" customHeight="1">
      <c r="B2093" s="391" t="s">
        <v>615</v>
      </c>
      <c r="C2093" s="391" t="s">
        <v>9309</v>
      </c>
      <c r="D2093" s="391" t="s">
        <v>2232</v>
      </c>
    </row>
    <row r="2094" ht="15.75" customHeight="1">
      <c r="B2094" s="391" t="s">
        <v>617</v>
      </c>
      <c r="C2094" s="391" t="s">
        <v>9309</v>
      </c>
      <c r="D2094" s="391" t="s">
        <v>2195</v>
      </c>
    </row>
    <row r="2095" ht="15.75" customHeight="1">
      <c r="B2095" s="391" t="s">
        <v>621</v>
      </c>
      <c r="C2095" s="391" t="s">
        <v>9309</v>
      </c>
      <c r="D2095" s="391" t="s">
        <v>2166</v>
      </c>
    </row>
    <row r="2096" ht="15.75" customHeight="1">
      <c r="B2096" s="391" t="s">
        <v>625</v>
      </c>
      <c r="C2096" s="391" t="s">
        <v>9309</v>
      </c>
      <c r="D2096" s="391" t="s">
        <v>2195</v>
      </c>
    </row>
    <row r="2097" ht="15.75" customHeight="1">
      <c r="B2097" s="391" t="s">
        <v>626</v>
      </c>
      <c r="C2097" s="391" t="s">
        <v>9309</v>
      </c>
      <c r="D2097" s="391" t="s">
        <v>2195</v>
      </c>
    </row>
    <row r="2098" ht="15.75" customHeight="1">
      <c r="B2098" s="391" t="s">
        <v>704</v>
      </c>
      <c r="C2098" s="391" t="s">
        <v>9309</v>
      </c>
      <c r="D2098" s="391" t="s">
        <v>2166</v>
      </c>
    </row>
    <row r="2099" ht="15.75" customHeight="1">
      <c r="B2099" s="391" t="s">
        <v>706</v>
      </c>
      <c r="C2099" s="391" t="s">
        <v>9309</v>
      </c>
      <c r="D2099" s="391" t="s">
        <v>2166</v>
      </c>
    </row>
    <row r="2100" ht="15.75" customHeight="1">
      <c r="B2100" s="391" t="s">
        <v>9322</v>
      </c>
      <c r="C2100" s="391" t="s">
        <v>9309</v>
      </c>
      <c r="D2100" s="391" t="s">
        <v>2195</v>
      </c>
    </row>
    <row r="2101" ht="15.75" customHeight="1">
      <c r="B2101" s="391" t="s">
        <v>9323</v>
      </c>
      <c r="C2101" s="391" t="s">
        <v>9309</v>
      </c>
      <c r="D2101" s="391" t="s">
        <v>2195</v>
      </c>
    </row>
    <row r="2102" ht="15.75" customHeight="1">
      <c r="B2102" s="391" t="s">
        <v>628</v>
      </c>
      <c r="C2102" s="391" t="s">
        <v>9324</v>
      </c>
      <c r="D2102" s="391" t="s">
        <v>2195</v>
      </c>
    </row>
    <row r="2103" ht="15.75" customHeight="1">
      <c r="B2103" s="391" t="s">
        <v>9325</v>
      </c>
      <c r="C2103" s="391" t="s">
        <v>9326</v>
      </c>
      <c r="D2103" s="391" t="s">
        <v>2195</v>
      </c>
    </row>
    <row r="2104" ht="15.75" customHeight="1">
      <c r="B2104" s="391" t="s">
        <v>9327</v>
      </c>
      <c r="C2104" s="391" t="s">
        <v>9326</v>
      </c>
      <c r="D2104" s="391" t="s">
        <v>2195</v>
      </c>
    </row>
    <row r="2105" ht="15.75" customHeight="1">
      <c r="B2105" s="391" t="s">
        <v>9328</v>
      </c>
      <c r="C2105" s="391" t="s">
        <v>9326</v>
      </c>
      <c r="D2105" s="391" t="s">
        <v>2195</v>
      </c>
    </row>
    <row r="2106" ht="15.75" customHeight="1">
      <c r="B2106" s="391" t="s">
        <v>9329</v>
      </c>
      <c r="C2106" s="391" t="s">
        <v>9326</v>
      </c>
      <c r="D2106" s="391" t="s">
        <v>2195</v>
      </c>
    </row>
    <row r="2107" ht="15.75" customHeight="1">
      <c r="B2107" s="391" t="s">
        <v>9330</v>
      </c>
      <c r="C2107" s="391" t="s">
        <v>9326</v>
      </c>
      <c r="D2107" s="391" t="s">
        <v>2166</v>
      </c>
    </row>
    <row r="2108" ht="15.75" customHeight="1">
      <c r="B2108" s="391" t="s">
        <v>9331</v>
      </c>
      <c r="C2108" s="391" t="s">
        <v>9326</v>
      </c>
      <c r="D2108" s="391" t="s">
        <v>2166</v>
      </c>
    </row>
    <row r="2109" ht="15.75" customHeight="1">
      <c r="B2109" s="391" t="s">
        <v>9332</v>
      </c>
      <c r="C2109" s="391" t="s">
        <v>9326</v>
      </c>
      <c r="D2109" s="391" t="s">
        <v>2166</v>
      </c>
    </row>
    <row r="2110" ht="15.75" customHeight="1">
      <c r="B2110" s="391" t="s">
        <v>9333</v>
      </c>
      <c r="C2110" s="391" t="s">
        <v>9334</v>
      </c>
      <c r="D2110" s="391" t="s">
        <v>2166</v>
      </c>
    </row>
    <row r="2111" ht="15.75" customHeight="1">
      <c r="B2111" s="391" t="s">
        <v>9335</v>
      </c>
      <c r="C2111" s="391" t="s">
        <v>9334</v>
      </c>
      <c r="D2111" s="391" t="s">
        <v>2195</v>
      </c>
    </row>
    <row r="2112" ht="15.75" customHeight="1">
      <c r="B2112" s="391" t="s">
        <v>9336</v>
      </c>
      <c r="C2112" s="391" t="s">
        <v>9334</v>
      </c>
      <c r="D2112" s="391" t="s">
        <v>2195</v>
      </c>
    </row>
    <row r="2113" ht="15.75" customHeight="1">
      <c r="B2113" s="391" t="s">
        <v>9337</v>
      </c>
      <c r="C2113" s="391" t="s">
        <v>9334</v>
      </c>
      <c r="D2113" s="391" t="s">
        <v>2195</v>
      </c>
    </row>
    <row r="2114" ht="15.75" customHeight="1">
      <c r="B2114" s="391" t="s">
        <v>9338</v>
      </c>
      <c r="C2114" s="391" t="s">
        <v>9334</v>
      </c>
      <c r="D2114" s="391" t="s">
        <v>2195</v>
      </c>
    </row>
    <row r="2115" ht="15.75" customHeight="1">
      <c r="B2115" s="391" t="s">
        <v>422</v>
      </c>
      <c r="C2115" s="391" t="s">
        <v>9334</v>
      </c>
      <c r="D2115" s="391" t="s">
        <v>2195</v>
      </c>
    </row>
    <row r="2116" ht="15.75" customHeight="1">
      <c r="B2116" s="391" t="s">
        <v>9339</v>
      </c>
      <c r="C2116" s="391" t="s">
        <v>9334</v>
      </c>
      <c r="D2116" s="391" t="s">
        <v>2195</v>
      </c>
    </row>
    <row r="2117" ht="15.75" customHeight="1">
      <c r="B2117" s="391" t="s">
        <v>423</v>
      </c>
      <c r="C2117" s="391" t="s">
        <v>9334</v>
      </c>
      <c r="D2117" s="391" t="s">
        <v>2195</v>
      </c>
    </row>
    <row r="2118" ht="15.75" customHeight="1">
      <c r="B2118" s="391" t="s">
        <v>9340</v>
      </c>
      <c r="C2118" s="391" t="s">
        <v>9341</v>
      </c>
      <c r="D2118" s="391" t="s">
        <v>2195</v>
      </c>
    </row>
    <row r="2119" ht="15.75" customHeight="1">
      <c r="B2119" s="391" t="s">
        <v>9342</v>
      </c>
      <c r="C2119" s="391" t="s">
        <v>9341</v>
      </c>
      <c r="D2119" s="391" t="s">
        <v>2195</v>
      </c>
    </row>
    <row r="2120" ht="15.75" customHeight="1">
      <c r="B2120" s="391" t="s">
        <v>9343</v>
      </c>
      <c r="C2120" s="391" t="s">
        <v>9341</v>
      </c>
      <c r="D2120" s="391" t="s">
        <v>2195</v>
      </c>
    </row>
    <row r="2121" ht="15.75" customHeight="1">
      <c r="B2121" s="391" t="s">
        <v>9344</v>
      </c>
      <c r="C2121" s="391" t="s">
        <v>9341</v>
      </c>
      <c r="D2121" s="391" t="s">
        <v>2195</v>
      </c>
    </row>
    <row r="2122" ht="15.75" customHeight="1">
      <c r="B2122" s="391" t="s">
        <v>265</v>
      </c>
      <c r="C2122" s="391" t="s">
        <v>9345</v>
      </c>
      <c r="D2122" s="391" t="s">
        <v>2166</v>
      </c>
    </row>
    <row r="2123" ht="15.75" customHeight="1">
      <c r="B2123" s="391" t="s">
        <v>386</v>
      </c>
      <c r="C2123" s="391" t="s">
        <v>9346</v>
      </c>
      <c r="D2123" s="391" t="s">
        <v>2195</v>
      </c>
    </row>
    <row r="2124" ht="15.75" customHeight="1">
      <c r="B2124" s="391" t="s">
        <v>402</v>
      </c>
      <c r="C2124" s="391" t="s">
        <v>9347</v>
      </c>
      <c r="D2124" s="391" t="s">
        <v>2195</v>
      </c>
    </row>
    <row r="2125" ht="15.75" customHeight="1">
      <c r="B2125" s="391" t="s">
        <v>404</v>
      </c>
      <c r="C2125" s="391" t="s">
        <v>9348</v>
      </c>
      <c r="D2125" s="391" t="s">
        <v>2166</v>
      </c>
    </row>
    <row r="2126" ht="15.75" customHeight="1">
      <c r="B2126" s="391" t="s">
        <v>608</v>
      </c>
      <c r="C2126" s="391" t="s">
        <v>9349</v>
      </c>
      <c r="D2126" s="391" t="s">
        <v>2166</v>
      </c>
    </row>
    <row r="2127" ht="15.75" customHeight="1">
      <c r="B2127" s="391" t="s">
        <v>353</v>
      </c>
      <c r="C2127" s="391" t="s">
        <v>9350</v>
      </c>
      <c r="D2127" s="391" t="s">
        <v>2195</v>
      </c>
    </row>
    <row r="2128" ht="15.75" customHeight="1">
      <c r="B2128" s="391" t="s">
        <v>9351</v>
      </c>
      <c r="C2128" s="391" t="s">
        <v>9352</v>
      </c>
      <c r="D2128" s="391" t="s">
        <v>2195</v>
      </c>
    </row>
    <row r="2129" ht="15.75" customHeight="1">
      <c r="B2129" s="391" t="s">
        <v>610</v>
      </c>
      <c r="C2129" s="391" t="s">
        <v>9353</v>
      </c>
      <c r="D2129" s="391" t="s">
        <v>2195</v>
      </c>
    </row>
    <row r="2130" ht="15.75" customHeight="1">
      <c r="B2130" s="391" t="s">
        <v>380</v>
      </c>
      <c r="C2130" s="391" t="s">
        <v>9354</v>
      </c>
      <c r="D2130" s="391" t="s">
        <v>2232</v>
      </c>
    </row>
    <row r="2131" ht="15.75" customHeight="1">
      <c r="B2131" s="391" t="s">
        <v>9355</v>
      </c>
      <c r="C2131" s="391" t="s">
        <v>9356</v>
      </c>
      <c r="D2131" s="391" t="s">
        <v>2232</v>
      </c>
    </row>
    <row r="2132" ht="15.75" customHeight="1">
      <c r="B2132" s="391" t="s">
        <v>211</v>
      </c>
      <c r="C2132" s="391" t="s">
        <v>9357</v>
      </c>
      <c r="D2132" s="391" t="s">
        <v>2166</v>
      </c>
    </row>
    <row r="2133" ht="15.75" customHeight="1">
      <c r="B2133" s="391" t="s">
        <v>383</v>
      </c>
      <c r="C2133" s="391" t="s">
        <v>9358</v>
      </c>
      <c r="D2133" s="391" t="s">
        <v>2195</v>
      </c>
    </row>
    <row r="2134" ht="15.75" customHeight="1">
      <c r="B2134" s="391" t="s">
        <v>385</v>
      </c>
      <c r="C2134" s="391" t="s">
        <v>9359</v>
      </c>
      <c r="D2134" s="391" t="s">
        <v>2195</v>
      </c>
    </row>
    <row r="2135" ht="15.75" customHeight="1">
      <c r="B2135" s="391" t="s">
        <v>390</v>
      </c>
      <c r="C2135" s="391" t="s">
        <v>9360</v>
      </c>
      <c r="D2135" s="391" t="s">
        <v>2166</v>
      </c>
    </row>
    <row r="2136" ht="15.75" customHeight="1">
      <c r="B2136" s="391" t="s">
        <v>396</v>
      </c>
      <c r="C2136" s="391" t="s">
        <v>9361</v>
      </c>
      <c r="D2136" s="391" t="s">
        <v>2195</v>
      </c>
    </row>
    <row r="2137" ht="15.75" customHeight="1">
      <c r="B2137" s="391" t="s">
        <v>394</v>
      </c>
      <c r="C2137" s="391" t="s">
        <v>9362</v>
      </c>
      <c r="D2137" s="391" t="s">
        <v>2166</v>
      </c>
    </row>
    <row r="2138" ht="15.75" customHeight="1">
      <c r="B2138" s="391" t="s">
        <v>9363</v>
      </c>
      <c r="C2138" s="391" t="s">
        <v>9364</v>
      </c>
      <c r="D2138" s="391" t="s">
        <v>2195</v>
      </c>
    </row>
    <row r="2139" ht="15.75" customHeight="1">
      <c r="B2139" s="391" t="s">
        <v>9365</v>
      </c>
      <c r="C2139" s="391" t="s">
        <v>9364</v>
      </c>
      <c r="D2139" s="391" t="s">
        <v>2195</v>
      </c>
    </row>
    <row r="2140" ht="15.75" customHeight="1">
      <c r="B2140" s="391" t="s">
        <v>9366</v>
      </c>
      <c r="C2140" s="391" t="s">
        <v>9364</v>
      </c>
      <c r="D2140" s="391" t="s">
        <v>2195</v>
      </c>
    </row>
    <row r="2141" ht="15.75" customHeight="1">
      <c r="B2141" s="391" t="s">
        <v>9367</v>
      </c>
      <c r="C2141" s="391" t="s">
        <v>9364</v>
      </c>
      <c r="D2141" s="391" t="s">
        <v>2195</v>
      </c>
    </row>
    <row r="2142" ht="15.75" customHeight="1">
      <c r="B2142" s="391" t="s">
        <v>9368</v>
      </c>
      <c r="C2142" s="391" t="s">
        <v>9364</v>
      </c>
      <c r="D2142" s="391" t="s">
        <v>2195</v>
      </c>
    </row>
    <row r="2143" ht="15.75" customHeight="1">
      <c r="B2143" s="391" t="s">
        <v>9369</v>
      </c>
      <c r="C2143" s="391" t="s">
        <v>9364</v>
      </c>
      <c r="D2143" s="391" t="s">
        <v>2195</v>
      </c>
    </row>
    <row r="2144" ht="15.75" customHeight="1">
      <c r="B2144" s="391" t="s">
        <v>9370</v>
      </c>
      <c r="C2144" s="391" t="s">
        <v>9364</v>
      </c>
      <c r="D2144" s="391" t="s">
        <v>2195</v>
      </c>
    </row>
    <row r="2145" ht="15.75" customHeight="1">
      <c r="B2145" s="391" t="s">
        <v>9371</v>
      </c>
      <c r="C2145" s="391" t="s">
        <v>9364</v>
      </c>
      <c r="D2145" s="391" t="s">
        <v>2195</v>
      </c>
    </row>
    <row r="2146" ht="15.75" customHeight="1">
      <c r="B2146" s="391" t="s">
        <v>9372</v>
      </c>
      <c r="C2146" s="391" t="s">
        <v>9364</v>
      </c>
      <c r="D2146" s="391" t="s">
        <v>2195</v>
      </c>
    </row>
    <row r="2147" ht="15.75" customHeight="1">
      <c r="B2147" s="391" t="s">
        <v>595</v>
      </c>
      <c r="C2147" s="391" t="s">
        <v>9373</v>
      </c>
      <c r="D2147" s="391" t="s">
        <v>2195</v>
      </c>
    </row>
    <row r="2148" ht="15.75" customHeight="1">
      <c r="B2148" s="391" t="s">
        <v>601</v>
      </c>
      <c r="C2148" s="391" t="s">
        <v>9374</v>
      </c>
      <c r="D2148" s="391" t="s">
        <v>2195</v>
      </c>
    </row>
    <row r="2149" ht="15.75" customHeight="1">
      <c r="B2149" s="391" t="s">
        <v>365</v>
      </c>
      <c r="C2149" s="391" t="s">
        <v>9375</v>
      </c>
      <c r="D2149" s="391" t="s">
        <v>2195</v>
      </c>
    </row>
    <row r="2150" ht="15.75" customHeight="1">
      <c r="B2150" s="391" t="s">
        <v>376</v>
      </c>
      <c r="C2150" s="391" t="s">
        <v>9376</v>
      </c>
      <c r="D2150" s="391" t="s">
        <v>2166</v>
      </c>
    </row>
    <row r="2151" ht="15.75" customHeight="1">
      <c r="B2151" s="391" t="s">
        <v>603</v>
      </c>
      <c r="C2151" s="391" t="s">
        <v>9377</v>
      </c>
      <c r="D2151" s="391" t="s">
        <v>2195</v>
      </c>
    </row>
    <row r="2152" ht="15.75" customHeight="1">
      <c r="B2152" s="391" t="s">
        <v>327</v>
      </c>
      <c r="C2152" s="391" t="s">
        <v>9378</v>
      </c>
      <c r="D2152" s="391" t="s">
        <v>2195</v>
      </c>
    </row>
    <row r="2153" ht="15.75" customHeight="1">
      <c r="B2153" s="391" t="s">
        <v>9379</v>
      </c>
      <c r="C2153" s="391" t="s">
        <v>9380</v>
      </c>
      <c r="D2153" s="391" t="s">
        <v>2195</v>
      </c>
    </row>
    <row r="2154" ht="15.75" customHeight="1">
      <c r="B2154" s="391" t="s">
        <v>9381</v>
      </c>
      <c r="C2154" s="391" t="s">
        <v>9382</v>
      </c>
      <c r="D2154" s="391" t="s">
        <v>2195</v>
      </c>
    </row>
    <row r="2155" ht="15.75" customHeight="1">
      <c r="B2155" s="391" t="s">
        <v>9383</v>
      </c>
      <c r="C2155" s="391" t="s">
        <v>9384</v>
      </c>
      <c r="D2155" s="391" t="s">
        <v>2195</v>
      </c>
    </row>
    <row r="2156" ht="15.75" customHeight="1">
      <c r="B2156" s="391" t="s">
        <v>207</v>
      </c>
      <c r="C2156" s="391" t="s">
        <v>9385</v>
      </c>
      <c r="D2156" s="391" t="s">
        <v>2166</v>
      </c>
    </row>
    <row r="2157" ht="15.75" customHeight="1">
      <c r="B2157" s="391" t="s">
        <v>225</v>
      </c>
      <c r="C2157" s="391" t="s">
        <v>9386</v>
      </c>
      <c r="D2157" s="391" t="s">
        <v>2195</v>
      </c>
    </row>
    <row r="2158" ht="15.75" customHeight="1">
      <c r="B2158" s="391" t="s">
        <v>245</v>
      </c>
      <c r="C2158" s="391" t="s">
        <v>9387</v>
      </c>
      <c r="D2158" s="391" t="s">
        <v>2166</v>
      </c>
    </row>
    <row r="2159" ht="15.75" customHeight="1">
      <c r="B2159" s="391" t="s">
        <v>592</v>
      </c>
      <c r="C2159" s="391" t="s">
        <v>9388</v>
      </c>
      <c r="D2159" s="391" t="s">
        <v>2195</v>
      </c>
    </row>
    <row r="2160" ht="15.75" customHeight="1">
      <c r="B2160" s="391" t="s">
        <v>598</v>
      </c>
      <c r="C2160" s="391" t="s">
        <v>9389</v>
      </c>
      <c r="D2160" s="391" t="s">
        <v>2232</v>
      </c>
    </row>
    <row r="2161" ht="15.75" customHeight="1">
      <c r="B2161" s="391" t="s">
        <v>241</v>
      </c>
      <c r="C2161" s="391" t="s">
        <v>9390</v>
      </c>
      <c r="D2161" s="391" t="s">
        <v>2166</v>
      </c>
    </row>
    <row r="2162" ht="15.75" customHeight="1">
      <c r="B2162" s="391" t="s">
        <v>253</v>
      </c>
      <c r="C2162" s="391" t="s">
        <v>9391</v>
      </c>
      <c r="D2162" s="391" t="s">
        <v>2166</v>
      </c>
    </row>
    <row r="2163" ht="15.75" customHeight="1">
      <c r="B2163" s="391" t="s">
        <v>367</v>
      </c>
      <c r="C2163" s="391" t="s">
        <v>9392</v>
      </c>
      <c r="D2163" s="391" t="s">
        <v>2195</v>
      </c>
    </row>
    <row r="2164" ht="15.75" customHeight="1">
      <c r="B2164" s="391" t="s">
        <v>9393</v>
      </c>
      <c r="C2164" s="391" t="s">
        <v>9392</v>
      </c>
      <c r="D2164" s="391" t="s">
        <v>2195</v>
      </c>
    </row>
    <row r="2165" ht="15.75" customHeight="1">
      <c r="B2165" s="391" t="s">
        <v>371</v>
      </c>
      <c r="C2165" s="391" t="s">
        <v>9392</v>
      </c>
      <c r="D2165" s="391" t="s">
        <v>2195</v>
      </c>
    </row>
    <row r="2166" ht="15.75" customHeight="1">
      <c r="B2166" s="391" t="s">
        <v>9394</v>
      </c>
      <c r="C2166" s="391" t="s">
        <v>9392</v>
      </c>
      <c r="D2166" s="391" t="s">
        <v>2195</v>
      </c>
    </row>
    <row r="2167" ht="15.75" customHeight="1">
      <c r="B2167" s="391" t="s">
        <v>9395</v>
      </c>
      <c r="C2167" s="391" t="s">
        <v>9392</v>
      </c>
      <c r="D2167" s="391" t="s">
        <v>2195</v>
      </c>
    </row>
    <row r="2168" ht="15.75" customHeight="1">
      <c r="B2168" s="391" t="s">
        <v>9396</v>
      </c>
      <c r="C2168" s="391" t="s">
        <v>9392</v>
      </c>
      <c r="D2168" s="391" t="s">
        <v>2195</v>
      </c>
    </row>
    <row r="2169" ht="15.75" customHeight="1">
      <c r="B2169" s="391" t="s">
        <v>9397</v>
      </c>
      <c r="C2169" s="391" t="s">
        <v>9392</v>
      </c>
      <c r="D2169" s="391" t="s">
        <v>2195</v>
      </c>
    </row>
    <row r="2170" ht="15.75" customHeight="1">
      <c r="B2170" s="391" t="s">
        <v>9398</v>
      </c>
      <c r="C2170" s="391" t="s">
        <v>9392</v>
      </c>
      <c r="D2170" s="391" t="s">
        <v>2195</v>
      </c>
    </row>
    <row r="2171" ht="15.75" customHeight="1">
      <c r="B2171" s="391" t="s">
        <v>9399</v>
      </c>
      <c r="C2171" s="391" t="s">
        <v>9392</v>
      </c>
      <c r="D2171" s="391" t="s">
        <v>2195</v>
      </c>
    </row>
    <row r="2172" ht="15.75" customHeight="1">
      <c r="B2172" s="391" t="s">
        <v>9400</v>
      </c>
      <c r="C2172" s="391" t="s">
        <v>9392</v>
      </c>
      <c r="D2172" s="391" t="s">
        <v>2195</v>
      </c>
    </row>
    <row r="2173" ht="15.75" customHeight="1">
      <c r="B2173" s="391" t="s">
        <v>9401</v>
      </c>
      <c r="C2173" s="391" t="s">
        <v>9392</v>
      </c>
      <c r="D2173" s="391" t="s">
        <v>2195</v>
      </c>
    </row>
    <row r="2174" ht="15.75" customHeight="1">
      <c r="B2174" s="391" t="s">
        <v>9402</v>
      </c>
      <c r="C2174" s="391" t="s">
        <v>9392</v>
      </c>
      <c r="D2174" s="391" t="s">
        <v>2195</v>
      </c>
    </row>
    <row r="2175" ht="15.75" customHeight="1">
      <c r="B2175" s="391" t="s">
        <v>9403</v>
      </c>
      <c r="C2175" s="391" t="s">
        <v>9392</v>
      </c>
      <c r="D2175" s="391" t="s">
        <v>2195</v>
      </c>
    </row>
    <row r="2176" ht="15.75" customHeight="1">
      <c r="B2176" s="391" t="s">
        <v>651</v>
      </c>
      <c r="C2176" s="391" t="s">
        <v>9392</v>
      </c>
      <c r="D2176" s="391" t="s">
        <v>2232</v>
      </c>
    </row>
    <row r="2177" ht="15.75" customHeight="1">
      <c r="B2177" s="391" t="s">
        <v>655</v>
      </c>
      <c r="C2177" s="391" t="s">
        <v>9392</v>
      </c>
      <c r="D2177" s="391" t="s">
        <v>2232</v>
      </c>
    </row>
    <row r="2178" ht="15.75" customHeight="1">
      <c r="B2178" s="391" t="s">
        <v>675</v>
      </c>
      <c r="C2178" s="391" t="s">
        <v>9392</v>
      </c>
      <c r="D2178" s="391" t="s">
        <v>2232</v>
      </c>
    </row>
    <row r="2179" ht="15.75" customHeight="1">
      <c r="B2179" s="391" t="s">
        <v>657</v>
      </c>
      <c r="C2179" s="391" t="s">
        <v>9392</v>
      </c>
      <c r="D2179" s="391" t="s">
        <v>2166</v>
      </c>
    </row>
    <row r="2180" ht="15.75" customHeight="1">
      <c r="B2180" s="391" t="s">
        <v>661</v>
      </c>
      <c r="C2180" s="391" t="s">
        <v>9392</v>
      </c>
      <c r="D2180" s="391" t="s">
        <v>2232</v>
      </c>
    </row>
    <row r="2181" ht="15.75" customHeight="1">
      <c r="B2181" s="391" t="s">
        <v>667</v>
      </c>
      <c r="C2181" s="391" t="s">
        <v>9392</v>
      </c>
      <c r="D2181" s="391" t="s">
        <v>2166</v>
      </c>
    </row>
    <row r="2182" ht="15.75" customHeight="1">
      <c r="B2182" s="391" t="s">
        <v>669</v>
      </c>
      <c r="C2182" s="391" t="s">
        <v>9392</v>
      </c>
      <c r="D2182" s="391" t="s">
        <v>2232</v>
      </c>
    </row>
    <row r="2183" ht="15.75" customHeight="1">
      <c r="B2183" s="391" t="s">
        <v>671</v>
      </c>
      <c r="C2183" s="391" t="s">
        <v>9392</v>
      </c>
      <c r="D2183" s="391" t="s">
        <v>2166</v>
      </c>
    </row>
    <row r="2184" ht="15.75" customHeight="1">
      <c r="B2184" s="391" t="s">
        <v>673</v>
      </c>
      <c r="C2184" s="391" t="s">
        <v>9392</v>
      </c>
      <c r="D2184" s="391" t="s">
        <v>2195</v>
      </c>
    </row>
    <row r="2185" ht="15.75" customHeight="1">
      <c r="B2185" s="391" t="s">
        <v>9404</v>
      </c>
      <c r="C2185" s="391" t="s">
        <v>9392</v>
      </c>
      <c r="D2185" s="391" t="s">
        <v>2232</v>
      </c>
    </row>
    <row r="2186" ht="15.75" customHeight="1">
      <c r="B2186" s="391" t="s">
        <v>229</v>
      </c>
      <c r="C2186" s="391" t="s">
        <v>9405</v>
      </c>
      <c r="D2186" s="391" t="s">
        <v>2195</v>
      </c>
    </row>
    <row r="2187" ht="15.75" customHeight="1">
      <c r="B2187" s="391" t="s">
        <v>1114</v>
      </c>
      <c r="C2187" s="391" t="s">
        <v>9406</v>
      </c>
      <c r="D2187" s="391" t="s">
        <v>2166</v>
      </c>
    </row>
    <row r="2188" ht="15.75" customHeight="1">
      <c r="B2188" s="391" t="s">
        <v>1118</v>
      </c>
      <c r="C2188" s="391" t="s">
        <v>9406</v>
      </c>
      <c r="D2188" s="391" t="s">
        <v>2166</v>
      </c>
    </row>
    <row r="2189" ht="15.75" customHeight="1">
      <c r="B2189" s="391" t="s">
        <v>112</v>
      </c>
      <c r="C2189" s="391" t="s">
        <v>9407</v>
      </c>
      <c r="D2189" s="391" t="s">
        <v>2195</v>
      </c>
    </row>
    <row r="2190" ht="15.75" customHeight="1">
      <c r="B2190" s="391" t="s">
        <v>139</v>
      </c>
      <c r="C2190" s="391" t="s">
        <v>9408</v>
      </c>
      <c r="D2190" s="391" t="s">
        <v>2195</v>
      </c>
    </row>
    <row r="2191" ht="15.75" customHeight="1">
      <c r="B2191" s="391" t="s">
        <v>9409</v>
      </c>
      <c r="C2191" s="391" t="s">
        <v>9410</v>
      </c>
      <c r="D2191" s="391" t="s">
        <v>2232</v>
      </c>
    </row>
    <row r="2192" ht="15.75" customHeight="1">
      <c r="B2192" s="391" t="s">
        <v>1126</v>
      </c>
      <c r="C2192" s="391" t="s">
        <v>9411</v>
      </c>
      <c r="D2192" s="391" t="s">
        <v>2195</v>
      </c>
    </row>
    <row r="2193" ht="15.75" customHeight="1">
      <c r="B2193" s="391" t="s">
        <v>130</v>
      </c>
      <c r="C2193" s="391" t="s">
        <v>9412</v>
      </c>
      <c r="D2193" s="391" t="s">
        <v>2232</v>
      </c>
    </row>
    <row r="2194" ht="15.75" customHeight="1">
      <c r="B2194" s="391" t="s">
        <v>134</v>
      </c>
      <c r="C2194" s="391" t="s">
        <v>9412</v>
      </c>
      <c r="D2194" s="391" t="s">
        <v>2166</v>
      </c>
    </row>
    <row r="2195" ht="15.75" customHeight="1">
      <c r="B2195" s="391" t="s">
        <v>1130</v>
      </c>
      <c r="C2195" s="391" t="s">
        <v>9413</v>
      </c>
      <c r="D2195" s="391" t="s">
        <v>2232</v>
      </c>
    </row>
    <row r="2196" ht="15.75" customHeight="1">
      <c r="B2196" s="391" t="s">
        <v>9414</v>
      </c>
      <c r="C2196" s="391" t="s">
        <v>9413</v>
      </c>
      <c r="D2196" s="391" t="s">
        <v>2195</v>
      </c>
    </row>
    <row r="2197" ht="15.75" customHeight="1">
      <c r="B2197" s="391" t="s">
        <v>9415</v>
      </c>
      <c r="C2197" s="391" t="s">
        <v>9416</v>
      </c>
      <c r="D2197" s="391" t="s">
        <v>2232</v>
      </c>
    </row>
    <row r="2198" ht="15.75" customHeight="1">
      <c r="B2198" s="391" t="s">
        <v>9417</v>
      </c>
      <c r="C2198" s="391" t="s">
        <v>9416</v>
      </c>
      <c r="D2198" s="391" t="s">
        <v>2232</v>
      </c>
    </row>
    <row r="2199" ht="15.75" customHeight="1">
      <c r="B2199" s="391" t="s">
        <v>9418</v>
      </c>
      <c r="C2199" s="391" t="s">
        <v>9419</v>
      </c>
      <c r="D2199" s="391" t="s">
        <v>2232</v>
      </c>
    </row>
    <row r="2200" ht="15.75" customHeight="1">
      <c r="B2200" s="391" t="s">
        <v>9420</v>
      </c>
      <c r="C2200" s="391" t="s">
        <v>9421</v>
      </c>
      <c r="D2200" s="391" t="s">
        <v>2195</v>
      </c>
    </row>
    <row r="2201" ht="15.75" customHeight="1">
      <c r="B2201" s="391" t="s">
        <v>9422</v>
      </c>
      <c r="C2201" s="391" t="s">
        <v>9423</v>
      </c>
      <c r="D2201" s="391" t="s">
        <v>2195</v>
      </c>
    </row>
    <row r="2202" ht="15.75" customHeight="1">
      <c r="B2202" s="391" t="s">
        <v>956</v>
      </c>
      <c r="C2202" s="391" t="s">
        <v>9424</v>
      </c>
      <c r="D2202" s="391" t="s">
        <v>2166</v>
      </c>
    </row>
    <row r="2203" ht="15.75" customHeight="1">
      <c r="B2203" s="391" t="s">
        <v>9425</v>
      </c>
      <c r="C2203" s="391" t="s">
        <v>9424</v>
      </c>
      <c r="D2203" s="391" t="s">
        <v>2166</v>
      </c>
    </row>
    <row r="2204" ht="15.75" customHeight="1">
      <c r="B2204" s="391" t="s">
        <v>9426</v>
      </c>
      <c r="C2204" s="391" t="s">
        <v>9424</v>
      </c>
      <c r="D2204" s="391" t="s">
        <v>2195</v>
      </c>
    </row>
    <row r="2205" ht="15.75" customHeight="1">
      <c r="B2205" s="391" t="s">
        <v>9427</v>
      </c>
      <c r="C2205" s="391" t="s">
        <v>9428</v>
      </c>
      <c r="D2205" s="391" t="s">
        <v>2232</v>
      </c>
    </row>
    <row r="2206" ht="15.75" customHeight="1">
      <c r="B2206" s="391" t="s">
        <v>9429</v>
      </c>
      <c r="C2206" s="391" t="s">
        <v>9428</v>
      </c>
      <c r="D2206" s="391" t="s">
        <v>2166</v>
      </c>
    </row>
    <row r="2207" ht="15.75" customHeight="1">
      <c r="B2207" s="391" t="s">
        <v>9430</v>
      </c>
      <c r="C2207" s="391" t="s">
        <v>9431</v>
      </c>
      <c r="D2207" s="391" t="s">
        <v>2166</v>
      </c>
    </row>
    <row r="2208" ht="15.75" customHeight="1">
      <c r="B2208" s="391" t="s">
        <v>1658</v>
      </c>
      <c r="C2208" s="391" t="s">
        <v>9431</v>
      </c>
      <c r="D2208" s="391" t="s">
        <v>2166</v>
      </c>
    </row>
    <row r="2209" ht="15.75" customHeight="1">
      <c r="B2209" s="391" t="s">
        <v>1660</v>
      </c>
      <c r="C2209" s="391" t="s">
        <v>9431</v>
      </c>
      <c r="D2209" s="391" t="s">
        <v>2166</v>
      </c>
    </row>
    <row r="2210" ht="15.75" customHeight="1">
      <c r="B2210" s="391" t="s">
        <v>1037</v>
      </c>
      <c r="C2210" s="391" t="s">
        <v>9432</v>
      </c>
      <c r="D2210" s="391" t="s">
        <v>2166</v>
      </c>
    </row>
    <row r="2211" ht="15.75" customHeight="1">
      <c r="B2211" s="391" t="s">
        <v>1039</v>
      </c>
      <c r="C2211" s="391" t="s">
        <v>9432</v>
      </c>
      <c r="D2211" s="391" t="s">
        <v>2195</v>
      </c>
    </row>
    <row r="2212" ht="15.75" customHeight="1">
      <c r="B2212" s="391" t="s">
        <v>1045</v>
      </c>
      <c r="C2212" s="391" t="s">
        <v>9432</v>
      </c>
      <c r="D2212" s="391" t="s">
        <v>2195</v>
      </c>
    </row>
    <row r="2213" ht="15.75" customHeight="1">
      <c r="B2213" s="391" t="s">
        <v>9433</v>
      </c>
      <c r="C2213" s="391" t="s">
        <v>9432</v>
      </c>
      <c r="D2213" s="391" t="s">
        <v>2232</v>
      </c>
    </row>
    <row r="2214" ht="15.75" customHeight="1">
      <c r="B2214" s="391" t="s">
        <v>9434</v>
      </c>
      <c r="C2214" s="391" t="s">
        <v>9435</v>
      </c>
      <c r="D2214" s="391" t="s">
        <v>2166</v>
      </c>
    </row>
    <row r="2215" ht="15.75" customHeight="1">
      <c r="B2215" s="391" t="s">
        <v>9436</v>
      </c>
      <c r="C2215" s="391" t="s">
        <v>9437</v>
      </c>
      <c r="D2215" s="391" t="s">
        <v>2195</v>
      </c>
    </row>
    <row r="2216" ht="15.75" customHeight="1">
      <c r="B2216" s="391" t="s">
        <v>9438</v>
      </c>
      <c r="C2216" s="391" t="s">
        <v>9439</v>
      </c>
      <c r="D2216" s="391" t="s">
        <v>2195</v>
      </c>
    </row>
    <row r="2217" ht="15.75" customHeight="1">
      <c r="B2217" s="391" t="s">
        <v>9440</v>
      </c>
      <c r="C2217" s="391" t="s">
        <v>9441</v>
      </c>
      <c r="D2217" s="391" t="s">
        <v>2195</v>
      </c>
    </row>
    <row r="2218" ht="15.75" customHeight="1">
      <c r="B2218" s="391" t="s">
        <v>9442</v>
      </c>
      <c r="C2218" s="391" t="s">
        <v>9443</v>
      </c>
      <c r="D2218" s="391" t="s">
        <v>2232</v>
      </c>
    </row>
    <row r="2219" ht="15.75" customHeight="1">
      <c r="B2219" s="391" t="s">
        <v>9444</v>
      </c>
      <c r="C2219" s="391" t="s">
        <v>9443</v>
      </c>
      <c r="D2219" s="391" t="s">
        <v>2166</v>
      </c>
    </row>
    <row r="2220" ht="15.75" customHeight="1">
      <c r="B2220" s="391" t="s">
        <v>9445</v>
      </c>
      <c r="C2220" s="391" t="s">
        <v>9446</v>
      </c>
      <c r="D2220" s="391" t="s">
        <v>2232</v>
      </c>
    </row>
    <row r="2221" ht="15.75" customHeight="1">
      <c r="B2221" s="391" t="s">
        <v>9447</v>
      </c>
      <c r="C2221" s="391" t="s">
        <v>9448</v>
      </c>
      <c r="D2221" s="391" t="s">
        <v>2166</v>
      </c>
    </row>
    <row r="2222" ht="15.75" customHeight="1">
      <c r="B2222" s="391" t="s">
        <v>9449</v>
      </c>
      <c r="C2222" s="391" t="s">
        <v>9450</v>
      </c>
      <c r="D2222" s="391" t="s">
        <v>2166</v>
      </c>
    </row>
    <row r="2223" ht="15.75" customHeight="1">
      <c r="B2223" s="391" t="s">
        <v>9451</v>
      </c>
      <c r="C2223" s="391" t="s">
        <v>9452</v>
      </c>
      <c r="D2223" s="391" t="s">
        <v>2166</v>
      </c>
    </row>
    <row r="2224" ht="15.75" customHeight="1">
      <c r="B2224" s="391" t="s">
        <v>9453</v>
      </c>
      <c r="C2224" s="391" t="s">
        <v>9454</v>
      </c>
      <c r="D2224" s="391" t="s">
        <v>2166</v>
      </c>
    </row>
    <row r="2225" ht="15.75" customHeight="1">
      <c r="B2225" s="391" t="s">
        <v>9455</v>
      </c>
      <c r="C2225" s="391" t="s">
        <v>9456</v>
      </c>
      <c r="D2225" s="391" t="s">
        <v>2195</v>
      </c>
    </row>
    <row r="2226" ht="15.75" customHeight="1">
      <c r="B2226" s="391" t="s">
        <v>1091</v>
      </c>
      <c r="C2226" s="391" t="s">
        <v>9457</v>
      </c>
      <c r="D2226" s="391" t="s">
        <v>2166</v>
      </c>
    </row>
    <row r="2227" ht="15.75" customHeight="1">
      <c r="B2227" s="391" t="s">
        <v>9458</v>
      </c>
      <c r="C2227" s="391" t="s">
        <v>9457</v>
      </c>
      <c r="D2227" s="391" t="s">
        <v>2195</v>
      </c>
    </row>
    <row r="2228" ht="15.75" customHeight="1">
      <c r="B2228" s="391" t="s">
        <v>9459</v>
      </c>
      <c r="C2228" s="391" t="s">
        <v>9457</v>
      </c>
      <c r="D2228" s="391" t="s">
        <v>2195</v>
      </c>
    </row>
    <row r="2229" ht="15.75" customHeight="1">
      <c r="B2229" s="391" t="s">
        <v>9460</v>
      </c>
      <c r="C2229" s="391" t="s">
        <v>9461</v>
      </c>
      <c r="D2229" s="391" t="s">
        <v>2195</v>
      </c>
    </row>
    <row r="2230" ht="15.75" customHeight="1">
      <c r="B2230" s="391" t="s">
        <v>9462</v>
      </c>
      <c r="C2230" s="391" t="s">
        <v>9463</v>
      </c>
      <c r="D2230" s="391" t="s">
        <v>2166</v>
      </c>
    </row>
    <row r="2231" ht="15.75" customHeight="1">
      <c r="B2231" s="391" t="s">
        <v>9464</v>
      </c>
      <c r="C2231" s="391" t="s">
        <v>9463</v>
      </c>
      <c r="D2231" s="391" t="s">
        <v>2195</v>
      </c>
    </row>
    <row r="2232" ht="15.75" customHeight="1">
      <c r="B2232" s="391" t="s">
        <v>9465</v>
      </c>
      <c r="C2232" s="391" t="s">
        <v>9463</v>
      </c>
      <c r="D2232" s="391" t="s">
        <v>2232</v>
      </c>
    </row>
    <row r="2233" ht="15.75" customHeight="1">
      <c r="B2233" s="391" t="s">
        <v>9466</v>
      </c>
      <c r="C2233" s="391" t="s">
        <v>9467</v>
      </c>
      <c r="D2233" s="391" t="s">
        <v>2232</v>
      </c>
    </row>
    <row r="2234" ht="15.75" customHeight="1">
      <c r="B2234" s="391" t="s">
        <v>632</v>
      </c>
      <c r="C2234" s="391" t="s">
        <v>9468</v>
      </c>
      <c r="D2234" s="391" t="s">
        <v>2166</v>
      </c>
    </row>
    <row r="2235" ht="15.75" customHeight="1">
      <c r="B2235" s="391" t="s">
        <v>238</v>
      </c>
      <c r="C2235" s="391" t="s">
        <v>9469</v>
      </c>
      <c r="D2235" s="391" t="s">
        <v>2195</v>
      </c>
    </row>
    <row r="2236" ht="15.75" customHeight="1">
      <c r="B2236" s="391" t="s">
        <v>9470</v>
      </c>
      <c r="C2236" s="391" t="s">
        <v>9471</v>
      </c>
      <c r="D2236" s="391" t="s">
        <v>2232</v>
      </c>
    </row>
    <row r="2237" ht="15.75" customHeight="1">
      <c r="B2237" s="391" t="s">
        <v>9472</v>
      </c>
      <c r="C2237" s="391" t="s">
        <v>9473</v>
      </c>
      <c r="D2237" s="391" t="s">
        <v>2195</v>
      </c>
    </row>
    <row r="2238" ht="15.75" customHeight="1">
      <c r="B2238" s="391" t="s">
        <v>9474</v>
      </c>
      <c r="C2238" s="391" t="s">
        <v>9475</v>
      </c>
      <c r="D2238" s="391" t="s">
        <v>2195</v>
      </c>
    </row>
    <row r="2239" ht="15.75" customHeight="1">
      <c r="B2239" s="391" t="s">
        <v>9476</v>
      </c>
      <c r="C2239" s="391" t="s">
        <v>9477</v>
      </c>
      <c r="D2239" s="391" t="s">
        <v>2166</v>
      </c>
    </row>
    <row r="2240" ht="15.75" customHeight="1">
      <c r="B2240" s="391" t="s">
        <v>9478</v>
      </c>
      <c r="C2240" s="391" t="s">
        <v>9479</v>
      </c>
      <c r="D2240" s="391" t="s">
        <v>2195</v>
      </c>
    </row>
    <row r="2241" ht="15.75" customHeight="1">
      <c r="B2241" s="391" t="s">
        <v>9480</v>
      </c>
      <c r="C2241" s="391" t="s">
        <v>9481</v>
      </c>
      <c r="D2241" s="391" t="s">
        <v>2232</v>
      </c>
    </row>
    <row r="2242" ht="15.75" customHeight="1">
      <c r="B2242" s="391" t="s">
        <v>9482</v>
      </c>
      <c r="C2242" s="391" t="s">
        <v>9481</v>
      </c>
      <c r="D2242" s="391" t="s">
        <v>2232</v>
      </c>
    </row>
    <row r="2243" ht="15.75" customHeight="1">
      <c r="B2243" s="391" t="s">
        <v>9483</v>
      </c>
      <c r="C2243" s="391" t="s">
        <v>9481</v>
      </c>
      <c r="D2243" s="391" t="s">
        <v>2195</v>
      </c>
    </row>
    <row r="2244" ht="15.75" customHeight="1">
      <c r="B2244" s="391" t="s">
        <v>9484</v>
      </c>
      <c r="C2244" s="391" t="s">
        <v>9481</v>
      </c>
      <c r="D2244" s="391" t="s">
        <v>2195</v>
      </c>
    </row>
    <row r="2245" ht="15.75" customHeight="1">
      <c r="B2245" s="391" t="s">
        <v>432</v>
      </c>
      <c r="C2245" s="391" t="s">
        <v>9485</v>
      </c>
      <c r="D2245" s="391" t="s">
        <v>2195</v>
      </c>
    </row>
    <row r="2246" ht="15.75" customHeight="1">
      <c r="B2246" s="391" t="s">
        <v>9486</v>
      </c>
      <c r="C2246" s="391" t="s">
        <v>9487</v>
      </c>
      <c r="D2246" s="391" t="s">
        <v>2195</v>
      </c>
    </row>
    <row r="2247" ht="15.75" customHeight="1">
      <c r="B2247" s="391" t="s">
        <v>9488</v>
      </c>
      <c r="C2247" s="391" t="s">
        <v>9487</v>
      </c>
      <c r="D2247" s="391" t="s">
        <v>2195</v>
      </c>
    </row>
    <row r="2248" ht="15.75" customHeight="1">
      <c r="B2248" s="391" t="s">
        <v>445</v>
      </c>
      <c r="C2248" s="391" t="s">
        <v>9487</v>
      </c>
      <c r="D2248" s="391" t="s">
        <v>2195</v>
      </c>
    </row>
    <row r="2249" ht="15.75" customHeight="1">
      <c r="B2249" s="391" t="s">
        <v>9489</v>
      </c>
      <c r="C2249" s="391" t="s">
        <v>9487</v>
      </c>
      <c r="D2249" s="391" t="s">
        <v>2195</v>
      </c>
    </row>
    <row r="2250" ht="15.75" customHeight="1">
      <c r="B2250" s="391" t="s">
        <v>9490</v>
      </c>
      <c r="C2250" s="391" t="s">
        <v>9487</v>
      </c>
      <c r="D2250" s="391" t="s">
        <v>2195</v>
      </c>
    </row>
    <row r="2251" ht="15.75" customHeight="1">
      <c r="B2251" s="391" t="s">
        <v>905</v>
      </c>
      <c r="C2251" s="391" t="s">
        <v>9487</v>
      </c>
      <c r="D2251" s="391" t="s">
        <v>2166</v>
      </c>
    </row>
    <row r="2252" ht="15.75" customHeight="1">
      <c r="B2252" s="391" t="s">
        <v>907</v>
      </c>
      <c r="C2252" s="391" t="s">
        <v>9487</v>
      </c>
      <c r="D2252" s="391" t="s">
        <v>2166</v>
      </c>
    </row>
    <row r="2253" ht="15.75" customHeight="1">
      <c r="B2253" s="391" t="s">
        <v>911</v>
      </c>
      <c r="C2253" s="391" t="s">
        <v>9487</v>
      </c>
      <c r="D2253" s="391" t="s">
        <v>2232</v>
      </c>
    </row>
    <row r="2254" ht="15.75" customHeight="1">
      <c r="B2254" s="391" t="s">
        <v>920</v>
      </c>
      <c r="C2254" s="391" t="s">
        <v>9487</v>
      </c>
      <c r="D2254" s="391" t="s">
        <v>2232</v>
      </c>
    </row>
    <row r="2255" ht="15.75" customHeight="1">
      <c r="B2255" s="391" t="s">
        <v>913</v>
      </c>
      <c r="C2255" s="391" t="s">
        <v>9487</v>
      </c>
      <c r="D2255" s="391" t="s">
        <v>2166</v>
      </c>
    </row>
    <row r="2256" ht="15.75" customHeight="1">
      <c r="B2256" s="391" t="s">
        <v>444</v>
      </c>
      <c r="C2256" s="391" t="s">
        <v>9491</v>
      </c>
      <c r="D2256" s="391" t="s">
        <v>2195</v>
      </c>
    </row>
    <row r="2257" ht="15.75" customHeight="1">
      <c r="B2257" s="391" t="s">
        <v>447</v>
      </c>
      <c r="C2257" s="391" t="s">
        <v>9492</v>
      </c>
      <c r="D2257" s="391" t="s">
        <v>2195</v>
      </c>
    </row>
    <row r="2258" ht="15.75" customHeight="1">
      <c r="B2258" s="391" t="s">
        <v>460</v>
      </c>
      <c r="C2258" s="391" t="s">
        <v>9493</v>
      </c>
      <c r="D2258" s="391" t="s">
        <v>2195</v>
      </c>
    </row>
    <row r="2259" ht="15.75" customHeight="1">
      <c r="B2259" s="391" t="s">
        <v>462</v>
      </c>
      <c r="C2259" s="391" t="s">
        <v>9494</v>
      </c>
      <c r="D2259" s="391" t="s">
        <v>2195</v>
      </c>
    </row>
    <row r="2260" ht="15.75" customHeight="1">
      <c r="B2260" s="391" t="s">
        <v>9495</v>
      </c>
      <c r="C2260" s="391" t="s">
        <v>9496</v>
      </c>
      <c r="D2260" s="391" t="s">
        <v>2232</v>
      </c>
    </row>
    <row r="2261" ht="15.75" customHeight="1">
      <c r="B2261" s="391" t="s">
        <v>9497</v>
      </c>
      <c r="C2261" s="391" t="s">
        <v>9498</v>
      </c>
      <c r="D2261" s="391" t="s">
        <v>2232</v>
      </c>
    </row>
    <row r="2262" ht="15.75" customHeight="1">
      <c r="B2262" s="391" t="s">
        <v>9499</v>
      </c>
      <c r="C2262" s="391" t="s">
        <v>9500</v>
      </c>
      <c r="D2262" s="391" t="s">
        <v>2195</v>
      </c>
    </row>
    <row r="2263" ht="15.75" customHeight="1">
      <c r="B2263" s="391" t="s">
        <v>9501</v>
      </c>
      <c r="C2263" s="391" t="s">
        <v>9500</v>
      </c>
      <c r="D2263" s="391" t="s">
        <v>2195</v>
      </c>
    </row>
    <row r="2264" ht="15.75" customHeight="1">
      <c r="B2264" s="391" t="s">
        <v>9502</v>
      </c>
      <c r="C2264" s="391" t="s">
        <v>9500</v>
      </c>
      <c r="D2264" s="391" t="s">
        <v>2195</v>
      </c>
    </row>
    <row r="2265" ht="15.75" customHeight="1">
      <c r="B2265" s="391" t="s">
        <v>9503</v>
      </c>
      <c r="C2265" s="391" t="s">
        <v>9500</v>
      </c>
      <c r="D2265" s="391" t="s">
        <v>2195</v>
      </c>
    </row>
    <row r="2266" ht="15.75" customHeight="1">
      <c r="B2266" s="391" t="s">
        <v>9504</v>
      </c>
      <c r="C2266" s="391" t="s">
        <v>9500</v>
      </c>
      <c r="D2266" s="391" t="s">
        <v>2195</v>
      </c>
    </row>
    <row r="2267" ht="15.75" customHeight="1">
      <c r="B2267" s="391" t="s">
        <v>9505</v>
      </c>
      <c r="C2267" s="391" t="s">
        <v>9500</v>
      </c>
      <c r="D2267" s="391" t="s">
        <v>2195</v>
      </c>
    </row>
    <row r="2268" ht="15.75" customHeight="1">
      <c r="B2268" s="391" t="s">
        <v>9506</v>
      </c>
      <c r="C2268" s="391" t="s">
        <v>9500</v>
      </c>
      <c r="D2268" s="391" t="s">
        <v>2195</v>
      </c>
    </row>
    <row r="2269" ht="15.75" customHeight="1">
      <c r="B2269" s="391" t="s">
        <v>773</v>
      </c>
      <c r="C2269" s="391" t="s">
        <v>9507</v>
      </c>
      <c r="D2269" s="391" t="s">
        <v>2232</v>
      </c>
    </row>
    <row r="2270" ht="15.75" customHeight="1">
      <c r="B2270" s="391" t="s">
        <v>9508</v>
      </c>
      <c r="C2270" s="391" t="s">
        <v>9507</v>
      </c>
      <c r="D2270" s="391" t="s">
        <v>2195</v>
      </c>
    </row>
    <row r="2271" ht="15.75" customHeight="1">
      <c r="B2271" s="391" t="s">
        <v>9509</v>
      </c>
      <c r="C2271" s="391" t="s">
        <v>9507</v>
      </c>
      <c r="D2271" s="391" t="s">
        <v>2195</v>
      </c>
    </row>
    <row r="2272" ht="15.75" customHeight="1">
      <c r="B2272" s="391" t="s">
        <v>9510</v>
      </c>
      <c r="C2272" s="391" t="s">
        <v>9507</v>
      </c>
      <c r="D2272" s="391" t="s">
        <v>2195</v>
      </c>
    </row>
    <row r="2273" ht="15.75" customHeight="1">
      <c r="B2273" s="391" t="s">
        <v>9511</v>
      </c>
      <c r="C2273" s="391" t="s">
        <v>9507</v>
      </c>
      <c r="D2273" s="391" t="s">
        <v>2195</v>
      </c>
    </row>
    <row r="2274" ht="15.75" customHeight="1">
      <c r="B2274" s="391" t="s">
        <v>9512</v>
      </c>
      <c r="C2274" s="391" t="s">
        <v>9507</v>
      </c>
      <c r="D2274" s="391" t="s">
        <v>2166</v>
      </c>
    </row>
    <row r="2275" ht="15.75" customHeight="1">
      <c r="B2275" s="391" t="s">
        <v>9513</v>
      </c>
      <c r="C2275" s="391" t="s">
        <v>9507</v>
      </c>
      <c r="D2275" s="391" t="s">
        <v>2166</v>
      </c>
    </row>
    <row r="2276" ht="15.75" customHeight="1">
      <c r="B2276" s="391" t="s">
        <v>9514</v>
      </c>
      <c r="C2276" s="391" t="s">
        <v>9507</v>
      </c>
      <c r="D2276" s="391" t="s">
        <v>2232</v>
      </c>
    </row>
    <row r="2277" ht="15.75" customHeight="1">
      <c r="B2277" s="391" t="s">
        <v>1609</v>
      </c>
      <c r="C2277" s="391" t="s">
        <v>9507</v>
      </c>
      <c r="D2277" s="391" t="s">
        <v>2166</v>
      </c>
    </row>
    <row r="2278" ht="15.75" customHeight="1">
      <c r="B2278" s="391" t="s">
        <v>1613</v>
      </c>
      <c r="C2278" s="391" t="s">
        <v>9507</v>
      </c>
      <c r="D2278" s="391" t="s">
        <v>2166</v>
      </c>
    </row>
    <row r="2279" ht="15.75" customHeight="1">
      <c r="B2279" s="391" t="s">
        <v>9515</v>
      </c>
      <c r="C2279" s="391" t="s">
        <v>9507</v>
      </c>
      <c r="D2279" s="391" t="s">
        <v>2195</v>
      </c>
    </row>
    <row r="2280" ht="15.75" customHeight="1">
      <c r="B2280" s="391" t="s">
        <v>9516</v>
      </c>
      <c r="C2280" s="391" t="s">
        <v>9507</v>
      </c>
      <c r="D2280" s="391" t="s">
        <v>2195</v>
      </c>
    </row>
    <row r="2281" ht="15.75" customHeight="1">
      <c r="B2281" s="391" t="s">
        <v>9517</v>
      </c>
      <c r="C2281" s="391" t="s">
        <v>9507</v>
      </c>
      <c r="D2281" s="391" t="s">
        <v>2195</v>
      </c>
    </row>
    <row r="2282" ht="15.75" customHeight="1">
      <c r="B2282" s="391" t="s">
        <v>9518</v>
      </c>
      <c r="C2282" s="391" t="s">
        <v>9507</v>
      </c>
      <c r="D2282" s="391" t="s">
        <v>2195</v>
      </c>
    </row>
    <row r="2283" ht="15.75" customHeight="1">
      <c r="B2283" s="391" t="s">
        <v>9519</v>
      </c>
      <c r="C2283" s="391" t="s">
        <v>9507</v>
      </c>
      <c r="D2283" s="391" t="s">
        <v>2195</v>
      </c>
    </row>
    <row r="2284" ht="15.75" customHeight="1">
      <c r="B2284" s="391" t="s">
        <v>763</v>
      </c>
      <c r="C2284" s="391" t="s">
        <v>9507</v>
      </c>
      <c r="D2284" s="391" t="s">
        <v>2195</v>
      </c>
    </row>
    <row r="2285" ht="15.75" customHeight="1">
      <c r="B2285" s="391" t="s">
        <v>91</v>
      </c>
      <c r="C2285" s="391" t="s">
        <v>9520</v>
      </c>
      <c r="D2285" s="391" t="s">
        <v>2195</v>
      </c>
    </row>
    <row r="2286" ht="15.75" customHeight="1">
      <c r="B2286" s="391" t="s">
        <v>663</v>
      </c>
      <c r="C2286" s="391" t="s">
        <v>9521</v>
      </c>
      <c r="D2286" s="391" t="s">
        <v>2232</v>
      </c>
    </row>
    <row r="2287" ht="15.75" customHeight="1">
      <c r="B2287" s="391" t="s">
        <v>1592</v>
      </c>
      <c r="C2287" s="391" t="s">
        <v>9522</v>
      </c>
      <c r="D2287" s="391" t="s">
        <v>2232</v>
      </c>
    </row>
    <row r="2288" ht="15.75" customHeight="1">
      <c r="B2288" s="391" t="s">
        <v>9523</v>
      </c>
      <c r="C2288" s="391" t="s">
        <v>9524</v>
      </c>
      <c r="D2288" s="391" t="s">
        <v>2166</v>
      </c>
    </row>
    <row r="2289" ht="15.75" customHeight="1">
      <c r="B2289" s="391" t="s">
        <v>9525</v>
      </c>
      <c r="C2289" s="391" t="s">
        <v>9524</v>
      </c>
      <c r="D2289" s="391" t="s">
        <v>2166</v>
      </c>
    </row>
    <row r="2290" ht="15.75" customHeight="1">
      <c r="B2290" s="391" t="s">
        <v>9526</v>
      </c>
      <c r="C2290" s="391" t="s">
        <v>9524</v>
      </c>
      <c r="D2290" s="391" t="s">
        <v>2195</v>
      </c>
    </row>
    <row r="2291" ht="15.75" customHeight="1">
      <c r="B2291" s="391" t="s">
        <v>9527</v>
      </c>
      <c r="C2291" s="391" t="s">
        <v>9524</v>
      </c>
      <c r="D2291" s="391" t="s">
        <v>2195</v>
      </c>
    </row>
    <row r="2292" ht="15.75" customHeight="1">
      <c r="B2292" s="391" t="s">
        <v>9528</v>
      </c>
      <c r="C2292" s="391" t="s">
        <v>9529</v>
      </c>
      <c r="D2292" s="391" t="s">
        <v>2195</v>
      </c>
    </row>
    <row r="2293" ht="15.75" customHeight="1">
      <c r="B2293" s="391" t="s">
        <v>9530</v>
      </c>
      <c r="C2293" s="391" t="s">
        <v>9529</v>
      </c>
      <c r="D2293" s="391" t="s">
        <v>2195</v>
      </c>
    </row>
    <row r="2294" ht="15.75" customHeight="1">
      <c r="B2294" s="391" t="s">
        <v>9531</v>
      </c>
      <c r="C2294" s="391" t="s">
        <v>9529</v>
      </c>
      <c r="D2294" s="391" t="s">
        <v>2195</v>
      </c>
    </row>
    <row r="2295" ht="15.75" customHeight="1">
      <c r="B2295" s="391" t="s">
        <v>9532</v>
      </c>
      <c r="C2295" s="391" t="s">
        <v>9529</v>
      </c>
      <c r="D2295" s="391" t="s">
        <v>2195</v>
      </c>
    </row>
    <row r="2296" ht="15.75" customHeight="1">
      <c r="B2296" s="391" t="s">
        <v>9533</v>
      </c>
      <c r="C2296" s="391" t="s">
        <v>9529</v>
      </c>
      <c r="D2296" s="391" t="s">
        <v>2195</v>
      </c>
    </row>
    <row r="2297" ht="15.75" customHeight="1">
      <c r="B2297" s="391" t="s">
        <v>9534</v>
      </c>
      <c r="C2297" s="391" t="s">
        <v>9529</v>
      </c>
      <c r="D2297" s="391" t="s">
        <v>2195</v>
      </c>
    </row>
    <row r="2298" ht="15.75" customHeight="1">
      <c r="B2298" s="391" t="s">
        <v>9535</v>
      </c>
      <c r="C2298" s="391" t="s">
        <v>9529</v>
      </c>
      <c r="D2298" s="391" t="s">
        <v>2195</v>
      </c>
    </row>
    <row r="2299" ht="15.75" customHeight="1">
      <c r="B2299" s="391" t="s">
        <v>9536</v>
      </c>
      <c r="C2299" s="391" t="s">
        <v>9529</v>
      </c>
      <c r="D2299" s="391" t="s">
        <v>2195</v>
      </c>
    </row>
    <row r="2300" ht="15.75" customHeight="1">
      <c r="B2300" s="391" t="s">
        <v>9537</v>
      </c>
      <c r="C2300" s="391" t="s">
        <v>9529</v>
      </c>
      <c r="D2300" s="391" t="s">
        <v>2195</v>
      </c>
    </row>
    <row r="2301" ht="15.75" customHeight="1">
      <c r="B2301" s="391" t="s">
        <v>454</v>
      </c>
      <c r="C2301" s="391" t="s">
        <v>9538</v>
      </c>
      <c r="D2301" s="391" t="s">
        <v>2166</v>
      </c>
    </row>
    <row r="2302" ht="15.75" customHeight="1">
      <c r="B2302" s="391" t="s">
        <v>458</v>
      </c>
      <c r="C2302" s="391" t="s">
        <v>9539</v>
      </c>
      <c r="D2302" s="391" t="s">
        <v>2195</v>
      </c>
    </row>
    <row r="2303" ht="15.75" customHeight="1">
      <c r="B2303" s="391" t="s">
        <v>451</v>
      </c>
      <c r="C2303" s="391" t="s">
        <v>9540</v>
      </c>
      <c r="D2303" s="391" t="s">
        <v>2166</v>
      </c>
    </row>
    <row r="2304" ht="15.75" customHeight="1">
      <c r="B2304" s="391" t="s">
        <v>453</v>
      </c>
      <c r="C2304" s="391" t="s">
        <v>9541</v>
      </c>
      <c r="D2304" s="391" t="s">
        <v>2195</v>
      </c>
    </row>
    <row r="2305" ht="15.75" customHeight="1">
      <c r="B2305" s="391" t="s">
        <v>9542</v>
      </c>
      <c r="C2305" s="391" t="s">
        <v>9543</v>
      </c>
      <c r="D2305" s="391" t="s">
        <v>2195</v>
      </c>
    </row>
    <row r="2306" ht="15.75" customHeight="1">
      <c r="B2306" s="391" t="s">
        <v>9544</v>
      </c>
      <c r="C2306" s="391" t="s">
        <v>9545</v>
      </c>
      <c r="D2306" s="391" t="s">
        <v>2195</v>
      </c>
    </row>
    <row r="2307" ht="15.75" customHeight="1">
      <c r="B2307" s="391" t="s">
        <v>507</v>
      </c>
      <c r="C2307" s="391" t="s">
        <v>9546</v>
      </c>
      <c r="D2307" s="391" t="s">
        <v>2166</v>
      </c>
    </row>
    <row r="2308" ht="15.75" customHeight="1">
      <c r="B2308" s="391" t="s">
        <v>9547</v>
      </c>
      <c r="C2308" s="391" t="s">
        <v>9546</v>
      </c>
      <c r="D2308" s="391" t="s">
        <v>2166</v>
      </c>
    </row>
    <row r="2309" ht="15.75" customHeight="1">
      <c r="B2309" s="391" t="s">
        <v>221</v>
      </c>
      <c r="C2309" s="391" t="s">
        <v>9546</v>
      </c>
      <c r="D2309" s="391" t="s">
        <v>2166</v>
      </c>
    </row>
    <row r="2310" ht="15.75" customHeight="1">
      <c r="B2310" s="391" t="s">
        <v>213</v>
      </c>
      <c r="C2310" s="391" t="s">
        <v>9546</v>
      </c>
      <c r="D2310" s="391" t="s">
        <v>2195</v>
      </c>
    </row>
    <row r="2311" ht="15.75" customHeight="1">
      <c r="B2311" s="391" t="s">
        <v>215</v>
      </c>
      <c r="C2311" s="391" t="s">
        <v>9546</v>
      </c>
      <c r="D2311" s="391" t="s">
        <v>2195</v>
      </c>
    </row>
    <row r="2312" ht="15.75" customHeight="1">
      <c r="B2312" s="391" t="s">
        <v>304</v>
      </c>
      <c r="C2312" s="391" t="s">
        <v>9546</v>
      </c>
      <c r="D2312" s="391" t="s">
        <v>2166</v>
      </c>
    </row>
    <row r="2313" ht="15.75" customHeight="1">
      <c r="B2313" s="391" t="s">
        <v>310</v>
      </c>
      <c r="C2313" s="391" t="s">
        <v>9546</v>
      </c>
      <c r="D2313" s="391" t="s">
        <v>2166</v>
      </c>
    </row>
    <row r="2314" ht="15.75" customHeight="1">
      <c r="B2314" s="391" t="s">
        <v>306</v>
      </c>
      <c r="C2314" s="391" t="s">
        <v>9546</v>
      </c>
      <c r="D2314" s="391" t="s">
        <v>2166</v>
      </c>
    </row>
    <row r="2315" ht="15.75" customHeight="1">
      <c r="B2315" s="391" t="s">
        <v>217</v>
      </c>
      <c r="C2315" s="391" t="s">
        <v>9548</v>
      </c>
      <c r="D2315" s="391" t="s">
        <v>2232</v>
      </c>
    </row>
    <row r="2316" ht="15.75" customHeight="1">
      <c r="B2316" s="391" t="s">
        <v>9549</v>
      </c>
      <c r="C2316" s="391" t="s">
        <v>9550</v>
      </c>
      <c r="D2316" s="391" t="s">
        <v>2195</v>
      </c>
    </row>
    <row r="2317" ht="15.75" customHeight="1">
      <c r="B2317" s="391" t="s">
        <v>9551</v>
      </c>
      <c r="C2317" s="391" t="s">
        <v>9552</v>
      </c>
      <c r="D2317" s="391" t="s">
        <v>2195</v>
      </c>
    </row>
    <row r="2318" ht="15.75" customHeight="1">
      <c r="B2318" s="391" t="s">
        <v>9553</v>
      </c>
      <c r="C2318" s="391" t="s">
        <v>9552</v>
      </c>
      <c r="D2318" s="391" t="s">
        <v>2195</v>
      </c>
    </row>
    <row r="2319" ht="15.75" customHeight="1">
      <c r="B2319" s="391" t="s">
        <v>9554</v>
      </c>
      <c r="C2319" s="391" t="s">
        <v>9552</v>
      </c>
      <c r="D2319" s="391" t="s">
        <v>2195</v>
      </c>
    </row>
    <row r="2320" ht="15.75" customHeight="1">
      <c r="B2320" s="391" t="s">
        <v>742</v>
      </c>
      <c r="C2320" s="391" t="s">
        <v>9552</v>
      </c>
      <c r="D2320" s="391" t="s">
        <v>2232</v>
      </c>
    </row>
    <row r="2321" ht="15.75" customHeight="1">
      <c r="B2321" s="391" t="s">
        <v>746</v>
      </c>
      <c r="C2321" s="391" t="s">
        <v>9552</v>
      </c>
      <c r="D2321" s="391" t="s">
        <v>2232</v>
      </c>
    </row>
    <row r="2322" ht="15.75" customHeight="1">
      <c r="B2322" s="391" t="s">
        <v>350</v>
      </c>
      <c r="C2322" s="391" t="s">
        <v>9555</v>
      </c>
      <c r="D2322" s="391" t="s">
        <v>2195</v>
      </c>
    </row>
    <row r="2323" ht="15.75" customHeight="1">
      <c r="B2323" s="391" t="s">
        <v>352</v>
      </c>
      <c r="C2323" s="391" t="s">
        <v>9556</v>
      </c>
      <c r="D2323" s="391" t="s">
        <v>2195</v>
      </c>
    </row>
    <row r="2324" ht="15.75" customHeight="1">
      <c r="B2324" s="391" t="s">
        <v>172</v>
      </c>
      <c r="C2324" s="391" t="s">
        <v>9557</v>
      </c>
      <c r="D2324" s="391" t="s">
        <v>2166</v>
      </c>
    </row>
    <row r="2325" ht="15.75" customHeight="1">
      <c r="B2325" s="391" t="s">
        <v>1053</v>
      </c>
      <c r="C2325" s="391" t="s">
        <v>9558</v>
      </c>
      <c r="D2325" s="391" t="s">
        <v>2195</v>
      </c>
    </row>
    <row r="2326" ht="15.75" customHeight="1">
      <c r="B2326" s="391" t="s">
        <v>1291</v>
      </c>
      <c r="C2326" s="391" t="s">
        <v>9558</v>
      </c>
      <c r="D2326" s="391" t="s">
        <v>2166</v>
      </c>
    </row>
    <row r="2327" ht="15.75" customHeight="1">
      <c r="B2327" s="391" t="s">
        <v>192</v>
      </c>
      <c r="C2327" s="391" t="s">
        <v>9558</v>
      </c>
      <c r="D2327" s="391" t="s">
        <v>2166</v>
      </c>
    </row>
    <row r="2328" ht="15.75" customHeight="1">
      <c r="B2328" s="391" t="s">
        <v>9559</v>
      </c>
      <c r="C2328" s="391" t="s">
        <v>9558</v>
      </c>
      <c r="D2328" s="391" t="s">
        <v>2232</v>
      </c>
    </row>
    <row r="2329" ht="15.75" customHeight="1">
      <c r="B2329" s="391" t="s">
        <v>9560</v>
      </c>
      <c r="C2329" s="391" t="s">
        <v>9558</v>
      </c>
      <c r="D2329" s="391" t="s">
        <v>2232</v>
      </c>
    </row>
    <row r="2330" ht="15.75" customHeight="1">
      <c r="B2330" s="391" t="s">
        <v>9561</v>
      </c>
      <c r="C2330" s="391" t="s">
        <v>9562</v>
      </c>
      <c r="D2330" s="391" t="s">
        <v>2195</v>
      </c>
    </row>
    <row r="2331" ht="15.75" customHeight="1">
      <c r="B2331" s="391" t="s">
        <v>504</v>
      </c>
      <c r="C2331" s="391" t="s">
        <v>9563</v>
      </c>
      <c r="D2331" s="391" t="s">
        <v>2195</v>
      </c>
    </row>
    <row r="2332" ht="15.75" customHeight="1">
      <c r="B2332" s="391" t="s">
        <v>9564</v>
      </c>
      <c r="C2332" s="391" t="s">
        <v>9565</v>
      </c>
      <c r="D2332" s="391" t="s">
        <v>2195</v>
      </c>
    </row>
    <row r="2333" ht="15.75" customHeight="1">
      <c r="B2333" s="391" t="s">
        <v>496</v>
      </c>
      <c r="C2333" s="391" t="s">
        <v>9566</v>
      </c>
      <c r="D2333" s="391" t="s">
        <v>2232</v>
      </c>
    </row>
    <row r="2334" ht="15.75" customHeight="1">
      <c r="B2334" s="391" t="s">
        <v>498</v>
      </c>
      <c r="C2334" s="391" t="s">
        <v>9566</v>
      </c>
      <c r="D2334" s="391" t="s">
        <v>2166</v>
      </c>
    </row>
    <row r="2335" ht="15.75" customHeight="1">
      <c r="B2335" s="391" t="s">
        <v>500</v>
      </c>
      <c r="C2335" s="391" t="s">
        <v>9566</v>
      </c>
      <c r="D2335" s="391" t="s">
        <v>2232</v>
      </c>
    </row>
    <row r="2336" ht="15.75" customHeight="1">
      <c r="B2336" s="391" t="s">
        <v>709</v>
      </c>
      <c r="C2336" s="391" t="s">
        <v>9567</v>
      </c>
      <c r="D2336" s="391" t="s">
        <v>2232</v>
      </c>
    </row>
    <row r="2337" ht="15.75" customHeight="1">
      <c r="B2337" s="391" t="s">
        <v>9568</v>
      </c>
      <c r="C2337" s="391" t="s">
        <v>9569</v>
      </c>
      <c r="D2337" s="391" t="s">
        <v>2166</v>
      </c>
    </row>
    <row r="2338" ht="15.75" customHeight="1">
      <c r="B2338" s="391" t="s">
        <v>1059</v>
      </c>
      <c r="C2338" s="391" t="s">
        <v>9570</v>
      </c>
      <c r="D2338" s="391" t="s">
        <v>2232</v>
      </c>
    </row>
    <row r="2339" ht="15.75" customHeight="1">
      <c r="B2339" s="391" t="s">
        <v>1598</v>
      </c>
      <c r="C2339" s="391" t="s">
        <v>9571</v>
      </c>
      <c r="D2339" s="391" t="s">
        <v>2232</v>
      </c>
    </row>
    <row r="2340" ht="15.75" customHeight="1">
      <c r="B2340" s="391" t="s">
        <v>9572</v>
      </c>
      <c r="C2340" s="391" t="s">
        <v>9573</v>
      </c>
      <c r="D2340" s="391" t="s">
        <v>2195</v>
      </c>
    </row>
    <row r="2341" ht="15.75" customHeight="1">
      <c r="B2341" s="391" t="s">
        <v>9574</v>
      </c>
      <c r="C2341" s="391" t="s">
        <v>9575</v>
      </c>
      <c r="D2341" s="391" t="s">
        <v>2195</v>
      </c>
    </row>
    <row r="2342" ht="15.75" customHeight="1">
      <c r="B2342" s="391" t="s">
        <v>9576</v>
      </c>
      <c r="C2342" s="391" t="s">
        <v>9577</v>
      </c>
      <c r="D2342" s="391" t="s">
        <v>2195</v>
      </c>
    </row>
    <row r="2343" ht="15.75" customHeight="1">
      <c r="B2343" s="391" t="s">
        <v>406</v>
      </c>
      <c r="C2343" s="391" t="s">
        <v>9578</v>
      </c>
      <c r="D2343" s="391" t="s">
        <v>2195</v>
      </c>
    </row>
    <row r="2344" ht="15.75" customHeight="1">
      <c r="B2344" s="391" t="s">
        <v>9579</v>
      </c>
      <c r="C2344" s="391" t="s">
        <v>9580</v>
      </c>
      <c r="D2344" s="391" t="s">
        <v>2195</v>
      </c>
    </row>
    <row r="2345" ht="15.75" customHeight="1">
      <c r="B2345" s="391" t="s">
        <v>9581</v>
      </c>
      <c r="C2345" s="391" t="s">
        <v>9580</v>
      </c>
      <c r="D2345" s="391" t="s">
        <v>2195</v>
      </c>
    </row>
    <row r="2346" ht="15.75" customHeight="1">
      <c r="B2346" s="391" t="s">
        <v>9582</v>
      </c>
      <c r="C2346" s="391" t="s">
        <v>9580</v>
      </c>
      <c r="D2346" s="391" t="s">
        <v>2195</v>
      </c>
    </row>
    <row r="2347" ht="15.75" customHeight="1">
      <c r="B2347" s="391" t="s">
        <v>9583</v>
      </c>
      <c r="C2347" s="391" t="s">
        <v>9580</v>
      </c>
      <c r="D2347" s="391" t="s">
        <v>2195</v>
      </c>
    </row>
    <row r="2348" ht="15.75" customHeight="1">
      <c r="B2348" s="391" t="s">
        <v>9584</v>
      </c>
      <c r="C2348" s="391" t="s">
        <v>9580</v>
      </c>
      <c r="D2348" s="391" t="s">
        <v>2195</v>
      </c>
    </row>
    <row r="2349" ht="15.75" customHeight="1">
      <c r="B2349" s="391" t="s">
        <v>9585</v>
      </c>
      <c r="C2349" s="391" t="s">
        <v>9580</v>
      </c>
      <c r="D2349" s="391" t="s">
        <v>2195</v>
      </c>
    </row>
    <row r="2350" ht="15.75" customHeight="1">
      <c r="B2350" s="391" t="s">
        <v>9586</v>
      </c>
      <c r="C2350" s="391" t="s">
        <v>9587</v>
      </c>
      <c r="D2350" s="391" t="s">
        <v>2195</v>
      </c>
    </row>
    <row r="2351" ht="15.75" customHeight="1">
      <c r="B2351" s="391" t="s">
        <v>408</v>
      </c>
      <c r="C2351" s="391" t="s">
        <v>9587</v>
      </c>
      <c r="D2351" s="391" t="s">
        <v>2166</v>
      </c>
    </row>
    <row r="2352" ht="15.75" customHeight="1">
      <c r="B2352" s="391" t="s">
        <v>9588</v>
      </c>
      <c r="C2352" s="391" t="s">
        <v>9587</v>
      </c>
      <c r="D2352" s="391" t="s">
        <v>2195</v>
      </c>
    </row>
    <row r="2353" ht="15.75" customHeight="1">
      <c r="B2353" s="391" t="s">
        <v>9589</v>
      </c>
      <c r="C2353" s="391" t="s">
        <v>9587</v>
      </c>
      <c r="D2353" s="391" t="s">
        <v>2195</v>
      </c>
    </row>
    <row r="2354" ht="15.75" customHeight="1">
      <c r="B2354" s="391" t="s">
        <v>416</v>
      </c>
      <c r="C2354" s="391" t="s">
        <v>9587</v>
      </c>
      <c r="D2354" s="391" t="s">
        <v>2232</v>
      </c>
    </row>
    <row r="2355" ht="15.75" customHeight="1">
      <c r="B2355" s="391" t="s">
        <v>9590</v>
      </c>
      <c r="C2355" s="391" t="s">
        <v>9587</v>
      </c>
      <c r="D2355" s="391" t="s">
        <v>2232</v>
      </c>
    </row>
    <row r="2356" ht="15.75" customHeight="1">
      <c r="B2356" s="391" t="s">
        <v>417</v>
      </c>
      <c r="C2356" s="391" t="s">
        <v>9587</v>
      </c>
      <c r="D2356" s="391" t="s">
        <v>2195</v>
      </c>
    </row>
    <row r="2357" ht="15.75" customHeight="1">
      <c r="B2357" s="391" t="s">
        <v>9591</v>
      </c>
      <c r="C2357" s="391" t="s">
        <v>9587</v>
      </c>
      <c r="D2357" s="391" t="s">
        <v>2195</v>
      </c>
    </row>
    <row r="2358" ht="15.75" customHeight="1">
      <c r="B2358" s="391" t="s">
        <v>9592</v>
      </c>
      <c r="C2358" s="391" t="s">
        <v>9587</v>
      </c>
      <c r="D2358" s="391" t="s">
        <v>2195</v>
      </c>
    </row>
    <row r="2359" ht="15.75" customHeight="1">
      <c r="B2359" s="391" t="s">
        <v>9593</v>
      </c>
      <c r="C2359" s="391" t="s">
        <v>9587</v>
      </c>
      <c r="D2359" s="391" t="s">
        <v>2195</v>
      </c>
    </row>
    <row r="2360" ht="15.75" customHeight="1">
      <c r="B2360" s="391" t="s">
        <v>426</v>
      </c>
      <c r="C2360" s="391" t="s">
        <v>9587</v>
      </c>
      <c r="D2360" s="391" t="s">
        <v>2195</v>
      </c>
    </row>
    <row r="2361" ht="15.75" customHeight="1">
      <c r="B2361" s="391" t="s">
        <v>9594</v>
      </c>
      <c r="C2361" s="391" t="s">
        <v>9587</v>
      </c>
      <c r="D2361" s="391" t="s">
        <v>2232</v>
      </c>
    </row>
    <row r="2362" ht="15.75" customHeight="1">
      <c r="B2362" s="391" t="s">
        <v>9595</v>
      </c>
      <c r="C2362" s="391" t="s">
        <v>9587</v>
      </c>
      <c r="D2362" s="391" t="s">
        <v>2195</v>
      </c>
    </row>
    <row r="2363" ht="15.75" customHeight="1">
      <c r="B2363" s="391" t="s">
        <v>414</v>
      </c>
      <c r="C2363" s="391" t="s">
        <v>9596</v>
      </c>
      <c r="D2363" s="391" t="s">
        <v>2195</v>
      </c>
    </row>
    <row r="2364" ht="15.75" customHeight="1">
      <c r="B2364" s="391" t="s">
        <v>419</v>
      </c>
      <c r="C2364" s="391" t="s">
        <v>9597</v>
      </c>
      <c r="D2364" s="391" t="s">
        <v>2195</v>
      </c>
    </row>
    <row r="2365" ht="15.75" customHeight="1">
      <c r="B2365" s="391" t="s">
        <v>767</v>
      </c>
      <c r="C2365" s="391" t="s">
        <v>9598</v>
      </c>
      <c r="D2365" s="391" t="s">
        <v>2232</v>
      </c>
    </row>
    <row r="2366" ht="15.75" customHeight="1">
      <c r="B2366" s="391" t="s">
        <v>1621</v>
      </c>
      <c r="C2366" s="391" t="s">
        <v>9598</v>
      </c>
      <c r="D2366" s="391" t="s">
        <v>2166</v>
      </c>
    </row>
    <row r="2367" ht="15.75" customHeight="1">
      <c r="B2367" s="391" t="s">
        <v>9599</v>
      </c>
      <c r="C2367" s="391" t="s">
        <v>9598</v>
      </c>
      <c r="D2367" s="391" t="s">
        <v>2166</v>
      </c>
    </row>
    <row r="2368" ht="15.75" customHeight="1">
      <c r="B2368" s="391" t="s">
        <v>9600</v>
      </c>
      <c r="C2368" s="391" t="s">
        <v>9598</v>
      </c>
      <c r="D2368" s="391" t="s">
        <v>2195</v>
      </c>
    </row>
    <row r="2369" ht="15.75" customHeight="1">
      <c r="B2369" s="391" t="s">
        <v>9601</v>
      </c>
      <c r="C2369" s="391" t="s">
        <v>9598</v>
      </c>
      <c r="D2369" s="391" t="s">
        <v>2232</v>
      </c>
    </row>
    <row r="2370" ht="15.75" customHeight="1">
      <c r="B2370" s="391" t="s">
        <v>9602</v>
      </c>
      <c r="C2370" s="391" t="s">
        <v>9598</v>
      </c>
      <c r="D2370" s="391" t="s">
        <v>2195</v>
      </c>
    </row>
    <row r="2371" ht="15.75" customHeight="1">
      <c r="B2371" s="391" t="s">
        <v>9603</v>
      </c>
      <c r="C2371" s="391" t="s">
        <v>9598</v>
      </c>
      <c r="D2371" s="391" t="s">
        <v>2232</v>
      </c>
    </row>
    <row r="2372" ht="15.75" customHeight="1">
      <c r="B2372" s="391" t="s">
        <v>9604</v>
      </c>
      <c r="C2372" s="391" t="s">
        <v>9598</v>
      </c>
      <c r="D2372" s="391" t="s">
        <v>2232</v>
      </c>
    </row>
    <row r="2373" ht="15.75" customHeight="1">
      <c r="B2373" s="391" t="s">
        <v>9605</v>
      </c>
      <c r="C2373" s="391" t="s">
        <v>9598</v>
      </c>
      <c r="D2373" s="391" t="s">
        <v>2195</v>
      </c>
    </row>
    <row r="2374" ht="15.75" customHeight="1">
      <c r="B2374" s="391" t="s">
        <v>9606</v>
      </c>
      <c r="C2374" s="391" t="s">
        <v>9598</v>
      </c>
      <c r="D2374" s="391" t="s">
        <v>2195</v>
      </c>
    </row>
    <row r="2375" ht="15.75" customHeight="1">
      <c r="B2375" s="391" t="s">
        <v>9607</v>
      </c>
      <c r="C2375" s="391" t="s">
        <v>9598</v>
      </c>
      <c r="D2375" s="391" t="s">
        <v>2166</v>
      </c>
    </row>
    <row r="2376" ht="15.75" customHeight="1">
      <c r="B2376" s="391" t="s">
        <v>9608</v>
      </c>
      <c r="C2376" s="391" t="s">
        <v>9598</v>
      </c>
      <c r="D2376" s="391" t="s">
        <v>2195</v>
      </c>
    </row>
    <row r="2377" ht="15.75" customHeight="1">
      <c r="B2377" s="391" t="s">
        <v>9609</v>
      </c>
      <c r="C2377" s="391" t="s">
        <v>9598</v>
      </c>
      <c r="D2377" s="391" t="s">
        <v>2195</v>
      </c>
    </row>
    <row r="2378" ht="15.75" customHeight="1">
      <c r="B2378" s="391" t="s">
        <v>771</v>
      </c>
      <c r="C2378" s="391" t="s">
        <v>9598</v>
      </c>
      <c r="D2378" s="391" t="s">
        <v>2195</v>
      </c>
    </row>
    <row r="2379" ht="15.75" customHeight="1">
      <c r="B2379" s="391" t="s">
        <v>1617</v>
      </c>
      <c r="C2379" s="391" t="s">
        <v>9598</v>
      </c>
      <c r="D2379" s="391" t="s">
        <v>2166</v>
      </c>
    </row>
    <row r="2380" ht="15.75" customHeight="1">
      <c r="B2380" s="391" t="s">
        <v>9610</v>
      </c>
      <c r="C2380" s="391" t="s">
        <v>9598</v>
      </c>
      <c r="D2380" s="391" t="s">
        <v>2232</v>
      </c>
    </row>
    <row r="2381" ht="15.75" customHeight="1">
      <c r="B2381" s="391" t="s">
        <v>9611</v>
      </c>
      <c r="C2381" s="391" t="s">
        <v>9598</v>
      </c>
      <c r="D2381" s="391" t="s">
        <v>2195</v>
      </c>
    </row>
    <row r="2382" ht="15.75" customHeight="1">
      <c r="B2382" s="391" t="s">
        <v>9612</v>
      </c>
      <c r="C2382" s="391" t="s">
        <v>9598</v>
      </c>
      <c r="D2382" s="391" t="s">
        <v>2195</v>
      </c>
    </row>
    <row r="2383" ht="15.75" customHeight="1">
      <c r="B2383" s="391" t="s">
        <v>9613</v>
      </c>
      <c r="C2383" s="391" t="s">
        <v>9598</v>
      </c>
      <c r="D2383" s="391" t="s">
        <v>2195</v>
      </c>
    </row>
    <row r="2384" ht="15.75" customHeight="1">
      <c r="B2384" s="391" t="s">
        <v>424</v>
      </c>
      <c r="C2384" s="391" t="s">
        <v>9598</v>
      </c>
      <c r="D2384" s="391" t="s">
        <v>2195</v>
      </c>
    </row>
    <row r="2385" ht="15.75" customHeight="1">
      <c r="B2385" s="391" t="s">
        <v>9614</v>
      </c>
      <c r="C2385" s="391" t="s">
        <v>9598</v>
      </c>
      <c r="D2385" s="391" t="s">
        <v>2195</v>
      </c>
    </row>
    <row r="2386" ht="15.75" customHeight="1">
      <c r="B2386" s="391" t="s">
        <v>751</v>
      </c>
      <c r="C2386" s="391" t="s">
        <v>9598</v>
      </c>
      <c r="D2386" s="391" t="s">
        <v>2232</v>
      </c>
    </row>
    <row r="2387" ht="15.75" customHeight="1">
      <c r="B2387" s="391" t="s">
        <v>9615</v>
      </c>
      <c r="C2387" s="391" t="s">
        <v>9598</v>
      </c>
      <c r="D2387" s="391" t="s">
        <v>2195</v>
      </c>
    </row>
    <row r="2388" ht="15.75" customHeight="1">
      <c r="B2388" s="391" t="s">
        <v>1318</v>
      </c>
      <c r="C2388" s="391" t="s">
        <v>9598</v>
      </c>
      <c r="D2388" s="391" t="s">
        <v>2166</v>
      </c>
    </row>
    <row r="2389" ht="15.75" customHeight="1">
      <c r="B2389" s="391" t="s">
        <v>9616</v>
      </c>
      <c r="C2389" s="391" t="s">
        <v>9598</v>
      </c>
      <c r="D2389" s="391" t="s">
        <v>2195</v>
      </c>
    </row>
    <row r="2390" ht="15.75" customHeight="1">
      <c r="B2390" s="391" t="s">
        <v>9617</v>
      </c>
      <c r="C2390" s="391" t="s">
        <v>9598</v>
      </c>
      <c r="D2390" s="391" t="s">
        <v>2195</v>
      </c>
    </row>
    <row r="2391" ht="15.75" customHeight="1">
      <c r="B2391" s="391" t="s">
        <v>9618</v>
      </c>
      <c r="C2391" s="391" t="s">
        <v>9598</v>
      </c>
      <c r="D2391" s="391" t="s">
        <v>2232</v>
      </c>
    </row>
    <row r="2392" ht="15.75" customHeight="1">
      <c r="B2392" s="391" t="s">
        <v>9619</v>
      </c>
      <c r="C2392" s="391" t="s">
        <v>9598</v>
      </c>
      <c r="D2392" s="391" t="s">
        <v>2232</v>
      </c>
    </row>
    <row r="2393" ht="15.75" customHeight="1">
      <c r="B2393" s="391" t="s">
        <v>465</v>
      </c>
      <c r="C2393" s="391" t="s">
        <v>9598</v>
      </c>
      <c r="D2393" s="391" t="s">
        <v>2232</v>
      </c>
    </row>
    <row r="2394" ht="15.75" customHeight="1">
      <c r="B2394" s="391" t="s">
        <v>9620</v>
      </c>
      <c r="C2394" s="391" t="s">
        <v>9598</v>
      </c>
      <c r="D2394" s="391" t="s">
        <v>2195</v>
      </c>
    </row>
    <row r="2395" ht="15.75" customHeight="1">
      <c r="B2395" s="391" t="s">
        <v>9621</v>
      </c>
      <c r="C2395" s="391" t="s">
        <v>9598</v>
      </c>
      <c r="D2395" s="391" t="s">
        <v>2232</v>
      </c>
    </row>
    <row r="2396" ht="15.75" customHeight="1">
      <c r="B2396" s="391" t="s">
        <v>9622</v>
      </c>
      <c r="C2396" s="391" t="s">
        <v>9623</v>
      </c>
      <c r="D2396" s="391" t="s">
        <v>2195</v>
      </c>
    </row>
    <row r="2397" ht="15.75" customHeight="1">
      <c r="B2397" s="391" t="s">
        <v>9624</v>
      </c>
      <c r="C2397" s="391" t="s">
        <v>9625</v>
      </c>
      <c r="D2397" s="391" t="s">
        <v>2195</v>
      </c>
    </row>
    <row r="2398" ht="15.75" customHeight="1">
      <c r="B2398" s="391" t="s">
        <v>9626</v>
      </c>
      <c r="C2398" s="391" t="s">
        <v>9625</v>
      </c>
      <c r="D2398" s="391" t="s">
        <v>2195</v>
      </c>
    </row>
    <row r="2399" ht="15.75" customHeight="1">
      <c r="B2399" s="391" t="s">
        <v>9627</v>
      </c>
      <c r="C2399" s="391" t="s">
        <v>9628</v>
      </c>
      <c r="D2399" s="391" t="s">
        <v>2195</v>
      </c>
    </row>
    <row r="2400" ht="15.75" customHeight="1">
      <c r="B2400" s="391" t="s">
        <v>9629</v>
      </c>
      <c r="C2400" s="391" t="s">
        <v>9628</v>
      </c>
      <c r="D2400" s="391" t="s">
        <v>2232</v>
      </c>
    </row>
    <row r="2401" ht="15.75" customHeight="1">
      <c r="B2401" s="391" t="s">
        <v>719</v>
      </c>
      <c r="C2401" s="391" t="s">
        <v>9630</v>
      </c>
      <c r="D2401" s="391" t="s">
        <v>2195</v>
      </c>
    </row>
    <row r="2402" ht="15.75" customHeight="1">
      <c r="B2402" s="391" t="s">
        <v>723</v>
      </c>
      <c r="C2402" s="391" t="s">
        <v>9631</v>
      </c>
      <c r="D2402" s="391" t="s">
        <v>2232</v>
      </c>
    </row>
    <row r="2403" ht="15.75" customHeight="1">
      <c r="B2403" s="391" t="s">
        <v>9632</v>
      </c>
      <c r="C2403" s="391" t="s">
        <v>9633</v>
      </c>
      <c r="D2403" s="391" t="s">
        <v>2166</v>
      </c>
    </row>
    <row r="2404" ht="15.75" customHeight="1">
      <c r="B2404" s="391" t="s">
        <v>1077</v>
      </c>
      <c r="C2404" s="391" t="s">
        <v>9634</v>
      </c>
      <c r="D2404" s="391" t="s">
        <v>2232</v>
      </c>
    </row>
    <row r="2405" ht="15.75" customHeight="1">
      <c r="B2405" s="391" t="s">
        <v>1081</v>
      </c>
      <c r="C2405" s="391" t="s">
        <v>9634</v>
      </c>
      <c r="D2405" s="391" t="s">
        <v>2166</v>
      </c>
    </row>
    <row r="2406" ht="15.75" customHeight="1">
      <c r="B2406" s="391" t="s">
        <v>1095</v>
      </c>
      <c r="C2406" s="391" t="s">
        <v>9634</v>
      </c>
      <c r="D2406" s="391" t="s">
        <v>2195</v>
      </c>
    </row>
    <row r="2407" ht="15.75" customHeight="1">
      <c r="B2407" s="391" t="s">
        <v>1087</v>
      </c>
      <c r="C2407" s="391" t="s">
        <v>9635</v>
      </c>
      <c r="D2407" s="391" t="s">
        <v>2232</v>
      </c>
    </row>
    <row r="2408" ht="15.75" customHeight="1">
      <c r="B2408" s="391" t="s">
        <v>901</v>
      </c>
      <c r="C2408" s="391" t="s">
        <v>9636</v>
      </c>
      <c r="D2408" s="391" t="s">
        <v>2232</v>
      </c>
    </row>
    <row r="2409" ht="15.75" customHeight="1">
      <c r="B2409" s="391" t="s">
        <v>903</v>
      </c>
      <c r="C2409" s="391" t="s">
        <v>9636</v>
      </c>
      <c r="D2409" s="391" t="s">
        <v>2166</v>
      </c>
    </row>
    <row r="2410" ht="15.75" customHeight="1">
      <c r="B2410" s="391" t="s">
        <v>9637</v>
      </c>
      <c r="C2410" s="391" t="s">
        <v>9638</v>
      </c>
      <c r="D2410" s="391" t="s">
        <v>2166</v>
      </c>
    </row>
    <row r="2411" ht="15.75" customHeight="1">
      <c r="B2411" s="391" t="s">
        <v>9639</v>
      </c>
      <c r="C2411" s="391" t="s">
        <v>9640</v>
      </c>
      <c r="D2411" s="391" t="s">
        <v>2195</v>
      </c>
    </row>
    <row r="2412" ht="15.75" customHeight="1">
      <c r="B2412" s="391" t="s">
        <v>9641</v>
      </c>
      <c r="C2412" s="391" t="s">
        <v>9640</v>
      </c>
      <c r="D2412" s="391" t="s">
        <v>2195</v>
      </c>
    </row>
    <row r="2413" ht="15.75" customHeight="1">
      <c r="B2413" s="391" t="s">
        <v>9642</v>
      </c>
      <c r="C2413" s="391" t="s">
        <v>9643</v>
      </c>
      <c r="D2413" s="391" t="s">
        <v>2195</v>
      </c>
    </row>
    <row r="2414" ht="15.75" customHeight="1">
      <c r="B2414" s="391" t="s">
        <v>9644</v>
      </c>
      <c r="C2414" s="391" t="s">
        <v>9644</v>
      </c>
      <c r="D2414" s="391" t="s">
        <v>2195</v>
      </c>
    </row>
    <row r="2415" ht="15.75" customHeight="1">
      <c r="B2415" s="391" t="s">
        <v>9645</v>
      </c>
      <c r="C2415" s="391" t="s">
        <v>9646</v>
      </c>
      <c r="D2415" s="391" t="s">
        <v>2195</v>
      </c>
    </row>
    <row r="2416" ht="15.75" customHeight="1">
      <c r="B2416" s="391" t="s">
        <v>9647</v>
      </c>
      <c r="C2416" s="391" t="s">
        <v>9648</v>
      </c>
      <c r="D2416" s="391" t="s">
        <v>2195</v>
      </c>
    </row>
    <row r="2417" ht="15.75" customHeight="1">
      <c r="B2417" s="391" t="s">
        <v>9649</v>
      </c>
      <c r="C2417" s="391" t="s">
        <v>9650</v>
      </c>
      <c r="D2417" s="391" t="s">
        <v>2232</v>
      </c>
    </row>
    <row r="2418" ht="15.75" customHeight="1">
      <c r="B2418" s="391" t="s">
        <v>9651</v>
      </c>
      <c r="C2418" s="391" t="s">
        <v>9652</v>
      </c>
      <c r="D2418" s="391" t="s">
        <v>2195</v>
      </c>
    </row>
    <row r="2419" ht="15.75" customHeight="1">
      <c r="B2419" s="391" t="s">
        <v>9653</v>
      </c>
      <c r="C2419" s="391" t="s">
        <v>9654</v>
      </c>
      <c r="D2419" s="391" t="s">
        <v>2195</v>
      </c>
    </row>
    <row r="2420" ht="15.75" customHeight="1">
      <c r="B2420" s="391" t="s">
        <v>9655</v>
      </c>
      <c r="C2420" s="391" t="s">
        <v>9656</v>
      </c>
      <c r="D2420" s="391" t="s">
        <v>2195</v>
      </c>
    </row>
    <row r="2421" ht="15.75" customHeight="1">
      <c r="B2421" s="391" t="s">
        <v>9657</v>
      </c>
      <c r="C2421" s="391" t="s">
        <v>9658</v>
      </c>
      <c r="D2421" s="391" t="s">
        <v>2195</v>
      </c>
    </row>
    <row r="2422" ht="15.75" customHeight="1">
      <c r="B2422" s="391" t="s">
        <v>9659</v>
      </c>
      <c r="C2422" s="391" t="s">
        <v>9660</v>
      </c>
      <c r="D2422" s="391" t="s">
        <v>2195</v>
      </c>
    </row>
    <row r="2423" ht="15.75" customHeight="1">
      <c r="B2423" s="391" t="s">
        <v>9661</v>
      </c>
      <c r="C2423" s="391" t="s">
        <v>9660</v>
      </c>
      <c r="D2423" s="391" t="s">
        <v>2195</v>
      </c>
    </row>
    <row r="2424" ht="15.75" customHeight="1">
      <c r="B2424" s="391" t="s">
        <v>9662</v>
      </c>
      <c r="C2424" s="391" t="s">
        <v>9663</v>
      </c>
      <c r="D2424" s="391" t="s">
        <v>2232</v>
      </c>
    </row>
    <row r="2425" ht="15.75" customHeight="1">
      <c r="B2425" s="391" t="s">
        <v>9664</v>
      </c>
      <c r="C2425" s="391" t="s">
        <v>9665</v>
      </c>
      <c r="D2425" s="391" t="s">
        <v>2195</v>
      </c>
    </row>
    <row r="2426" ht="15.75" customHeight="1">
      <c r="B2426" s="391" t="s">
        <v>9666</v>
      </c>
      <c r="C2426" s="391" t="s">
        <v>9667</v>
      </c>
      <c r="D2426" s="391" t="s">
        <v>2195</v>
      </c>
    </row>
    <row r="2427" ht="15.75" customHeight="1">
      <c r="B2427" s="391" t="s">
        <v>9668</v>
      </c>
      <c r="C2427" s="391" t="s">
        <v>9669</v>
      </c>
      <c r="D2427" s="391" t="s">
        <v>2195</v>
      </c>
    </row>
    <row r="2428" ht="15.75" customHeight="1">
      <c r="B2428" s="391" t="s">
        <v>9670</v>
      </c>
      <c r="C2428" s="391" t="s">
        <v>9671</v>
      </c>
      <c r="D2428" s="391" t="s">
        <v>2195</v>
      </c>
    </row>
    <row r="2429" ht="15.75" customHeight="1">
      <c r="B2429" s="391" t="s">
        <v>9672</v>
      </c>
      <c r="C2429" s="391" t="s">
        <v>9673</v>
      </c>
      <c r="D2429" s="391" t="s">
        <v>2195</v>
      </c>
    </row>
    <row r="2430" ht="15.75" customHeight="1">
      <c r="B2430" s="391" t="s">
        <v>9674</v>
      </c>
      <c r="C2430" s="391" t="s">
        <v>9675</v>
      </c>
      <c r="D2430" s="391" t="s">
        <v>2195</v>
      </c>
    </row>
    <row r="2431" ht="15.75" customHeight="1">
      <c r="B2431" s="391" t="s">
        <v>9676</v>
      </c>
      <c r="C2431" s="391" t="s">
        <v>9677</v>
      </c>
      <c r="D2431" s="391" t="s">
        <v>2232</v>
      </c>
    </row>
    <row r="2432" ht="15.75" customHeight="1">
      <c r="B2432" s="391" t="s">
        <v>9678</v>
      </c>
      <c r="C2432" s="391" t="s">
        <v>9679</v>
      </c>
      <c r="D2432" s="391" t="s">
        <v>2195</v>
      </c>
    </row>
    <row r="2433" ht="15.75" customHeight="1">
      <c r="B2433" s="391" t="s">
        <v>9680</v>
      </c>
      <c r="C2433" s="391" t="s">
        <v>9681</v>
      </c>
      <c r="D2433" s="391" t="s">
        <v>2195</v>
      </c>
    </row>
    <row r="2434" ht="15.75" customHeight="1">
      <c r="B2434" s="391" t="s">
        <v>9682</v>
      </c>
      <c r="C2434" s="391" t="s">
        <v>9681</v>
      </c>
      <c r="D2434" s="391" t="s">
        <v>2195</v>
      </c>
    </row>
    <row r="2435" ht="15.75" customHeight="1">
      <c r="B2435" s="391" t="s">
        <v>9683</v>
      </c>
      <c r="C2435" s="391" t="s">
        <v>9684</v>
      </c>
      <c r="D2435" s="391" t="s">
        <v>2195</v>
      </c>
    </row>
    <row r="2436" ht="15.75" customHeight="1">
      <c r="B2436" s="391" t="s">
        <v>9685</v>
      </c>
      <c r="C2436" s="391" t="s">
        <v>9686</v>
      </c>
      <c r="D2436" s="391" t="s">
        <v>2195</v>
      </c>
    </row>
    <row r="2437" ht="15.75" customHeight="1">
      <c r="B2437" s="391" t="s">
        <v>9687</v>
      </c>
      <c r="C2437" s="391" t="s">
        <v>9688</v>
      </c>
      <c r="D2437" s="391" t="s">
        <v>2195</v>
      </c>
    </row>
    <row r="2438" ht="15.75" customHeight="1">
      <c r="B2438" s="391" t="s">
        <v>9689</v>
      </c>
      <c r="C2438" s="391" t="s">
        <v>9690</v>
      </c>
      <c r="D2438" s="391" t="s">
        <v>2195</v>
      </c>
    </row>
    <row r="2439" ht="15.75" customHeight="1">
      <c r="B2439" s="391" t="s">
        <v>9691</v>
      </c>
      <c r="C2439" s="391" t="s">
        <v>9692</v>
      </c>
      <c r="D2439" s="391" t="s">
        <v>2195</v>
      </c>
    </row>
    <row r="2440" ht="15.75" customHeight="1">
      <c r="B2440" s="391" t="s">
        <v>9693</v>
      </c>
      <c r="C2440" s="391" t="s">
        <v>9694</v>
      </c>
      <c r="D2440" s="391" t="s">
        <v>2232</v>
      </c>
    </row>
    <row r="2441" ht="15.75" customHeight="1">
      <c r="B2441" s="391" t="s">
        <v>9695</v>
      </c>
      <c r="C2441" s="391" t="s">
        <v>9694</v>
      </c>
      <c r="D2441" s="391" t="s">
        <v>2232</v>
      </c>
    </row>
    <row r="2442" ht="15.75" customHeight="1">
      <c r="B2442" s="391" t="s">
        <v>9696</v>
      </c>
      <c r="C2442" s="391" t="s">
        <v>9694</v>
      </c>
      <c r="D2442" s="391" t="s">
        <v>2232</v>
      </c>
    </row>
    <row r="2443" ht="15.75" customHeight="1">
      <c r="B2443" s="391" t="s">
        <v>9697</v>
      </c>
      <c r="C2443" s="391" t="s">
        <v>9698</v>
      </c>
      <c r="D2443" s="391" t="s">
        <v>2232</v>
      </c>
    </row>
    <row r="2444" ht="15.75" customHeight="1">
      <c r="B2444" s="391" t="s">
        <v>9699</v>
      </c>
      <c r="C2444" s="391" t="s">
        <v>9700</v>
      </c>
      <c r="D2444" s="391" t="s">
        <v>2195</v>
      </c>
    </row>
    <row r="2445" ht="15.75" customHeight="1">
      <c r="B2445" s="391" t="s">
        <v>9701</v>
      </c>
      <c r="C2445" s="391" t="s">
        <v>9702</v>
      </c>
      <c r="D2445" s="391" t="s">
        <v>2195</v>
      </c>
    </row>
    <row r="2446" ht="15.75" customHeight="1">
      <c r="B2446" s="391" t="s">
        <v>9703</v>
      </c>
      <c r="C2446" s="391" t="s">
        <v>9704</v>
      </c>
      <c r="D2446" s="391" t="s">
        <v>2232</v>
      </c>
    </row>
    <row r="2447" ht="15.75" customHeight="1">
      <c r="B2447" s="391" t="s">
        <v>6913</v>
      </c>
      <c r="C2447" s="391" t="s">
        <v>9705</v>
      </c>
      <c r="D2447" s="391" t="s">
        <v>2232</v>
      </c>
    </row>
    <row r="2448" ht="15.75" customHeight="1">
      <c r="B2448" s="391" t="s">
        <v>9706</v>
      </c>
      <c r="C2448" s="391" t="s">
        <v>9707</v>
      </c>
      <c r="D2448" s="391" t="s">
        <v>2195</v>
      </c>
    </row>
    <row r="2449" ht="15.75" customHeight="1">
      <c r="B2449" s="391" t="s">
        <v>9708</v>
      </c>
      <c r="C2449" s="391" t="s">
        <v>9709</v>
      </c>
      <c r="D2449" s="391" t="s">
        <v>2195</v>
      </c>
    </row>
    <row r="2450" ht="15.75" customHeight="1">
      <c r="B2450" s="391" t="s">
        <v>9710</v>
      </c>
      <c r="C2450" s="391" t="s">
        <v>9711</v>
      </c>
      <c r="D2450" s="391" t="s">
        <v>2195</v>
      </c>
    </row>
    <row r="2451" ht="15.75" customHeight="1">
      <c r="B2451" s="391" t="s">
        <v>9712</v>
      </c>
      <c r="C2451" s="391" t="s">
        <v>9713</v>
      </c>
      <c r="D2451" s="391" t="s">
        <v>2195</v>
      </c>
    </row>
    <row r="2452" ht="15.75" customHeight="1">
      <c r="B2452" s="391" t="s">
        <v>9714</v>
      </c>
      <c r="C2452" s="391" t="s">
        <v>9715</v>
      </c>
      <c r="D2452" s="391" t="s">
        <v>2195</v>
      </c>
    </row>
    <row r="2453" ht="15.75" customHeight="1">
      <c r="B2453" s="391" t="s">
        <v>4232</v>
      </c>
      <c r="C2453" s="391" t="s">
        <v>9716</v>
      </c>
      <c r="D2453" s="391" t="s">
        <v>2232</v>
      </c>
    </row>
    <row r="2454" ht="15.75" customHeight="1">
      <c r="B2454" s="391" t="s">
        <v>4228</v>
      </c>
      <c r="C2454" s="391" t="s">
        <v>9716</v>
      </c>
      <c r="D2454" s="391" t="s">
        <v>2232</v>
      </c>
    </row>
    <row r="2455" ht="15.75" customHeight="1">
      <c r="B2455" s="391" t="s">
        <v>4147</v>
      </c>
      <c r="C2455" s="391" t="s">
        <v>9717</v>
      </c>
      <c r="D2455" s="391" t="s">
        <v>2195</v>
      </c>
    </row>
    <row r="2456" ht="15.75" customHeight="1">
      <c r="B2456" s="391" t="s">
        <v>4143</v>
      </c>
      <c r="C2456" s="391" t="s">
        <v>9717</v>
      </c>
      <c r="D2456" s="391" t="s">
        <v>2166</v>
      </c>
    </row>
    <row r="2457" ht="15.75" customHeight="1">
      <c r="B2457" s="391" t="s">
        <v>9718</v>
      </c>
      <c r="C2457" s="391" t="s">
        <v>9719</v>
      </c>
      <c r="D2457" s="391" t="s">
        <v>2195</v>
      </c>
    </row>
    <row r="2458" ht="15.75" customHeight="1">
      <c r="B2458" s="391" t="s">
        <v>9720</v>
      </c>
      <c r="C2458" s="391" t="s">
        <v>9719</v>
      </c>
      <c r="D2458" s="391" t="s">
        <v>2195</v>
      </c>
    </row>
    <row r="2459" ht="15.75" customHeight="1">
      <c r="B2459" s="391" t="s">
        <v>9721</v>
      </c>
      <c r="C2459" s="391" t="s">
        <v>9719</v>
      </c>
      <c r="D2459" s="391" t="s">
        <v>2195</v>
      </c>
    </row>
    <row r="2460" ht="15.75" customHeight="1">
      <c r="B2460" s="391" t="s">
        <v>4211</v>
      </c>
      <c r="C2460" s="391" t="s">
        <v>9722</v>
      </c>
      <c r="D2460" s="391" t="s">
        <v>2232</v>
      </c>
    </row>
    <row r="2461" ht="15.75" customHeight="1">
      <c r="B2461" s="391" t="s">
        <v>4215</v>
      </c>
      <c r="C2461" s="391" t="s">
        <v>9723</v>
      </c>
      <c r="D2461" s="391" t="s">
        <v>2166</v>
      </c>
    </row>
    <row r="2462" ht="15.75" customHeight="1">
      <c r="B2462" s="391" t="s">
        <v>4219</v>
      </c>
      <c r="C2462" s="391" t="s">
        <v>9723</v>
      </c>
      <c r="D2462" s="391" t="s">
        <v>2166</v>
      </c>
    </row>
    <row r="2463" ht="15.75" customHeight="1">
      <c r="B2463" s="391" t="s">
        <v>9724</v>
      </c>
      <c r="C2463" s="391" t="s">
        <v>9725</v>
      </c>
      <c r="D2463" s="391" t="s">
        <v>2232</v>
      </c>
    </row>
    <row r="2464" ht="15.75" customHeight="1">
      <c r="B2464" s="391" t="s">
        <v>9726</v>
      </c>
      <c r="C2464" s="391" t="s">
        <v>9727</v>
      </c>
      <c r="D2464" s="391" t="s">
        <v>2232</v>
      </c>
    </row>
    <row r="2465" ht="15.75" customHeight="1">
      <c r="B2465" s="391" t="s">
        <v>9728</v>
      </c>
      <c r="C2465" s="391" t="s">
        <v>9729</v>
      </c>
      <c r="D2465" s="391" t="s">
        <v>2232</v>
      </c>
    </row>
    <row r="2466" ht="15.75" customHeight="1">
      <c r="B2466" s="391" t="s">
        <v>4154</v>
      </c>
      <c r="C2466" s="391" t="s">
        <v>9730</v>
      </c>
      <c r="D2466" s="391" t="s">
        <v>2195</v>
      </c>
    </row>
    <row r="2467" ht="15.75" customHeight="1">
      <c r="B2467" s="391" t="s">
        <v>9731</v>
      </c>
      <c r="C2467" s="391" t="s">
        <v>9732</v>
      </c>
      <c r="D2467" s="391" t="s">
        <v>2195</v>
      </c>
    </row>
    <row r="2468" ht="15.75" customHeight="1">
      <c r="B2468" s="391" t="s">
        <v>9733</v>
      </c>
      <c r="C2468" s="391" t="s">
        <v>9732</v>
      </c>
      <c r="D2468" s="391" t="s">
        <v>2195</v>
      </c>
    </row>
    <row r="2469" ht="15.75" customHeight="1">
      <c r="B2469" s="391" t="s">
        <v>9734</v>
      </c>
      <c r="C2469" s="391" t="s">
        <v>9732</v>
      </c>
      <c r="D2469" s="391" t="s">
        <v>2195</v>
      </c>
    </row>
    <row r="2470" ht="15.75" customHeight="1">
      <c r="B2470" s="391" t="s">
        <v>9735</v>
      </c>
      <c r="C2470" s="391" t="s">
        <v>9732</v>
      </c>
      <c r="D2470" s="391" t="s">
        <v>2195</v>
      </c>
    </row>
    <row r="2471" ht="15.75" customHeight="1">
      <c r="B2471" s="391" t="s">
        <v>9736</v>
      </c>
      <c r="C2471" s="391" t="s">
        <v>9732</v>
      </c>
      <c r="D2471" s="391" t="s">
        <v>2195</v>
      </c>
    </row>
    <row r="2472" ht="15.75" customHeight="1">
      <c r="B2472" s="391" t="s">
        <v>9737</v>
      </c>
      <c r="C2472" s="391" t="s">
        <v>9738</v>
      </c>
      <c r="D2472" s="391" t="s">
        <v>2195</v>
      </c>
    </row>
    <row r="2473" ht="15.75" customHeight="1">
      <c r="B2473" s="391" t="s">
        <v>9739</v>
      </c>
      <c r="C2473" s="391" t="s">
        <v>9738</v>
      </c>
      <c r="D2473" s="391" t="s">
        <v>2232</v>
      </c>
    </row>
    <row r="2474" ht="15.75" customHeight="1">
      <c r="B2474" s="391" t="s">
        <v>9740</v>
      </c>
      <c r="C2474" s="391" t="s">
        <v>9738</v>
      </c>
      <c r="D2474" s="391" t="s">
        <v>2232</v>
      </c>
    </row>
    <row r="2475" ht="15.75" customHeight="1">
      <c r="B2475" s="391" t="s">
        <v>9741</v>
      </c>
      <c r="C2475" s="391" t="s">
        <v>9742</v>
      </c>
      <c r="D2475" s="391" t="s">
        <v>2232</v>
      </c>
    </row>
    <row r="2476" ht="15.75" customHeight="1">
      <c r="B2476" s="391" t="s">
        <v>4170</v>
      </c>
      <c r="C2476" s="391" t="s">
        <v>9743</v>
      </c>
      <c r="D2476" s="391" t="s">
        <v>2232</v>
      </c>
    </row>
    <row r="2477" ht="15.75" customHeight="1">
      <c r="B2477" s="391" t="s">
        <v>9744</v>
      </c>
      <c r="C2477" s="391" t="s">
        <v>9743</v>
      </c>
      <c r="D2477" s="391" t="s">
        <v>2195</v>
      </c>
    </row>
    <row r="2478" ht="15.75" customHeight="1">
      <c r="B2478" s="391" t="s">
        <v>9745</v>
      </c>
      <c r="C2478" s="391" t="s">
        <v>9746</v>
      </c>
      <c r="D2478" s="391" t="s">
        <v>2232</v>
      </c>
    </row>
    <row r="2479" ht="15.75" customHeight="1">
      <c r="B2479" s="391" t="s">
        <v>4130</v>
      </c>
      <c r="C2479" s="391" t="s">
        <v>9747</v>
      </c>
      <c r="D2479" s="391" t="s">
        <v>2166</v>
      </c>
    </row>
    <row r="2480" ht="15.75" customHeight="1">
      <c r="B2480" s="391" t="s">
        <v>4117</v>
      </c>
      <c r="C2480" s="391" t="s">
        <v>9748</v>
      </c>
      <c r="D2480" s="391" t="s">
        <v>2166</v>
      </c>
    </row>
    <row r="2481" ht="15.75" customHeight="1">
      <c r="B2481" s="391" t="s">
        <v>4134</v>
      </c>
      <c r="C2481" s="391" t="s">
        <v>9749</v>
      </c>
      <c r="D2481" s="391" t="s">
        <v>2166</v>
      </c>
    </row>
    <row r="2482" ht="15.75" customHeight="1">
      <c r="B2482" s="391" t="s">
        <v>4126</v>
      </c>
      <c r="C2482" s="391" t="s">
        <v>9750</v>
      </c>
      <c r="D2482" s="391" t="s">
        <v>2166</v>
      </c>
    </row>
    <row r="2483" ht="15.75" customHeight="1">
      <c r="B2483" s="391" t="s">
        <v>9751</v>
      </c>
      <c r="C2483" s="391" t="s">
        <v>9752</v>
      </c>
      <c r="D2483" s="391" t="s">
        <v>2195</v>
      </c>
    </row>
    <row r="2484" ht="15.75" customHeight="1">
      <c r="B2484" s="391" t="s">
        <v>4138</v>
      </c>
      <c r="C2484" s="391" t="s">
        <v>9753</v>
      </c>
      <c r="D2484" s="391" t="s">
        <v>2232</v>
      </c>
    </row>
    <row r="2485" ht="15.75" customHeight="1">
      <c r="B2485" s="391" t="s">
        <v>9754</v>
      </c>
      <c r="C2485" s="391" t="s">
        <v>9755</v>
      </c>
      <c r="D2485" s="391" t="s">
        <v>2195</v>
      </c>
    </row>
    <row r="2486" ht="15.75" customHeight="1">
      <c r="B2486" s="391" t="s">
        <v>4221</v>
      </c>
      <c r="C2486" s="391" t="s">
        <v>9755</v>
      </c>
      <c r="D2486" s="391" t="s">
        <v>2166</v>
      </c>
    </row>
    <row r="2487" ht="15.75" customHeight="1">
      <c r="B2487" s="391" t="s">
        <v>4225</v>
      </c>
      <c r="C2487" s="391" t="s">
        <v>9755</v>
      </c>
      <c r="D2487" s="391" t="s">
        <v>2166</v>
      </c>
    </row>
    <row r="2488" ht="15.75" customHeight="1">
      <c r="B2488" s="391" t="s">
        <v>9756</v>
      </c>
      <c r="C2488" s="391" t="s">
        <v>9757</v>
      </c>
      <c r="D2488" s="391" t="s">
        <v>2232</v>
      </c>
    </row>
    <row r="2489" ht="15.75" customHeight="1">
      <c r="B2489" s="391" t="s">
        <v>4162</v>
      </c>
      <c r="C2489" s="391" t="s">
        <v>9758</v>
      </c>
      <c r="D2489" s="391" t="s">
        <v>2195</v>
      </c>
    </row>
    <row r="2490" ht="15.75" customHeight="1">
      <c r="B2490" s="391" t="s">
        <v>4166</v>
      </c>
      <c r="C2490" s="391" t="s">
        <v>9759</v>
      </c>
      <c r="D2490" s="391" t="s">
        <v>2232</v>
      </c>
    </row>
    <row r="2491" ht="15.75" customHeight="1">
      <c r="B2491" s="391" t="s">
        <v>9760</v>
      </c>
      <c r="C2491" s="391" t="s">
        <v>9761</v>
      </c>
      <c r="D2491" s="391" t="s">
        <v>2195</v>
      </c>
    </row>
    <row r="2492" ht="15.75" customHeight="1">
      <c r="B2492" s="391" t="s">
        <v>9762</v>
      </c>
      <c r="C2492" s="391" t="s">
        <v>9763</v>
      </c>
      <c r="D2492" s="391" t="s">
        <v>2195</v>
      </c>
    </row>
    <row r="2493" ht="15.75" customHeight="1">
      <c r="B2493" s="391" t="s">
        <v>9764</v>
      </c>
      <c r="C2493" s="391" t="s">
        <v>9765</v>
      </c>
      <c r="D2493" s="391" t="s">
        <v>2232</v>
      </c>
    </row>
    <row r="2494" ht="15.75" customHeight="1">
      <c r="B2494" s="391" t="s">
        <v>9766</v>
      </c>
      <c r="C2494" s="391" t="s">
        <v>9767</v>
      </c>
      <c r="D2494" s="391" t="s">
        <v>2232</v>
      </c>
    </row>
    <row r="2495" ht="15.75" customHeight="1">
      <c r="B2495" s="391" t="s">
        <v>4103</v>
      </c>
      <c r="C2495" s="391" t="s">
        <v>9768</v>
      </c>
      <c r="D2495" s="391" t="s">
        <v>2166</v>
      </c>
    </row>
    <row r="2496" ht="15.75" customHeight="1">
      <c r="B2496" s="391" t="s">
        <v>4107</v>
      </c>
      <c r="C2496" s="391" t="s">
        <v>9768</v>
      </c>
      <c r="D2496" s="391" t="s">
        <v>2166</v>
      </c>
    </row>
    <row r="2497" ht="15.75" customHeight="1">
      <c r="B2497" s="391" t="s">
        <v>4111</v>
      </c>
      <c r="C2497" s="391" t="s">
        <v>9768</v>
      </c>
      <c r="D2497" s="391" t="s">
        <v>2166</v>
      </c>
    </row>
    <row r="2498" ht="15.75" customHeight="1">
      <c r="B2498" s="391" t="s">
        <v>4114</v>
      </c>
      <c r="C2498" s="391" t="s">
        <v>9768</v>
      </c>
      <c r="D2498" s="391" t="s">
        <v>2166</v>
      </c>
    </row>
    <row r="2499" ht="15.75" customHeight="1">
      <c r="B2499" s="391" t="s">
        <v>9769</v>
      </c>
      <c r="C2499" s="391" t="s">
        <v>9768</v>
      </c>
      <c r="D2499" s="391" t="s">
        <v>2195</v>
      </c>
    </row>
    <row r="2500" ht="15.75" customHeight="1">
      <c r="B2500" s="391" t="s">
        <v>9770</v>
      </c>
      <c r="C2500" s="391" t="s">
        <v>9771</v>
      </c>
      <c r="D2500" s="391" t="s">
        <v>2195</v>
      </c>
    </row>
    <row r="2501" ht="15.75" customHeight="1">
      <c r="B2501" s="391" t="s">
        <v>9772</v>
      </c>
      <c r="C2501" s="391" t="s">
        <v>9773</v>
      </c>
      <c r="D2501" s="391" t="s">
        <v>2195</v>
      </c>
    </row>
    <row r="2502" ht="15.75" customHeight="1">
      <c r="B2502" s="391" t="s">
        <v>9774</v>
      </c>
      <c r="C2502" s="391" t="s">
        <v>9775</v>
      </c>
      <c r="D2502" s="391" t="s">
        <v>2195</v>
      </c>
    </row>
    <row r="2503" ht="15.75" customHeight="1">
      <c r="B2503" s="391" t="s">
        <v>4206</v>
      </c>
      <c r="C2503" s="391" t="s">
        <v>9776</v>
      </c>
      <c r="D2503" s="391" t="s">
        <v>2166</v>
      </c>
    </row>
    <row r="2504" ht="15.75" customHeight="1">
      <c r="B2504" s="391" t="s">
        <v>4210</v>
      </c>
      <c r="C2504" s="391" t="s">
        <v>9777</v>
      </c>
      <c r="D2504" s="391" t="s">
        <v>2166</v>
      </c>
    </row>
    <row r="2505" ht="15.75" customHeight="1">
      <c r="B2505" s="391" t="s">
        <v>9778</v>
      </c>
      <c r="C2505" s="391" t="s">
        <v>9777</v>
      </c>
      <c r="D2505" s="391" t="s">
        <v>2232</v>
      </c>
    </row>
    <row r="2506" ht="15.75" customHeight="1">
      <c r="B2506" s="391" t="s">
        <v>9779</v>
      </c>
      <c r="C2506" s="391" t="s">
        <v>9780</v>
      </c>
      <c r="D2506" s="391" t="s">
        <v>2232</v>
      </c>
    </row>
    <row r="2507" ht="15.75" customHeight="1">
      <c r="B2507" s="391" t="s">
        <v>4122</v>
      </c>
      <c r="C2507" s="391" t="s">
        <v>9781</v>
      </c>
      <c r="D2507" s="391" t="s">
        <v>2166</v>
      </c>
    </row>
    <row r="2508" ht="15.75" customHeight="1">
      <c r="B2508" s="391" t="s">
        <v>9782</v>
      </c>
      <c r="C2508" s="391" t="s">
        <v>9783</v>
      </c>
      <c r="D2508" s="391" t="s">
        <v>2195</v>
      </c>
    </row>
    <row r="2509" ht="15.75" customHeight="1">
      <c r="B2509" s="391" t="s">
        <v>9784</v>
      </c>
      <c r="C2509" s="391" t="s">
        <v>9783</v>
      </c>
      <c r="D2509" s="391" t="s">
        <v>2195</v>
      </c>
    </row>
    <row r="2510" ht="15.75" customHeight="1">
      <c r="B2510" s="391" t="s">
        <v>9785</v>
      </c>
      <c r="C2510" s="391" t="s">
        <v>9786</v>
      </c>
      <c r="D2510" s="391" t="s">
        <v>2232</v>
      </c>
    </row>
    <row r="2511" ht="15.75" customHeight="1">
      <c r="B2511" s="391" t="s">
        <v>9787</v>
      </c>
      <c r="C2511" s="391" t="s">
        <v>9788</v>
      </c>
      <c r="D2511" s="391" t="s">
        <v>2166</v>
      </c>
    </row>
    <row r="2512" ht="15.75" customHeight="1">
      <c r="B2512" s="391" t="s">
        <v>9789</v>
      </c>
      <c r="C2512" s="391" t="s">
        <v>9790</v>
      </c>
      <c r="D2512" s="391" t="s">
        <v>2195</v>
      </c>
    </row>
    <row r="2513" ht="15.75" customHeight="1">
      <c r="B2513" s="391" t="s">
        <v>9791</v>
      </c>
      <c r="C2513" s="391" t="s">
        <v>9790</v>
      </c>
      <c r="D2513" s="391" t="s">
        <v>2195</v>
      </c>
    </row>
    <row r="2514" ht="15.75" customHeight="1">
      <c r="B2514" s="391" t="s">
        <v>9792</v>
      </c>
      <c r="C2514" s="391" t="s">
        <v>9793</v>
      </c>
      <c r="D2514" s="391" t="s">
        <v>2195</v>
      </c>
    </row>
    <row r="2515" ht="15.75" customHeight="1">
      <c r="B2515" s="391" t="s">
        <v>9794</v>
      </c>
      <c r="C2515" s="391" t="s">
        <v>9795</v>
      </c>
      <c r="D2515" s="391" t="s">
        <v>2195</v>
      </c>
    </row>
    <row r="2516" ht="15.75" customHeight="1">
      <c r="B2516" s="391" t="s">
        <v>9796</v>
      </c>
      <c r="C2516" s="391" t="s">
        <v>9795</v>
      </c>
      <c r="D2516" s="391" t="s">
        <v>2232</v>
      </c>
    </row>
    <row r="2517" ht="15.75" customHeight="1">
      <c r="B2517" s="391" t="s">
        <v>4181</v>
      </c>
      <c r="C2517" s="391" t="s">
        <v>9795</v>
      </c>
      <c r="D2517" s="391" t="s">
        <v>2166</v>
      </c>
    </row>
    <row r="2518" ht="15.75" customHeight="1">
      <c r="B2518" s="391" t="s">
        <v>4185</v>
      </c>
      <c r="C2518" s="391" t="s">
        <v>9795</v>
      </c>
      <c r="D2518" s="391" t="s">
        <v>2166</v>
      </c>
    </row>
    <row r="2519" ht="15.75" customHeight="1">
      <c r="B2519" s="391" t="s">
        <v>9797</v>
      </c>
      <c r="C2519" s="391" t="s">
        <v>9795</v>
      </c>
      <c r="D2519" s="391" t="s">
        <v>2195</v>
      </c>
    </row>
    <row r="2520" ht="15.75" customHeight="1">
      <c r="B2520" s="391" t="s">
        <v>4189</v>
      </c>
      <c r="C2520" s="391" t="s">
        <v>9795</v>
      </c>
      <c r="D2520" s="391" t="s">
        <v>2166</v>
      </c>
    </row>
    <row r="2521" ht="15.75" customHeight="1">
      <c r="B2521" s="391" t="s">
        <v>9798</v>
      </c>
      <c r="C2521" s="391" t="s">
        <v>9795</v>
      </c>
      <c r="D2521" s="391" t="s">
        <v>2232</v>
      </c>
    </row>
    <row r="2522" ht="15.75" customHeight="1">
      <c r="B2522" s="391" t="s">
        <v>9799</v>
      </c>
      <c r="C2522" s="391" t="s">
        <v>9795</v>
      </c>
      <c r="D2522" s="391" t="s">
        <v>2195</v>
      </c>
    </row>
    <row r="2523" ht="15.75" customHeight="1">
      <c r="B2523" s="391" t="s">
        <v>9800</v>
      </c>
      <c r="C2523" s="391" t="s">
        <v>9801</v>
      </c>
      <c r="D2523" s="391" t="s">
        <v>2232</v>
      </c>
    </row>
    <row r="2524" ht="15.75" customHeight="1">
      <c r="B2524" s="391" t="s">
        <v>9802</v>
      </c>
      <c r="C2524" s="391" t="s">
        <v>9803</v>
      </c>
      <c r="D2524" s="391" t="s">
        <v>2195</v>
      </c>
    </row>
    <row r="2525" ht="15.75" customHeight="1">
      <c r="B2525" s="391" t="s">
        <v>9804</v>
      </c>
      <c r="C2525" s="391" t="s">
        <v>9805</v>
      </c>
      <c r="D2525" s="391" t="s">
        <v>2195</v>
      </c>
    </row>
    <row r="2526" ht="15.75" customHeight="1">
      <c r="B2526" s="391" t="s">
        <v>4197</v>
      </c>
      <c r="C2526" s="391" t="s">
        <v>9805</v>
      </c>
      <c r="D2526" s="391" t="s">
        <v>2166</v>
      </c>
    </row>
    <row r="2527" ht="15.75" customHeight="1">
      <c r="B2527" s="391" t="s">
        <v>4174</v>
      </c>
      <c r="C2527" s="391" t="s">
        <v>9806</v>
      </c>
      <c r="D2527" s="391" t="s">
        <v>2166</v>
      </c>
    </row>
    <row r="2528" ht="15.75" customHeight="1">
      <c r="B2528" s="391" t="s">
        <v>4178</v>
      </c>
      <c r="C2528" s="391" t="s">
        <v>9806</v>
      </c>
      <c r="D2528" s="391" t="s">
        <v>2166</v>
      </c>
    </row>
    <row r="2529" ht="15.75" customHeight="1">
      <c r="B2529" s="391" t="s">
        <v>4193</v>
      </c>
      <c r="C2529" s="391" t="s">
        <v>9807</v>
      </c>
      <c r="D2529" s="391" t="s">
        <v>2232</v>
      </c>
    </row>
    <row r="2530" ht="15.75" customHeight="1">
      <c r="B2530" s="391" t="s">
        <v>4158</v>
      </c>
      <c r="C2530" s="391" t="s">
        <v>9808</v>
      </c>
      <c r="D2530" s="391" t="s">
        <v>2232</v>
      </c>
    </row>
    <row r="2531" ht="15.75" customHeight="1">
      <c r="B2531" s="391" t="s">
        <v>4202</v>
      </c>
      <c r="C2531" s="391" t="s">
        <v>9808</v>
      </c>
      <c r="D2531" s="391" t="s">
        <v>2232</v>
      </c>
    </row>
    <row r="2532" ht="15.75" customHeight="1">
      <c r="B2532" s="391" t="s">
        <v>9809</v>
      </c>
      <c r="C2532" s="391" t="s">
        <v>9808</v>
      </c>
      <c r="D2532" s="391" t="s">
        <v>2195</v>
      </c>
    </row>
    <row r="2533" ht="15.75" customHeight="1">
      <c r="B2533" s="391" t="s">
        <v>9810</v>
      </c>
      <c r="C2533" s="391" t="s">
        <v>9808</v>
      </c>
      <c r="D2533" s="391" t="s">
        <v>2232</v>
      </c>
    </row>
    <row r="2534" ht="15.75" customHeight="1">
      <c r="B2534" s="391" t="s">
        <v>9811</v>
      </c>
      <c r="C2534" s="391" t="s">
        <v>9812</v>
      </c>
      <c r="D2534" s="391" t="s">
        <v>2232</v>
      </c>
    </row>
    <row r="2535" ht="15.75" customHeight="1">
      <c r="B2535" s="391" t="s">
        <v>9813</v>
      </c>
      <c r="C2535" s="391" t="s">
        <v>9814</v>
      </c>
      <c r="D2535" s="391" t="s">
        <v>2195</v>
      </c>
    </row>
    <row r="2536" ht="15.75" customHeight="1">
      <c r="B2536" s="391">
        <v>6800574.0</v>
      </c>
      <c r="C2536" s="391" t="s">
        <v>9815</v>
      </c>
      <c r="D2536" s="391" t="s">
        <v>2195</v>
      </c>
    </row>
    <row r="2537" ht="15.75" customHeight="1">
      <c r="B2537" s="391">
        <v>9800866.0</v>
      </c>
      <c r="C2537" s="391" t="s">
        <v>9815</v>
      </c>
      <c r="D2537" s="391" t="s">
        <v>2195</v>
      </c>
    </row>
    <row r="2538" ht="15.75" customHeight="1">
      <c r="B2538" s="391" t="s">
        <v>9816</v>
      </c>
      <c r="C2538" s="391" t="s">
        <v>9817</v>
      </c>
      <c r="D2538" s="391" t="s">
        <v>2195</v>
      </c>
    </row>
    <row r="2539" ht="15.75" customHeight="1">
      <c r="B2539" s="391" t="s">
        <v>9818</v>
      </c>
      <c r="C2539" s="391" t="s">
        <v>9817</v>
      </c>
      <c r="D2539" s="391" t="s">
        <v>2195</v>
      </c>
    </row>
    <row r="2540" ht="15.75" customHeight="1">
      <c r="B2540" s="391" t="s">
        <v>9819</v>
      </c>
      <c r="C2540" s="391" t="s">
        <v>9817</v>
      </c>
      <c r="D2540" s="391" t="s">
        <v>2195</v>
      </c>
    </row>
    <row r="2541" ht="15.75" customHeight="1">
      <c r="B2541" s="391" t="s">
        <v>9820</v>
      </c>
      <c r="C2541" s="391" t="s">
        <v>9817</v>
      </c>
      <c r="D2541" s="391" t="s">
        <v>2195</v>
      </c>
    </row>
    <row r="2542" ht="15.75" customHeight="1">
      <c r="B2542" s="391" t="s">
        <v>9821</v>
      </c>
      <c r="C2542" s="391" t="s">
        <v>9822</v>
      </c>
      <c r="D2542" s="391" t="s">
        <v>2232</v>
      </c>
    </row>
    <row r="2543" ht="15.75" customHeight="1">
      <c r="B2543" s="391" t="s">
        <v>9823</v>
      </c>
      <c r="C2543" s="391" t="s">
        <v>9824</v>
      </c>
      <c r="D2543" s="391" t="s">
        <v>2232</v>
      </c>
    </row>
    <row r="2544" ht="15.75" customHeight="1">
      <c r="B2544" s="391" t="s">
        <v>9825</v>
      </c>
      <c r="C2544" s="391" t="s">
        <v>9826</v>
      </c>
      <c r="D2544" s="391" t="s">
        <v>2232</v>
      </c>
    </row>
    <row r="2545" ht="15.75" customHeight="1">
      <c r="B2545" s="391" t="s">
        <v>9827</v>
      </c>
      <c r="C2545" s="391" t="s">
        <v>9828</v>
      </c>
      <c r="D2545" s="391" t="s">
        <v>2232</v>
      </c>
    </row>
    <row r="2546" ht="15.75" customHeight="1">
      <c r="B2546" s="391" t="s">
        <v>9829</v>
      </c>
      <c r="C2546" s="391" t="s">
        <v>9830</v>
      </c>
      <c r="D2546" s="391" t="s">
        <v>2232</v>
      </c>
    </row>
    <row r="2547" ht="15.75" customHeight="1">
      <c r="B2547" s="391" t="s">
        <v>9831</v>
      </c>
      <c r="C2547" s="391" t="s">
        <v>9832</v>
      </c>
      <c r="D2547" s="391" t="s">
        <v>2232</v>
      </c>
    </row>
    <row r="2548" ht="15.75" customHeight="1">
      <c r="B2548" s="391" t="s">
        <v>9833</v>
      </c>
      <c r="C2548" s="391" t="s">
        <v>9832</v>
      </c>
      <c r="D2548" s="391" t="s">
        <v>2232</v>
      </c>
    </row>
    <row r="2549" ht="15.75" customHeight="1">
      <c r="B2549" s="391" t="s">
        <v>9834</v>
      </c>
      <c r="C2549" s="391" t="s">
        <v>9832</v>
      </c>
      <c r="D2549" s="391" t="s">
        <v>2232</v>
      </c>
    </row>
    <row r="2550" ht="15.75" customHeight="1">
      <c r="B2550" s="391" t="s">
        <v>9835</v>
      </c>
      <c r="C2550" s="391" t="s">
        <v>9832</v>
      </c>
      <c r="D2550" s="391" t="s">
        <v>2232</v>
      </c>
    </row>
    <row r="2551" ht="15.75" customHeight="1">
      <c r="B2551" s="391" t="s">
        <v>9836</v>
      </c>
      <c r="C2551" s="391" t="s">
        <v>9832</v>
      </c>
      <c r="D2551" s="391" t="s">
        <v>2232</v>
      </c>
    </row>
    <row r="2552" ht="15.75" customHeight="1">
      <c r="B2552" s="391" t="s">
        <v>9837</v>
      </c>
      <c r="C2552" s="391" t="s">
        <v>9838</v>
      </c>
      <c r="D2552" s="391" t="s">
        <v>2195</v>
      </c>
    </row>
    <row r="2553" ht="15.75" customHeight="1">
      <c r="B2553" s="391" t="s">
        <v>9839</v>
      </c>
      <c r="C2553" s="391" t="s">
        <v>9838</v>
      </c>
      <c r="D2553" s="391" t="s">
        <v>2195</v>
      </c>
    </row>
    <row r="2554" ht="15.75" customHeight="1">
      <c r="B2554" s="391" t="s">
        <v>9840</v>
      </c>
      <c r="C2554" s="391" t="s">
        <v>9841</v>
      </c>
      <c r="D2554" s="391" t="s">
        <v>2195</v>
      </c>
    </row>
    <row r="2555" ht="15.75" customHeight="1">
      <c r="B2555" s="391" t="s">
        <v>3431</v>
      </c>
      <c r="C2555" s="391" t="s">
        <v>9841</v>
      </c>
      <c r="D2555" s="391" t="s">
        <v>2195</v>
      </c>
    </row>
    <row r="2556" ht="15.75" customHeight="1">
      <c r="B2556" s="391" t="s">
        <v>3472</v>
      </c>
      <c r="C2556" s="391" t="s">
        <v>9841</v>
      </c>
      <c r="D2556" s="391" t="s">
        <v>2195</v>
      </c>
    </row>
    <row r="2557" ht="15.75" customHeight="1">
      <c r="B2557" s="391" t="s">
        <v>9842</v>
      </c>
      <c r="C2557" s="391" t="s">
        <v>9843</v>
      </c>
      <c r="D2557" s="391" t="s">
        <v>2195</v>
      </c>
    </row>
    <row r="2558" ht="15.75" customHeight="1">
      <c r="B2558" s="391" t="s">
        <v>3433</v>
      </c>
      <c r="C2558" s="391" t="s">
        <v>9843</v>
      </c>
      <c r="D2558" s="391" t="s">
        <v>2195</v>
      </c>
    </row>
    <row r="2559" ht="15.75" customHeight="1">
      <c r="B2559" s="391" t="s">
        <v>3478</v>
      </c>
      <c r="C2559" s="391" t="s">
        <v>9844</v>
      </c>
      <c r="D2559" s="391" t="s">
        <v>2232</v>
      </c>
    </row>
    <row r="2560" ht="15.75" customHeight="1">
      <c r="B2560" s="391" t="s">
        <v>3490</v>
      </c>
      <c r="C2560" s="391" t="s">
        <v>9844</v>
      </c>
      <c r="D2560" s="391" t="s">
        <v>2195</v>
      </c>
    </row>
    <row r="2561" ht="15.75" customHeight="1">
      <c r="B2561" s="391" t="s">
        <v>3482</v>
      </c>
      <c r="C2561" s="391" t="s">
        <v>9844</v>
      </c>
      <c r="D2561" s="391" t="s">
        <v>2195</v>
      </c>
    </row>
    <row r="2562" ht="15.75" customHeight="1">
      <c r="B2562" s="391" t="s">
        <v>3492</v>
      </c>
      <c r="C2562" s="391" t="s">
        <v>9844</v>
      </c>
      <c r="D2562" s="391" t="s">
        <v>2166</v>
      </c>
    </row>
    <row r="2563" ht="15.75" customHeight="1">
      <c r="B2563" s="391" t="s">
        <v>3486</v>
      </c>
      <c r="C2563" s="391" t="s">
        <v>9844</v>
      </c>
      <c r="D2563" s="391" t="s">
        <v>2195</v>
      </c>
    </row>
    <row r="2564" ht="15.75" customHeight="1">
      <c r="B2564" s="391" t="s">
        <v>3495</v>
      </c>
      <c r="C2564" s="391" t="s">
        <v>9844</v>
      </c>
      <c r="D2564" s="391" t="s">
        <v>2232</v>
      </c>
    </row>
    <row r="2565" ht="15.75" customHeight="1">
      <c r="B2565" s="391" t="s">
        <v>3499</v>
      </c>
      <c r="C2565" s="391" t="s">
        <v>9844</v>
      </c>
      <c r="D2565" s="391" t="s">
        <v>2232</v>
      </c>
    </row>
    <row r="2566" ht="15.75" customHeight="1">
      <c r="B2566" s="391" t="s">
        <v>3503</v>
      </c>
      <c r="C2566" s="391" t="s">
        <v>9844</v>
      </c>
      <c r="D2566" s="391" t="s">
        <v>2195</v>
      </c>
    </row>
    <row r="2567" ht="15.75" customHeight="1">
      <c r="B2567" s="391" t="s">
        <v>3507</v>
      </c>
      <c r="C2567" s="391" t="s">
        <v>9844</v>
      </c>
      <c r="D2567" s="391" t="s">
        <v>2195</v>
      </c>
    </row>
    <row r="2568" ht="15.75" customHeight="1">
      <c r="B2568" s="391" t="s">
        <v>9845</v>
      </c>
      <c r="C2568" s="391" t="s">
        <v>9846</v>
      </c>
      <c r="D2568" s="391" t="s">
        <v>2195</v>
      </c>
    </row>
    <row r="2569" ht="15.75" customHeight="1">
      <c r="B2569" s="391" t="s">
        <v>3465</v>
      </c>
      <c r="C2569" s="391" t="s">
        <v>9846</v>
      </c>
      <c r="D2569" s="391" t="s">
        <v>2195</v>
      </c>
    </row>
    <row r="2570" ht="15.75" customHeight="1">
      <c r="B2570" s="391" t="s">
        <v>9847</v>
      </c>
      <c r="C2570" s="391" t="s">
        <v>9848</v>
      </c>
      <c r="D2570" s="391" t="s">
        <v>2195</v>
      </c>
    </row>
    <row r="2571" ht="15.75" customHeight="1">
      <c r="B2571" s="391" t="s">
        <v>3476</v>
      </c>
      <c r="C2571" s="391" t="s">
        <v>9848</v>
      </c>
      <c r="D2571" s="391" t="s">
        <v>2195</v>
      </c>
    </row>
    <row r="2572" ht="15.75" customHeight="1">
      <c r="B2572" s="391" t="s">
        <v>9849</v>
      </c>
      <c r="C2572" s="391" t="s">
        <v>9850</v>
      </c>
      <c r="D2572" s="391" t="s">
        <v>2195</v>
      </c>
    </row>
    <row r="2573" ht="15.75" customHeight="1">
      <c r="B2573" s="391" t="s">
        <v>3335</v>
      </c>
      <c r="C2573" s="391" t="s">
        <v>9851</v>
      </c>
      <c r="D2573" s="391" t="s">
        <v>2232</v>
      </c>
    </row>
    <row r="2574" ht="15.75" customHeight="1">
      <c r="B2574" s="391" t="s">
        <v>3331</v>
      </c>
      <c r="C2574" s="391" t="s">
        <v>9851</v>
      </c>
      <c r="D2574" s="391" t="s">
        <v>2232</v>
      </c>
    </row>
    <row r="2575" ht="15.75" customHeight="1">
      <c r="B2575" s="391" t="s">
        <v>3295</v>
      </c>
      <c r="C2575" s="391" t="s">
        <v>9851</v>
      </c>
      <c r="D2575" s="391" t="s">
        <v>2232</v>
      </c>
    </row>
    <row r="2576" ht="15.75" customHeight="1">
      <c r="B2576" s="391" t="s">
        <v>3307</v>
      </c>
      <c r="C2576" s="391" t="s">
        <v>9851</v>
      </c>
      <c r="D2576" s="391" t="s">
        <v>2232</v>
      </c>
    </row>
    <row r="2577" ht="15.75" customHeight="1">
      <c r="B2577" s="391" t="s">
        <v>3311</v>
      </c>
      <c r="C2577" s="391" t="s">
        <v>9851</v>
      </c>
      <c r="D2577" s="391" t="s">
        <v>2232</v>
      </c>
    </row>
    <row r="2578" ht="15.75" customHeight="1">
      <c r="B2578" s="391" t="s">
        <v>3315</v>
      </c>
      <c r="C2578" s="391" t="s">
        <v>9851</v>
      </c>
      <c r="D2578" s="391" t="s">
        <v>2232</v>
      </c>
    </row>
    <row r="2579" ht="15.75" customHeight="1">
      <c r="B2579" s="391" t="s">
        <v>3299</v>
      </c>
      <c r="C2579" s="391" t="s">
        <v>9851</v>
      </c>
      <c r="D2579" s="391" t="s">
        <v>2232</v>
      </c>
    </row>
    <row r="2580" ht="15.75" customHeight="1">
      <c r="B2580" s="391" t="s">
        <v>3382</v>
      </c>
      <c r="C2580" s="391" t="s">
        <v>9852</v>
      </c>
      <c r="D2580" s="391" t="s">
        <v>2195</v>
      </c>
    </row>
    <row r="2581" ht="15.75" customHeight="1">
      <c r="B2581" s="391" t="s">
        <v>3368</v>
      </c>
      <c r="C2581" s="391" t="s">
        <v>9852</v>
      </c>
      <c r="D2581" s="391" t="s">
        <v>2232</v>
      </c>
    </row>
    <row r="2582" ht="15.75" customHeight="1">
      <c r="B2582" s="391" t="s">
        <v>3380</v>
      </c>
      <c r="C2582" s="391" t="s">
        <v>9852</v>
      </c>
      <c r="D2582" s="391" t="s">
        <v>2195</v>
      </c>
    </row>
    <row r="2583" ht="15.75" customHeight="1">
      <c r="B2583" s="391" t="s">
        <v>3372</v>
      </c>
      <c r="C2583" s="391" t="s">
        <v>9852</v>
      </c>
      <c r="D2583" s="391" t="s">
        <v>2232</v>
      </c>
    </row>
    <row r="2584" ht="15.75" customHeight="1">
      <c r="B2584" s="391" t="s">
        <v>3427</v>
      </c>
      <c r="C2584" s="391" t="s">
        <v>9853</v>
      </c>
      <c r="D2584" s="391" t="s">
        <v>2195</v>
      </c>
    </row>
    <row r="2585" ht="15.75" customHeight="1">
      <c r="B2585" s="391" t="s">
        <v>3474</v>
      </c>
      <c r="C2585" s="391" t="s">
        <v>9853</v>
      </c>
      <c r="D2585" s="391" t="s">
        <v>2195</v>
      </c>
    </row>
    <row r="2586" ht="15.75" customHeight="1">
      <c r="B2586" s="391" t="s">
        <v>9854</v>
      </c>
      <c r="C2586" s="391" t="s">
        <v>9853</v>
      </c>
      <c r="D2586" s="391" t="s">
        <v>2195</v>
      </c>
    </row>
    <row r="2587" ht="15.75" customHeight="1">
      <c r="B2587" s="391" t="s">
        <v>9855</v>
      </c>
      <c r="C2587" s="391" t="s">
        <v>9853</v>
      </c>
      <c r="D2587" s="391" t="s">
        <v>2195</v>
      </c>
    </row>
    <row r="2588" ht="15.75" customHeight="1">
      <c r="B2588" s="391" t="s">
        <v>9856</v>
      </c>
      <c r="C2588" s="391" t="s">
        <v>9853</v>
      </c>
      <c r="D2588" s="391" t="s">
        <v>2195</v>
      </c>
    </row>
    <row r="2589" ht="15.75" customHeight="1">
      <c r="B2589" s="391" t="s">
        <v>9857</v>
      </c>
      <c r="C2589" s="391" t="s">
        <v>9853</v>
      </c>
      <c r="D2589" s="391" t="s">
        <v>2195</v>
      </c>
    </row>
    <row r="2590" ht="15.75" customHeight="1">
      <c r="B2590" s="391" t="s">
        <v>9858</v>
      </c>
      <c r="C2590" s="391" t="s">
        <v>9853</v>
      </c>
      <c r="D2590" s="391" t="s">
        <v>2195</v>
      </c>
    </row>
    <row r="2591" ht="15.75" customHeight="1">
      <c r="B2591" s="391" t="s">
        <v>9859</v>
      </c>
      <c r="C2591" s="391" t="s">
        <v>9853</v>
      </c>
      <c r="D2591" s="391" t="s">
        <v>2195</v>
      </c>
    </row>
    <row r="2592" ht="15.75" customHeight="1">
      <c r="B2592" s="391" t="s">
        <v>9860</v>
      </c>
      <c r="C2592" s="391" t="s">
        <v>9853</v>
      </c>
      <c r="D2592" s="391" t="s">
        <v>2232</v>
      </c>
    </row>
    <row r="2593" ht="15.75" customHeight="1">
      <c r="B2593" s="391" t="s">
        <v>9861</v>
      </c>
      <c r="C2593" s="391" t="s">
        <v>9853</v>
      </c>
      <c r="D2593" s="391" t="s">
        <v>2195</v>
      </c>
    </row>
    <row r="2594" ht="15.75" customHeight="1">
      <c r="B2594" s="391" t="s">
        <v>3512</v>
      </c>
      <c r="C2594" s="391" t="s">
        <v>9853</v>
      </c>
      <c r="D2594" s="391" t="s">
        <v>2195</v>
      </c>
    </row>
    <row r="2595" ht="15.75" customHeight="1">
      <c r="B2595" s="391" t="s">
        <v>3510</v>
      </c>
      <c r="C2595" s="391" t="s">
        <v>9853</v>
      </c>
      <c r="D2595" s="391" t="s">
        <v>2195</v>
      </c>
    </row>
    <row r="2596" ht="15.75" customHeight="1">
      <c r="B2596" s="391" t="s">
        <v>9862</v>
      </c>
      <c r="C2596" s="391" t="s">
        <v>9853</v>
      </c>
      <c r="D2596" s="391" t="s">
        <v>2195</v>
      </c>
    </row>
    <row r="2597" ht="15.75" customHeight="1">
      <c r="B2597" s="391" t="s">
        <v>9863</v>
      </c>
      <c r="C2597" s="391" t="s">
        <v>9853</v>
      </c>
      <c r="D2597" s="391" t="s">
        <v>2195</v>
      </c>
    </row>
    <row r="2598" ht="15.75" customHeight="1">
      <c r="B2598" s="391" t="s">
        <v>9864</v>
      </c>
      <c r="C2598" s="391" t="s">
        <v>9865</v>
      </c>
      <c r="D2598" s="391" t="s">
        <v>2195</v>
      </c>
    </row>
    <row r="2599" ht="15.75" customHeight="1">
      <c r="B2599" s="391" t="s">
        <v>9866</v>
      </c>
      <c r="C2599" s="391" t="s">
        <v>9865</v>
      </c>
      <c r="D2599" s="391" t="s">
        <v>2195</v>
      </c>
    </row>
    <row r="2600" ht="15.75" customHeight="1">
      <c r="B2600" s="391" t="s">
        <v>9867</v>
      </c>
      <c r="C2600" s="391" t="s">
        <v>9868</v>
      </c>
      <c r="D2600" s="391" t="s">
        <v>2232</v>
      </c>
    </row>
    <row r="2601" ht="15.75" customHeight="1">
      <c r="B2601" s="391" t="s">
        <v>9869</v>
      </c>
      <c r="C2601" s="391" t="s">
        <v>9868</v>
      </c>
      <c r="D2601" s="391" t="s">
        <v>2195</v>
      </c>
    </row>
    <row r="2602" ht="15.75" customHeight="1">
      <c r="B2602" s="391" t="s">
        <v>3537</v>
      </c>
      <c r="C2602" s="391" t="s">
        <v>9870</v>
      </c>
      <c r="D2602" s="391" t="s">
        <v>2232</v>
      </c>
    </row>
    <row r="2603" ht="15.75" customHeight="1">
      <c r="B2603" s="391" t="s">
        <v>3541</v>
      </c>
      <c r="C2603" s="391" t="s">
        <v>9871</v>
      </c>
      <c r="D2603" s="391" t="s">
        <v>2195</v>
      </c>
    </row>
    <row r="2604" ht="15.75" customHeight="1">
      <c r="B2604" s="391">
        <v>6176.0</v>
      </c>
      <c r="C2604" s="391" t="s">
        <v>9871</v>
      </c>
      <c r="D2604" s="391" t="s">
        <v>2232</v>
      </c>
    </row>
    <row r="2605" ht="15.75" customHeight="1">
      <c r="B2605" s="391" t="s">
        <v>3543</v>
      </c>
      <c r="C2605" s="391" t="s">
        <v>9871</v>
      </c>
      <c r="D2605" s="391" t="s">
        <v>2232</v>
      </c>
    </row>
    <row r="2606" ht="15.75" customHeight="1">
      <c r="B2606" s="391" t="s">
        <v>3397</v>
      </c>
      <c r="C2606" s="391" t="s">
        <v>9871</v>
      </c>
      <c r="D2606" s="391" t="s">
        <v>2232</v>
      </c>
    </row>
    <row r="2607" ht="15.75" customHeight="1">
      <c r="B2607" s="391" t="s">
        <v>3399</v>
      </c>
      <c r="C2607" s="391" t="s">
        <v>9871</v>
      </c>
      <c r="D2607" s="391" t="s">
        <v>2232</v>
      </c>
    </row>
    <row r="2608" ht="15.75" customHeight="1">
      <c r="B2608" s="391" t="s">
        <v>9872</v>
      </c>
      <c r="C2608" s="391" t="s">
        <v>9871</v>
      </c>
      <c r="D2608" s="391" t="s">
        <v>2195</v>
      </c>
    </row>
    <row r="2609" ht="15.75" customHeight="1">
      <c r="B2609" s="391" t="s">
        <v>9873</v>
      </c>
      <c r="C2609" s="391" t="s">
        <v>9871</v>
      </c>
      <c r="D2609" s="391" t="s">
        <v>2195</v>
      </c>
    </row>
    <row r="2610" ht="15.75" customHeight="1">
      <c r="B2610" s="391" t="s">
        <v>9874</v>
      </c>
      <c r="C2610" s="391" t="s">
        <v>9871</v>
      </c>
      <c r="D2610" s="391" t="s">
        <v>2195</v>
      </c>
    </row>
    <row r="2611" ht="15.75" customHeight="1">
      <c r="B2611" s="391" t="s">
        <v>9875</v>
      </c>
      <c r="C2611" s="391" t="s">
        <v>9871</v>
      </c>
      <c r="D2611" s="391" t="s">
        <v>2195</v>
      </c>
    </row>
    <row r="2612" ht="15.75" customHeight="1">
      <c r="B2612" s="391" t="s">
        <v>9876</v>
      </c>
      <c r="C2612" s="391" t="s">
        <v>9871</v>
      </c>
      <c r="D2612" s="391" t="s">
        <v>2195</v>
      </c>
    </row>
    <row r="2613" ht="15.75" customHeight="1">
      <c r="B2613" s="391" t="s">
        <v>9877</v>
      </c>
      <c r="C2613" s="391" t="s">
        <v>9871</v>
      </c>
      <c r="D2613" s="391" t="s">
        <v>2195</v>
      </c>
    </row>
    <row r="2614" ht="15.75" customHeight="1">
      <c r="B2614" s="391" t="s">
        <v>3404</v>
      </c>
      <c r="C2614" s="391" t="s">
        <v>9871</v>
      </c>
      <c r="D2614" s="391" t="s">
        <v>2232</v>
      </c>
    </row>
    <row r="2615" ht="15.75" customHeight="1">
      <c r="B2615" s="391" t="s">
        <v>3408</v>
      </c>
      <c r="C2615" s="391" t="s">
        <v>9871</v>
      </c>
      <c r="D2615" s="391" t="s">
        <v>2232</v>
      </c>
    </row>
    <row r="2616" ht="15.75" customHeight="1">
      <c r="B2616" s="391" t="s">
        <v>3390</v>
      </c>
      <c r="C2616" s="391" t="s">
        <v>9871</v>
      </c>
      <c r="D2616" s="391" t="s">
        <v>2232</v>
      </c>
    </row>
    <row r="2617" ht="15.75" customHeight="1">
      <c r="B2617" s="391" t="s">
        <v>3393</v>
      </c>
      <c r="C2617" s="391" t="s">
        <v>9871</v>
      </c>
      <c r="D2617" s="391" t="s">
        <v>2232</v>
      </c>
    </row>
    <row r="2618" ht="15.75" customHeight="1">
      <c r="B2618" s="391" t="s">
        <v>3422</v>
      </c>
      <c r="C2618" s="391" t="s">
        <v>9871</v>
      </c>
      <c r="D2618" s="391" t="s">
        <v>2232</v>
      </c>
    </row>
    <row r="2619" ht="15.75" customHeight="1">
      <c r="B2619" s="391" t="s">
        <v>3463</v>
      </c>
      <c r="C2619" s="391" t="s">
        <v>9871</v>
      </c>
      <c r="D2619" s="391" t="s">
        <v>2195</v>
      </c>
    </row>
    <row r="2620" ht="15.75" customHeight="1">
      <c r="B2620" s="391" t="s">
        <v>3435</v>
      </c>
      <c r="C2620" s="391" t="s">
        <v>9871</v>
      </c>
      <c r="D2620" s="391" t="s">
        <v>2195</v>
      </c>
    </row>
    <row r="2621" ht="15.75" customHeight="1">
      <c r="B2621" s="391" t="s">
        <v>3439</v>
      </c>
      <c r="C2621" s="391" t="s">
        <v>9871</v>
      </c>
      <c r="D2621" s="391" t="s">
        <v>2195</v>
      </c>
    </row>
    <row r="2622" ht="15.75" customHeight="1">
      <c r="B2622" s="391" t="s">
        <v>3410</v>
      </c>
      <c r="C2622" s="391" t="s">
        <v>9871</v>
      </c>
      <c r="D2622" s="391" t="s">
        <v>2232</v>
      </c>
    </row>
    <row r="2623" ht="15.75" customHeight="1">
      <c r="B2623" s="391" t="s">
        <v>3443</v>
      </c>
      <c r="C2623" s="391" t="s">
        <v>9871</v>
      </c>
      <c r="D2623" s="391" t="s">
        <v>2195</v>
      </c>
    </row>
    <row r="2624" ht="15.75" customHeight="1">
      <c r="B2624" s="391" t="s">
        <v>3447</v>
      </c>
      <c r="C2624" s="391" t="s">
        <v>9871</v>
      </c>
      <c r="D2624" s="391" t="s">
        <v>2195</v>
      </c>
    </row>
    <row r="2625" ht="15.75" customHeight="1">
      <c r="B2625" s="391" t="s">
        <v>3414</v>
      </c>
      <c r="C2625" s="391" t="s">
        <v>9871</v>
      </c>
      <c r="D2625" s="391" t="s">
        <v>2195</v>
      </c>
    </row>
    <row r="2626" ht="15.75" customHeight="1">
      <c r="B2626" s="391" t="s">
        <v>3451</v>
      </c>
      <c r="C2626" s="391" t="s">
        <v>9871</v>
      </c>
      <c r="D2626" s="391" t="s">
        <v>2195</v>
      </c>
    </row>
    <row r="2627" ht="15.75" customHeight="1">
      <c r="B2627" s="391" t="s">
        <v>3455</v>
      </c>
      <c r="C2627" s="391" t="s">
        <v>9871</v>
      </c>
      <c r="D2627" s="391" t="s">
        <v>2195</v>
      </c>
    </row>
    <row r="2628" ht="15.75" customHeight="1">
      <c r="B2628" s="391" t="s">
        <v>3418</v>
      </c>
      <c r="C2628" s="391" t="s">
        <v>9871</v>
      </c>
      <c r="D2628" s="391" t="s">
        <v>2232</v>
      </c>
    </row>
    <row r="2629" ht="15.75" customHeight="1">
      <c r="B2629" s="391" t="s">
        <v>3459</v>
      </c>
      <c r="C2629" s="391" t="s">
        <v>9871</v>
      </c>
      <c r="D2629" s="391" t="s">
        <v>2195</v>
      </c>
    </row>
    <row r="2630" ht="15.75" customHeight="1">
      <c r="B2630" s="391" t="s">
        <v>9878</v>
      </c>
      <c r="C2630" s="391" t="s">
        <v>9871</v>
      </c>
      <c r="D2630" s="391" t="s">
        <v>2195</v>
      </c>
    </row>
    <row r="2631" ht="15.75" customHeight="1">
      <c r="B2631" s="391" t="s">
        <v>3346</v>
      </c>
      <c r="C2631" s="391" t="s">
        <v>9871</v>
      </c>
      <c r="D2631" s="391" t="s">
        <v>2195</v>
      </c>
    </row>
    <row r="2632" ht="15.75" customHeight="1">
      <c r="B2632" s="391" t="s">
        <v>3352</v>
      </c>
      <c r="C2632" s="391" t="s">
        <v>9871</v>
      </c>
      <c r="D2632" s="391" t="s">
        <v>2195</v>
      </c>
    </row>
    <row r="2633" ht="15.75" customHeight="1">
      <c r="B2633" s="391" t="s">
        <v>3356</v>
      </c>
      <c r="C2633" s="391" t="s">
        <v>9871</v>
      </c>
      <c r="D2633" s="391" t="s">
        <v>2195</v>
      </c>
    </row>
    <row r="2634" ht="15.75" customHeight="1">
      <c r="B2634" s="391" t="s">
        <v>3366</v>
      </c>
      <c r="C2634" s="391" t="s">
        <v>9871</v>
      </c>
      <c r="D2634" s="391" t="s">
        <v>2232</v>
      </c>
    </row>
    <row r="2635" ht="15.75" customHeight="1">
      <c r="B2635" s="391" t="s">
        <v>3358</v>
      </c>
      <c r="C2635" s="391" t="s">
        <v>9871</v>
      </c>
      <c r="D2635" s="391" t="s">
        <v>2195</v>
      </c>
    </row>
    <row r="2636" ht="15.75" customHeight="1">
      <c r="B2636" s="391" t="s">
        <v>3360</v>
      </c>
      <c r="C2636" s="391" t="s">
        <v>9871</v>
      </c>
      <c r="D2636" s="391" t="s">
        <v>2195</v>
      </c>
    </row>
    <row r="2637" ht="15.75" customHeight="1">
      <c r="B2637" s="391" t="s">
        <v>3362</v>
      </c>
      <c r="C2637" s="391" t="s">
        <v>9871</v>
      </c>
      <c r="D2637" s="391" t="s">
        <v>2195</v>
      </c>
    </row>
    <row r="2638" ht="15.75" customHeight="1">
      <c r="B2638" s="391" t="s">
        <v>3364</v>
      </c>
      <c r="C2638" s="391" t="s">
        <v>9871</v>
      </c>
      <c r="D2638" s="391" t="s">
        <v>2195</v>
      </c>
    </row>
    <row r="2639" ht="15.75" customHeight="1">
      <c r="B2639" s="391" t="s">
        <v>3344</v>
      </c>
      <c r="C2639" s="391" t="s">
        <v>9871</v>
      </c>
      <c r="D2639" s="391" t="s">
        <v>2195</v>
      </c>
    </row>
    <row r="2640" ht="15.75" customHeight="1">
      <c r="B2640" s="391" t="s">
        <v>3539</v>
      </c>
      <c r="C2640" s="391" t="s">
        <v>9871</v>
      </c>
      <c r="D2640" s="391" t="s">
        <v>2232</v>
      </c>
    </row>
    <row r="2641" ht="15.75" customHeight="1">
      <c r="B2641" s="391" t="s">
        <v>3469</v>
      </c>
      <c r="C2641" s="391" t="s">
        <v>9871</v>
      </c>
      <c r="D2641" s="391" t="s">
        <v>2232</v>
      </c>
    </row>
    <row r="2642" ht="15.75" customHeight="1">
      <c r="B2642" s="391" t="s">
        <v>9879</v>
      </c>
      <c r="C2642" s="391" t="s">
        <v>9880</v>
      </c>
      <c r="D2642" s="391" t="s">
        <v>2232</v>
      </c>
    </row>
    <row r="2643" ht="15.75" customHeight="1">
      <c r="B2643" s="391" t="s">
        <v>2741</v>
      </c>
      <c r="C2643" s="391" t="s">
        <v>9881</v>
      </c>
      <c r="D2643" s="391" t="s">
        <v>2166</v>
      </c>
    </row>
    <row r="2644" ht="15.75" customHeight="1">
      <c r="B2644" s="391" t="s">
        <v>2736</v>
      </c>
      <c r="C2644" s="391" t="s">
        <v>9882</v>
      </c>
      <c r="D2644" s="391" t="s">
        <v>2166</v>
      </c>
    </row>
    <row r="2645" ht="15.75" customHeight="1">
      <c r="B2645" s="391" t="s">
        <v>9883</v>
      </c>
      <c r="C2645" s="391" t="s">
        <v>9884</v>
      </c>
      <c r="D2645" s="391" t="s">
        <v>2232</v>
      </c>
    </row>
    <row r="2646" ht="15.75" customHeight="1">
      <c r="B2646" s="391" t="s">
        <v>2727</v>
      </c>
      <c r="C2646" s="391" t="s">
        <v>9885</v>
      </c>
      <c r="D2646" s="391" t="s">
        <v>2166</v>
      </c>
    </row>
    <row r="2647" ht="15.75" customHeight="1">
      <c r="B2647" s="391" t="s">
        <v>2723</v>
      </c>
      <c r="C2647" s="391" t="s">
        <v>9885</v>
      </c>
      <c r="D2647" s="391" t="s">
        <v>2166</v>
      </c>
    </row>
    <row r="2648" ht="15.75" customHeight="1">
      <c r="B2648" s="391" t="s">
        <v>2731</v>
      </c>
      <c r="C2648" s="391" t="s">
        <v>9885</v>
      </c>
      <c r="D2648" s="391" t="s">
        <v>2166</v>
      </c>
    </row>
    <row r="2649" ht="15.75" customHeight="1">
      <c r="B2649" s="391" t="s">
        <v>2705</v>
      </c>
      <c r="C2649" s="391" t="s">
        <v>9886</v>
      </c>
      <c r="D2649" s="391" t="s">
        <v>2232</v>
      </c>
    </row>
    <row r="2650" ht="15.75" customHeight="1">
      <c r="B2650" s="391" t="s">
        <v>2701</v>
      </c>
      <c r="C2650" s="391" t="s">
        <v>9886</v>
      </c>
      <c r="D2650" s="391" t="s">
        <v>2166</v>
      </c>
    </row>
    <row r="2651" ht="15.75" customHeight="1">
      <c r="B2651" s="391" t="s">
        <v>2697</v>
      </c>
      <c r="C2651" s="391" t="s">
        <v>9887</v>
      </c>
      <c r="D2651" s="391" t="s">
        <v>2166</v>
      </c>
    </row>
    <row r="2652" ht="15.75" customHeight="1">
      <c r="B2652" s="391" t="s">
        <v>2718</v>
      </c>
      <c r="C2652" s="391" t="s">
        <v>9888</v>
      </c>
      <c r="D2652" s="391" t="s">
        <v>2166</v>
      </c>
    </row>
    <row r="2653" ht="15.75" customHeight="1">
      <c r="B2653" s="391" t="s">
        <v>2714</v>
      </c>
      <c r="C2653" s="391" t="s">
        <v>9888</v>
      </c>
      <c r="D2653" s="391" t="s">
        <v>2166</v>
      </c>
    </row>
    <row r="2654" ht="15.75" customHeight="1">
      <c r="B2654" s="391" t="s">
        <v>2710</v>
      </c>
      <c r="C2654" s="391" t="s">
        <v>9888</v>
      </c>
      <c r="D2654" s="391" t="s">
        <v>2166</v>
      </c>
    </row>
    <row r="2655" ht="15.75" customHeight="1">
      <c r="B2655" s="391" t="s">
        <v>9889</v>
      </c>
      <c r="C2655" s="391" t="s">
        <v>9888</v>
      </c>
      <c r="D2655" s="391" t="s">
        <v>2232</v>
      </c>
    </row>
    <row r="2656" ht="15.75" customHeight="1">
      <c r="B2656" s="391" t="s">
        <v>9890</v>
      </c>
      <c r="C2656" s="391" t="s">
        <v>9891</v>
      </c>
      <c r="D2656" s="391" t="s">
        <v>2195</v>
      </c>
    </row>
    <row r="2657" ht="15.75" customHeight="1">
      <c r="B2657" s="391" t="s">
        <v>9284</v>
      </c>
      <c r="C2657" s="391" t="s">
        <v>9285</v>
      </c>
      <c r="D2657" s="391" t="s">
        <v>9892</v>
      </c>
    </row>
    <row r="2658" ht="15.75" customHeight="1">
      <c r="B2658" s="391" t="s">
        <v>4370</v>
      </c>
      <c r="C2658" s="391" t="s">
        <v>8201</v>
      </c>
      <c r="D2658" s="391" t="s">
        <v>9892</v>
      </c>
    </row>
    <row r="2659" ht="15.75" customHeight="1">
      <c r="B2659" s="391" t="s">
        <v>4374</v>
      </c>
      <c r="C2659" s="391" t="s">
        <v>8201</v>
      </c>
      <c r="D2659" s="391" t="s">
        <v>9892</v>
      </c>
    </row>
    <row r="2660" ht="15.75" customHeight="1">
      <c r="B2660" s="391" t="s">
        <v>8202</v>
      </c>
      <c r="C2660" s="391" t="s">
        <v>8201</v>
      </c>
      <c r="D2660" s="391" t="s">
        <v>2166</v>
      </c>
    </row>
    <row r="2661" ht="15.75" customHeight="1">
      <c r="B2661" s="391" t="s">
        <v>2148</v>
      </c>
      <c r="C2661" s="391" t="s">
        <v>8142</v>
      </c>
      <c r="D2661" s="391" t="s">
        <v>2232</v>
      </c>
    </row>
    <row r="2662" ht="15.75" customHeight="1">
      <c r="B2662" s="391" t="s">
        <v>6110</v>
      </c>
      <c r="C2662" s="391" t="s">
        <v>8781</v>
      </c>
      <c r="D2662" s="391" t="s">
        <v>9892</v>
      </c>
    </row>
    <row r="2663" ht="15.75" customHeight="1">
      <c r="B2663" s="391" t="s">
        <v>7409</v>
      </c>
      <c r="C2663" s="391" t="s">
        <v>7410</v>
      </c>
      <c r="D2663" s="391" t="s">
        <v>9892</v>
      </c>
    </row>
    <row r="2664" ht="15.75" customHeight="1">
      <c r="B2664" s="391" t="s">
        <v>4095</v>
      </c>
      <c r="C2664" s="391" t="s">
        <v>8314</v>
      </c>
      <c r="D2664" s="391" t="s">
        <v>2232</v>
      </c>
    </row>
    <row r="2665" ht="15.75" customHeight="1">
      <c r="B2665" s="391" t="s">
        <v>7973</v>
      </c>
      <c r="C2665" s="391" t="s">
        <v>7974</v>
      </c>
      <c r="D2665" s="391" t="s">
        <v>2166</v>
      </c>
    </row>
    <row r="2666" ht="15.75" customHeight="1">
      <c r="B2666" s="391" t="s">
        <v>3541</v>
      </c>
      <c r="C2666" s="391" t="s">
        <v>9871</v>
      </c>
      <c r="D2666" s="391" t="s">
        <v>9892</v>
      </c>
    </row>
    <row r="2667" ht="15.75" customHeight="1">
      <c r="B2667" s="391" t="s">
        <v>9680</v>
      </c>
      <c r="C2667" s="391" t="s">
        <v>9681</v>
      </c>
      <c r="D2667" s="391" t="s">
        <v>9892</v>
      </c>
    </row>
    <row r="2668" ht="15.75" customHeight="1">
      <c r="B2668" s="391" t="s">
        <v>9664</v>
      </c>
      <c r="C2668" s="391" t="s">
        <v>9665</v>
      </c>
      <c r="D2668" s="391" t="s">
        <v>9892</v>
      </c>
    </row>
    <row r="2669" ht="15.75" customHeight="1">
      <c r="B2669" s="391" t="s">
        <v>9691</v>
      </c>
      <c r="C2669" s="391" t="s">
        <v>9692</v>
      </c>
      <c r="D2669" s="391" t="s">
        <v>9892</v>
      </c>
    </row>
    <row r="2670" ht="15.75" customHeight="1">
      <c r="B2670" s="391" t="s">
        <v>9689</v>
      </c>
      <c r="C2670" s="391" t="s">
        <v>9690</v>
      </c>
      <c r="D2670" s="391" t="s">
        <v>9892</v>
      </c>
    </row>
    <row r="2671" ht="15.75" customHeight="1">
      <c r="B2671" s="391" t="s">
        <v>9666</v>
      </c>
      <c r="C2671" s="391" t="s">
        <v>9667</v>
      </c>
      <c r="D2671" s="391" t="s">
        <v>9892</v>
      </c>
    </row>
    <row r="2672" ht="15.75" customHeight="1">
      <c r="B2672" s="391">
        <v>5078166.0</v>
      </c>
      <c r="C2672" s="391" t="s">
        <v>8156</v>
      </c>
      <c r="D2672" s="391" t="s">
        <v>9892</v>
      </c>
    </row>
    <row r="2673" ht="15.75" customHeight="1">
      <c r="B2673" s="391" t="s">
        <v>9683</v>
      </c>
      <c r="C2673" s="391" t="s">
        <v>9684</v>
      </c>
      <c r="D2673" s="391" t="s">
        <v>9892</v>
      </c>
    </row>
    <row r="2674" ht="15.75" customHeight="1">
      <c r="B2674" s="391" t="s">
        <v>4610</v>
      </c>
      <c r="C2674" s="391" t="s">
        <v>8216</v>
      </c>
      <c r="D2674" s="391" t="s">
        <v>2232</v>
      </c>
    </row>
    <row r="2675" ht="15.75" customHeight="1">
      <c r="B2675" s="391">
        <v>602.0</v>
      </c>
      <c r="C2675" s="391" t="s">
        <v>7430</v>
      </c>
      <c r="D2675" s="391" t="s">
        <v>9892</v>
      </c>
    </row>
    <row r="2676" ht="15.75" customHeight="1">
      <c r="B2676" s="391">
        <v>606.0</v>
      </c>
      <c r="C2676" s="391" t="s">
        <v>7430</v>
      </c>
      <c r="D2676" s="391" t="s">
        <v>9892</v>
      </c>
    </row>
    <row r="2677" ht="15.75" customHeight="1">
      <c r="B2677" s="391">
        <v>6176.0</v>
      </c>
      <c r="C2677" s="391" t="s">
        <v>9871</v>
      </c>
      <c r="D2677" s="391" t="s">
        <v>2232</v>
      </c>
    </row>
    <row r="2678" ht="15.75" customHeight="1">
      <c r="B2678" s="391">
        <v>6800574.0</v>
      </c>
      <c r="C2678" s="391" t="s">
        <v>9815</v>
      </c>
      <c r="D2678" s="391" t="s">
        <v>9892</v>
      </c>
    </row>
    <row r="2679" ht="15.75" customHeight="1">
      <c r="B2679" s="391">
        <v>703.0</v>
      </c>
      <c r="C2679" s="391" t="s">
        <v>7429</v>
      </c>
      <c r="D2679" s="391" t="s">
        <v>2166</v>
      </c>
    </row>
    <row r="2680" ht="15.75" customHeight="1">
      <c r="B2680" s="391" t="s">
        <v>3543</v>
      </c>
      <c r="C2680" s="391" t="s">
        <v>9871</v>
      </c>
      <c r="D2680" s="391" t="s">
        <v>2232</v>
      </c>
    </row>
    <row r="2681" ht="15.75" customHeight="1">
      <c r="B2681" s="391" t="s">
        <v>3921</v>
      </c>
      <c r="C2681" s="391" t="s">
        <v>8348</v>
      </c>
      <c r="D2681" s="391" t="s">
        <v>9892</v>
      </c>
    </row>
    <row r="2682" ht="15.75" customHeight="1">
      <c r="B2682" s="391">
        <v>8124.0</v>
      </c>
      <c r="C2682" s="391" t="s">
        <v>8221</v>
      </c>
      <c r="D2682" s="391" t="s">
        <v>2232</v>
      </c>
    </row>
    <row r="2683" ht="15.75" customHeight="1">
      <c r="B2683" s="391">
        <v>8128.0</v>
      </c>
      <c r="C2683" s="391" t="s">
        <v>8221</v>
      </c>
      <c r="D2683" s="391" t="s">
        <v>9892</v>
      </c>
    </row>
    <row r="2684" ht="15.75" customHeight="1">
      <c r="B2684" s="391" t="s">
        <v>8765</v>
      </c>
      <c r="C2684" s="391" t="s">
        <v>8766</v>
      </c>
      <c r="D2684" s="391" t="s">
        <v>2166</v>
      </c>
    </row>
    <row r="2685" ht="15.75" customHeight="1">
      <c r="B2685" s="391" t="s">
        <v>3696</v>
      </c>
      <c r="C2685" s="391" t="s">
        <v>8297</v>
      </c>
      <c r="D2685" s="391" t="s">
        <v>2166</v>
      </c>
    </row>
    <row r="2686" ht="15.75" customHeight="1">
      <c r="B2686" s="391" t="s">
        <v>3701</v>
      </c>
      <c r="C2686" s="391" t="s">
        <v>8344</v>
      </c>
      <c r="D2686" s="391" t="s">
        <v>2166</v>
      </c>
    </row>
    <row r="2687" ht="15.75" customHeight="1">
      <c r="B2687" s="391" t="s">
        <v>3691</v>
      </c>
      <c r="C2687" s="391" t="s">
        <v>8309</v>
      </c>
      <c r="D2687" s="391" t="s">
        <v>2166</v>
      </c>
    </row>
    <row r="2688" ht="15.75" customHeight="1">
      <c r="B2688" s="391" t="s">
        <v>3703</v>
      </c>
      <c r="C2688" s="391" t="s">
        <v>8344</v>
      </c>
      <c r="D2688" s="391" t="s">
        <v>2166</v>
      </c>
    </row>
    <row r="2689" ht="15.75" customHeight="1">
      <c r="B2689" s="391" t="s">
        <v>4016</v>
      </c>
      <c r="C2689" s="391" t="s">
        <v>8310</v>
      </c>
      <c r="D2689" s="391" t="s">
        <v>2166</v>
      </c>
    </row>
    <row r="2690" ht="15.75" customHeight="1">
      <c r="B2690" s="391">
        <v>9800866.0</v>
      </c>
      <c r="C2690" s="391" t="s">
        <v>9815</v>
      </c>
      <c r="D2690" s="391" t="s">
        <v>9892</v>
      </c>
    </row>
    <row r="2691" ht="15.75" customHeight="1">
      <c r="B2691" s="391" t="s">
        <v>8767</v>
      </c>
      <c r="C2691" s="391" t="s">
        <v>8766</v>
      </c>
      <c r="D2691" s="391" t="s">
        <v>2166</v>
      </c>
    </row>
    <row r="2692" ht="15.75" customHeight="1">
      <c r="B2692" s="392"/>
      <c r="C2692" s="392"/>
      <c r="D2692" s="392"/>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