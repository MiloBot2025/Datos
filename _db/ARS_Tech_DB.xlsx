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<sst xmlns="http://schemas.openxmlformats.org/spreadsheetml/2006/main" count="20628" uniqueCount="9893">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</sst>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6"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5" fontId="12" numFmtId="0" xfId="0" applyAlignment="1" applyFont="1">
      <alignment shrinkToFit="0" vertical="top" wrapText="1"/>
    </xf>
    <xf borderId="0" fillId="5" fontId="14" numFmtId="0" xfId="0" applyAlignment="1" applyFont="1">
      <alignment horizontal="right" vertical="top"/>
    </xf>
    <xf borderId="0" fillId="7" fontId="12" numFmtId="0" xfId="0" applyAlignment="1" applyFont="1">
      <alignment shrinkToFit="0" vertical="top" wrapText="1"/>
    </xf>
    <xf borderId="0" fillId="7"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Menor a 5</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SIN STOCK</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Menor a 5</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Menor a 5</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SIN STOCK</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SIN STOCK</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Menor a 5</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Mayor a 5</v>
      </c>
    </row>
    <row r="6">
      <c r="A6" s="86" t="s">
        <v>1706</v>
      </c>
      <c r="B6" s="87" t="s">
        <v>1717</v>
      </c>
      <c r="C6" s="88" t="s">
        <v>1718</v>
      </c>
      <c r="D6" s="36" t="s">
        <v>1713</v>
      </c>
      <c r="E6" s="37" t="s">
        <v>1714</v>
      </c>
      <c r="F6" s="38">
        <v>0.21</v>
      </c>
      <c r="G6" s="89" t="str">
        <f>IFERROR(VLOOKUP("DT 770 PRO 250 OHM",STOCK!$B$1:$Q$5647,3,FALSE),"SIN STOCK")</f>
        <v>Mayor a 5</v>
      </c>
    </row>
    <row r="7">
      <c r="A7" s="81" t="s">
        <v>1706</v>
      </c>
      <c r="B7" s="82" t="s">
        <v>1719</v>
      </c>
      <c r="C7" s="83" t="s">
        <v>1720</v>
      </c>
      <c r="D7" s="44" t="s">
        <v>1721</v>
      </c>
      <c r="E7" s="44" t="s">
        <v>1722</v>
      </c>
      <c r="F7" s="84">
        <v>0.21</v>
      </c>
      <c r="G7" s="89" t="str">
        <f>IFERROR(VLOOKUP("DT 990 PRO 250 OHM",STOCK!$B$1:$Q$5647,3,FALSE),"SIN STOCK")</f>
        <v>Mayor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50"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4" t="s">
        <v>1750</v>
      </c>
      <c r="B4" s="64" t="s">
        <v>1755</v>
      </c>
      <c r="C4" s="47" t="s">
        <v>1756</v>
      </c>
      <c r="D4" s="105" t="s">
        <v>1757</v>
      </c>
      <c r="E4" s="105" t="s">
        <v>1758</v>
      </c>
      <c r="F4" s="106">
        <v>0.21</v>
      </c>
      <c r="G4" s="50"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50"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7" t="s">
        <v>1763</v>
      </c>
      <c r="C6" s="108"/>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57" t="s">
        <v>1764</v>
      </c>
      <c r="C7" s="100" t="s">
        <v>1765</v>
      </c>
      <c r="D7" s="102" t="s">
        <v>1766</v>
      </c>
      <c r="E7" s="102" t="s">
        <v>1767</v>
      </c>
      <c r="F7" s="103">
        <v>0.21</v>
      </c>
      <c r="G7" s="109"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4" t="s">
        <v>1750</v>
      </c>
      <c r="B8" s="64" t="s">
        <v>1768</v>
      </c>
      <c r="C8" s="104" t="s">
        <v>1769</v>
      </c>
      <c r="D8" s="105" t="s">
        <v>1770</v>
      </c>
      <c r="E8" s="105" t="s">
        <v>1771</v>
      </c>
      <c r="F8" s="106">
        <v>0.21</v>
      </c>
      <c r="G8" s="110"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10" t="str">
        <f>VLOOKUP("ZLX-15P-G2",STOCK!$B$2:$Q$3692,3,FALSE)</f>
        <v>Mayor a 5</v>
      </c>
      <c r="H9" s="28"/>
      <c r="I9" s="28"/>
      <c r="J9" s="28"/>
      <c r="K9" s="28"/>
      <c r="L9" s="28"/>
      <c r="M9" s="28"/>
      <c r="N9" s="28"/>
      <c r="O9" s="28"/>
      <c r="P9" s="28"/>
      <c r="Q9" s="28"/>
      <c r="R9" s="28"/>
      <c r="S9" s="28"/>
      <c r="T9" s="28"/>
      <c r="U9" s="28"/>
      <c r="V9" s="28"/>
      <c r="W9" s="28"/>
      <c r="X9" s="28"/>
      <c r="Y9" s="28"/>
      <c r="Z9" s="28"/>
    </row>
    <row r="10">
      <c r="A10" s="107" t="s">
        <v>1776</v>
      </c>
      <c r="C10" s="108"/>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10"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4" t="s">
        <v>1750</v>
      </c>
      <c r="B12" s="64" t="s">
        <v>1781</v>
      </c>
      <c r="C12" s="104" t="s">
        <v>1782</v>
      </c>
      <c r="D12" s="105" t="s">
        <v>1783</v>
      </c>
      <c r="E12" s="105" t="s">
        <v>1784</v>
      </c>
      <c r="F12" s="106">
        <v>0.21</v>
      </c>
      <c r="G12" s="110"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10"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4" t="s">
        <v>1750</v>
      </c>
      <c r="B14" s="64" t="s">
        <v>1789</v>
      </c>
      <c r="C14" s="104" t="s">
        <v>1790</v>
      </c>
      <c r="D14" s="105" t="s">
        <v>1791</v>
      </c>
      <c r="E14" s="105" t="s">
        <v>1792</v>
      </c>
      <c r="F14" s="106">
        <v>0.21</v>
      </c>
      <c r="G14" s="110"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10"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7"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09"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4" t="s">
        <v>1750</v>
      </c>
      <c r="B18" s="64" t="s">
        <v>1802</v>
      </c>
      <c r="C18" s="104" t="s">
        <v>1803</v>
      </c>
      <c r="D18" s="105" t="s">
        <v>1804</v>
      </c>
      <c r="E18" s="105" t="s">
        <v>1805</v>
      </c>
      <c r="F18" s="106">
        <v>0.21</v>
      </c>
      <c r="G18" s="110"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10"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4" t="s">
        <v>1750</v>
      </c>
      <c r="B20" s="64" t="s">
        <v>1810</v>
      </c>
      <c r="C20" s="104" t="s">
        <v>1811</v>
      </c>
      <c r="D20" s="105" t="s">
        <v>1812</v>
      </c>
      <c r="E20" s="105" t="s">
        <v>1813</v>
      </c>
      <c r="F20" s="106">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7" t="s">
        <v>1814</v>
      </c>
      <c r="C21" s="108"/>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10"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4" t="s">
        <v>1750</v>
      </c>
      <c r="B23" s="64" t="s">
        <v>1818</v>
      </c>
      <c r="C23" s="104" t="s">
        <v>1786</v>
      </c>
      <c r="D23" s="105" t="s">
        <v>1819</v>
      </c>
      <c r="E23" s="105" t="s">
        <v>1820</v>
      </c>
      <c r="F23" s="106">
        <v>0.21</v>
      </c>
      <c r="G23" s="110"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10"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4" t="s">
        <v>1750</v>
      </c>
      <c r="B25" s="64" t="s">
        <v>1825</v>
      </c>
      <c r="C25" s="104" t="s">
        <v>1794</v>
      </c>
      <c r="D25" s="105" t="s">
        <v>1826</v>
      </c>
      <c r="E25" s="105" t="s">
        <v>1827</v>
      </c>
      <c r="F25" s="106">
        <v>0.21</v>
      </c>
      <c r="G25" s="110"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7"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4" t="s">
        <v>1750</v>
      </c>
      <c r="B28" s="64" t="s">
        <v>1832</v>
      </c>
      <c r="C28" s="104" t="s">
        <v>1782</v>
      </c>
      <c r="D28" s="105" t="s">
        <v>1833</v>
      </c>
      <c r="E28" s="105" t="s">
        <v>1834</v>
      </c>
      <c r="F28" s="106">
        <v>0.21</v>
      </c>
      <c r="G28" s="110"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4" t="s">
        <v>1750</v>
      </c>
      <c r="B30" s="64" t="s">
        <v>1838</v>
      </c>
      <c r="C30" s="104" t="s">
        <v>1839</v>
      </c>
      <c r="D30" s="105" t="s">
        <v>1840</v>
      </c>
      <c r="E30" s="105" t="s">
        <v>1841</v>
      </c>
      <c r="F30" s="106">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09"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7"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09"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4" t="s">
        <v>1750</v>
      </c>
      <c r="B34" s="64" t="s">
        <v>1850</v>
      </c>
      <c r="C34" s="104" t="s">
        <v>1851</v>
      </c>
      <c r="D34" s="105" t="s">
        <v>1852</v>
      </c>
      <c r="E34" s="105" t="s">
        <v>1853</v>
      </c>
      <c r="F34" s="106">
        <v>0.21</v>
      </c>
      <c r="G34" s="109"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09"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4" t="s">
        <v>1750</v>
      </c>
      <c r="B36" s="104" t="s">
        <v>1857</v>
      </c>
      <c r="C36" s="104" t="s">
        <v>1858</v>
      </c>
      <c r="D36" s="105" t="s">
        <v>1859</v>
      </c>
      <c r="E36" s="105" t="s">
        <v>1860</v>
      </c>
      <c r="F36" s="106">
        <v>0.21</v>
      </c>
      <c r="G36" s="109"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09"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4" t="s">
        <v>1750</v>
      </c>
      <c r="B38" s="64" t="s">
        <v>1865</v>
      </c>
      <c r="C38" s="104" t="s">
        <v>1866</v>
      </c>
      <c r="D38" s="105" t="s">
        <v>1867</v>
      </c>
      <c r="E38" s="105" t="s">
        <v>1868</v>
      </c>
      <c r="F38" s="106">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09"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4" t="s">
        <v>1750</v>
      </c>
      <c r="B40" s="104" t="s">
        <v>1873</v>
      </c>
      <c r="C40" s="104" t="s">
        <v>1874</v>
      </c>
      <c r="D40" s="105" t="s">
        <v>1863</v>
      </c>
      <c r="E40" s="105" t="s">
        <v>1864</v>
      </c>
      <c r="F40" s="106">
        <v>0.21</v>
      </c>
      <c r="G40" s="109"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09"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4" t="s">
        <v>1750</v>
      </c>
      <c r="B42" s="116" t="s">
        <v>1878</v>
      </c>
      <c r="C42" s="117"/>
      <c r="D42" s="105" t="s">
        <v>1879</v>
      </c>
      <c r="E42" s="105" t="s">
        <v>1880</v>
      </c>
      <c r="F42" s="106">
        <v>0.21</v>
      </c>
      <c r="G42" s="109"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09"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7"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09"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4" t="s">
        <v>1750</v>
      </c>
      <c r="B46" s="104" t="s">
        <v>1889</v>
      </c>
      <c r="C46" s="47" t="s">
        <v>1890</v>
      </c>
      <c r="D46" s="105" t="s">
        <v>1887</v>
      </c>
      <c r="E46" s="105" t="s">
        <v>1888</v>
      </c>
      <c r="F46" s="106">
        <v>0.21</v>
      </c>
      <c r="G46" s="110" t="str">
        <f>VLOOKUP("EVERSE 8-W",STOCK!$B$2:$Q$3692,3,FALSE)</f>
        <v>Mayor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10" t="str">
        <f>VLOOKUP("EVERSE 12",STOCK!$B$2:$Q$3692,3,FALSE)</f>
        <v>Mayor a 5</v>
      </c>
      <c r="H47" s="28"/>
      <c r="I47" s="28"/>
      <c r="J47" s="28"/>
      <c r="K47" s="28"/>
      <c r="L47" s="28"/>
      <c r="M47" s="28"/>
      <c r="N47" s="28"/>
      <c r="O47" s="28"/>
      <c r="P47" s="28"/>
      <c r="Q47" s="28"/>
      <c r="R47" s="28"/>
      <c r="S47" s="28"/>
      <c r="T47" s="28"/>
      <c r="U47" s="28"/>
      <c r="V47" s="28"/>
      <c r="W47" s="28"/>
      <c r="X47" s="28"/>
      <c r="Y47" s="28"/>
      <c r="Z47" s="28"/>
    </row>
    <row r="48" ht="15.75" customHeight="1">
      <c r="A48" s="107"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7"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10"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4" t="s">
        <v>1750</v>
      </c>
      <c r="B52" s="104" t="s">
        <v>1904</v>
      </c>
      <c r="C52" s="104" t="s">
        <v>1905</v>
      </c>
      <c r="D52" s="105" t="s">
        <v>1906</v>
      </c>
      <c r="E52" s="105" t="s">
        <v>1907</v>
      </c>
      <c r="F52" s="106">
        <v>0.21</v>
      </c>
      <c r="G52" s="109"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09"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4" t="s">
        <v>1750</v>
      </c>
      <c r="B54" s="104" t="s">
        <v>1912</v>
      </c>
      <c r="C54" s="104" t="s">
        <v>1913</v>
      </c>
      <c r="D54" s="105" t="s">
        <v>1914</v>
      </c>
      <c r="E54" s="105" t="s">
        <v>1915</v>
      </c>
      <c r="F54" s="106">
        <v>0.21</v>
      </c>
      <c r="G54" s="109"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4" t="s">
        <v>1750</v>
      </c>
      <c r="B56" s="104" t="s">
        <v>1920</v>
      </c>
      <c r="C56" s="104" t="s">
        <v>1921</v>
      </c>
      <c r="D56" s="105" t="s">
        <v>1922</v>
      </c>
      <c r="E56" s="105" t="s">
        <v>1923</v>
      </c>
      <c r="F56" s="106">
        <v>0.21</v>
      </c>
      <c r="G56" s="109"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09"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4" t="s">
        <v>1750</v>
      </c>
      <c r="B58" s="104" t="s">
        <v>1928</v>
      </c>
      <c r="C58" s="104" t="s">
        <v>1929</v>
      </c>
      <c r="D58" s="105" t="s">
        <v>1930</v>
      </c>
      <c r="E58" s="105" t="s">
        <v>1931</v>
      </c>
      <c r="F58" s="106">
        <v>0.21</v>
      </c>
      <c r="G58" s="109"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09"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4" t="s">
        <v>1750</v>
      </c>
      <c r="B60" s="104" t="s">
        <v>1936</v>
      </c>
      <c r="C60" s="104" t="s">
        <v>1937</v>
      </c>
      <c r="D60" s="105" t="s">
        <v>1926</v>
      </c>
      <c r="E60" s="105" t="s">
        <v>1927</v>
      </c>
      <c r="F60" s="106">
        <v>0.21</v>
      </c>
      <c r="G60" s="109"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09"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4" t="s">
        <v>1750</v>
      </c>
      <c r="B62" s="104" t="s">
        <v>1928</v>
      </c>
      <c r="C62" s="104" t="s">
        <v>1929</v>
      </c>
      <c r="D62" s="105" t="s">
        <v>1930</v>
      </c>
      <c r="E62" s="105" t="s">
        <v>1931</v>
      </c>
      <c r="F62" s="106">
        <v>0.21</v>
      </c>
      <c r="G62" s="109"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09"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4" t="s">
        <v>1750</v>
      </c>
      <c r="B64" s="104" t="s">
        <v>1936</v>
      </c>
      <c r="C64" s="47" t="s">
        <v>1937</v>
      </c>
      <c r="D64" s="105" t="s">
        <v>1926</v>
      </c>
      <c r="E64" s="105" t="s">
        <v>1927</v>
      </c>
      <c r="F64" s="106">
        <v>0.21</v>
      </c>
      <c r="G64" s="109"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09"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4" t="s">
        <v>1750</v>
      </c>
      <c r="B66" s="116" t="s">
        <v>1942</v>
      </c>
      <c r="C66" s="104" t="s">
        <v>1943</v>
      </c>
      <c r="D66" s="105" t="s">
        <v>1944</v>
      </c>
      <c r="E66" s="105" t="s">
        <v>1945</v>
      </c>
      <c r="F66" s="106">
        <v>0.21</v>
      </c>
      <c r="G66" s="109"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7"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10"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4" t="s">
        <v>1750</v>
      </c>
      <c r="B70" s="64" t="s">
        <v>1952</v>
      </c>
      <c r="C70" s="104" t="s">
        <v>1953</v>
      </c>
      <c r="D70" s="105" t="s">
        <v>1950</v>
      </c>
      <c r="E70" s="105" t="s">
        <v>1951</v>
      </c>
      <c r="F70" s="106">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10"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4" t="s">
        <v>1750</v>
      </c>
      <c r="B72" s="64" t="s">
        <v>1958</v>
      </c>
      <c r="C72" s="104" t="s">
        <v>1959</v>
      </c>
      <c r="D72" s="105" t="s">
        <v>1956</v>
      </c>
      <c r="E72" s="105" t="s">
        <v>1957</v>
      </c>
      <c r="F72" s="106">
        <v>0.21</v>
      </c>
      <c r="G72" s="110"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10"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4" t="s">
        <v>1750</v>
      </c>
      <c r="B74" s="64" t="s">
        <v>1964</v>
      </c>
      <c r="C74" s="104" t="s">
        <v>1965</v>
      </c>
      <c r="D74" s="105" t="s">
        <v>1962</v>
      </c>
      <c r="E74" s="105" t="s">
        <v>1963</v>
      </c>
      <c r="F74" s="106">
        <v>0.21</v>
      </c>
      <c r="G74" s="109"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10"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4" t="s">
        <v>1750</v>
      </c>
      <c r="B76" s="64" t="s">
        <v>1970</v>
      </c>
      <c r="C76" s="104" t="s">
        <v>1971</v>
      </c>
      <c r="D76" s="105" t="s">
        <v>1968</v>
      </c>
      <c r="E76" s="105" t="s">
        <v>1969</v>
      </c>
      <c r="F76" s="106">
        <v>0.21</v>
      </c>
      <c r="G76" s="110"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10"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4" t="s">
        <v>1750</v>
      </c>
      <c r="B78" s="64" t="s">
        <v>1976</v>
      </c>
      <c r="C78" s="104" t="s">
        <v>1977</v>
      </c>
      <c r="D78" s="105" t="s">
        <v>1974</v>
      </c>
      <c r="E78" s="105" t="s">
        <v>1975</v>
      </c>
      <c r="F78" s="106">
        <v>0.21</v>
      </c>
      <c r="G78" s="110"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09"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4" t="s">
        <v>1750</v>
      </c>
      <c r="B80" s="64" t="s">
        <v>1982</v>
      </c>
      <c r="C80" s="104" t="s">
        <v>1983</v>
      </c>
      <c r="D80" s="105" t="s">
        <v>1980</v>
      </c>
      <c r="E80" s="105" t="s">
        <v>1981</v>
      </c>
      <c r="F80" s="106">
        <v>0.21</v>
      </c>
      <c r="G80" s="110"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4" t="s">
        <v>1750</v>
      </c>
      <c r="B82" s="64" t="s">
        <v>1988</v>
      </c>
      <c r="C82" s="104" t="s">
        <v>1989</v>
      </c>
      <c r="D82" s="105" t="s">
        <v>1986</v>
      </c>
      <c r="E82" s="105" t="s">
        <v>1987</v>
      </c>
      <c r="F82" s="106">
        <v>0.21</v>
      </c>
      <c r="G82" s="110"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10"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4" t="s">
        <v>1750</v>
      </c>
      <c r="B84" s="64" t="s">
        <v>1994</v>
      </c>
      <c r="C84" s="104" t="s">
        <v>1995</v>
      </c>
      <c r="D84" s="105" t="s">
        <v>1996</v>
      </c>
      <c r="E84" s="105" t="s">
        <v>1997</v>
      </c>
      <c r="F84" s="106">
        <v>0.21</v>
      </c>
      <c r="G84" s="110"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7"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4" t="s">
        <v>1750</v>
      </c>
      <c r="B86" s="104" t="s">
        <v>1999</v>
      </c>
      <c r="C86" s="104" t="s">
        <v>2000</v>
      </c>
      <c r="D86" s="105" t="s">
        <v>2001</v>
      </c>
      <c r="E86" s="105" t="s">
        <v>2002</v>
      </c>
      <c r="F86" s="106">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10"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4" t="s">
        <v>1750</v>
      </c>
      <c r="B88" s="116" t="s">
        <v>2005</v>
      </c>
      <c r="C88" s="104" t="s">
        <v>2006</v>
      </c>
      <c r="D88" s="105" t="s">
        <v>2007</v>
      </c>
      <c r="E88" s="105" t="s">
        <v>2008</v>
      </c>
      <c r="F88" s="106">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4" t="s">
        <v>1750</v>
      </c>
      <c r="B90" s="116" t="s">
        <v>2011</v>
      </c>
      <c r="C90" s="104" t="s">
        <v>2012</v>
      </c>
      <c r="D90" s="105" t="s">
        <v>2013</v>
      </c>
      <c r="E90" s="105" t="s">
        <v>2014</v>
      </c>
      <c r="F90" s="106">
        <v>0.21</v>
      </c>
      <c r="G90" s="110"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10"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4" t="s">
        <v>1750</v>
      </c>
      <c r="B92" s="64" t="s">
        <v>2017</v>
      </c>
      <c r="C92" s="104" t="s">
        <v>1949</v>
      </c>
      <c r="D92" s="105" t="s">
        <v>2018</v>
      </c>
      <c r="E92" s="105" t="s">
        <v>2019</v>
      </c>
      <c r="F92" s="106">
        <v>0.21</v>
      </c>
      <c r="G92" s="110"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10"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4" t="s">
        <v>1750</v>
      </c>
      <c r="B94" s="64" t="s">
        <v>2021</v>
      </c>
      <c r="C94" s="104" t="s">
        <v>1955</v>
      </c>
      <c r="D94" s="105" t="s">
        <v>2022</v>
      </c>
      <c r="E94" s="105" t="s">
        <v>2023</v>
      </c>
      <c r="F94" s="106">
        <v>0.21</v>
      </c>
      <c r="G94" s="110"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10"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4" t="s">
        <v>1750</v>
      </c>
      <c r="B96" s="64" t="s">
        <v>2025</v>
      </c>
      <c r="C96" s="104" t="s">
        <v>2026</v>
      </c>
      <c r="D96" s="105" t="s">
        <v>2027</v>
      </c>
      <c r="E96" s="105" t="s">
        <v>2028</v>
      </c>
      <c r="F96" s="106">
        <v>0.21</v>
      </c>
      <c r="G96" s="110"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10"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4" t="s">
        <v>1750</v>
      </c>
      <c r="B98" s="64" t="s">
        <v>2031</v>
      </c>
      <c r="C98" s="104" t="s">
        <v>2032</v>
      </c>
      <c r="D98" s="105" t="s">
        <v>2033</v>
      </c>
      <c r="E98" s="105" t="s">
        <v>2034</v>
      </c>
      <c r="F98" s="106">
        <v>0.21</v>
      </c>
      <c r="G98" s="110"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10"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7"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4" t="s">
        <v>1750</v>
      </c>
      <c r="B102" s="64" t="s">
        <v>2041</v>
      </c>
      <c r="C102" s="104" t="s">
        <v>2042</v>
      </c>
      <c r="D102" s="105" t="s">
        <v>2023</v>
      </c>
      <c r="E102" s="105" t="s">
        <v>2040</v>
      </c>
      <c r="F102" s="106">
        <v>0.21</v>
      </c>
      <c r="G102" s="109"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09"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4" t="s">
        <v>1750</v>
      </c>
      <c r="B104" s="116" t="s">
        <v>2047</v>
      </c>
      <c r="C104" s="104" t="s">
        <v>2048</v>
      </c>
      <c r="D104" s="105" t="s">
        <v>2049</v>
      </c>
      <c r="E104" s="105" t="s">
        <v>2050</v>
      </c>
      <c r="F104" s="106">
        <v>0.21</v>
      </c>
      <c r="G104" s="110"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10"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4" t="s">
        <v>1750</v>
      </c>
      <c r="B106" s="48" t="s">
        <v>2054</v>
      </c>
      <c r="C106" s="47" t="s">
        <v>2055</v>
      </c>
      <c r="D106" s="105" t="s">
        <v>2056</v>
      </c>
      <c r="E106" s="105" t="s">
        <v>2057</v>
      </c>
      <c r="F106" s="106">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10"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4" t="s">
        <v>1750</v>
      </c>
      <c r="B108" s="64" t="s">
        <v>2062</v>
      </c>
      <c r="C108" s="104" t="s">
        <v>2063</v>
      </c>
      <c r="D108" s="105" t="s">
        <v>2060</v>
      </c>
      <c r="E108" s="105" t="s">
        <v>2061</v>
      </c>
      <c r="F108" s="106">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4" t="s">
        <v>2068</v>
      </c>
      <c r="B110" s="64" t="s">
        <v>2069</v>
      </c>
      <c r="C110" s="123" t="s">
        <v>2070</v>
      </c>
      <c r="D110" s="105" t="s">
        <v>2071</v>
      </c>
      <c r="E110" s="105" t="s">
        <v>2072</v>
      </c>
      <c r="F110" s="106">
        <v>0.21</v>
      </c>
      <c r="G110" s="110"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7" t="s">
        <v>2074</v>
      </c>
      <c r="C112" s="108"/>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10"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4" t="s">
        <v>2075</v>
      </c>
      <c r="B114" s="64" t="s">
        <v>2080</v>
      </c>
      <c r="C114" s="47" t="s">
        <v>2081</v>
      </c>
      <c r="D114" s="105" t="s">
        <v>2082</v>
      </c>
      <c r="E114" s="105" t="s">
        <v>2083</v>
      </c>
      <c r="F114" s="106">
        <v>0.21</v>
      </c>
      <c r="G114" s="110"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10"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4" t="s">
        <v>2075</v>
      </c>
      <c r="B116" s="48" t="s">
        <v>2088</v>
      </c>
      <c r="C116" s="47" t="s">
        <v>2089</v>
      </c>
      <c r="D116" s="105" t="s">
        <v>2090</v>
      </c>
      <c r="E116" s="105" t="s">
        <v>2091</v>
      </c>
      <c r="F116" s="106">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7" t="s">
        <v>2092</v>
      </c>
      <c r="C117" s="108"/>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7"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7"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10"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4" t="s">
        <v>1750</v>
      </c>
      <c r="B124" s="64" t="s">
        <v>2107</v>
      </c>
      <c r="C124" s="104" t="s">
        <v>2108</v>
      </c>
      <c r="D124" s="105" t="s">
        <v>2109</v>
      </c>
      <c r="E124" s="105" t="s">
        <v>2110</v>
      </c>
      <c r="F124" s="106">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09"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4" t="s">
        <v>1750</v>
      </c>
      <c r="B126" s="64" t="s">
        <v>2115</v>
      </c>
      <c r="C126" s="47" t="s">
        <v>2116</v>
      </c>
      <c r="D126" s="105" t="s">
        <v>2117</v>
      </c>
      <c r="E126" s="105" t="s">
        <v>2118</v>
      </c>
      <c r="F126" s="106">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4" t="s">
        <v>1750</v>
      </c>
      <c r="B128" s="64" t="s">
        <v>2121</v>
      </c>
      <c r="C128" s="104" t="s">
        <v>2122</v>
      </c>
      <c r="D128" s="105" t="s">
        <v>2113</v>
      </c>
      <c r="E128" s="105" t="s">
        <v>2114</v>
      </c>
      <c r="F128" s="106">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10"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4" t="s">
        <v>1750</v>
      </c>
      <c r="B130" s="64" t="s">
        <v>2125</v>
      </c>
      <c r="C130" s="104" t="s">
        <v>2126</v>
      </c>
      <c r="D130" s="105" t="s">
        <v>2117</v>
      </c>
      <c r="E130" s="105" t="s">
        <v>2118</v>
      </c>
      <c r="F130" s="106">
        <v>0.21</v>
      </c>
      <c r="G130" s="110"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7"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09"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4" t="s">
        <v>1750</v>
      </c>
      <c r="B133" s="64" t="s">
        <v>2131</v>
      </c>
      <c r="C133" s="104" t="s">
        <v>2132</v>
      </c>
      <c r="D133" s="105" t="s">
        <v>2130</v>
      </c>
      <c r="E133" s="105" t="s">
        <v>1859</v>
      </c>
      <c r="F133" s="106">
        <v>0.21</v>
      </c>
      <c r="G133" s="109"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09"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4" t="s">
        <v>1750</v>
      </c>
      <c r="B135" s="64" t="s">
        <v>2135</v>
      </c>
      <c r="C135" s="104" t="s">
        <v>2136</v>
      </c>
      <c r="D135" s="105" t="s">
        <v>2137</v>
      </c>
      <c r="E135" s="105" t="s">
        <v>1860</v>
      </c>
      <c r="F135" s="106">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7"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4" t="s">
        <v>1750</v>
      </c>
      <c r="B139" s="64" t="s">
        <v>2144</v>
      </c>
      <c r="C139" s="104" t="s">
        <v>2145</v>
      </c>
      <c r="D139" s="105" t="s">
        <v>2146</v>
      </c>
      <c r="E139" s="105" t="s">
        <v>2147</v>
      </c>
      <c r="F139" s="106">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8"/>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09"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5" t="s">
        <v>2155</v>
      </c>
      <c r="E143" s="105" t="s">
        <v>2156</v>
      </c>
      <c r="F143" s="106">
        <v>0.21</v>
      </c>
      <c r="G143" s="109"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09"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5" t="s">
        <v>2155</v>
      </c>
      <c r="E145" s="105" t="s">
        <v>2156</v>
      </c>
      <c r="F145" s="106">
        <v>0.21</v>
      </c>
      <c r="G145" s="109"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5"/>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5"/>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5"/>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5"/>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5"/>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5"/>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5"/>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5"/>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5"/>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8"/>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5" t="s">
        <v>448</v>
      </c>
      <c r="E4" s="105"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5" t="s">
        <v>223</v>
      </c>
      <c r="E6" s="105"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5" t="s">
        <v>223</v>
      </c>
      <c r="E8" s="105"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5" t="s">
        <v>961</v>
      </c>
      <c r="E10" s="105"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5" t="s">
        <v>256</v>
      </c>
      <c r="E12" s="105"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5" t="s">
        <v>256</v>
      </c>
      <c r="E14" s="105"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5" t="s">
        <v>2193</v>
      </c>
      <c r="E16" s="105"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5" t="s">
        <v>2204</v>
      </c>
      <c r="E18" s="105"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5" t="s">
        <v>2212</v>
      </c>
      <c r="E20" s="105"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8"/>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5" t="s">
        <v>961</v>
      </c>
      <c r="E24" s="105"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8"/>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5" t="s">
        <v>2235</v>
      </c>
      <c r="E28" s="105"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5" t="s">
        <v>2241</v>
      </c>
      <c r="E30" s="105" t="s">
        <v>2242</v>
      </c>
      <c r="F30" s="38">
        <v>0.21</v>
      </c>
      <c r="G30" s="135" t="s">
        <v>517</v>
      </c>
    </row>
    <row r="31" ht="15.75" customHeight="1">
      <c r="A31" s="29" t="s">
        <v>2243</v>
      </c>
      <c r="C31" s="108"/>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8"/>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5" t="s">
        <v>227</v>
      </c>
      <c r="E35" s="105"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5" t="s">
        <v>510</v>
      </c>
      <c r="F37" s="38">
        <v>0.21</v>
      </c>
      <c r="G37" s="135" t="s">
        <v>517</v>
      </c>
    </row>
    <row r="38" ht="15.75" customHeight="1">
      <c r="A38" s="29" t="s">
        <v>2257</v>
      </c>
      <c r="C38" s="108"/>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5" t="s">
        <v>732</v>
      </c>
      <c r="E40" s="105"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5" t="s">
        <v>732</v>
      </c>
      <c r="E42" s="105"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5" t="s">
        <v>732</v>
      </c>
      <c r="E44" s="105"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5" t="s">
        <v>209</v>
      </c>
      <c r="E46" s="105"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5" t="s">
        <v>659</v>
      </c>
      <c r="E48" s="105"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5" t="s">
        <v>2282</v>
      </c>
      <c r="E50" s="105"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5" t="s">
        <v>1485</v>
      </c>
      <c r="E52" s="105"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5" t="s">
        <v>101</v>
      </c>
      <c r="E54" s="105"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5" t="s">
        <v>1205</v>
      </c>
      <c r="E56" s="105"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5" t="s">
        <v>347</v>
      </c>
      <c r="E58" s="105"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8"/>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5" t="s">
        <v>2235</v>
      </c>
      <c r="E62" s="105"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5" t="s">
        <v>2309</v>
      </c>
      <c r="E65" s="105"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5" t="s">
        <v>166</v>
      </c>
      <c r="E67" s="105"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5" t="s">
        <v>2319</v>
      </c>
      <c r="E69" s="105"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5" t="s">
        <v>166</v>
      </c>
      <c r="E71" s="105"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5" t="s">
        <v>166</v>
      </c>
      <c r="E73" s="105"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5" t="s">
        <v>166</v>
      </c>
      <c r="E75" s="105"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5" t="s">
        <v>509</v>
      </c>
      <c r="E77" s="105"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5" t="s">
        <v>166</v>
      </c>
      <c r="E79" s="105"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5" t="s">
        <v>312</v>
      </c>
      <c r="E81" s="105"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5" t="s">
        <v>312</v>
      </c>
      <c r="E83" s="105"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5" t="s">
        <v>967</v>
      </c>
      <c r="E85" s="105"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5" t="s">
        <v>2357</v>
      </c>
      <c r="E87" s="105"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5" t="s">
        <v>2362</v>
      </c>
      <c r="E89" s="105"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5" t="s">
        <v>2366</v>
      </c>
      <c r="E91" s="105"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5" t="s">
        <v>312</v>
      </c>
      <c r="E93" s="105"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5" t="s">
        <v>967</v>
      </c>
      <c r="E95" s="105"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5" t="s">
        <v>166</v>
      </c>
      <c r="E97" s="105"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5" t="s">
        <v>2380</v>
      </c>
      <c r="E99" s="105"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5" t="s">
        <v>2204</v>
      </c>
      <c r="E101" s="105"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5" t="s">
        <v>2235</v>
      </c>
      <c r="E103" s="105"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5" t="s">
        <v>2235</v>
      </c>
      <c r="E105" s="105"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5" t="s">
        <v>2235</v>
      </c>
      <c r="E107" s="105"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5" t="s">
        <v>2401</v>
      </c>
      <c r="E109" s="105"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5" t="s">
        <v>2407</v>
      </c>
      <c r="E111" s="105" t="s">
        <v>2408</v>
      </c>
      <c r="F111" s="38">
        <v>0.21</v>
      </c>
      <c r="G111" s="135" t="s">
        <v>517</v>
      </c>
    </row>
    <row r="112" ht="15.75" customHeight="1">
      <c r="A112" s="47" t="s">
        <v>1404</v>
      </c>
      <c r="B112" s="48" t="s">
        <v>2409</v>
      </c>
      <c r="C112" s="47" t="s">
        <v>328</v>
      </c>
      <c r="D112" s="105" t="s">
        <v>2410</v>
      </c>
      <c r="E112" s="105"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5" t="s">
        <v>209</v>
      </c>
      <c r="E114" s="105"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5" t="s">
        <v>209</v>
      </c>
      <c r="E116" s="105"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5" t="s">
        <v>2424</v>
      </c>
      <c r="E118" s="105"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5" t="s">
        <v>2235</v>
      </c>
      <c r="E120" s="105"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5" t="s">
        <v>339</v>
      </c>
      <c r="E122" s="105"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5" t="s">
        <v>312</v>
      </c>
      <c r="E124" s="105"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5" t="s">
        <v>2302</v>
      </c>
      <c r="E126" s="105"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5" t="s">
        <v>2424</v>
      </c>
      <c r="E128" s="105"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5" t="s">
        <v>2424</v>
      </c>
      <c r="E130" s="105"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5" t="s">
        <v>2454</v>
      </c>
      <c r="E132" s="105"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5" t="s">
        <v>2459</v>
      </c>
      <c r="E134" s="105"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5" t="s">
        <v>2465</v>
      </c>
      <c r="E136" s="105"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5" t="s">
        <v>2470</v>
      </c>
      <c r="E138" s="105"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5" t="s">
        <v>2366</v>
      </c>
      <c r="E140" s="105"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5" t="s">
        <v>2480</v>
      </c>
      <c r="E142" s="105"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5" t="s">
        <v>2442</v>
      </c>
      <c r="E144" s="105"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5" t="s">
        <v>2490</v>
      </c>
      <c r="E146" s="105"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5" t="s">
        <v>1629</v>
      </c>
      <c r="E148" s="105"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5" t="s">
        <v>2501</v>
      </c>
      <c r="E150" s="105"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5" t="s">
        <v>2497</v>
      </c>
      <c r="E152" s="105"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5" t="s">
        <v>2504</v>
      </c>
      <c r="E154" s="105"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5" t="s">
        <v>2465</v>
      </c>
      <c r="E156" s="105"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5" t="s">
        <v>2516</v>
      </c>
      <c r="E158" s="105"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5" t="s">
        <v>2521</v>
      </c>
      <c r="E160" s="105"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6" t="s">
        <v>2530</v>
      </c>
      <c r="C3" s="86" t="s">
        <v>2531</v>
      </c>
      <c r="D3" s="37" t="s">
        <v>2532</v>
      </c>
      <c r="E3" s="37" t="s">
        <v>2533</v>
      </c>
      <c r="F3" s="144" t="s">
        <v>2534</v>
      </c>
      <c r="G3" s="85" t="s">
        <v>2232</v>
      </c>
      <c r="H3" s="141"/>
      <c r="I3" s="141"/>
      <c r="J3" s="141"/>
      <c r="K3" s="141"/>
      <c r="L3" s="141"/>
      <c r="M3" s="141"/>
      <c r="N3" s="141"/>
      <c r="O3" s="141"/>
      <c r="P3" s="141"/>
      <c r="Q3" s="141"/>
      <c r="R3" s="141"/>
      <c r="S3" s="141"/>
      <c r="T3" s="141"/>
    </row>
    <row r="4">
      <c r="A4" s="145" t="s">
        <v>2529</v>
      </c>
      <c r="B4" s="81" t="s">
        <v>2535</v>
      </c>
      <c r="C4" s="81" t="s">
        <v>2536</v>
      </c>
      <c r="D4" s="44" t="s">
        <v>2537</v>
      </c>
      <c r="E4" s="44"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6" t="s">
        <v>2540</v>
      </c>
      <c r="C6" s="86" t="s">
        <v>2541</v>
      </c>
      <c r="D6" s="37" t="s">
        <v>2542</v>
      </c>
      <c r="E6" s="37" t="s">
        <v>2543</v>
      </c>
      <c r="F6" s="144" t="s">
        <v>2534</v>
      </c>
      <c r="G6" s="147" t="s">
        <v>2195</v>
      </c>
      <c r="H6" s="141"/>
      <c r="I6" s="141"/>
      <c r="J6" s="141"/>
      <c r="K6" s="141"/>
      <c r="L6" s="141"/>
      <c r="M6" s="141"/>
      <c r="N6" s="141"/>
      <c r="O6" s="141"/>
      <c r="P6" s="141"/>
      <c r="Q6" s="141"/>
      <c r="R6" s="141"/>
      <c r="S6" s="141"/>
      <c r="T6" s="141"/>
    </row>
    <row r="7">
      <c r="A7" s="145" t="s">
        <v>2529</v>
      </c>
      <c r="B7" s="81" t="s">
        <v>2544</v>
      </c>
      <c r="C7" s="81" t="s">
        <v>2545</v>
      </c>
      <c r="D7" s="44" t="s">
        <v>2546</v>
      </c>
      <c r="E7" s="44" t="s">
        <v>2194</v>
      </c>
      <c r="F7" s="146" t="s">
        <v>2534</v>
      </c>
      <c r="G7" s="85" t="s">
        <v>2232</v>
      </c>
      <c r="H7" s="141"/>
      <c r="I7" s="141"/>
      <c r="J7" s="141"/>
      <c r="K7" s="141"/>
      <c r="L7" s="141"/>
      <c r="M7" s="141"/>
      <c r="N7" s="141"/>
      <c r="O7" s="141"/>
      <c r="P7" s="141"/>
      <c r="Q7" s="141"/>
      <c r="R7" s="141"/>
      <c r="S7" s="141"/>
      <c r="T7" s="141"/>
    </row>
    <row r="8">
      <c r="A8" s="143" t="s">
        <v>2529</v>
      </c>
      <c r="B8" s="86" t="s">
        <v>2547</v>
      </c>
      <c r="C8" s="86" t="s">
        <v>2548</v>
      </c>
      <c r="D8" s="37" t="s">
        <v>2549</v>
      </c>
      <c r="E8" s="37" t="s">
        <v>2550</v>
      </c>
      <c r="F8" s="144" t="s">
        <v>2534</v>
      </c>
      <c r="G8" s="147" t="s">
        <v>2195</v>
      </c>
      <c r="H8" s="141"/>
      <c r="I8" s="141"/>
      <c r="J8" s="141"/>
      <c r="K8" s="141"/>
      <c r="L8" s="141"/>
      <c r="M8" s="141"/>
      <c r="N8" s="141"/>
      <c r="O8" s="141"/>
      <c r="P8" s="141"/>
      <c r="Q8" s="141"/>
      <c r="R8" s="141"/>
      <c r="S8" s="141"/>
      <c r="T8" s="141"/>
    </row>
    <row r="9">
      <c r="A9" s="145" t="s">
        <v>2529</v>
      </c>
      <c r="B9" s="81" t="s">
        <v>2551</v>
      </c>
      <c r="C9" s="81" t="s">
        <v>2552</v>
      </c>
      <c r="D9" s="44" t="s">
        <v>2553</v>
      </c>
      <c r="E9" s="44" t="s">
        <v>2554</v>
      </c>
      <c r="F9" s="146" t="s">
        <v>2534</v>
      </c>
      <c r="G9" s="147" t="s">
        <v>2195</v>
      </c>
      <c r="H9" s="141"/>
      <c r="I9" s="141"/>
      <c r="J9" s="141"/>
      <c r="K9" s="141"/>
      <c r="L9" s="141"/>
      <c r="M9" s="141"/>
      <c r="N9" s="141"/>
      <c r="O9" s="141"/>
      <c r="P9" s="141"/>
      <c r="Q9" s="141"/>
      <c r="R9" s="141"/>
      <c r="S9" s="141"/>
      <c r="T9" s="141"/>
    </row>
    <row r="10">
      <c r="A10" s="143" t="s">
        <v>2529</v>
      </c>
      <c r="B10" s="86" t="s">
        <v>2555</v>
      </c>
      <c r="C10" s="86" t="s">
        <v>2556</v>
      </c>
      <c r="D10" s="37" t="s">
        <v>2557</v>
      </c>
      <c r="E10" s="37" t="s">
        <v>2425</v>
      </c>
      <c r="F10" s="144" t="s">
        <v>2534</v>
      </c>
      <c r="G10" s="147" t="s">
        <v>2195</v>
      </c>
      <c r="H10" s="141"/>
      <c r="I10" s="141"/>
      <c r="J10" s="141"/>
      <c r="K10" s="141"/>
      <c r="L10" s="141"/>
      <c r="M10" s="141"/>
      <c r="N10" s="141"/>
      <c r="O10" s="141"/>
      <c r="P10" s="141"/>
      <c r="Q10" s="141"/>
      <c r="R10" s="141"/>
      <c r="S10" s="141"/>
      <c r="T10" s="141"/>
    </row>
    <row r="11">
      <c r="A11" s="145" t="s">
        <v>2529</v>
      </c>
      <c r="B11" s="81" t="s">
        <v>2558</v>
      </c>
      <c r="C11" s="81" t="s">
        <v>2559</v>
      </c>
      <c r="D11" s="44" t="s">
        <v>2560</v>
      </c>
      <c r="E11" s="44" t="s">
        <v>2205</v>
      </c>
      <c r="F11" s="146" t="s">
        <v>2534</v>
      </c>
      <c r="G11" s="147" t="s">
        <v>2195</v>
      </c>
      <c r="H11" s="141"/>
      <c r="I11" s="141"/>
      <c r="J11" s="141"/>
      <c r="K11" s="141"/>
      <c r="L11" s="141"/>
      <c r="M11" s="141"/>
      <c r="N11" s="141"/>
      <c r="O11" s="141"/>
      <c r="P11" s="141"/>
      <c r="Q11" s="141"/>
      <c r="R11" s="141"/>
      <c r="S11" s="141"/>
      <c r="T11" s="141"/>
    </row>
    <row r="12">
      <c r="A12" s="143" t="s">
        <v>2529</v>
      </c>
      <c r="B12" s="86" t="s">
        <v>2561</v>
      </c>
      <c r="C12" s="86" t="s">
        <v>2562</v>
      </c>
      <c r="D12" s="37" t="s">
        <v>2563</v>
      </c>
      <c r="E12" s="37" t="s">
        <v>476</v>
      </c>
      <c r="F12" s="144" t="s">
        <v>2534</v>
      </c>
      <c r="G12" s="147" t="s">
        <v>2195</v>
      </c>
      <c r="H12" s="141"/>
      <c r="I12" s="141"/>
      <c r="J12" s="141"/>
      <c r="K12" s="141"/>
      <c r="L12" s="141"/>
      <c r="M12" s="141"/>
      <c r="N12" s="141"/>
      <c r="O12" s="141"/>
      <c r="P12" s="141"/>
      <c r="Q12" s="141"/>
      <c r="R12" s="141"/>
      <c r="S12" s="141"/>
      <c r="T12" s="141"/>
    </row>
    <row r="13">
      <c r="A13" s="145" t="s">
        <v>2529</v>
      </c>
      <c r="B13" s="81" t="s">
        <v>2564</v>
      </c>
      <c r="C13" s="81" t="s">
        <v>2565</v>
      </c>
      <c r="D13" s="44" t="s">
        <v>2563</v>
      </c>
      <c r="E13" s="44" t="s">
        <v>476</v>
      </c>
      <c r="F13" s="146" t="s">
        <v>2534</v>
      </c>
      <c r="G13" s="147" t="s">
        <v>2195</v>
      </c>
      <c r="H13" s="141"/>
      <c r="I13" s="141"/>
      <c r="J13" s="141"/>
      <c r="K13" s="141"/>
      <c r="L13" s="141"/>
      <c r="M13" s="141"/>
      <c r="N13" s="141"/>
      <c r="O13" s="141"/>
      <c r="P13" s="141"/>
      <c r="Q13" s="141"/>
      <c r="R13" s="141"/>
      <c r="S13" s="141"/>
      <c r="T13" s="141"/>
    </row>
    <row r="14">
      <c r="A14" s="143" t="s">
        <v>2529</v>
      </c>
      <c r="B14" s="86" t="s">
        <v>2566</v>
      </c>
      <c r="C14" s="86" t="s">
        <v>2567</v>
      </c>
      <c r="D14" s="37" t="s">
        <v>2568</v>
      </c>
      <c r="E14" s="37"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6" t="s">
        <v>2570</v>
      </c>
      <c r="C16" s="86" t="s">
        <v>2571</v>
      </c>
      <c r="D16" s="37" t="s">
        <v>2572</v>
      </c>
      <c r="E16" s="37"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6" t="s">
        <v>2574</v>
      </c>
      <c r="C18" s="86" t="s">
        <v>2575</v>
      </c>
      <c r="D18" s="37" t="s">
        <v>2576</v>
      </c>
      <c r="E18" s="37" t="s">
        <v>722</v>
      </c>
      <c r="F18" s="144" t="s">
        <v>2534</v>
      </c>
      <c r="G18" s="147" t="s">
        <v>2195</v>
      </c>
      <c r="H18" s="141"/>
      <c r="I18" s="141"/>
      <c r="J18" s="141"/>
      <c r="K18" s="141"/>
      <c r="L18" s="141"/>
      <c r="M18" s="141"/>
      <c r="N18" s="141"/>
      <c r="O18" s="141"/>
      <c r="P18" s="141"/>
      <c r="Q18" s="141"/>
      <c r="R18" s="141"/>
      <c r="S18" s="141"/>
      <c r="T18" s="141"/>
    </row>
    <row r="19">
      <c r="A19" s="145" t="s">
        <v>2529</v>
      </c>
      <c r="B19" s="81" t="s">
        <v>2577</v>
      </c>
      <c r="C19" s="81" t="s">
        <v>2578</v>
      </c>
      <c r="D19" s="44" t="s">
        <v>2576</v>
      </c>
      <c r="E19" s="44" t="s">
        <v>722</v>
      </c>
      <c r="F19" s="146" t="s">
        <v>2534</v>
      </c>
      <c r="G19" s="147" t="s">
        <v>2195</v>
      </c>
      <c r="H19" s="141"/>
      <c r="I19" s="141"/>
      <c r="J19" s="141"/>
      <c r="K19" s="141"/>
      <c r="L19" s="141"/>
      <c r="M19" s="141"/>
      <c r="N19" s="141"/>
      <c r="O19" s="141"/>
      <c r="P19" s="141"/>
      <c r="Q19" s="141"/>
      <c r="R19" s="141"/>
      <c r="S19" s="141"/>
      <c r="T19" s="141"/>
    </row>
    <row r="20">
      <c r="A20" s="143" t="s">
        <v>2529</v>
      </c>
      <c r="B20" s="86" t="s">
        <v>2579</v>
      </c>
      <c r="C20" s="86" t="s">
        <v>2580</v>
      </c>
      <c r="D20" s="37" t="s">
        <v>2581</v>
      </c>
      <c r="E20" s="37" t="s">
        <v>2582</v>
      </c>
      <c r="F20" s="144" t="s">
        <v>2534</v>
      </c>
      <c r="G20" s="147" t="s">
        <v>2195</v>
      </c>
      <c r="H20" s="141"/>
      <c r="I20" s="141"/>
      <c r="J20" s="141"/>
      <c r="K20" s="141"/>
      <c r="L20" s="141"/>
      <c r="M20" s="141"/>
      <c r="N20" s="141"/>
      <c r="O20" s="141"/>
      <c r="P20" s="141"/>
      <c r="Q20" s="141"/>
      <c r="R20" s="141"/>
      <c r="S20" s="141"/>
      <c r="T20" s="141"/>
    </row>
    <row r="21">
      <c r="A21" s="145" t="s">
        <v>2529</v>
      </c>
      <c r="B21" s="81" t="s">
        <v>2583</v>
      </c>
      <c r="C21" s="81" t="s">
        <v>2584</v>
      </c>
      <c r="D21" s="44" t="s">
        <v>2576</v>
      </c>
      <c r="E21" s="44"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6" t="s">
        <v>2586</v>
      </c>
      <c r="C23" s="86" t="s">
        <v>2587</v>
      </c>
      <c r="D23" s="37" t="s">
        <v>2560</v>
      </c>
      <c r="E23" s="37" t="s">
        <v>2205</v>
      </c>
      <c r="F23" s="144" t="s">
        <v>2534</v>
      </c>
      <c r="G23" s="147" t="s">
        <v>2195</v>
      </c>
      <c r="H23" s="141"/>
      <c r="I23" s="141"/>
      <c r="J23" s="141"/>
      <c r="K23" s="141"/>
      <c r="L23" s="141"/>
      <c r="M23" s="141"/>
      <c r="N23" s="141"/>
      <c r="O23" s="141"/>
      <c r="P23" s="141"/>
      <c r="Q23" s="141"/>
      <c r="R23" s="141"/>
      <c r="S23" s="141"/>
      <c r="T23" s="141"/>
    </row>
    <row r="24">
      <c r="A24" s="145" t="s">
        <v>2529</v>
      </c>
      <c r="B24" s="81" t="s">
        <v>2588</v>
      </c>
      <c r="C24" s="81" t="s">
        <v>2589</v>
      </c>
      <c r="D24" s="44" t="s">
        <v>2590</v>
      </c>
      <c r="E24" s="44"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6" t="s">
        <v>2592</v>
      </c>
      <c r="C26" s="86" t="s">
        <v>2593</v>
      </c>
      <c r="D26" s="37" t="s">
        <v>2594</v>
      </c>
      <c r="E26" s="37" t="s">
        <v>737</v>
      </c>
      <c r="F26" s="144" t="s">
        <v>2534</v>
      </c>
      <c r="G26" s="147" t="s">
        <v>2195</v>
      </c>
      <c r="H26" s="141"/>
      <c r="I26" s="141"/>
      <c r="J26" s="141"/>
      <c r="K26" s="141"/>
      <c r="L26" s="141"/>
      <c r="M26" s="141"/>
      <c r="N26" s="141"/>
      <c r="O26" s="141"/>
      <c r="P26" s="141"/>
      <c r="Q26" s="141"/>
      <c r="R26" s="141"/>
      <c r="S26" s="141"/>
      <c r="T26" s="141"/>
    </row>
    <row r="27">
      <c r="A27" s="145" t="s">
        <v>2529</v>
      </c>
      <c r="B27" s="81" t="s">
        <v>2595</v>
      </c>
      <c r="C27" s="81" t="s">
        <v>2596</v>
      </c>
      <c r="D27" s="44" t="s">
        <v>2597</v>
      </c>
      <c r="E27" s="44" t="s">
        <v>932</v>
      </c>
      <c r="F27" s="146" t="s">
        <v>2534</v>
      </c>
      <c r="G27" s="147" t="s">
        <v>2195</v>
      </c>
      <c r="H27" s="141"/>
      <c r="I27" s="141"/>
      <c r="J27" s="141"/>
      <c r="K27" s="141"/>
      <c r="L27" s="141"/>
      <c r="M27" s="141"/>
      <c r="N27" s="141"/>
      <c r="O27" s="141"/>
      <c r="P27" s="141"/>
      <c r="Q27" s="141"/>
      <c r="R27" s="141"/>
      <c r="S27" s="141"/>
      <c r="T27" s="141"/>
    </row>
    <row r="28">
      <c r="A28" s="143" t="s">
        <v>2529</v>
      </c>
      <c r="B28" s="86" t="s">
        <v>2598</v>
      </c>
      <c r="C28" s="86" t="s">
        <v>2599</v>
      </c>
      <c r="D28" s="37" t="s">
        <v>2600</v>
      </c>
      <c r="E28" s="37" t="s">
        <v>779</v>
      </c>
      <c r="F28" s="144" t="s">
        <v>2534</v>
      </c>
      <c r="G28" s="147" t="s">
        <v>2195</v>
      </c>
      <c r="H28" s="141"/>
      <c r="I28" s="141"/>
      <c r="J28" s="141"/>
      <c r="K28" s="141"/>
      <c r="L28" s="141"/>
      <c r="M28" s="141"/>
      <c r="N28" s="141"/>
      <c r="O28" s="141"/>
      <c r="P28" s="141"/>
      <c r="Q28" s="141"/>
      <c r="R28" s="141"/>
      <c r="S28" s="141"/>
      <c r="T28" s="141"/>
    </row>
    <row r="29">
      <c r="A29" s="145" t="s">
        <v>2529</v>
      </c>
      <c r="B29" s="81" t="s">
        <v>2601</v>
      </c>
      <c r="C29" s="81" t="s">
        <v>2602</v>
      </c>
      <c r="D29" s="44" t="s">
        <v>2022</v>
      </c>
      <c r="E29" s="44" t="s">
        <v>412</v>
      </c>
      <c r="F29" s="146" t="s">
        <v>2534</v>
      </c>
      <c r="G29" s="147" t="s">
        <v>2195</v>
      </c>
      <c r="H29" s="141"/>
      <c r="I29" s="141"/>
      <c r="J29" s="141"/>
      <c r="K29" s="141"/>
      <c r="L29" s="141"/>
      <c r="M29" s="141"/>
      <c r="N29" s="141"/>
      <c r="O29" s="141"/>
      <c r="P29" s="141"/>
      <c r="Q29" s="141"/>
      <c r="R29" s="141"/>
      <c r="S29" s="141"/>
      <c r="T29" s="141"/>
    </row>
    <row r="30">
      <c r="A30" s="143" t="s">
        <v>2529</v>
      </c>
      <c r="B30" s="86" t="s">
        <v>2603</v>
      </c>
      <c r="C30" s="86" t="s">
        <v>2604</v>
      </c>
      <c r="D30" s="37" t="s">
        <v>2605</v>
      </c>
      <c r="E30" s="37" t="s">
        <v>875</v>
      </c>
      <c r="F30" s="144" t="s">
        <v>2534</v>
      </c>
      <c r="G30" s="147" t="s">
        <v>2195</v>
      </c>
      <c r="H30" s="141"/>
      <c r="I30" s="141"/>
      <c r="J30" s="141"/>
      <c r="K30" s="141"/>
      <c r="L30" s="141"/>
      <c r="M30" s="141"/>
      <c r="N30" s="141"/>
      <c r="O30" s="141"/>
      <c r="P30" s="141"/>
      <c r="Q30" s="141"/>
      <c r="R30" s="141"/>
      <c r="S30" s="141"/>
      <c r="T30" s="141"/>
    </row>
    <row r="31">
      <c r="A31" s="145" t="s">
        <v>2529</v>
      </c>
      <c r="B31" s="81" t="s">
        <v>2606</v>
      </c>
      <c r="C31" s="81" t="s">
        <v>2607</v>
      </c>
      <c r="D31" s="44" t="s">
        <v>2608</v>
      </c>
      <c r="E31" s="44" t="s">
        <v>348</v>
      </c>
      <c r="F31" s="146" t="s">
        <v>2534</v>
      </c>
      <c r="G31" s="147" t="s">
        <v>2195</v>
      </c>
      <c r="H31" s="141"/>
      <c r="I31" s="141"/>
      <c r="J31" s="141"/>
      <c r="K31" s="141"/>
      <c r="L31" s="141"/>
      <c r="M31" s="141"/>
      <c r="N31" s="141"/>
      <c r="O31" s="141"/>
      <c r="P31" s="141"/>
      <c r="Q31" s="141"/>
      <c r="R31" s="141"/>
      <c r="S31" s="141"/>
      <c r="T31" s="141"/>
    </row>
    <row r="32">
      <c r="A32" s="143" t="s">
        <v>2529</v>
      </c>
      <c r="B32" s="86" t="s">
        <v>2609</v>
      </c>
      <c r="C32" s="86" t="s">
        <v>2610</v>
      </c>
      <c r="D32" s="37" t="s">
        <v>2611</v>
      </c>
      <c r="E32" s="37" t="s">
        <v>1354</v>
      </c>
      <c r="F32" s="144" t="s">
        <v>2534</v>
      </c>
      <c r="G32" s="147" t="s">
        <v>2195</v>
      </c>
      <c r="H32" s="141"/>
      <c r="I32" s="141"/>
      <c r="J32" s="141"/>
      <c r="K32" s="141"/>
      <c r="L32" s="141"/>
      <c r="M32" s="141"/>
      <c r="N32" s="141"/>
      <c r="O32" s="141"/>
      <c r="P32" s="141"/>
      <c r="Q32" s="141"/>
      <c r="R32" s="141"/>
      <c r="S32" s="141"/>
      <c r="T32" s="141"/>
    </row>
    <row r="33">
      <c r="A33" s="145" t="s">
        <v>2529</v>
      </c>
      <c r="B33" s="81" t="s">
        <v>2612</v>
      </c>
      <c r="C33" s="81" t="s">
        <v>2613</v>
      </c>
      <c r="D33" s="44" t="s">
        <v>2614</v>
      </c>
      <c r="E33" s="44" t="s">
        <v>210</v>
      </c>
      <c r="F33" s="146" t="s">
        <v>2534</v>
      </c>
      <c r="G33" s="147" t="s">
        <v>2195</v>
      </c>
      <c r="H33" s="141"/>
      <c r="I33" s="141"/>
      <c r="J33" s="141"/>
      <c r="K33" s="141"/>
      <c r="L33" s="141"/>
      <c r="M33" s="141"/>
      <c r="N33" s="141"/>
      <c r="O33" s="141"/>
      <c r="P33" s="141"/>
      <c r="Q33" s="141"/>
      <c r="R33" s="141"/>
      <c r="S33" s="141"/>
      <c r="T33" s="141"/>
    </row>
    <row r="34">
      <c r="A34" s="143" t="s">
        <v>2529</v>
      </c>
      <c r="B34" s="86" t="s">
        <v>2615</v>
      </c>
      <c r="C34" s="86" t="s">
        <v>2616</v>
      </c>
      <c r="D34" s="37" t="s">
        <v>2617</v>
      </c>
      <c r="E34" s="37" t="s">
        <v>449</v>
      </c>
      <c r="F34" s="144" t="s">
        <v>2534</v>
      </c>
      <c r="G34" s="147" t="s">
        <v>2195</v>
      </c>
      <c r="H34" s="141"/>
      <c r="I34" s="141"/>
      <c r="J34" s="141"/>
      <c r="K34" s="141"/>
      <c r="L34" s="141"/>
      <c r="M34" s="141"/>
      <c r="N34" s="141"/>
      <c r="O34" s="141"/>
      <c r="P34" s="141"/>
      <c r="Q34" s="141"/>
      <c r="R34" s="141"/>
      <c r="S34" s="141"/>
      <c r="T34" s="141"/>
    </row>
    <row r="35">
      <c r="A35" s="145" t="s">
        <v>2529</v>
      </c>
      <c r="B35" s="81" t="s">
        <v>2618</v>
      </c>
      <c r="C35" s="81" t="s">
        <v>2619</v>
      </c>
      <c r="D35" s="44" t="s">
        <v>2590</v>
      </c>
      <c r="E35" s="44" t="s">
        <v>766</v>
      </c>
      <c r="F35" s="146" t="s">
        <v>2534</v>
      </c>
      <c r="G35" s="147" t="s">
        <v>2195</v>
      </c>
      <c r="H35" s="141"/>
      <c r="I35" s="141"/>
      <c r="J35" s="141"/>
      <c r="K35" s="141"/>
      <c r="L35" s="141"/>
      <c r="M35" s="141"/>
      <c r="N35" s="141"/>
      <c r="O35" s="141"/>
      <c r="P35" s="141"/>
      <c r="Q35" s="141"/>
      <c r="R35" s="141"/>
      <c r="S35" s="141"/>
      <c r="T35" s="141"/>
    </row>
    <row r="36">
      <c r="A36" s="143" t="s">
        <v>2529</v>
      </c>
      <c r="B36" s="86" t="s">
        <v>2620</v>
      </c>
      <c r="C36" s="86" t="s">
        <v>2621</v>
      </c>
      <c r="D36" s="37" t="s">
        <v>2622</v>
      </c>
      <c r="E36" s="37" t="s">
        <v>1500</v>
      </c>
      <c r="F36" s="144" t="s">
        <v>2534</v>
      </c>
      <c r="G36" s="147" t="s">
        <v>2195</v>
      </c>
      <c r="H36" s="141"/>
      <c r="I36" s="141"/>
      <c r="J36" s="141"/>
      <c r="K36" s="141"/>
      <c r="L36" s="141"/>
      <c r="M36" s="141"/>
      <c r="N36" s="141"/>
      <c r="O36" s="141"/>
      <c r="P36" s="141"/>
      <c r="Q36" s="141"/>
      <c r="R36" s="141"/>
      <c r="S36" s="141"/>
      <c r="T36" s="141"/>
    </row>
    <row r="37">
      <c r="A37" s="145" t="s">
        <v>2529</v>
      </c>
      <c r="B37" s="81" t="s">
        <v>2623</v>
      </c>
      <c r="C37" s="81" t="s">
        <v>2624</v>
      </c>
      <c r="D37" s="44" t="s">
        <v>2625</v>
      </c>
      <c r="E37" s="44" t="s">
        <v>506</v>
      </c>
      <c r="F37" s="146" t="s">
        <v>2534</v>
      </c>
      <c r="G37" s="147" t="s">
        <v>2195</v>
      </c>
      <c r="H37" s="141"/>
      <c r="I37" s="141"/>
      <c r="J37" s="141"/>
      <c r="K37" s="141"/>
      <c r="L37" s="141"/>
      <c r="M37" s="141"/>
      <c r="N37" s="141"/>
      <c r="O37" s="141"/>
      <c r="P37" s="141"/>
      <c r="Q37" s="141"/>
      <c r="R37" s="141"/>
      <c r="S37" s="141"/>
      <c r="T37" s="141"/>
    </row>
    <row r="38">
      <c r="A38" s="143" t="s">
        <v>2529</v>
      </c>
      <c r="B38" s="86" t="s">
        <v>2626</v>
      </c>
      <c r="C38" s="86" t="s">
        <v>2627</v>
      </c>
      <c r="D38" s="37" t="s">
        <v>2628</v>
      </c>
      <c r="E38" s="37" t="s">
        <v>660</v>
      </c>
      <c r="F38" s="144" t="s">
        <v>2534</v>
      </c>
      <c r="G38" s="147" t="s">
        <v>2195</v>
      </c>
      <c r="H38" s="141"/>
      <c r="I38" s="141"/>
      <c r="J38" s="141"/>
      <c r="K38" s="141"/>
      <c r="L38" s="141"/>
      <c r="M38" s="141"/>
      <c r="N38" s="141"/>
      <c r="O38" s="141"/>
      <c r="P38" s="141"/>
      <c r="Q38" s="141"/>
      <c r="R38" s="141"/>
      <c r="S38" s="141"/>
      <c r="T38" s="141"/>
    </row>
    <row r="39">
      <c r="A39" s="145" t="s">
        <v>2529</v>
      </c>
      <c r="B39" s="81" t="s">
        <v>2629</v>
      </c>
      <c r="C39" s="81" t="s">
        <v>2630</v>
      </c>
      <c r="D39" s="44" t="s">
        <v>2631</v>
      </c>
      <c r="E39" s="44" t="s">
        <v>2632</v>
      </c>
      <c r="F39" s="146" t="s">
        <v>2534</v>
      </c>
      <c r="G39" s="147" t="s">
        <v>2195</v>
      </c>
      <c r="H39" s="141"/>
      <c r="I39" s="141"/>
      <c r="J39" s="141"/>
      <c r="K39" s="141"/>
      <c r="L39" s="141"/>
      <c r="M39" s="141"/>
      <c r="N39" s="141"/>
      <c r="O39" s="141"/>
      <c r="P39" s="141"/>
      <c r="Q39" s="141"/>
      <c r="R39" s="141"/>
      <c r="S39" s="141"/>
      <c r="T39" s="141"/>
    </row>
    <row r="40">
      <c r="A40" s="143" t="s">
        <v>2529</v>
      </c>
      <c r="B40" s="86" t="s">
        <v>2633</v>
      </c>
      <c r="C40" s="86" t="s">
        <v>2634</v>
      </c>
      <c r="D40" s="37" t="s">
        <v>2605</v>
      </c>
      <c r="E40" s="37" t="s">
        <v>875</v>
      </c>
      <c r="F40" s="144" t="s">
        <v>2534</v>
      </c>
      <c r="G40" s="147" t="s">
        <v>2195</v>
      </c>
      <c r="H40" s="141"/>
      <c r="I40" s="141"/>
      <c r="J40" s="141"/>
      <c r="K40" s="141"/>
      <c r="L40" s="141"/>
      <c r="M40" s="141"/>
      <c r="N40" s="141"/>
      <c r="O40" s="141"/>
      <c r="P40" s="141"/>
      <c r="Q40" s="141"/>
      <c r="R40" s="141"/>
      <c r="S40" s="141"/>
      <c r="T40" s="141"/>
    </row>
    <row r="41">
      <c r="A41" s="145" t="s">
        <v>2529</v>
      </c>
      <c r="B41" s="81" t="s">
        <v>2635</v>
      </c>
      <c r="C41" s="81" t="s">
        <v>2636</v>
      </c>
      <c r="D41" s="44" t="s">
        <v>2637</v>
      </c>
      <c r="E41" s="44" t="s">
        <v>2638</v>
      </c>
      <c r="F41" s="146" t="s">
        <v>2534</v>
      </c>
      <c r="G41" s="147" t="s">
        <v>2195</v>
      </c>
      <c r="H41" s="141"/>
      <c r="I41" s="141"/>
      <c r="J41" s="141"/>
      <c r="K41" s="141"/>
      <c r="L41" s="141"/>
      <c r="M41" s="141"/>
      <c r="N41" s="141"/>
      <c r="O41" s="141"/>
      <c r="P41" s="141"/>
      <c r="Q41" s="141"/>
      <c r="R41" s="141"/>
      <c r="S41" s="141"/>
      <c r="T41" s="141"/>
    </row>
    <row r="42">
      <c r="A42" s="143" t="s">
        <v>2529</v>
      </c>
      <c r="B42" s="86" t="s">
        <v>2639</v>
      </c>
      <c r="C42" s="86" t="s">
        <v>2640</v>
      </c>
      <c r="D42" s="37" t="s">
        <v>2600</v>
      </c>
      <c r="E42" s="37" t="s">
        <v>779</v>
      </c>
      <c r="F42" s="144" t="s">
        <v>2534</v>
      </c>
      <c r="G42" s="147" t="s">
        <v>2195</v>
      </c>
      <c r="H42" s="141"/>
      <c r="I42" s="141"/>
      <c r="J42" s="141"/>
      <c r="K42" s="141"/>
      <c r="L42" s="141"/>
      <c r="M42" s="141"/>
      <c r="N42" s="141"/>
      <c r="O42" s="141"/>
      <c r="P42" s="141"/>
      <c r="Q42" s="141"/>
      <c r="R42" s="141"/>
      <c r="S42" s="141"/>
      <c r="T42" s="141"/>
    </row>
    <row r="43">
      <c r="A43" s="145" t="s">
        <v>2529</v>
      </c>
      <c r="B43" s="81" t="s">
        <v>2641</v>
      </c>
      <c r="C43" s="81" t="s">
        <v>2642</v>
      </c>
      <c r="D43" s="44" t="s">
        <v>2643</v>
      </c>
      <c r="E43" s="44" t="s">
        <v>606</v>
      </c>
      <c r="F43" s="146" t="s">
        <v>2534</v>
      </c>
      <c r="G43" s="147" t="s">
        <v>2195</v>
      </c>
      <c r="H43" s="141"/>
      <c r="I43" s="141"/>
      <c r="J43" s="141"/>
      <c r="K43" s="141"/>
      <c r="L43" s="141"/>
      <c r="M43" s="141"/>
      <c r="N43" s="141"/>
      <c r="O43" s="141"/>
      <c r="P43" s="141"/>
      <c r="Q43" s="141"/>
      <c r="R43" s="141"/>
      <c r="S43" s="141"/>
      <c r="T43" s="141"/>
    </row>
    <row r="44">
      <c r="A44" s="143" t="s">
        <v>2529</v>
      </c>
      <c r="B44" s="86" t="s">
        <v>2644</v>
      </c>
      <c r="C44" s="86" t="s">
        <v>2645</v>
      </c>
      <c r="D44" s="37" t="s">
        <v>2600</v>
      </c>
      <c r="E44" s="37" t="s">
        <v>779</v>
      </c>
      <c r="F44" s="144" t="s">
        <v>2534</v>
      </c>
      <c r="G44" s="147" t="s">
        <v>2195</v>
      </c>
      <c r="H44" s="141"/>
      <c r="I44" s="141"/>
      <c r="J44" s="141"/>
      <c r="K44" s="141"/>
      <c r="L44" s="141"/>
      <c r="M44" s="141"/>
      <c r="N44" s="141"/>
      <c r="O44" s="141"/>
      <c r="P44" s="141"/>
      <c r="Q44" s="141"/>
      <c r="R44" s="141"/>
      <c r="S44" s="141"/>
      <c r="T44" s="141"/>
    </row>
    <row r="45">
      <c r="A45" s="145" t="s">
        <v>2529</v>
      </c>
      <c r="B45" s="81" t="s">
        <v>2646</v>
      </c>
      <c r="C45" s="81" t="s">
        <v>2647</v>
      </c>
      <c r="D45" s="44" t="s">
        <v>2600</v>
      </c>
      <c r="E45" s="44" t="s">
        <v>779</v>
      </c>
      <c r="F45" s="146" t="s">
        <v>2534</v>
      </c>
      <c r="G45" s="147" t="s">
        <v>2195</v>
      </c>
      <c r="H45" s="141"/>
      <c r="I45" s="141"/>
      <c r="J45" s="141"/>
      <c r="K45" s="141"/>
      <c r="L45" s="141"/>
      <c r="M45" s="141"/>
      <c r="N45" s="141"/>
      <c r="O45" s="141"/>
      <c r="P45" s="141"/>
      <c r="Q45" s="141"/>
      <c r="R45" s="141"/>
      <c r="S45" s="141"/>
      <c r="T45" s="141"/>
    </row>
    <row r="46">
      <c r="A46" s="143" t="s">
        <v>2529</v>
      </c>
      <c r="B46" s="86" t="s">
        <v>2648</v>
      </c>
      <c r="C46" s="86" t="s">
        <v>2649</v>
      </c>
      <c r="D46" s="37" t="s">
        <v>2594</v>
      </c>
      <c r="E46" s="37" t="s">
        <v>737</v>
      </c>
      <c r="F46" s="144" t="s">
        <v>2534</v>
      </c>
      <c r="G46" s="147" t="s">
        <v>2195</v>
      </c>
      <c r="H46" s="141"/>
      <c r="I46" s="141"/>
      <c r="J46" s="141"/>
      <c r="K46" s="141"/>
      <c r="L46" s="141"/>
      <c r="M46" s="141"/>
      <c r="N46" s="141"/>
      <c r="O46" s="141"/>
      <c r="P46" s="141"/>
      <c r="Q46" s="141"/>
      <c r="R46" s="141"/>
      <c r="S46" s="141"/>
      <c r="T46" s="141"/>
    </row>
    <row r="47">
      <c r="A47" s="145" t="s">
        <v>2529</v>
      </c>
      <c r="B47" s="81" t="s">
        <v>2650</v>
      </c>
      <c r="C47" s="81" t="s">
        <v>2651</v>
      </c>
      <c r="D47" s="44" t="s">
        <v>2597</v>
      </c>
      <c r="E47" s="44" t="s">
        <v>932</v>
      </c>
      <c r="F47" s="146" t="s">
        <v>2534</v>
      </c>
      <c r="G47" s="147" t="s">
        <v>2195</v>
      </c>
      <c r="H47" s="141"/>
      <c r="I47" s="141"/>
      <c r="J47" s="141"/>
      <c r="K47" s="141"/>
      <c r="L47" s="141"/>
      <c r="M47" s="141"/>
      <c r="N47" s="141"/>
      <c r="O47" s="141"/>
      <c r="P47" s="141"/>
      <c r="Q47" s="141"/>
      <c r="R47" s="141"/>
      <c r="S47" s="141"/>
      <c r="T47" s="141"/>
    </row>
    <row r="48">
      <c r="A48" s="143" t="s">
        <v>2529</v>
      </c>
      <c r="B48" s="86" t="s">
        <v>2652</v>
      </c>
      <c r="C48" s="86" t="s">
        <v>2653</v>
      </c>
      <c r="D48" s="37" t="s">
        <v>2600</v>
      </c>
      <c r="E48" s="37" t="s">
        <v>779</v>
      </c>
      <c r="F48" s="144" t="s">
        <v>2534</v>
      </c>
      <c r="G48" s="147" t="s">
        <v>2195</v>
      </c>
      <c r="H48" s="141"/>
      <c r="I48" s="141"/>
      <c r="J48" s="141"/>
      <c r="K48" s="141"/>
      <c r="L48" s="141"/>
      <c r="M48" s="141"/>
      <c r="N48" s="141"/>
      <c r="O48" s="141"/>
      <c r="P48" s="141"/>
      <c r="Q48" s="141"/>
      <c r="R48" s="141"/>
      <c r="S48" s="141"/>
      <c r="T48" s="141"/>
    </row>
    <row r="49">
      <c r="A49" s="145" t="s">
        <v>2529</v>
      </c>
      <c r="B49" s="81" t="s">
        <v>2654</v>
      </c>
      <c r="C49" s="81" t="s">
        <v>2655</v>
      </c>
      <c r="D49" s="44" t="s">
        <v>2600</v>
      </c>
      <c r="E49" s="44" t="s">
        <v>779</v>
      </c>
      <c r="F49" s="146" t="s">
        <v>2534</v>
      </c>
      <c r="G49" s="147" t="s">
        <v>2195</v>
      </c>
      <c r="H49" s="141"/>
      <c r="I49" s="141"/>
      <c r="J49" s="141"/>
      <c r="K49" s="141"/>
      <c r="L49" s="141"/>
      <c r="M49" s="141"/>
      <c r="N49" s="141"/>
      <c r="O49" s="141"/>
      <c r="P49" s="141"/>
      <c r="Q49" s="141"/>
      <c r="R49" s="141"/>
      <c r="S49" s="141"/>
      <c r="T49" s="141"/>
    </row>
    <row r="50">
      <c r="A50" s="143" t="s">
        <v>2529</v>
      </c>
      <c r="B50" s="86" t="s">
        <v>2656</v>
      </c>
      <c r="C50" s="86" t="s">
        <v>2657</v>
      </c>
      <c r="D50" s="37" t="s">
        <v>2600</v>
      </c>
      <c r="E50" s="37" t="s">
        <v>779</v>
      </c>
      <c r="F50" s="144" t="s">
        <v>2534</v>
      </c>
      <c r="G50" s="147" t="s">
        <v>2195</v>
      </c>
      <c r="H50" s="141"/>
      <c r="I50" s="141"/>
      <c r="J50" s="141"/>
      <c r="K50" s="141"/>
      <c r="L50" s="141"/>
      <c r="M50" s="141"/>
      <c r="N50" s="141"/>
      <c r="O50" s="141"/>
      <c r="P50" s="141"/>
      <c r="Q50" s="141"/>
      <c r="R50" s="141"/>
      <c r="S50" s="141"/>
      <c r="T50" s="141"/>
    </row>
    <row r="51">
      <c r="A51" s="145" t="s">
        <v>2529</v>
      </c>
      <c r="B51" s="81" t="s">
        <v>2658</v>
      </c>
      <c r="C51" s="81" t="s">
        <v>2659</v>
      </c>
      <c r="D51" s="44" t="s">
        <v>2022</v>
      </c>
      <c r="E51" s="44" t="s">
        <v>412</v>
      </c>
      <c r="F51" s="146" t="s">
        <v>2534</v>
      </c>
      <c r="G51" s="147" t="s">
        <v>2195</v>
      </c>
      <c r="H51" s="141"/>
      <c r="I51" s="141"/>
      <c r="J51" s="141"/>
      <c r="K51" s="141"/>
      <c r="L51" s="141"/>
      <c r="M51" s="141"/>
      <c r="N51" s="141"/>
      <c r="O51" s="141"/>
      <c r="P51" s="141"/>
      <c r="Q51" s="141"/>
      <c r="R51" s="141"/>
      <c r="S51" s="141"/>
      <c r="T51" s="141"/>
    </row>
    <row r="52">
      <c r="A52" s="143" t="s">
        <v>2529</v>
      </c>
      <c r="B52" s="86" t="s">
        <v>2660</v>
      </c>
      <c r="C52" s="86" t="s">
        <v>2661</v>
      </c>
      <c r="D52" s="37" t="s">
        <v>2662</v>
      </c>
      <c r="E52" s="37" t="s">
        <v>224</v>
      </c>
      <c r="F52" s="144" t="s">
        <v>2534</v>
      </c>
      <c r="G52" s="147" t="s">
        <v>2195</v>
      </c>
      <c r="H52" s="141"/>
      <c r="I52" s="141"/>
      <c r="J52" s="141"/>
      <c r="K52" s="141"/>
      <c r="L52" s="141"/>
      <c r="M52" s="141"/>
      <c r="N52" s="141"/>
      <c r="O52" s="141"/>
      <c r="P52" s="141"/>
      <c r="Q52" s="141"/>
      <c r="R52" s="141"/>
      <c r="S52" s="141"/>
      <c r="T52" s="141"/>
    </row>
    <row r="53">
      <c r="A53" s="145" t="s">
        <v>2529</v>
      </c>
      <c r="B53" s="81" t="s">
        <v>2663</v>
      </c>
      <c r="C53" s="81" t="s">
        <v>2664</v>
      </c>
      <c r="D53" s="44" t="s">
        <v>2665</v>
      </c>
      <c r="E53" s="44" t="s">
        <v>955</v>
      </c>
      <c r="F53" s="146" t="s">
        <v>2534</v>
      </c>
      <c r="G53" s="147" t="s">
        <v>2195</v>
      </c>
      <c r="H53" s="141"/>
      <c r="I53" s="141"/>
      <c r="J53" s="141"/>
      <c r="K53" s="141"/>
      <c r="L53" s="141"/>
      <c r="M53" s="141"/>
      <c r="N53" s="141"/>
      <c r="O53" s="141"/>
      <c r="P53" s="141"/>
      <c r="Q53" s="141"/>
      <c r="R53" s="141"/>
      <c r="S53" s="141"/>
      <c r="T53" s="141"/>
    </row>
    <row r="54">
      <c r="A54" s="143" t="s">
        <v>2529</v>
      </c>
      <c r="B54" s="86" t="s">
        <v>2666</v>
      </c>
      <c r="C54" s="86" t="s">
        <v>2667</v>
      </c>
      <c r="D54" s="37" t="s">
        <v>2611</v>
      </c>
      <c r="E54" s="37" t="s">
        <v>1354</v>
      </c>
      <c r="F54" s="144" t="s">
        <v>2534</v>
      </c>
      <c r="G54" s="147" t="s">
        <v>2195</v>
      </c>
      <c r="H54" s="141"/>
      <c r="I54" s="141"/>
      <c r="J54" s="141"/>
      <c r="K54" s="141"/>
      <c r="L54" s="141"/>
      <c r="M54" s="141"/>
      <c r="N54" s="141"/>
      <c r="O54" s="141"/>
      <c r="P54" s="141"/>
      <c r="Q54" s="141"/>
      <c r="R54" s="141"/>
      <c r="S54" s="141"/>
      <c r="T54" s="141"/>
    </row>
    <row r="55">
      <c r="A55" s="145" t="s">
        <v>2529</v>
      </c>
      <c r="B55" s="81" t="s">
        <v>2668</v>
      </c>
      <c r="C55" s="81" t="s">
        <v>2669</v>
      </c>
      <c r="D55" s="44" t="s">
        <v>2670</v>
      </c>
      <c r="E55" s="44" t="s">
        <v>2671</v>
      </c>
      <c r="F55" s="146" t="s">
        <v>2534</v>
      </c>
      <c r="G55" s="147" t="s">
        <v>2195</v>
      </c>
      <c r="H55" s="141"/>
      <c r="I55" s="141"/>
      <c r="J55" s="141"/>
      <c r="K55" s="141"/>
      <c r="L55" s="141"/>
      <c r="M55" s="141"/>
      <c r="N55" s="141"/>
      <c r="O55" s="141"/>
      <c r="P55" s="141"/>
      <c r="Q55" s="141"/>
      <c r="R55" s="141"/>
      <c r="S55" s="141"/>
      <c r="T55" s="141"/>
    </row>
    <row r="56">
      <c r="A56" s="143" t="s">
        <v>2529</v>
      </c>
      <c r="B56" s="86" t="s">
        <v>2672</v>
      </c>
      <c r="C56" s="86" t="s">
        <v>2673</v>
      </c>
      <c r="D56" s="37" t="s">
        <v>2674</v>
      </c>
      <c r="E56" s="37" t="s">
        <v>156</v>
      </c>
      <c r="F56" s="144" t="s">
        <v>2534</v>
      </c>
      <c r="G56" s="147" t="s">
        <v>2195</v>
      </c>
      <c r="H56" s="141"/>
      <c r="I56" s="141"/>
      <c r="J56" s="141"/>
      <c r="K56" s="141"/>
      <c r="L56" s="141"/>
      <c r="M56" s="141"/>
      <c r="N56" s="141"/>
      <c r="O56" s="141"/>
      <c r="P56" s="141"/>
      <c r="Q56" s="141"/>
      <c r="R56" s="141"/>
      <c r="S56" s="141"/>
      <c r="T56" s="141"/>
    </row>
    <row r="57">
      <c r="A57" s="145" t="s">
        <v>2529</v>
      </c>
      <c r="B57" s="81" t="s">
        <v>2675</v>
      </c>
      <c r="C57" s="81" t="s">
        <v>2676</v>
      </c>
      <c r="D57" s="44" t="s">
        <v>2677</v>
      </c>
      <c r="E57" s="44" t="s">
        <v>228</v>
      </c>
      <c r="F57" s="146" t="s">
        <v>2534</v>
      </c>
      <c r="G57" s="147" t="s">
        <v>2195</v>
      </c>
      <c r="H57" s="141"/>
      <c r="I57" s="141"/>
      <c r="J57" s="141"/>
      <c r="K57" s="141"/>
      <c r="L57" s="141"/>
      <c r="M57" s="141"/>
      <c r="N57" s="141"/>
      <c r="O57" s="141"/>
      <c r="P57" s="141"/>
      <c r="Q57" s="141"/>
      <c r="R57" s="141"/>
      <c r="S57" s="141"/>
      <c r="T57" s="141"/>
    </row>
    <row r="58">
      <c r="A58" s="143" t="s">
        <v>2529</v>
      </c>
      <c r="B58" s="86" t="s">
        <v>2678</v>
      </c>
      <c r="C58" s="86" t="s">
        <v>2679</v>
      </c>
      <c r="D58" s="37" t="s">
        <v>2674</v>
      </c>
      <c r="E58" s="37" t="s">
        <v>156</v>
      </c>
      <c r="F58" s="144" t="s">
        <v>2534</v>
      </c>
      <c r="G58" s="147" t="s">
        <v>2195</v>
      </c>
      <c r="H58" s="141"/>
      <c r="I58" s="141"/>
      <c r="J58" s="141"/>
      <c r="K58" s="141"/>
      <c r="L58" s="141"/>
      <c r="M58" s="141"/>
      <c r="N58" s="141"/>
      <c r="O58" s="141"/>
      <c r="P58" s="141"/>
      <c r="Q58" s="141"/>
      <c r="R58" s="141"/>
      <c r="S58" s="141"/>
      <c r="T58" s="141"/>
    </row>
    <row r="59">
      <c r="A59" s="145" t="s">
        <v>2529</v>
      </c>
      <c r="B59" s="81" t="s">
        <v>2680</v>
      </c>
      <c r="C59" s="81" t="s">
        <v>2681</v>
      </c>
      <c r="D59" s="44" t="s">
        <v>2542</v>
      </c>
      <c r="E59" s="44" t="s">
        <v>2543</v>
      </c>
      <c r="F59" s="146" t="s">
        <v>2534</v>
      </c>
      <c r="G59" s="147" t="s">
        <v>2195</v>
      </c>
      <c r="H59" s="141"/>
      <c r="I59" s="141"/>
      <c r="J59" s="141"/>
      <c r="K59" s="141"/>
      <c r="L59" s="141"/>
      <c r="M59" s="141"/>
      <c r="N59" s="141"/>
      <c r="O59" s="141"/>
      <c r="P59" s="141"/>
      <c r="Q59" s="141"/>
      <c r="R59" s="141"/>
      <c r="S59" s="141"/>
      <c r="T59" s="141"/>
    </row>
    <row r="60">
      <c r="A60" s="143" t="s">
        <v>2529</v>
      </c>
      <c r="B60" s="86" t="s">
        <v>2682</v>
      </c>
      <c r="C60" s="86" t="s">
        <v>2683</v>
      </c>
      <c r="D60" s="37" t="s">
        <v>2684</v>
      </c>
      <c r="E60" s="37" t="s">
        <v>1518</v>
      </c>
      <c r="F60" s="144" t="s">
        <v>2534</v>
      </c>
      <c r="G60" s="147" t="s">
        <v>2195</v>
      </c>
      <c r="H60" s="141"/>
      <c r="I60" s="141"/>
      <c r="J60" s="141"/>
      <c r="K60" s="141"/>
      <c r="L60" s="141"/>
      <c r="M60" s="141"/>
      <c r="N60" s="141"/>
      <c r="O60" s="141"/>
      <c r="P60" s="141"/>
      <c r="Q60" s="141"/>
      <c r="R60" s="141"/>
      <c r="S60" s="141"/>
      <c r="T60" s="141"/>
    </row>
    <row r="61">
      <c r="A61" s="145" t="s">
        <v>2529</v>
      </c>
      <c r="B61" s="81" t="s">
        <v>2685</v>
      </c>
      <c r="C61" s="81" t="s">
        <v>2686</v>
      </c>
      <c r="D61" s="44" t="s">
        <v>2687</v>
      </c>
      <c r="E61" s="44" t="s">
        <v>470</v>
      </c>
      <c r="F61" s="146" t="s">
        <v>2534</v>
      </c>
      <c r="G61" s="147" t="s">
        <v>2195</v>
      </c>
      <c r="H61" s="141"/>
      <c r="I61" s="141"/>
      <c r="J61" s="141"/>
      <c r="K61" s="141"/>
      <c r="L61" s="141"/>
      <c r="M61" s="141"/>
      <c r="N61" s="141"/>
      <c r="O61" s="141"/>
      <c r="P61" s="141"/>
      <c r="Q61" s="141"/>
      <c r="R61" s="141"/>
      <c r="S61" s="141"/>
      <c r="T61" s="141"/>
    </row>
    <row r="62">
      <c r="A62" s="143" t="s">
        <v>2529</v>
      </c>
      <c r="B62" s="86" t="s">
        <v>2688</v>
      </c>
      <c r="C62" s="86" t="s">
        <v>2689</v>
      </c>
      <c r="D62" s="37" t="s">
        <v>2614</v>
      </c>
      <c r="E62" s="37" t="s">
        <v>210</v>
      </c>
      <c r="F62" s="144" t="s">
        <v>2534</v>
      </c>
      <c r="G62" s="147" t="s">
        <v>2195</v>
      </c>
      <c r="H62" s="141"/>
      <c r="I62" s="141"/>
      <c r="J62" s="141"/>
      <c r="K62" s="141"/>
      <c r="L62" s="141"/>
      <c r="M62" s="141"/>
      <c r="N62" s="141"/>
      <c r="O62" s="141"/>
      <c r="P62" s="141"/>
      <c r="Q62" s="141"/>
      <c r="R62" s="141"/>
      <c r="S62" s="141"/>
      <c r="T62" s="141"/>
    </row>
    <row r="63">
      <c r="A63" s="145" t="s">
        <v>2529</v>
      </c>
      <c r="B63" s="81" t="s">
        <v>2690</v>
      </c>
      <c r="C63" s="81" t="s">
        <v>2691</v>
      </c>
      <c r="D63" s="44" t="s">
        <v>2600</v>
      </c>
      <c r="E63" s="44" t="s">
        <v>779</v>
      </c>
      <c r="F63" s="146" t="s">
        <v>2534</v>
      </c>
      <c r="G63" s="147" t="s">
        <v>2195</v>
      </c>
      <c r="H63" s="141"/>
      <c r="I63" s="141"/>
      <c r="J63" s="141"/>
      <c r="K63" s="141"/>
      <c r="L63" s="141"/>
      <c r="M63" s="141"/>
      <c r="N63" s="141"/>
      <c r="O63" s="141"/>
      <c r="P63" s="141"/>
      <c r="Q63" s="141"/>
      <c r="R63" s="141"/>
      <c r="S63" s="141"/>
      <c r="T63" s="141"/>
    </row>
    <row r="64">
      <c r="A64" s="143" t="s">
        <v>2529</v>
      </c>
      <c r="B64" s="86" t="s">
        <v>2692</v>
      </c>
      <c r="C64" s="86" t="s">
        <v>2693</v>
      </c>
      <c r="D64" s="37" t="s">
        <v>2694</v>
      </c>
      <c r="E64" s="37"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Menor a 5</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Menor a 5</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Menor a 5</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Mayor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Mayor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8"/>
      <c r="D2" s="55"/>
      <c r="E2" s="114"/>
      <c r="F2" s="133"/>
      <c r="G2" s="108"/>
    </row>
    <row r="3" ht="15.75" customHeight="1">
      <c r="A3" s="161" t="s">
        <v>3294</v>
      </c>
      <c r="B3" s="162" t="s">
        <v>3295</v>
      </c>
      <c r="C3" s="163" t="s">
        <v>3296</v>
      </c>
      <c r="D3" s="102" t="s">
        <v>3297</v>
      </c>
      <c r="E3" s="102" t="s">
        <v>3298</v>
      </c>
      <c r="F3" s="164">
        <v>0.21</v>
      </c>
      <c r="G3" s="165" t="str">
        <f>VLOOKUP("MIC-UASD-1",STOCK!$B$2:$Q$3668,3,FALSE)</f>
        <v>Menor a 5</v>
      </c>
    </row>
    <row r="4" ht="15.75" customHeight="1">
      <c r="A4" s="166" t="s">
        <v>3294</v>
      </c>
      <c r="B4" s="167" t="s">
        <v>3299</v>
      </c>
      <c r="C4" s="168" t="s">
        <v>3300</v>
      </c>
      <c r="D4" s="105" t="s">
        <v>3301</v>
      </c>
      <c r="E4" s="105"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5" t="s">
        <v>3309</v>
      </c>
      <c r="E6" s="105"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5" t="s">
        <v>3317</v>
      </c>
      <c r="E8" s="105"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5" t="s">
        <v>3325</v>
      </c>
      <c r="E10" s="105"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5" t="s">
        <v>3333</v>
      </c>
      <c r="E12" s="105" t="s">
        <v>3334</v>
      </c>
      <c r="F12" s="106">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5" t="s">
        <v>3341</v>
      </c>
      <c r="E14" s="105" t="s">
        <v>3342</v>
      </c>
      <c r="F14" s="106">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5" t="s">
        <v>3348</v>
      </c>
      <c r="E17" s="105" t="s">
        <v>3302</v>
      </c>
      <c r="F17" s="106">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5" t="s">
        <v>3348</v>
      </c>
      <c r="E19" s="105" t="s">
        <v>3302</v>
      </c>
      <c r="F19" s="106">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5" t="s">
        <v>3348</v>
      </c>
      <c r="E21" s="105" t="s">
        <v>3302</v>
      </c>
      <c r="F21" s="106">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5" t="s">
        <v>3348</v>
      </c>
      <c r="E23" s="105" t="s">
        <v>3302</v>
      </c>
      <c r="F23" s="106">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5" t="s">
        <v>3348</v>
      </c>
      <c r="E25" s="105" t="s">
        <v>3302</v>
      </c>
      <c r="F25" s="106">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5" t="s">
        <v>3370</v>
      </c>
      <c r="E27" s="105" t="s">
        <v>3371</v>
      </c>
      <c r="F27" s="106">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5" t="s">
        <v>3376</v>
      </c>
      <c r="E29" s="105" t="s">
        <v>3377</v>
      </c>
      <c r="F29" s="106">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5" t="s">
        <v>3376</v>
      </c>
      <c r="E31" s="105" t="s">
        <v>3377</v>
      </c>
      <c r="F31" s="106">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5" t="s">
        <v>3387</v>
      </c>
      <c r="E33" s="105" t="s">
        <v>3388</v>
      </c>
      <c r="F33" s="106">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5" t="s">
        <v>3395</v>
      </c>
      <c r="E36" s="105" t="s">
        <v>3396</v>
      </c>
      <c r="F36" s="106">
        <v>0.105</v>
      </c>
      <c r="G36" s="50" t="str">
        <f>IFERROR(VLOOKUP("APX16DG2-ULT",STOCK!B7:Q3673,3,FALSE),"SIN STOCK")</f>
        <v>Menor a 5</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5" t="s">
        <v>3401</v>
      </c>
      <c r="E38" s="105" t="s">
        <v>3402</v>
      </c>
      <c r="F38" s="106">
        <v>0.105</v>
      </c>
      <c r="G38" s="50" t="str">
        <f>IFERROR(VLOOKUP("APE1X",STOCK!B8:Q3674,3,FALSE),"SIN STOCK")</f>
        <v>Menor a 5</v>
      </c>
    </row>
    <row r="39" ht="15.75" customHeight="1">
      <c r="A39" s="29" t="s">
        <v>3403</v>
      </c>
      <c r="C39" s="174"/>
      <c r="D39" s="55"/>
      <c r="E39" s="55"/>
      <c r="F39" s="133"/>
      <c r="G39" s="108"/>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5" t="s">
        <v>3337</v>
      </c>
      <c r="E41" s="105" t="s">
        <v>3338</v>
      </c>
      <c r="F41" s="106">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5" t="s">
        <v>3416</v>
      </c>
      <c r="E43" s="105" t="s">
        <v>3417</v>
      </c>
      <c r="F43" s="106">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5" t="s">
        <v>3424</v>
      </c>
      <c r="E45" s="105" t="s">
        <v>3425</v>
      </c>
      <c r="F45" s="106">
        <v>0.105</v>
      </c>
      <c r="G45" s="50" t="str">
        <f>IFERROR(VLOOKUP("APX16G2-ESS",STOCK!B14:Q3680,3,FALSE),"SIN STOCK")</f>
        <v>Menor a 5</v>
      </c>
    </row>
    <row r="46" ht="15.75" customHeight="1">
      <c r="A46" s="29" t="s">
        <v>3426</v>
      </c>
      <c r="C46" s="174"/>
      <c r="D46" s="55"/>
      <c r="E46" s="55"/>
      <c r="F46" s="133"/>
      <c r="G46" s="108"/>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5" t="s">
        <v>3333</v>
      </c>
      <c r="E48" s="105" t="s">
        <v>3334</v>
      </c>
      <c r="F48" s="106">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5" t="s">
        <v>3437</v>
      </c>
      <c r="E50" s="105" t="s">
        <v>3438</v>
      </c>
      <c r="F50" s="106">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5" t="s">
        <v>3445</v>
      </c>
      <c r="E52" s="105" t="s">
        <v>3446</v>
      </c>
      <c r="F52" s="106">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5" t="s">
        <v>3453</v>
      </c>
      <c r="E54" s="105" t="s">
        <v>3454</v>
      </c>
      <c r="F54" s="106">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5" t="s">
        <v>3461</v>
      </c>
      <c r="E56" s="105" t="s">
        <v>3462</v>
      </c>
      <c r="F56" s="106">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5" t="s">
        <v>3467</v>
      </c>
      <c r="E58" s="105" t="s">
        <v>3468</v>
      </c>
      <c r="F58" s="106">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SIN STOCK</v>
      </c>
    </row>
    <row r="62" ht="15.75" customHeight="1">
      <c r="A62" s="166" t="s">
        <v>3294</v>
      </c>
      <c r="B62" s="167" t="s">
        <v>3474</v>
      </c>
      <c r="C62" s="168" t="s">
        <v>3475</v>
      </c>
      <c r="D62" s="105" t="s">
        <v>3429</v>
      </c>
      <c r="E62" s="105" t="s">
        <v>3430</v>
      </c>
      <c r="F62" s="106">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SIN STOCK</v>
      </c>
    </row>
    <row r="64" ht="15.75" customHeight="1">
      <c r="A64" s="166" t="s">
        <v>3294</v>
      </c>
      <c r="B64" s="167" t="s">
        <v>3478</v>
      </c>
      <c r="C64" s="168" t="s">
        <v>3479</v>
      </c>
      <c r="D64" s="105" t="s">
        <v>3480</v>
      </c>
      <c r="E64" s="105" t="s">
        <v>3481</v>
      </c>
      <c r="F64" s="106">
        <v>0.105</v>
      </c>
      <c r="G64" s="39" t="str">
        <f>VLOOKUP("VOLT1",STOCK!$B$2:$Q$3668,3,FALSE)</f>
        <v>Menor a 5</v>
      </c>
    </row>
    <row r="65" ht="15.75" customHeight="1">
      <c r="A65" s="161" t="s">
        <v>3294</v>
      </c>
      <c r="B65" s="180" t="s">
        <v>3482</v>
      </c>
      <c r="C65" s="163" t="s">
        <v>3483</v>
      </c>
      <c r="D65" s="102" t="s">
        <v>3484</v>
      </c>
      <c r="E65" s="102" t="s">
        <v>3485</v>
      </c>
      <c r="F65" s="173">
        <v>0.105</v>
      </c>
      <c r="G65" s="39" t="str">
        <f>VLOOKUP("VOLT2",STOCK!$B$2:$Q$3668,3,FALSE)</f>
        <v>SIN STOCK</v>
      </c>
    </row>
    <row r="66" ht="15.75" customHeight="1">
      <c r="A66" s="166" t="s">
        <v>3294</v>
      </c>
      <c r="B66" s="167" t="s">
        <v>3486</v>
      </c>
      <c r="C66" s="168" t="s">
        <v>3487</v>
      </c>
      <c r="D66" s="105" t="s">
        <v>3488</v>
      </c>
      <c r="E66" s="105" t="s">
        <v>3489</v>
      </c>
      <c r="F66" s="106">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5" t="s">
        <v>3494</v>
      </c>
      <c r="E68" s="105" t="s">
        <v>3298</v>
      </c>
      <c r="F68" s="106">
        <v>0.105</v>
      </c>
      <c r="G68" s="39" t="str">
        <f>VLOOKUP("VOLT276",STOCK!$B$2:$Q$3668,3,FALSE)</f>
        <v>Mayor a 5</v>
      </c>
    </row>
    <row r="69" ht="15.75" customHeight="1">
      <c r="A69" s="161" t="s">
        <v>3294</v>
      </c>
      <c r="B69" s="172" t="s">
        <v>3495</v>
      </c>
      <c r="C69" s="163" t="s">
        <v>3496</v>
      </c>
      <c r="D69" s="102" t="s">
        <v>3497</v>
      </c>
      <c r="E69" s="102" t="s">
        <v>3498</v>
      </c>
      <c r="F69" s="173">
        <v>0.105</v>
      </c>
      <c r="G69" s="53" t="str">
        <f>VLOOKUP("VOLT476",STOCK!$B$2:$Q$3668,3,FALSE)</f>
        <v>Menor a 5</v>
      </c>
    </row>
    <row r="70" ht="15.75" customHeight="1">
      <c r="A70" s="166" t="s">
        <v>3294</v>
      </c>
      <c r="B70" s="167" t="s">
        <v>3499</v>
      </c>
      <c r="C70" s="168" t="s">
        <v>3500</v>
      </c>
      <c r="D70" s="105" t="s">
        <v>3501</v>
      </c>
      <c r="E70" s="105" t="s">
        <v>3502</v>
      </c>
      <c r="F70" s="106">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5" t="s">
        <v>3497</v>
      </c>
      <c r="E72" s="105" t="s">
        <v>3498</v>
      </c>
      <c r="F72" s="106">
        <v>0.105</v>
      </c>
      <c r="G72" s="50" t="str">
        <f>VLOOKUP("VOLT-SB276",STOCK!$B$2:$Q$3668,3,FALSE)</f>
        <v>SIN STOCK</v>
      </c>
    </row>
    <row r="73" ht="15.75" customHeight="1">
      <c r="A73" s="29" t="s">
        <v>3509</v>
      </c>
      <c r="C73" s="174"/>
      <c r="D73" s="55"/>
      <c r="E73" s="55"/>
      <c r="F73" s="133"/>
      <c r="G73" s="108"/>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5" t="s">
        <v>3514</v>
      </c>
      <c r="E75" s="105" t="s">
        <v>3515</v>
      </c>
      <c r="F75" s="106">
        <v>0.105</v>
      </c>
      <c r="G75" s="50" t="str">
        <f>VLOOKUP("TB3SATO-C",STOCK!$B$2:$Q$3668,3,FALSE)</f>
        <v>SIN STOCK</v>
      </c>
    </row>
    <row r="76" ht="15.75" customHeight="1">
      <c r="A76" s="29" t="s">
        <v>3516</v>
      </c>
      <c r="C76" s="174"/>
      <c r="D76" s="55"/>
      <c r="E76" s="55"/>
      <c r="F76" s="133"/>
      <c r="G76" s="108"/>
    </row>
    <row r="77" ht="15.75" customHeight="1">
      <c r="A77" s="166" t="s">
        <v>3294</v>
      </c>
      <c r="B77" s="167" t="s">
        <v>3517</v>
      </c>
      <c r="C77" s="168" t="s">
        <v>3518</v>
      </c>
      <c r="D77" s="105" t="s">
        <v>3514</v>
      </c>
      <c r="E77" s="105" t="s">
        <v>3515</v>
      </c>
      <c r="F77" s="106">
        <v>0.105</v>
      </c>
      <c r="G77" s="50" t="str">
        <f>VLOOKUP("UAD-2U-OCORE",STOCK!$B$2:$Q$3668,3,FALSE)</f>
        <v>SIN STOCK</v>
      </c>
    </row>
    <row r="78" ht="15.75" customHeight="1">
      <c r="A78" s="29" t="s">
        <v>3519</v>
      </c>
      <c r="C78" s="174"/>
      <c r="D78" s="55"/>
      <c r="E78" s="55"/>
      <c r="F78" s="133"/>
      <c r="G78" s="108"/>
    </row>
    <row r="79" ht="15.75" customHeight="1">
      <c r="A79" s="166" t="s">
        <v>3294</v>
      </c>
      <c r="B79" s="171" t="s">
        <v>3520</v>
      </c>
      <c r="C79" s="168" t="s">
        <v>3521</v>
      </c>
      <c r="D79" s="105" t="s">
        <v>3467</v>
      </c>
      <c r="E79" s="105" t="s">
        <v>3468</v>
      </c>
      <c r="F79" s="106">
        <v>0.105</v>
      </c>
      <c r="G79" s="175" t="str">
        <f>VLOOKUP("SATQ-C**",STOCK!$B$2:$Q$3668,3,FALSE)</f>
        <v>SIN STOCK</v>
      </c>
    </row>
    <row r="80" ht="15.75" customHeight="1">
      <c r="A80" s="29" t="s">
        <v>3522</v>
      </c>
      <c r="C80" s="174"/>
      <c r="D80" s="55"/>
      <c r="E80" s="55"/>
      <c r="F80" s="133"/>
      <c r="G80" s="108"/>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5" t="s">
        <v>3532</v>
      </c>
      <c r="E84" s="105" t="s">
        <v>3533</v>
      </c>
      <c r="F84" s="106">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5" t="s">
        <v>3416</v>
      </c>
      <c r="E86" s="105" t="s">
        <v>3417</v>
      </c>
      <c r="F86" s="106">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5" t="s">
        <v>3406</v>
      </c>
      <c r="E88" s="105" t="s">
        <v>3407</v>
      </c>
      <c r="F88" s="106">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5" t="s">
        <v>3333</v>
      </c>
      <c r="E90" s="105" t="s">
        <v>3334</v>
      </c>
      <c r="F90" s="106">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5" t="s">
        <v>3554</v>
      </c>
      <c r="E5" s="105" t="s">
        <v>3555</v>
      </c>
      <c r="F5" s="106">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Menor a 5</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5" t="s">
        <v>4109</v>
      </c>
      <c r="E5" s="105" t="s">
        <v>4110</v>
      </c>
      <c r="F5" s="106">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5" t="s">
        <v>4115</v>
      </c>
      <c r="E7" s="105" t="s">
        <v>4116</v>
      </c>
      <c r="F7" s="106">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5" t="s">
        <v>4128</v>
      </c>
      <c r="E11" s="105" t="s">
        <v>4129</v>
      </c>
      <c r="F11" s="106">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5" t="s">
        <v>4136</v>
      </c>
      <c r="E13" s="105" t="s">
        <v>4137</v>
      </c>
      <c r="F13" s="106">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5" t="s">
        <v>4149</v>
      </c>
      <c r="E17" s="105" t="s">
        <v>4150</v>
      </c>
      <c r="F17" s="106">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5" t="s">
        <v>4160</v>
      </c>
      <c r="E21" s="105" t="s">
        <v>4161</v>
      </c>
      <c r="F21" s="106">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5" t="s">
        <v>4168</v>
      </c>
      <c r="E23" s="105" t="s">
        <v>4169</v>
      </c>
      <c r="F23" s="106">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5" t="s">
        <v>4176</v>
      </c>
      <c r="E25" s="105" t="s">
        <v>4177</v>
      </c>
      <c r="F25" s="106">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5" t="s">
        <v>4187</v>
      </c>
      <c r="E29" s="105" t="s">
        <v>4188</v>
      </c>
      <c r="F29" s="106">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5" t="s">
        <v>4195</v>
      </c>
      <c r="E31" s="105" t="s">
        <v>4196</v>
      </c>
      <c r="F31" s="106">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5" t="s">
        <v>4208</v>
      </c>
      <c r="E35" s="105" t="s">
        <v>4209</v>
      </c>
      <c r="F35" s="106">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5" t="s">
        <v>4213</v>
      </c>
      <c r="E37" s="105" t="s">
        <v>4214</v>
      </c>
      <c r="F37" s="106">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5" t="s">
        <v>4217</v>
      </c>
      <c r="E39" s="105" t="s">
        <v>4218</v>
      </c>
      <c r="F39" s="106">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5" t="s">
        <v>4223</v>
      </c>
      <c r="E41" s="105" t="s">
        <v>4224</v>
      </c>
      <c r="F41" s="106">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5" t="s">
        <v>4234</v>
      </c>
      <c r="E44" s="105" t="s">
        <v>4235</v>
      </c>
      <c r="F44" s="106">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5"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5"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5"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5"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5"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4" t="s">
        <v>4301</v>
      </c>
      <c r="D23" s="249" t="s">
        <v>4302</v>
      </c>
      <c r="E23" s="105"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5"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5"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4" t="s">
        <v>4318</v>
      </c>
      <c r="B32" s="48" t="s">
        <v>4331</v>
      </c>
      <c r="C32" s="47" t="s">
        <v>4332</v>
      </c>
      <c r="D32" s="249" t="s">
        <v>4333</v>
      </c>
      <c r="E32" s="105"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5"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5"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5"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5"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5"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5"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5" t="s">
        <v>4399</v>
      </c>
      <c r="F55" s="169">
        <v>0.21</v>
      </c>
      <c r="G55" s="260" t="str">
        <f>VLOOKUP("CONTROL2PST",STOCK!$B$2:$Q$3692,3,FALSE)</f>
        <v>Mayor a 5</v>
      </c>
    </row>
    <row r="56" ht="15.75" customHeight="1">
      <c r="A56" s="166" t="s">
        <v>4318</v>
      </c>
      <c r="B56" s="167" t="s">
        <v>4406</v>
      </c>
      <c r="C56" s="166" t="s">
        <v>4407</v>
      </c>
      <c r="D56" s="249" t="s">
        <v>2146</v>
      </c>
      <c r="E56" s="105"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5"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5"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Mayor a 5</v>
      </c>
    </row>
    <row r="62" ht="15.75" customHeight="1">
      <c r="A62" s="166" t="s">
        <v>4318</v>
      </c>
      <c r="B62" s="167" t="s">
        <v>4423</v>
      </c>
      <c r="C62" s="166" t="s">
        <v>4424</v>
      </c>
      <c r="D62" s="249" t="s">
        <v>4425</v>
      </c>
      <c r="E62" s="105"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5"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5"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5"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5" t="s">
        <v>4449</v>
      </c>
      <c r="F71" s="106">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5" t="s">
        <v>4460</v>
      </c>
      <c r="F75" s="106">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5" t="s">
        <v>4466</v>
      </c>
      <c r="F77" s="106">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5"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5"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5"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5" t="s">
        <v>4495</v>
      </c>
      <c r="F88" s="106">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5"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5"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5"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5"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5"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5"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5"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5"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5"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5"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5"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5"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8"/>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5" t="s">
        <v>4627</v>
      </c>
      <c r="E4" s="105"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5" t="s">
        <v>4630</v>
      </c>
      <c r="E6" s="105"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5" t="s">
        <v>4640</v>
      </c>
      <c r="E8" s="105"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8"/>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5" t="s">
        <v>4653</v>
      </c>
      <c r="E12" s="105"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5" t="s">
        <v>4661</v>
      </c>
      <c r="E14" s="105"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5" t="s">
        <v>4665</v>
      </c>
      <c r="E16" s="105"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5" t="s">
        <v>4671</v>
      </c>
      <c r="E18" s="105"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5" t="s">
        <v>2095</v>
      </c>
      <c r="F20" s="287"/>
      <c r="G20" s="288"/>
    </row>
    <row r="21" ht="15.75" customHeight="1">
      <c r="A21" s="283" t="s">
        <v>4620</v>
      </c>
      <c r="B21" s="284" t="s">
        <v>4681</v>
      </c>
      <c r="C21" s="283" t="s">
        <v>4680</v>
      </c>
      <c r="D21" s="105" t="s">
        <v>4682</v>
      </c>
      <c r="E21" s="105"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5" t="s">
        <v>4689</v>
      </c>
      <c r="E23" s="105"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5" t="s">
        <v>4697</v>
      </c>
      <c r="E25" s="105"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8"/>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5" t="s">
        <v>4710</v>
      </c>
      <c r="E29" s="105"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8"/>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5" t="s">
        <v>4728</v>
      </c>
      <c r="E35" s="105"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5" t="s">
        <v>4732</v>
      </c>
      <c r="E37" s="105"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5" t="s">
        <v>4738</v>
      </c>
      <c r="E39" s="105"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5" t="s">
        <v>4744</v>
      </c>
      <c r="E41" s="105"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5" t="s">
        <v>4750</v>
      </c>
      <c r="E43" s="105"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5" t="s">
        <v>4762</v>
      </c>
      <c r="G4" s="106">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5" t="s">
        <v>4770</v>
      </c>
      <c r="G6" s="106">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5" t="s">
        <v>4778</v>
      </c>
      <c r="G8" s="106">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5" t="s">
        <v>4786</v>
      </c>
      <c r="G10" s="106">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5" t="s">
        <v>4794</v>
      </c>
      <c r="G12" s="106">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5" t="s">
        <v>4801</v>
      </c>
      <c r="G14" s="106">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5" t="s">
        <v>4809</v>
      </c>
      <c r="G16" s="106">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5" t="s">
        <v>4817</v>
      </c>
      <c r="G18" s="106">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5" t="s">
        <v>4825</v>
      </c>
      <c r="G20" s="106">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5" t="s">
        <v>4833</v>
      </c>
      <c r="G22" s="106">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5" t="s">
        <v>4838</v>
      </c>
      <c r="G25" s="106">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5" t="s">
        <v>4846</v>
      </c>
      <c r="G27" s="106">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5" t="s">
        <v>4857</v>
      </c>
      <c r="G31" s="106">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5" t="s">
        <v>4870</v>
      </c>
      <c r="G35" s="106">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5" t="s">
        <v>4878</v>
      </c>
      <c r="G37" s="106">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5" t="s">
        <v>4887</v>
      </c>
      <c r="G40" s="106">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5" t="s">
        <v>4896</v>
      </c>
      <c r="G43" s="106">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5" t="s">
        <v>4909</v>
      </c>
      <c r="G47" s="106">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5" t="s">
        <v>4917</v>
      </c>
      <c r="G49" s="106">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5" t="s">
        <v>4925</v>
      </c>
      <c r="G51" s="106">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5" t="s">
        <v>4934</v>
      </c>
      <c r="G54" s="106">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5" t="s">
        <v>4940</v>
      </c>
      <c r="G56" s="106">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5" t="s">
        <v>4949</v>
      </c>
      <c r="G59" s="106">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5" t="s">
        <v>4962</v>
      </c>
      <c r="G63" s="106">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5" t="s">
        <v>4974</v>
      </c>
      <c r="G67" s="106">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5" t="s">
        <v>4974</v>
      </c>
      <c r="G69" s="106">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5" t="s">
        <v>4988</v>
      </c>
      <c r="G71" s="106">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5" t="s">
        <v>4996</v>
      </c>
      <c r="G73" s="106">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5" t="s">
        <v>5004</v>
      </c>
      <c r="G76" s="106">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5" t="s">
        <v>5012</v>
      </c>
      <c r="G78" s="106">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5" t="s">
        <v>5021</v>
      </c>
      <c r="G81" s="106">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5" t="s">
        <v>5026</v>
      </c>
      <c r="G84" s="106">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5" t="s">
        <v>5036</v>
      </c>
      <c r="G86" s="106">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5" t="s">
        <v>4797</v>
      </c>
      <c r="G88" s="106">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5" t="s">
        <v>5048</v>
      </c>
      <c r="G90" s="106">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5" t="s">
        <v>5052</v>
      </c>
      <c r="G92" s="106">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5" t="s">
        <v>5062</v>
      </c>
      <c r="G94" s="106">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5" t="s">
        <v>5069</v>
      </c>
      <c r="G96" s="106">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5" t="s">
        <v>5077</v>
      </c>
      <c r="G98" s="106">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5" t="s">
        <v>5086</v>
      </c>
      <c r="G101" s="106">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5" t="s">
        <v>5082</v>
      </c>
      <c r="G103" s="106">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5" t="s">
        <v>5095</v>
      </c>
      <c r="G105" s="106">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5" t="s">
        <v>5095</v>
      </c>
      <c r="G107" s="106">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5" t="s">
        <v>5111</v>
      </c>
      <c r="G110" s="106">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5" t="s">
        <v>5120</v>
      </c>
      <c r="G113" s="106">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5" t="s">
        <v>5128</v>
      </c>
      <c r="G115" s="106">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5" t="s">
        <v>4905</v>
      </c>
      <c r="G118" s="106">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5" t="s">
        <v>5143</v>
      </c>
      <c r="G120" s="106">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5" t="s">
        <v>5149</v>
      </c>
      <c r="G122" s="106">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5" t="s">
        <v>5162</v>
      </c>
      <c r="G126" s="106">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5" t="s">
        <v>5170</v>
      </c>
      <c r="G129" s="106">
        <v>0.21</v>
      </c>
      <c r="H129" s="39" t="str">
        <f>VLOOKUP("NADITBNC-F",STOCK!$B$2:$Q$3686,3,FALSE)</f>
        <v>Mayor a 5</v>
      </c>
    </row>
    <row r="130" ht="15.75" customHeight="1">
      <c r="A130" s="166" t="s">
        <v>4754</v>
      </c>
      <c r="B130" s="167" t="s">
        <v>5171</v>
      </c>
      <c r="C130" s="168" t="s">
        <v>5172</v>
      </c>
      <c r="D130" s="299">
        <v>25.0</v>
      </c>
      <c r="E130" s="247" t="s">
        <v>5173</v>
      </c>
      <c r="F130" s="102" t="s">
        <v>5174</v>
      </c>
      <c r="G130" s="106">
        <v>0.21</v>
      </c>
      <c r="H130" s="39" t="str">
        <f>VLOOKUP("NA3MJ",STOCK!$B$2:$Q$3686,3,FALSE)</f>
        <v>Mayor a 5</v>
      </c>
    </row>
    <row r="131" ht="15.75" customHeight="1">
      <c r="A131" s="161" t="s">
        <v>4754</v>
      </c>
      <c r="B131" s="172" t="s">
        <v>5175</v>
      </c>
      <c r="C131" s="163" t="s">
        <v>5176</v>
      </c>
      <c r="D131" s="300">
        <v>25.0</v>
      </c>
      <c r="E131" s="249" t="s">
        <v>5177</v>
      </c>
      <c r="F131" s="105"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6">
        <v>0.21</v>
      </c>
      <c r="H132" s="39" t="str">
        <f>VLOOKUP("NC3FX",STOCK!$B$2:$Q$3686,3,FALSE)</f>
        <v>Mayor a 5</v>
      </c>
    </row>
    <row r="133" ht="15.75" customHeight="1">
      <c r="A133" s="161" t="s">
        <v>4754</v>
      </c>
      <c r="B133" s="172" t="s">
        <v>5183</v>
      </c>
      <c r="C133" s="161" t="s">
        <v>5184</v>
      </c>
      <c r="D133" s="300">
        <v>25.0</v>
      </c>
      <c r="E133" s="249" t="s">
        <v>5185</v>
      </c>
      <c r="F133" s="105"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6">
        <v>0.21</v>
      </c>
      <c r="H134" s="50" t="str">
        <f>VLOOKUP("NA3MM",STOCK!$B$2:$Q$3686,3,FALSE)</f>
        <v>Mayor a 5</v>
      </c>
    </row>
    <row r="135" ht="15.75" customHeight="1">
      <c r="A135" s="161" t="s">
        <v>4754</v>
      </c>
      <c r="B135" s="172" t="s">
        <v>5191</v>
      </c>
      <c r="C135" s="161" t="s">
        <v>5192</v>
      </c>
      <c r="D135" s="300">
        <v>25.0</v>
      </c>
      <c r="E135" s="249" t="s">
        <v>5193</v>
      </c>
      <c r="F135" s="105"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5" t="s">
        <v>5199</v>
      </c>
      <c r="G138" s="106">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5" t="s">
        <v>5208</v>
      </c>
      <c r="G140" s="106">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5" t="s">
        <v>5212</v>
      </c>
      <c r="G142" s="106">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5" t="s">
        <v>4758</v>
      </c>
      <c r="G144" s="106">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5" t="s">
        <v>5025</v>
      </c>
      <c r="G146" s="106">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5" t="s">
        <v>5231</v>
      </c>
      <c r="G148" s="106">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5" t="s">
        <v>5239</v>
      </c>
      <c r="G150" s="106">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5" t="s">
        <v>5248</v>
      </c>
      <c r="G153" s="106">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5" t="s">
        <v>5254</v>
      </c>
      <c r="G155" s="106">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5" t="s">
        <v>5258</v>
      </c>
      <c r="G157" s="106">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5" t="s">
        <v>5268</v>
      </c>
      <c r="G159" s="106">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5" t="s">
        <v>5276</v>
      </c>
      <c r="G161" s="106">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5" t="s">
        <v>5285</v>
      </c>
      <c r="G164" s="106">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5" t="s">
        <v>5004</v>
      </c>
      <c r="G167" s="106">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5" t="s">
        <v>5004</v>
      </c>
      <c r="G169" s="106">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5" t="s">
        <v>5003</v>
      </c>
      <c r="G171" s="106">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5" t="s">
        <v>5311</v>
      </c>
      <c r="G174" s="106">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5" t="s">
        <v>5317</v>
      </c>
      <c r="G176" s="106">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5" t="s">
        <v>5335</v>
      </c>
      <c r="G182" s="106">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5" t="s">
        <v>5343</v>
      </c>
      <c r="G184" s="106">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6">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6">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6">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6">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6">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6">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6">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6">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6">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6">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6">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6">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6">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6">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6">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6">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6">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6">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6">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6">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6">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6">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6">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6">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6">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6">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Mayor a 5</v>
      </c>
    </row>
    <row r="263" ht="15.75" customHeight="1">
      <c r="A263" s="166" t="s">
        <v>5103</v>
      </c>
      <c r="B263" s="167" t="s">
        <v>5555</v>
      </c>
      <c r="C263" s="168" t="s">
        <v>5556</v>
      </c>
      <c r="D263" s="299">
        <v>100.0</v>
      </c>
      <c r="E263" s="307" t="s">
        <v>5012</v>
      </c>
      <c r="F263" s="37" t="s">
        <v>5557</v>
      </c>
      <c r="G263" s="106">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6">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6">
        <v>0.21</v>
      </c>
      <c r="H267" s="39" t="str">
        <f>VLOOKUP("RP2C-D",STOCK!$B$2:$Q$3686,3,FALSE)</f>
        <v>Menor a 5</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6">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6">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6">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6">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6">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6">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6">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6">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6">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6">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6">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6">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6">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6">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6">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6">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6">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6">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5" t="s">
        <v>5713</v>
      </c>
      <c r="E4" s="105"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5" t="s">
        <v>5721</v>
      </c>
      <c r="E6" s="105"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5" t="s">
        <v>5721</v>
      </c>
      <c r="E8" s="105" t="s">
        <v>5722</v>
      </c>
      <c r="F8" s="311">
        <v>0.105</v>
      </c>
      <c r="G8" s="39" t="str">
        <f>IFERROR(VLOOKUP("USBMIX",STOCK!$B$2:$Q$3692,3,FALSE),"")</f>
        <v>Mayor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5" t="s">
        <v>5735</v>
      </c>
      <c r="E10" s="105"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5" t="s">
        <v>5743</v>
      </c>
      <c r="E12" s="105"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5" t="s">
        <v>5750</v>
      </c>
      <c r="E14" s="105"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5" t="s">
        <v>5758</v>
      </c>
      <c r="E16" s="105"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5" t="s">
        <v>5771</v>
      </c>
      <c r="E20" s="105"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5" t="s">
        <v>5776</v>
      </c>
      <c r="E22" s="105"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5" t="s">
        <v>5785</v>
      </c>
      <c r="E25" s="105"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5" t="s">
        <v>5793</v>
      </c>
      <c r="E27" s="105"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Mayor a 5</v>
      </c>
    </row>
    <row r="29" ht="15.75" customHeight="1">
      <c r="A29" s="47" t="s">
        <v>5706</v>
      </c>
      <c r="B29" s="48" t="s">
        <v>5797</v>
      </c>
      <c r="C29" s="73" t="s">
        <v>5798</v>
      </c>
      <c r="D29" s="105" t="s">
        <v>5799</v>
      </c>
      <c r="E29" s="105"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5" t="s">
        <v>5806</v>
      </c>
      <c r="E32" s="105"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5" t="s">
        <v>5812</v>
      </c>
      <c r="E34" s="105"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5" t="s">
        <v>5818</v>
      </c>
      <c r="E36" s="105"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5" t="s">
        <v>5776</v>
      </c>
      <c r="E39" s="105"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5" t="s">
        <v>5832</v>
      </c>
      <c r="E41" s="105"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5" t="s">
        <v>5839</v>
      </c>
      <c r="E43" s="105"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5" t="s">
        <v>5850</v>
      </c>
      <c r="E47" s="105"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Mayor a 5</v>
      </c>
    </row>
    <row r="49" ht="15.75" customHeight="1">
      <c r="A49" s="47" t="s">
        <v>5706</v>
      </c>
      <c r="B49" s="48" t="s">
        <v>5856</v>
      </c>
      <c r="C49" s="73" t="s">
        <v>5857</v>
      </c>
      <c r="D49" s="105" t="s">
        <v>5858</v>
      </c>
      <c r="E49" s="105"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5" t="s">
        <v>5866</v>
      </c>
      <c r="E51" s="105"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5" t="s">
        <v>5878</v>
      </c>
      <c r="E55" s="105"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5" t="s">
        <v>5878</v>
      </c>
      <c r="E57" s="105"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5" t="s">
        <v>5894</v>
      </c>
      <c r="E61" s="105"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5" t="s">
        <v>5902</v>
      </c>
      <c r="E63" s="105"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5" t="s">
        <v>5910</v>
      </c>
      <c r="E65" s="105"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5" t="s">
        <v>5916</v>
      </c>
      <c r="E67" s="105"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5" t="s">
        <v>5929</v>
      </c>
      <c r="E71" s="105"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5" t="s">
        <v>5925</v>
      </c>
      <c r="E73" s="105"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5" t="s">
        <v>5743</v>
      </c>
      <c r="E75" s="105"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5" t="s">
        <v>5944</v>
      </c>
      <c r="E77" s="105"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5" t="s">
        <v>5916</v>
      </c>
      <c r="E79" s="105"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5" t="s">
        <v>5762</v>
      </c>
      <c r="E83" s="105"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5" t="s">
        <v>5799</v>
      </c>
      <c r="E85" s="105"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5" t="s">
        <v>5971</v>
      </c>
      <c r="E87" s="105"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5" t="s">
        <v>5954</v>
      </c>
      <c r="E89" s="105"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5" t="s">
        <v>5944</v>
      </c>
      <c r="E91" s="105"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5" t="s">
        <v>5771</v>
      </c>
      <c r="E94" s="105"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5" t="s">
        <v>5996</v>
      </c>
      <c r="E96" s="105"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5" t="s">
        <v>6004</v>
      </c>
      <c r="E98" s="105"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5" t="s">
        <v>6010</v>
      </c>
      <c r="E100" s="105"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5" t="s">
        <v>5799</v>
      </c>
      <c r="E103" s="105"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5" t="s">
        <v>6019</v>
      </c>
      <c r="E105" s="105"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5" t="s">
        <v>5776</v>
      </c>
      <c r="E109" s="105"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5" t="s">
        <v>5739</v>
      </c>
      <c r="E111" s="105"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5">
        <v>203998.0</v>
      </c>
      <c r="E115" s="105">
        <v>168594.0</v>
      </c>
      <c r="F115" s="106">
        <v>0.21</v>
      </c>
      <c r="G115" s="39" t="str">
        <f>IFERROR(VLOOKUP("C1",STOCK!$B$2:$Q$3692,3,FALSE),"SIN STOCK")</f>
        <v>Mayor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5">
        <v>263998.8</v>
      </c>
      <c r="E117" s="105">
        <v>218180.0</v>
      </c>
      <c r="F117" s="106">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5">
        <v>276000.0</v>
      </c>
      <c r="E119" s="105">
        <v>228099.17</v>
      </c>
      <c r="F119" s="106">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5" t="s">
        <v>6055</v>
      </c>
      <c r="E121" s="105" t="s">
        <v>5736</v>
      </c>
      <c r="F121" s="106">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5" t="s">
        <v>6062</v>
      </c>
      <c r="E123" s="105"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5" t="s">
        <v>6067</v>
      </c>
      <c r="E125" s="105"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Menor a 5</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Menor a 5</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8"/>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5" t="s">
        <v>6871</v>
      </c>
      <c r="E5" s="105"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8"/>
      <c r="C7" s="174"/>
      <c r="D7" s="55"/>
      <c r="E7" s="55"/>
      <c r="F7" s="108"/>
      <c r="G7" s="108"/>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5" t="s">
        <v>6884</v>
      </c>
      <c r="E9" s="105" t="s">
        <v>2703</v>
      </c>
      <c r="F9" s="38">
        <v>0.21</v>
      </c>
      <c r="G9" s="53" t="str">
        <f>BUSCARV("FOCUS-210C",STOCK!R2C2:R3649C17,3,FALSO)</f>
        <v>#ERROR!</v>
      </c>
    </row>
    <row r="10" ht="15.75" customHeight="1">
      <c r="A10" s="324" t="s">
        <v>6885</v>
      </c>
      <c r="B10" s="108"/>
      <c r="C10" s="174"/>
      <c r="D10" s="55"/>
      <c r="E10" s="55"/>
      <c r="F10" s="133"/>
      <c r="G10" s="108"/>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5" t="s">
        <v>6891</v>
      </c>
      <c r="E12" s="105" t="s">
        <v>6892</v>
      </c>
      <c r="F12" s="38">
        <v>0.21</v>
      </c>
      <c r="G12" s="50" t="str">
        <f>BUSCARV("FOCUS-260",STOCK!R2C2:R3649C17,3,FALSO)</f>
        <v>#ERROR!</v>
      </c>
    </row>
    <row r="13" ht="15.75" customHeight="1">
      <c r="A13" s="324" t="s">
        <v>6893</v>
      </c>
      <c r="B13" s="108"/>
      <c r="C13" s="174"/>
      <c r="D13" s="55"/>
      <c r="E13" s="55"/>
      <c r="F13" s="133"/>
      <c r="G13" s="108"/>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8"/>
      <c r="C15" s="174"/>
      <c r="D15" s="55"/>
      <c r="E15" s="55"/>
      <c r="F15" s="133"/>
      <c r="G15" s="108"/>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5" t="s">
        <v>6905</v>
      </c>
      <c r="E17" s="105"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8"/>
      <c r="C19" s="174"/>
      <c r="D19" s="55"/>
      <c r="E19" s="55"/>
      <c r="F19" s="133"/>
      <c r="G19" s="108"/>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5" t="s">
        <v>6915</v>
      </c>
      <c r="E21" s="105" t="s">
        <v>6916</v>
      </c>
      <c r="F21" s="38">
        <v>0.21</v>
      </c>
      <c r="G21" s="182" t="str">
        <f>BUSCARV("BM15A",STOCK!R2C2:R3649C17,3,FALSO)</f>
        <v>#ERROR!</v>
      </c>
    </row>
    <row r="22" ht="15.75" customHeight="1">
      <c r="A22" s="324" t="s">
        <v>6917</v>
      </c>
      <c r="B22" s="108"/>
      <c r="C22" s="174"/>
      <c r="D22" s="55"/>
      <c r="E22" s="55"/>
      <c r="F22" s="133"/>
      <c r="G22" s="108"/>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5" t="s">
        <v>2743</v>
      </c>
      <c r="E24" s="105"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5" t="s">
        <v>6938</v>
      </c>
      <c r="E7" s="105"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5" t="s">
        <v>6946</v>
      </c>
      <c r="E9" s="105"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5" t="s">
        <v>6955</v>
      </c>
      <c r="E12" s="105"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5" t="s">
        <v>6963</v>
      </c>
      <c r="E14" s="105"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5" t="s">
        <v>6973</v>
      </c>
      <c r="E18" s="105"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5" t="s">
        <v>6982</v>
      </c>
      <c r="E21" s="105"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5" t="s">
        <v>6995</v>
      </c>
      <c r="E25" s="105"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5" t="s">
        <v>4160</v>
      </c>
      <c r="E28" s="105"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5" t="s">
        <v>7022</v>
      </c>
      <c r="E35" s="105"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5" t="s">
        <v>7037</v>
      </c>
      <c r="E41" s="105"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5" t="s">
        <v>7045</v>
      </c>
      <c r="E43" s="105"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5" t="s">
        <v>7060</v>
      </c>
      <c r="E49" s="105"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5" t="s">
        <v>6986</v>
      </c>
      <c r="E53" s="105"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5" t="s">
        <v>7077</v>
      </c>
      <c r="E55" s="105"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5" t="s">
        <v>4160</v>
      </c>
      <c r="E58" s="105"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5" t="s">
        <v>7092</v>
      </c>
      <c r="E60" s="105"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5" t="s">
        <v>7077</v>
      </c>
      <c r="E62" s="105"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5" t="s">
        <v>7069</v>
      </c>
      <c r="E66" s="105"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5" t="s">
        <v>7113</v>
      </c>
      <c r="E69" s="105"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5" t="s">
        <v>7037</v>
      </c>
      <c r="E71" s="105"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5" t="s">
        <v>7129</v>
      </c>
      <c r="E76" s="105"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5" t="s">
        <v>7141</v>
      </c>
      <c r="E5" s="105"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5" t="s">
        <v>7149</v>
      </c>
      <c r="E7" s="105"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5" t="s">
        <v>7158</v>
      </c>
      <c r="E11" s="105"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5" t="s">
        <v>7166</v>
      </c>
      <c r="E13" s="105"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5" t="s">
        <v>7174</v>
      </c>
      <c r="E15" s="105"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5" t="s">
        <v>7183</v>
      </c>
      <c r="E19" s="105"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5" t="s">
        <v>7189</v>
      </c>
      <c r="E21" s="105"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5" t="s">
        <v>7194</v>
      </c>
      <c r="E23" s="105"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5" t="s">
        <v>7204</v>
      </c>
      <c r="E25" s="105"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5" t="s">
        <v>7215</v>
      </c>
      <c r="E30" s="105"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5" t="s">
        <v>7229</v>
      </c>
      <c r="E35" s="105"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5" t="s">
        <v>7237</v>
      </c>
      <c r="E37" s="105"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5" t="s">
        <v>7245</v>
      </c>
      <c r="E41" s="105"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5" t="s">
        <v>7251</v>
      </c>
      <c r="E43" s="105"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5" t="s">
        <v>7258</v>
      </c>
      <c r="E47" s="105"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6">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6">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6">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6">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6">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5" t="s">
        <v>7276</v>
      </c>
      <c r="E33" s="105" t="s">
        <v>7277</v>
      </c>
      <c r="F33" s="370">
        <v>2.0</v>
      </c>
      <c r="G33" s="377">
        <v>0.21</v>
      </c>
      <c r="H33" s="89" t="str">
        <f>IFERROR(VLOOKUP("C1",STOCK!B35:Q3722,3,FALSE),"SIN STOCK")</f>
        <v>Mayor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5" t="s">
        <v>7280</v>
      </c>
      <c r="E35" s="105"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5" t="s">
        <v>7284</v>
      </c>
      <c r="E37" s="105"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2232</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2195</v>
      </c>
    </row>
    <row r="39" ht="15.75" customHeight="1">
      <c r="B39" s="391" t="s">
        <v>7308</v>
      </c>
      <c r="C39" s="391" t="s">
        <v>7307</v>
      </c>
      <c r="D39" s="391" t="s">
        <v>2232</v>
      </c>
    </row>
    <row r="40" ht="15.75" customHeight="1">
      <c r="B40" s="391" t="s">
        <v>2834</v>
      </c>
      <c r="C40" s="391" t="s">
        <v>7307</v>
      </c>
      <c r="D40" s="391" t="s">
        <v>2232</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3169</v>
      </c>
      <c r="C49" s="391" t="s">
        <v>7307</v>
      </c>
      <c r="D49" s="391" t="s">
        <v>2195</v>
      </c>
    </row>
    <row r="50" ht="15.75" customHeight="1">
      <c r="B50" s="391" t="s">
        <v>3173</v>
      </c>
      <c r="C50" s="391" t="s">
        <v>7307</v>
      </c>
      <c r="D50" s="391" t="s">
        <v>2195</v>
      </c>
    </row>
    <row r="51" ht="15.75" customHeight="1">
      <c r="B51" s="391" t="s">
        <v>7313</v>
      </c>
      <c r="C51" s="391" t="s">
        <v>7307</v>
      </c>
      <c r="D51" s="391" t="s">
        <v>2195</v>
      </c>
    </row>
    <row r="52" ht="15.75" customHeight="1">
      <c r="B52" s="391" t="s">
        <v>3165</v>
      </c>
      <c r="C52" s="391" t="s">
        <v>7307</v>
      </c>
      <c r="D52" s="391" t="s">
        <v>2232</v>
      </c>
    </row>
    <row r="53" ht="15.75" customHeight="1">
      <c r="B53" s="391" t="s">
        <v>7314</v>
      </c>
      <c r="C53" s="391" t="s">
        <v>7307</v>
      </c>
      <c r="D53" s="391" t="s">
        <v>2195</v>
      </c>
    </row>
    <row r="54" ht="15.75" customHeight="1">
      <c r="B54" s="391" t="s">
        <v>7315</v>
      </c>
      <c r="C54" s="391" t="s">
        <v>7307</v>
      </c>
      <c r="D54" s="391" t="s">
        <v>2232</v>
      </c>
    </row>
    <row r="55" ht="15.75" customHeight="1">
      <c r="B55" s="391" t="s">
        <v>3161</v>
      </c>
      <c r="C55" s="391" t="s">
        <v>7307</v>
      </c>
      <c r="D55" s="391" t="s">
        <v>2195</v>
      </c>
    </row>
    <row r="56" ht="15.75" customHeight="1">
      <c r="B56" s="391" t="s">
        <v>3149</v>
      </c>
      <c r="C56" s="391" t="s">
        <v>7307</v>
      </c>
      <c r="D56" s="391" t="s">
        <v>2166</v>
      </c>
    </row>
    <row r="57" ht="15.75" customHeight="1">
      <c r="B57" s="391" t="s">
        <v>3153</v>
      </c>
      <c r="C57" s="391" t="s">
        <v>7307</v>
      </c>
      <c r="D57" s="391" t="s">
        <v>2166</v>
      </c>
    </row>
    <row r="58" ht="15.75" customHeight="1">
      <c r="B58" s="391" t="s">
        <v>3177</v>
      </c>
      <c r="C58" s="391" t="s">
        <v>7307</v>
      </c>
      <c r="D58" s="391" t="s">
        <v>2166</v>
      </c>
    </row>
    <row r="59" ht="15.75" customHeight="1">
      <c r="B59" s="391" t="s">
        <v>3157</v>
      </c>
      <c r="C59" s="391" t="s">
        <v>7307</v>
      </c>
      <c r="D59" s="391" t="s">
        <v>2195</v>
      </c>
    </row>
    <row r="60" ht="15.75" customHeight="1">
      <c r="B60" s="391" t="s">
        <v>3233</v>
      </c>
      <c r="C60" s="391" t="s">
        <v>7307</v>
      </c>
      <c r="D60" s="391" t="s">
        <v>2195</v>
      </c>
    </row>
    <row r="61" ht="15.75" customHeight="1">
      <c r="B61" s="391" t="s">
        <v>7316</v>
      </c>
      <c r="C61" s="391" t="s">
        <v>7307</v>
      </c>
      <c r="D61" s="391" t="s">
        <v>2195</v>
      </c>
    </row>
    <row r="62" ht="15.75" customHeight="1">
      <c r="B62" s="391" t="s">
        <v>3208</v>
      </c>
      <c r="C62" s="391" t="s">
        <v>7307</v>
      </c>
      <c r="D62" s="391" t="s">
        <v>2195</v>
      </c>
    </row>
    <row r="63" ht="15.75" customHeight="1">
      <c r="B63" s="391" t="s">
        <v>3220</v>
      </c>
      <c r="C63" s="391" t="s">
        <v>7307</v>
      </c>
      <c r="D63" s="391" t="s">
        <v>2166</v>
      </c>
    </row>
    <row r="64" ht="15.75" customHeight="1">
      <c r="B64" s="391" t="s">
        <v>3237</v>
      </c>
      <c r="C64" s="391" t="s">
        <v>7307</v>
      </c>
      <c r="D64" s="391" t="s">
        <v>2166</v>
      </c>
    </row>
    <row r="65" ht="15.75" customHeight="1">
      <c r="B65" s="391" t="s">
        <v>3224</v>
      </c>
      <c r="C65" s="391" t="s">
        <v>7307</v>
      </c>
      <c r="D65" s="391" t="s">
        <v>2232</v>
      </c>
    </row>
    <row r="66" ht="15.75" customHeight="1">
      <c r="B66" s="391" t="s">
        <v>3241</v>
      </c>
      <c r="C66" s="391" t="s">
        <v>7307</v>
      </c>
      <c r="D66" s="391" t="s">
        <v>2166</v>
      </c>
    </row>
    <row r="67" ht="15.75" customHeight="1">
      <c r="B67" s="391" t="s">
        <v>7317</v>
      </c>
      <c r="C67" s="391" t="s">
        <v>7307</v>
      </c>
      <c r="D67" s="391" t="s">
        <v>2195</v>
      </c>
    </row>
    <row r="68" ht="15.75" customHeight="1">
      <c r="B68" s="391" t="s">
        <v>3250</v>
      </c>
      <c r="C68" s="391" t="s">
        <v>7307</v>
      </c>
      <c r="D68" s="391" t="s">
        <v>2195</v>
      </c>
    </row>
    <row r="69" ht="15.75" customHeight="1">
      <c r="B69" s="391" t="s">
        <v>3228</v>
      </c>
      <c r="C69" s="391" t="s">
        <v>7307</v>
      </c>
      <c r="D69" s="391" t="s">
        <v>2232</v>
      </c>
    </row>
    <row r="70" ht="15.75" customHeight="1">
      <c r="B70" s="391" t="s">
        <v>3245</v>
      </c>
      <c r="C70" s="391" t="s">
        <v>7307</v>
      </c>
      <c r="D70" s="391" t="s">
        <v>2166</v>
      </c>
    </row>
    <row r="71" ht="15.75" customHeight="1">
      <c r="B71" s="391" t="s">
        <v>7318</v>
      </c>
      <c r="C71" s="391" t="s">
        <v>7307</v>
      </c>
      <c r="D71" s="391" t="s">
        <v>2195</v>
      </c>
    </row>
    <row r="72" ht="15.75" customHeight="1">
      <c r="B72" s="391" t="s">
        <v>3254</v>
      </c>
      <c r="C72" s="391" t="s">
        <v>7307</v>
      </c>
      <c r="D72" s="391" t="s">
        <v>2195</v>
      </c>
    </row>
    <row r="73" ht="15.75" customHeight="1">
      <c r="B73" s="391" t="s">
        <v>3258</v>
      </c>
      <c r="C73" s="391" t="s">
        <v>7307</v>
      </c>
      <c r="D73" s="391" t="s">
        <v>2195</v>
      </c>
    </row>
    <row r="74" ht="15.75" customHeight="1">
      <c r="B74" s="391" t="s">
        <v>3188</v>
      </c>
      <c r="C74" s="391" t="s">
        <v>7307</v>
      </c>
      <c r="D74" s="391" t="s">
        <v>2195</v>
      </c>
    </row>
    <row r="75" ht="15.75" customHeight="1">
      <c r="B75" s="391" t="s">
        <v>3212</v>
      </c>
      <c r="C75" s="391" t="s">
        <v>7307</v>
      </c>
      <c r="D75" s="391" t="s">
        <v>2166</v>
      </c>
    </row>
    <row r="76" ht="15.75" customHeight="1">
      <c r="B76" s="391" t="s">
        <v>3216</v>
      </c>
      <c r="C76" s="391" t="s">
        <v>7307</v>
      </c>
      <c r="D76" s="391" t="s">
        <v>2195</v>
      </c>
    </row>
    <row r="77" ht="15.75" customHeight="1">
      <c r="B77" s="391" t="s">
        <v>3192</v>
      </c>
      <c r="C77" s="391" t="s">
        <v>7307</v>
      </c>
      <c r="D77" s="391" t="s">
        <v>2195</v>
      </c>
    </row>
    <row r="78" ht="15.75" customHeight="1">
      <c r="B78" s="391" t="s">
        <v>3199</v>
      </c>
      <c r="C78" s="391" t="s">
        <v>7307</v>
      </c>
      <c r="D78" s="391" t="s">
        <v>2195</v>
      </c>
    </row>
    <row r="79" ht="15.75" customHeight="1">
      <c r="B79" s="391" t="s">
        <v>3203</v>
      </c>
      <c r="C79" s="391" t="s">
        <v>7307</v>
      </c>
      <c r="D79" s="391" t="s">
        <v>2195</v>
      </c>
    </row>
    <row r="80" ht="15.75" customHeight="1">
      <c r="B80" s="391" t="s">
        <v>3197</v>
      </c>
      <c r="C80" s="391" t="s">
        <v>7307</v>
      </c>
      <c r="D80" s="391" t="s">
        <v>2232</v>
      </c>
    </row>
    <row r="81" ht="15.75" customHeight="1">
      <c r="B81" s="391" t="s">
        <v>7319</v>
      </c>
      <c r="C81" s="391" t="s">
        <v>7307</v>
      </c>
      <c r="D81" s="391" t="s">
        <v>2195</v>
      </c>
    </row>
    <row r="82" ht="15.75" customHeight="1">
      <c r="B82" s="391" t="s">
        <v>7320</v>
      </c>
      <c r="C82" s="391" t="s">
        <v>7307</v>
      </c>
      <c r="D82" s="391" t="s">
        <v>2232</v>
      </c>
    </row>
    <row r="83" ht="15.75" customHeight="1">
      <c r="B83" s="391" t="s">
        <v>7321</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2232</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2232</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2232</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2166</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2232</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2166</v>
      </c>
    </row>
    <row r="192" ht="15.75" customHeight="1">
      <c r="B192" s="391" t="s">
        <v>7433</v>
      </c>
      <c r="C192" s="391" t="s">
        <v>7434</v>
      </c>
      <c r="D192" s="391" t="s">
        <v>2166</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5804</v>
      </c>
      <c r="C200" s="391" t="s">
        <v>7449</v>
      </c>
      <c r="D200" s="391" t="s">
        <v>2195</v>
      </c>
    </row>
    <row r="201" ht="15.75" customHeight="1">
      <c r="B201" s="391" t="s">
        <v>5963</v>
      </c>
      <c r="C201" s="391" t="s">
        <v>7450</v>
      </c>
      <c r="D201" s="391" t="s">
        <v>2195</v>
      </c>
    </row>
    <row r="202" ht="15.75" customHeight="1">
      <c r="B202" s="391" t="s">
        <v>7451</v>
      </c>
      <c r="C202" s="391" t="s">
        <v>7452</v>
      </c>
      <c r="D202" s="391" t="s">
        <v>2232</v>
      </c>
    </row>
    <row r="203" ht="15.75" customHeight="1">
      <c r="B203" s="391" t="s">
        <v>7453</v>
      </c>
      <c r="C203" s="391" t="s">
        <v>7452</v>
      </c>
      <c r="D203" s="391" t="s">
        <v>2195</v>
      </c>
    </row>
    <row r="204" ht="15.75" customHeight="1">
      <c r="B204" s="391" t="s">
        <v>5826</v>
      </c>
      <c r="C204" s="391" t="s">
        <v>7454</v>
      </c>
      <c r="D204" s="391" t="s">
        <v>2166</v>
      </c>
    </row>
    <row r="205" ht="15.75" customHeight="1">
      <c r="B205" s="391" t="s">
        <v>7455</v>
      </c>
      <c r="C205" s="391" t="s">
        <v>7454</v>
      </c>
      <c r="D205" s="391" t="s">
        <v>2166</v>
      </c>
    </row>
    <row r="206" ht="15.75" customHeight="1">
      <c r="B206" s="391" t="s">
        <v>5837</v>
      </c>
      <c r="C206" s="391" t="s">
        <v>7454</v>
      </c>
      <c r="D206" s="391" t="s">
        <v>2232</v>
      </c>
    </row>
    <row r="207" ht="15.75" customHeight="1">
      <c r="B207" s="391" t="s">
        <v>7456</v>
      </c>
      <c r="C207" s="391" t="s">
        <v>7454</v>
      </c>
      <c r="D207" s="391" t="s">
        <v>2232</v>
      </c>
    </row>
    <row r="208" ht="15.75" customHeight="1">
      <c r="B208" s="391" t="s">
        <v>5852</v>
      </c>
      <c r="C208" s="391" t="s">
        <v>7457</v>
      </c>
      <c r="D208" s="391" t="s">
        <v>2195</v>
      </c>
    </row>
    <row r="209" ht="15.75" customHeight="1">
      <c r="B209" s="391" t="s">
        <v>5856</v>
      </c>
      <c r="C209" s="391" t="s">
        <v>7457</v>
      </c>
      <c r="D209" s="391" t="s">
        <v>2195</v>
      </c>
    </row>
    <row r="210" ht="15.75" customHeight="1">
      <c r="B210" s="391" t="s">
        <v>5860</v>
      </c>
      <c r="C210" s="391" t="s">
        <v>7457</v>
      </c>
      <c r="D210" s="391" t="s">
        <v>2195</v>
      </c>
    </row>
    <row r="211" ht="15.75" customHeight="1">
      <c r="B211" s="391" t="s">
        <v>7458</v>
      </c>
      <c r="C211" s="391" t="s">
        <v>7459</v>
      </c>
      <c r="D211" s="391" t="s">
        <v>2195</v>
      </c>
    </row>
    <row r="212" ht="15.75" customHeight="1">
      <c r="B212" s="391" t="s">
        <v>5969</v>
      </c>
      <c r="C212" s="391" t="s">
        <v>7460</v>
      </c>
      <c r="D212" s="391" t="s">
        <v>2166</v>
      </c>
    </row>
    <row r="213" ht="15.75" customHeight="1">
      <c r="B213" s="391" t="s">
        <v>5973</v>
      </c>
      <c r="C213" s="391" t="s">
        <v>7461</v>
      </c>
      <c r="D213" s="391" t="s">
        <v>2166</v>
      </c>
    </row>
    <row r="214" ht="15.75" customHeight="1">
      <c r="B214" s="391" t="s">
        <v>5977</v>
      </c>
      <c r="C214" s="391" t="s">
        <v>7462</v>
      </c>
      <c r="D214" s="391" t="s">
        <v>2166</v>
      </c>
    </row>
    <row r="215" ht="15.75" customHeight="1">
      <c r="B215" s="391" t="s">
        <v>5979</v>
      </c>
      <c r="C215" s="391" t="s">
        <v>7462</v>
      </c>
      <c r="D215" s="391" t="s">
        <v>2195</v>
      </c>
    </row>
    <row r="216" ht="15.75" customHeight="1">
      <c r="B216" s="391" t="s">
        <v>7463</v>
      </c>
      <c r="C216" s="391" t="s">
        <v>7464</v>
      </c>
      <c r="D216" s="391" t="s">
        <v>2195</v>
      </c>
    </row>
    <row r="217" ht="15.75" customHeight="1">
      <c r="B217" s="391" t="s">
        <v>7465</v>
      </c>
      <c r="C217" s="391" t="s">
        <v>7466</v>
      </c>
      <c r="D217" s="391" t="s">
        <v>2166</v>
      </c>
    </row>
    <row r="218" ht="15.75" customHeight="1">
      <c r="B218" s="391" t="s">
        <v>6026</v>
      </c>
      <c r="C218" s="391" t="s">
        <v>7466</v>
      </c>
      <c r="D218" s="391" t="s">
        <v>2195</v>
      </c>
    </row>
    <row r="219" ht="15.75" customHeight="1">
      <c r="B219" s="391" t="s">
        <v>7467</v>
      </c>
      <c r="C219" s="391" t="s">
        <v>7468</v>
      </c>
      <c r="D219" s="391" t="s">
        <v>2195</v>
      </c>
    </row>
    <row r="220" ht="15.75" customHeight="1">
      <c r="B220" s="391" t="s">
        <v>6064</v>
      </c>
      <c r="C220" s="391" t="s">
        <v>7469</v>
      </c>
      <c r="D220" s="391" t="s">
        <v>2166</v>
      </c>
    </row>
    <row r="221" ht="15.75" customHeight="1">
      <c r="B221" s="391" t="s">
        <v>6066</v>
      </c>
      <c r="C221" s="391" t="s">
        <v>7469</v>
      </c>
      <c r="D221" s="391" t="s">
        <v>2195</v>
      </c>
    </row>
    <row r="222" ht="15.75" customHeight="1">
      <c r="B222" s="391" t="s">
        <v>6069</v>
      </c>
      <c r="C222" s="391" t="s">
        <v>7469</v>
      </c>
      <c r="D222" s="391" t="s">
        <v>2166</v>
      </c>
    </row>
    <row r="223" ht="15.75" customHeight="1">
      <c r="B223" s="391" t="s">
        <v>7470</v>
      </c>
      <c r="C223" s="391" t="s">
        <v>7471</v>
      </c>
      <c r="D223" s="391" t="s">
        <v>2166</v>
      </c>
    </row>
    <row r="224" ht="15.75" customHeight="1">
      <c r="B224" s="391" t="s">
        <v>5824</v>
      </c>
      <c r="C224" s="391" t="s">
        <v>7472</v>
      </c>
      <c r="D224" s="391" t="s">
        <v>2166</v>
      </c>
    </row>
    <row r="225" ht="15.75" customHeight="1">
      <c r="B225" s="391" t="s">
        <v>6013</v>
      </c>
      <c r="C225" s="391" t="s">
        <v>7473</v>
      </c>
      <c r="D225" s="391" t="s">
        <v>2166</v>
      </c>
    </row>
    <row r="226" ht="15.75" customHeight="1">
      <c r="B226" s="391" t="s">
        <v>6002</v>
      </c>
      <c r="C226" s="391" t="s">
        <v>7474</v>
      </c>
      <c r="D226" s="391" t="s">
        <v>2195</v>
      </c>
    </row>
    <row r="227" ht="15.75" customHeight="1">
      <c r="B227" s="391" t="s">
        <v>6037</v>
      </c>
      <c r="C227" s="391" t="s">
        <v>7475</v>
      </c>
      <c r="D227" s="391" t="s">
        <v>2195</v>
      </c>
    </row>
    <row r="228" ht="15.75" customHeight="1">
      <c r="B228" s="391" t="s">
        <v>6041</v>
      </c>
      <c r="C228" s="391" t="s">
        <v>7475</v>
      </c>
      <c r="D228" s="391" t="s">
        <v>2166</v>
      </c>
    </row>
    <row r="229" ht="15.75" customHeight="1">
      <c r="B229" s="391" t="s">
        <v>6043</v>
      </c>
      <c r="C229" s="391" t="s">
        <v>7475</v>
      </c>
      <c r="D229" s="391" t="s">
        <v>2166</v>
      </c>
    </row>
    <row r="230" ht="15.75" customHeight="1">
      <c r="B230" s="391" t="s">
        <v>6045</v>
      </c>
      <c r="C230" s="391" t="s">
        <v>7475</v>
      </c>
      <c r="D230" s="391" t="s">
        <v>2166</v>
      </c>
    </row>
    <row r="231" ht="15.75" customHeight="1">
      <c r="B231" s="391" t="s">
        <v>6047</v>
      </c>
      <c r="C231" s="391" t="s">
        <v>7475</v>
      </c>
      <c r="D231" s="391" t="s">
        <v>2232</v>
      </c>
    </row>
    <row r="232" ht="15.75" customHeight="1">
      <c r="B232" s="391" t="s">
        <v>6049</v>
      </c>
      <c r="C232" s="391" t="s">
        <v>7475</v>
      </c>
      <c r="D232" s="391" t="s">
        <v>2232</v>
      </c>
    </row>
    <row r="233" ht="15.75" customHeight="1">
      <c r="B233" s="391" t="s">
        <v>7476</v>
      </c>
      <c r="C233" s="391" t="s">
        <v>7475</v>
      </c>
      <c r="D233" s="391" t="s">
        <v>2166</v>
      </c>
    </row>
    <row r="234" ht="15.75" customHeight="1">
      <c r="B234" s="391" t="s">
        <v>7477</v>
      </c>
      <c r="C234" s="391" t="s">
        <v>7475</v>
      </c>
      <c r="D234" s="391" t="s">
        <v>2195</v>
      </c>
    </row>
    <row r="235" ht="15.75" customHeight="1">
      <c r="B235" s="391" t="s">
        <v>7478</v>
      </c>
      <c r="C235" s="391" t="s">
        <v>7475</v>
      </c>
      <c r="D235" s="391" t="s">
        <v>2195</v>
      </c>
    </row>
    <row r="236" ht="15.75" customHeight="1">
      <c r="B236" s="391" t="s">
        <v>5950</v>
      </c>
      <c r="C236" s="391" t="s">
        <v>7479</v>
      </c>
      <c r="D236" s="391" t="s">
        <v>2166</v>
      </c>
    </row>
    <row r="237" ht="15.75" customHeight="1">
      <c r="B237" s="391" t="s">
        <v>7480</v>
      </c>
      <c r="C237" s="391" t="s">
        <v>7481</v>
      </c>
      <c r="D237" s="391" t="s">
        <v>2195</v>
      </c>
    </row>
    <row r="238" ht="15.75" customHeight="1">
      <c r="B238" s="391" t="s">
        <v>7482</v>
      </c>
      <c r="C238" s="391" t="s">
        <v>7481</v>
      </c>
      <c r="D238" s="391" t="s">
        <v>2166</v>
      </c>
    </row>
    <row r="239" ht="15.75" customHeight="1">
      <c r="B239" s="391" t="s">
        <v>7483</v>
      </c>
      <c r="C239" s="391" t="s">
        <v>7481</v>
      </c>
      <c r="D239" s="391" t="s">
        <v>2166</v>
      </c>
    </row>
    <row r="240" ht="15.75" customHeight="1">
      <c r="B240" s="391" t="s">
        <v>7484</v>
      </c>
      <c r="C240" s="391" t="s">
        <v>7481</v>
      </c>
      <c r="D240" s="391" t="s">
        <v>2195</v>
      </c>
    </row>
    <row r="241" ht="15.75" customHeight="1">
      <c r="B241" s="391" t="s">
        <v>7485</v>
      </c>
      <c r="C241" s="391" t="s">
        <v>7481</v>
      </c>
      <c r="D241" s="391" t="s">
        <v>2166</v>
      </c>
    </row>
    <row r="242" ht="15.75" customHeight="1">
      <c r="B242" s="391" t="s">
        <v>5727</v>
      </c>
      <c r="C242" s="391" t="s">
        <v>7481</v>
      </c>
      <c r="D242" s="391" t="s">
        <v>2166</v>
      </c>
    </row>
    <row r="243" ht="15.75" customHeight="1">
      <c r="B243" s="391" t="s">
        <v>5729</v>
      </c>
      <c r="C243" s="391" t="s">
        <v>7481</v>
      </c>
      <c r="D243" s="391" t="s">
        <v>2166</v>
      </c>
    </row>
    <row r="244" ht="15.75" customHeight="1">
      <c r="B244" s="391" t="s">
        <v>7486</v>
      </c>
      <c r="C244" s="391" t="s">
        <v>7481</v>
      </c>
      <c r="D244" s="391" t="s">
        <v>2166</v>
      </c>
    </row>
    <row r="245" ht="15.75" customHeight="1">
      <c r="B245" s="391" t="s">
        <v>5923</v>
      </c>
      <c r="C245" s="391" t="s">
        <v>7487</v>
      </c>
      <c r="D245" s="391" t="s">
        <v>2166</v>
      </c>
    </row>
    <row r="246" ht="15.75" customHeight="1">
      <c r="B246" s="391" t="s">
        <v>7488</v>
      </c>
      <c r="C246" s="391" t="s">
        <v>7487</v>
      </c>
      <c r="D246" s="391" t="s">
        <v>2166</v>
      </c>
    </row>
    <row r="247" ht="15.75" customHeight="1">
      <c r="B247" s="391" t="s">
        <v>5930</v>
      </c>
      <c r="C247" s="391" t="s">
        <v>7487</v>
      </c>
      <c r="D247" s="391" t="s">
        <v>2195</v>
      </c>
    </row>
    <row r="248" ht="15.75" customHeight="1">
      <c r="B248" s="391" t="s">
        <v>7489</v>
      </c>
      <c r="C248" s="391" t="s">
        <v>7487</v>
      </c>
      <c r="D248" s="391" t="s">
        <v>2166</v>
      </c>
    </row>
    <row r="249" ht="15.75" customHeight="1">
      <c r="B249" s="391" t="s">
        <v>7490</v>
      </c>
      <c r="C249" s="391" t="s">
        <v>7491</v>
      </c>
      <c r="D249" s="391" t="s">
        <v>2166</v>
      </c>
    </row>
    <row r="250" ht="15.75" customHeight="1">
      <c r="B250" s="391" t="s">
        <v>5791</v>
      </c>
      <c r="C250" s="391" t="s">
        <v>7491</v>
      </c>
      <c r="D250" s="391" t="s">
        <v>2166</v>
      </c>
    </row>
    <row r="251" ht="15.75" customHeight="1">
      <c r="B251" s="391" t="s">
        <v>5783</v>
      </c>
      <c r="C251" s="391" t="s">
        <v>7491</v>
      </c>
      <c r="D251" s="391" t="s">
        <v>2195</v>
      </c>
    </row>
    <row r="252" ht="15.75" customHeight="1">
      <c r="B252" s="391" t="s">
        <v>5779</v>
      </c>
      <c r="C252" s="391" t="s">
        <v>7491</v>
      </c>
      <c r="D252" s="391" t="s">
        <v>2232</v>
      </c>
    </row>
    <row r="253" ht="15.75" customHeight="1">
      <c r="B253" s="391" t="s">
        <v>5765</v>
      </c>
      <c r="C253" s="391" t="s">
        <v>7491</v>
      </c>
      <c r="D253" s="391" t="s">
        <v>2232</v>
      </c>
    </row>
    <row r="254" ht="15.75" customHeight="1">
      <c r="B254" s="391" t="s">
        <v>5773</v>
      </c>
      <c r="C254" s="391" t="s">
        <v>7491</v>
      </c>
      <c r="D254" s="391" t="s">
        <v>2195</v>
      </c>
    </row>
    <row r="255" ht="15.75" customHeight="1">
      <c r="B255" s="391" t="s">
        <v>5769</v>
      </c>
      <c r="C255" s="391" t="s">
        <v>7491</v>
      </c>
      <c r="D255" s="391" t="s">
        <v>2195</v>
      </c>
    </row>
    <row r="256" ht="15.75" customHeight="1">
      <c r="B256" s="391" t="s">
        <v>7492</v>
      </c>
      <c r="C256" s="391" t="s">
        <v>7491</v>
      </c>
      <c r="D256" s="391" t="s">
        <v>2195</v>
      </c>
    </row>
    <row r="257" ht="15.75" customHeight="1">
      <c r="B257" s="391" t="s">
        <v>7493</v>
      </c>
      <c r="C257" s="391" t="s">
        <v>7491</v>
      </c>
      <c r="D257" s="391" t="s">
        <v>2166</v>
      </c>
    </row>
    <row r="258" ht="15.75" customHeight="1">
      <c r="B258" s="391" t="s">
        <v>7494</v>
      </c>
      <c r="C258" s="391" t="s">
        <v>7491</v>
      </c>
      <c r="D258" s="391" t="s">
        <v>2166</v>
      </c>
    </row>
    <row r="259" ht="15.75" customHeight="1">
      <c r="B259" s="391" t="s">
        <v>7495</v>
      </c>
      <c r="C259" s="391" t="s">
        <v>7491</v>
      </c>
      <c r="D259" s="391" t="s">
        <v>2195</v>
      </c>
    </row>
    <row r="260" ht="15.75" customHeight="1">
      <c r="B260" s="391" t="s">
        <v>7496</v>
      </c>
      <c r="C260" s="391" t="s">
        <v>7491</v>
      </c>
      <c r="D260" s="391" t="s">
        <v>2166</v>
      </c>
    </row>
    <row r="261" ht="15.75" customHeight="1">
      <c r="B261" s="391" t="s">
        <v>7497</v>
      </c>
      <c r="C261" s="391" t="s">
        <v>7491</v>
      </c>
      <c r="D261" s="391" t="s">
        <v>2195</v>
      </c>
    </row>
    <row r="262" ht="15.75" customHeight="1">
      <c r="B262" s="391" t="s">
        <v>5752</v>
      </c>
      <c r="C262" s="391" t="s">
        <v>7491</v>
      </c>
      <c r="D262" s="391" t="s">
        <v>2195</v>
      </c>
    </row>
    <row r="263" ht="15.75" customHeight="1">
      <c r="B263" s="391" t="s">
        <v>5808</v>
      </c>
      <c r="C263" s="391" t="s">
        <v>7498</v>
      </c>
      <c r="D263" s="391" t="s">
        <v>2195</v>
      </c>
    </row>
    <row r="264" ht="15.75" customHeight="1">
      <c r="B264" s="391" t="s">
        <v>6030</v>
      </c>
      <c r="C264" s="391" t="s">
        <v>7499</v>
      </c>
      <c r="D264" s="391" t="s">
        <v>2195</v>
      </c>
    </row>
    <row r="265" ht="15.75" customHeight="1">
      <c r="B265" s="391" t="s">
        <v>7500</v>
      </c>
      <c r="C265" s="391" t="s">
        <v>7499</v>
      </c>
      <c r="D265" s="391" t="s">
        <v>2195</v>
      </c>
    </row>
    <row r="266" ht="15.75" customHeight="1">
      <c r="B266" s="391" t="s">
        <v>5994</v>
      </c>
      <c r="C266" s="391" t="s">
        <v>7501</v>
      </c>
      <c r="D266" s="391" t="s">
        <v>2166</v>
      </c>
    </row>
    <row r="267" ht="15.75" customHeight="1">
      <c r="B267" s="391" t="s">
        <v>5711</v>
      </c>
      <c r="C267" s="391" t="s">
        <v>7502</v>
      </c>
      <c r="D267" s="391" t="s">
        <v>2166</v>
      </c>
    </row>
    <row r="268" ht="15.75" customHeight="1">
      <c r="B268" s="391" t="s">
        <v>6060</v>
      </c>
      <c r="C268" s="391" t="s">
        <v>7503</v>
      </c>
      <c r="D268" s="391" t="s">
        <v>2232</v>
      </c>
    </row>
    <row r="269" ht="15.75" customHeight="1">
      <c r="B269" s="391" t="s">
        <v>7504</v>
      </c>
      <c r="C269" s="391" t="s">
        <v>7505</v>
      </c>
      <c r="D269" s="391" t="s">
        <v>2166</v>
      </c>
    </row>
    <row r="270" ht="15.75" customHeight="1">
      <c r="B270" s="391" t="s">
        <v>7506</v>
      </c>
      <c r="C270" s="391" t="s">
        <v>7507</v>
      </c>
      <c r="D270" s="391" t="s">
        <v>2195</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2232</v>
      </c>
    </row>
    <row r="275" ht="15.75" customHeight="1">
      <c r="B275" s="391" t="s">
        <v>1736</v>
      </c>
      <c r="C275" s="391" t="s">
        <v>7516</v>
      </c>
      <c r="D275" s="391" t="s">
        <v>2166</v>
      </c>
    </row>
    <row r="276" ht="15.75" customHeight="1">
      <c r="B276" s="391" t="s">
        <v>1728</v>
      </c>
      <c r="C276" s="391" t="s">
        <v>7517</v>
      </c>
      <c r="D276" s="391" t="s">
        <v>2166</v>
      </c>
    </row>
    <row r="277" ht="15.75" customHeight="1">
      <c r="B277" s="391" t="s">
        <v>1732</v>
      </c>
      <c r="C277" s="391" t="s">
        <v>7518</v>
      </c>
      <c r="D277" s="391" t="s">
        <v>2166</v>
      </c>
    </row>
    <row r="278" ht="15.75" customHeight="1">
      <c r="B278" s="391" t="s">
        <v>7519</v>
      </c>
      <c r="C278" s="391" t="s">
        <v>7520</v>
      </c>
      <c r="D278" s="391" t="s">
        <v>2166</v>
      </c>
    </row>
    <row r="279" ht="15.75" customHeight="1">
      <c r="B279" s="391" t="s">
        <v>7521</v>
      </c>
      <c r="C279" s="391" t="s">
        <v>7522</v>
      </c>
      <c r="D279" s="391" t="s">
        <v>2166</v>
      </c>
    </row>
    <row r="280" ht="15.75" customHeight="1">
      <c r="B280" s="391" t="s">
        <v>7523</v>
      </c>
      <c r="C280" s="391" t="s">
        <v>7524</v>
      </c>
      <c r="D280" s="391" t="s">
        <v>2232</v>
      </c>
    </row>
    <row r="281" ht="15.75" customHeight="1">
      <c r="B281" s="391" t="s">
        <v>1715</v>
      </c>
      <c r="C281" s="391" t="s">
        <v>7525</v>
      </c>
      <c r="D281" s="391" t="s">
        <v>2166</v>
      </c>
    </row>
    <row r="282" ht="15.75" customHeight="1">
      <c r="B282" s="391" t="s">
        <v>1711</v>
      </c>
      <c r="C282" s="391" t="s">
        <v>7525</v>
      </c>
      <c r="D282" s="391" t="s">
        <v>2166</v>
      </c>
    </row>
    <row r="283" ht="15.75" customHeight="1">
      <c r="B283" s="391" t="s">
        <v>7526</v>
      </c>
      <c r="C283" s="391" t="s">
        <v>7525</v>
      </c>
      <c r="D283" s="391" t="s">
        <v>2166</v>
      </c>
    </row>
    <row r="284" ht="15.75" customHeight="1">
      <c r="B284" s="391" t="s">
        <v>1719</v>
      </c>
      <c r="C284" s="391" t="s">
        <v>7527</v>
      </c>
      <c r="D284" s="391" t="s">
        <v>2166</v>
      </c>
    </row>
    <row r="285" ht="15.75" customHeight="1">
      <c r="B285" s="391" t="s">
        <v>1717</v>
      </c>
      <c r="C285" s="391" t="s">
        <v>7527</v>
      </c>
      <c r="D285" s="391" t="s">
        <v>2166</v>
      </c>
    </row>
    <row r="286" ht="15.75" customHeight="1">
      <c r="B286" s="391" t="s">
        <v>7528</v>
      </c>
      <c r="C286" s="391" t="s">
        <v>7527</v>
      </c>
      <c r="D286" s="391" t="s">
        <v>2195</v>
      </c>
    </row>
    <row r="287" ht="15.75" customHeight="1">
      <c r="B287" s="391" t="s">
        <v>7529</v>
      </c>
      <c r="C287" s="391" t="s">
        <v>7530</v>
      </c>
      <c r="D287" s="391" t="s">
        <v>2195</v>
      </c>
    </row>
    <row r="288" ht="15.75" customHeight="1">
      <c r="B288" s="391" t="s">
        <v>7531</v>
      </c>
      <c r="C288" s="391" t="s">
        <v>3547</v>
      </c>
      <c r="D288" s="391" t="s">
        <v>2232</v>
      </c>
    </row>
    <row r="289" ht="15.75" customHeight="1">
      <c r="B289" s="391" t="s">
        <v>7532</v>
      </c>
      <c r="C289" s="391" t="s">
        <v>7533</v>
      </c>
      <c r="D289" s="391" t="s">
        <v>2232</v>
      </c>
    </row>
    <row r="290" ht="15.75" customHeight="1">
      <c r="B290" s="391" t="s">
        <v>7534</v>
      </c>
      <c r="C290" s="391" t="s">
        <v>7535</v>
      </c>
      <c r="D290" s="391" t="s">
        <v>2166</v>
      </c>
    </row>
    <row r="291" ht="15.75" customHeight="1">
      <c r="B291" s="391" t="s">
        <v>7536</v>
      </c>
      <c r="C291" s="391" t="s">
        <v>7537</v>
      </c>
      <c r="D291" s="391" t="s">
        <v>2232</v>
      </c>
    </row>
    <row r="292" ht="15.75" customHeight="1">
      <c r="B292" s="391" t="s">
        <v>7538</v>
      </c>
      <c r="C292" s="391" t="s">
        <v>7539</v>
      </c>
      <c r="D292" s="391" t="s">
        <v>2232</v>
      </c>
    </row>
    <row r="293" ht="15.75" customHeight="1">
      <c r="B293" s="391" t="s">
        <v>3556</v>
      </c>
      <c r="C293" s="391" t="s">
        <v>7540</v>
      </c>
      <c r="D293" s="391" t="s">
        <v>2166</v>
      </c>
    </row>
    <row r="294" ht="15.75" customHeight="1">
      <c r="B294" s="391" t="s">
        <v>7541</v>
      </c>
      <c r="C294" s="391" t="s">
        <v>7540</v>
      </c>
      <c r="D294" s="391" t="s">
        <v>2166</v>
      </c>
    </row>
    <row r="295" ht="15.75" customHeight="1">
      <c r="B295" s="391" t="s">
        <v>7542</v>
      </c>
      <c r="C295" s="391" t="s">
        <v>7540</v>
      </c>
      <c r="D295" s="391" t="s">
        <v>2166</v>
      </c>
    </row>
    <row r="296" ht="15.75" customHeight="1">
      <c r="B296" s="391" t="s">
        <v>7543</v>
      </c>
      <c r="C296" s="391" t="s">
        <v>7540</v>
      </c>
      <c r="D296" s="391" t="s">
        <v>2195</v>
      </c>
    </row>
    <row r="297" ht="15.75" customHeight="1">
      <c r="B297" s="391" t="s">
        <v>7544</v>
      </c>
      <c r="C297" s="391" t="s">
        <v>7540</v>
      </c>
      <c r="D297" s="391" t="s">
        <v>2195</v>
      </c>
    </row>
    <row r="298" ht="15.75" customHeight="1">
      <c r="B298" s="391" t="s">
        <v>7545</v>
      </c>
      <c r="C298" s="391" t="s">
        <v>7546</v>
      </c>
      <c r="D298" s="391" t="s">
        <v>2195</v>
      </c>
    </row>
    <row r="299" ht="15.75" customHeight="1">
      <c r="B299" s="391" t="s">
        <v>7547</v>
      </c>
      <c r="C299" s="391" t="s">
        <v>7548</v>
      </c>
      <c r="D299" s="391" t="s">
        <v>2232</v>
      </c>
    </row>
    <row r="300" ht="15.75" customHeight="1">
      <c r="B300" s="391" t="s">
        <v>7549</v>
      </c>
      <c r="C300" s="391" t="s">
        <v>7550</v>
      </c>
      <c r="D300" s="391" t="s">
        <v>2232</v>
      </c>
    </row>
    <row r="301" ht="15.75" customHeight="1">
      <c r="B301" s="391" t="s">
        <v>7551</v>
      </c>
      <c r="C301" s="391" t="s">
        <v>7550</v>
      </c>
      <c r="D301" s="391" t="s">
        <v>2232</v>
      </c>
    </row>
    <row r="302" ht="15.75" customHeight="1">
      <c r="B302" s="391" t="s">
        <v>7552</v>
      </c>
      <c r="C302" s="391" t="s">
        <v>7550</v>
      </c>
      <c r="D302" s="391" t="s">
        <v>2232</v>
      </c>
    </row>
    <row r="303" ht="15.75" customHeight="1">
      <c r="B303" s="391" t="s">
        <v>7553</v>
      </c>
      <c r="C303" s="391" t="s">
        <v>7550</v>
      </c>
      <c r="D303" s="391" t="s">
        <v>2232</v>
      </c>
    </row>
    <row r="304" ht="15.75" customHeight="1">
      <c r="B304" s="391" t="s">
        <v>7554</v>
      </c>
      <c r="C304" s="391" t="s">
        <v>7550</v>
      </c>
      <c r="D304" s="391" t="s">
        <v>2195</v>
      </c>
    </row>
    <row r="305" ht="15.75" customHeight="1">
      <c r="B305" s="391" t="s">
        <v>7555</v>
      </c>
      <c r="C305" s="391" t="s">
        <v>7556</v>
      </c>
      <c r="D305" s="391" t="s">
        <v>2232</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2166</v>
      </c>
    </row>
    <row r="309" ht="15.75" customHeight="1">
      <c r="B309" s="391" t="s">
        <v>7563</v>
      </c>
      <c r="C309" s="391" t="s">
        <v>7562</v>
      </c>
      <c r="D309" s="391" t="s">
        <v>2166</v>
      </c>
    </row>
    <row r="310" ht="15.75" customHeight="1">
      <c r="B310" s="391" t="s">
        <v>7564</v>
      </c>
      <c r="C310" s="391" t="s">
        <v>7565</v>
      </c>
      <c r="D310" s="391" t="s">
        <v>2232</v>
      </c>
    </row>
    <row r="311" ht="15.75" customHeight="1">
      <c r="B311" s="391" t="s">
        <v>7566</v>
      </c>
      <c r="C311" s="391" t="s">
        <v>7567</v>
      </c>
      <c r="D311" s="391" t="s">
        <v>2232</v>
      </c>
    </row>
    <row r="312" ht="15.75" customHeight="1">
      <c r="B312" s="391" t="s">
        <v>7568</v>
      </c>
      <c r="C312" s="391" t="s">
        <v>7567</v>
      </c>
      <c r="D312" s="391" t="s">
        <v>2232</v>
      </c>
    </row>
    <row r="313" ht="15.75" customHeight="1">
      <c r="B313" s="391" t="s">
        <v>7569</v>
      </c>
      <c r="C313" s="391" t="s">
        <v>7567</v>
      </c>
      <c r="D313" s="391" t="s">
        <v>2232</v>
      </c>
    </row>
    <row r="314" ht="15.75" customHeight="1">
      <c r="B314" s="391" t="s">
        <v>7570</v>
      </c>
      <c r="C314" s="391" t="s">
        <v>7571</v>
      </c>
      <c r="D314" s="391" t="s">
        <v>2166</v>
      </c>
    </row>
    <row r="315" ht="15.75" customHeight="1">
      <c r="B315" s="391" t="s">
        <v>3548</v>
      </c>
      <c r="C315" s="391" t="s">
        <v>7572</v>
      </c>
      <c r="D315" s="391" t="s">
        <v>2166</v>
      </c>
    </row>
    <row r="316" ht="15.75" customHeight="1">
      <c r="B316" s="391" t="s">
        <v>3552</v>
      </c>
      <c r="C316" s="391" t="s">
        <v>7572</v>
      </c>
      <c r="D316" s="391" t="s">
        <v>2166</v>
      </c>
    </row>
    <row r="317" ht="15.75" customHeight="1">
      <c r="B317" s="391" t="s">
        <v>7573</v>
      </c>
      <c r="C317" s="391" t="s">
        <v>7574</v>
      </c>
      <c r="D317" s="391" t="s">
        <v>2195</v>
      </c>
    </row>
    <row r="318" ht="15.75" customHeight="1">
      <c r="B318" s="391" t="s">
        <v>7575</v>
      </c>
      <c r="C318" s="391" t="s">
        <v>7574</v>
      </c>
      <c r="D318" s="391" t="s">
        <v>2166</v>
      </c>
    </row>
    <row r="319" ht="15.75" customHeight="1">
      <c r="B319" s="391" t="s">
        <v>7576</v>
      </c>
      <c r="C319" s="391" t="s">
        <v>7577</v>
      </c>
      <c r="D319" s="391" t="s">
        <v>2195</v>
      </c>
    </row>
    <row r="320" ht="15.75" customHeight="1">
      <c r="B320" s="391" t="s">
        <v>7578</v>
      </c>
      <c r="C320" s="391" t="s">
        <v>7579</v>
      </c>
      <c r="D320" s="391" t="s">
        <v>2195</v>
      </c>
    </row>
    <row r="321" ht="15.75" customHeight="1">
      <c r="B321" s="391" t="s">
        <v>7580</v>
      </c>
      <c r="C321" s="391" t="s">
        <v>7581</v>
      </c>
      <c r="D321" s="391" t="s">
        <v>2232</v>
      </c>
    </row>
    <row r="322" ht="15.75" customHeight="1">
      <c r="B322" s="391" t="s">
        <v>7582</v>
      </c>
      <c r="C322" s="391" t="s">
        <v>7583</v>
      </c>
      <c r="D322" s="391" t="s">
        <v>2166</v>
      </c>
    </row>
    <row r="323" ht="15.75" customHeight="1">
      <c r="B323" s="391" t="s">
        <v>7584</v>
      </c>
      <c r="C323" s="391" t="s">
        <v>7585</v>
      </c>
      <c r="D323" s="391" t="s">
        <v>2166</v>
      </c>
    </row>
    <row r="324" ht="15.75" customHeight="1">
      <c r="B324" s="391" t="s">
        <v>7586</v>
      </c>
      <c r="C324" s="391" t="s">
        <v>7587</v>
      </c>
      <c r="D324" s="391" t="s">
        <v>2232</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2195</v>
      </c>
    </row>
    <row r="328" ht="15.75" customHeight="1">
      <c r="B328" s="391" t="s">
        <v>7594</v>
      </c>
      <c r="C328" s="391" t="s">
        <v>7593</v>
      </c>
      <c r="D328" s="391" t="s">
        <v>2232</v>
      </c>
    </row>
    <row r="329" ht="15.75" customHeight="1">
      <c r="B329" s="391" t="s">
        <v>7595</v>
      </c>
      <c r="C329" s="391" t="s">
        <v>7593</v>
      </c>
      <c r="D329" s="391" t="s">
        <v>2195</v>
      </c>
    </row>
    <row r="330" ht="15.75" customHeight="1">
      <c r="B330" s="391" t="s">
        <v>7596</v>
      </c>
      <c r="C330" s="391" t="s">
        <v>7593</v>
      </c>
      <c r="D330" s="391" t="s">
        <v>2195</v>
      </c>
    </row>
    <row r="331" ht="15.75" customHeight="1">
      <c r="B331" s="391" t="s">
        <v>7597</v>
      </c>
      <c r="C331" s="391" t="s">
        <v>7593</v>
      </c>
      <c r="D331" s="391" t="s">
        <v>2166</v>
      </c>
    </row>
    <row r="332" ht="15.75" customHeight="1">
      <c r="B332" s="391" t="s">
        <v>7598</v>
      </c>
      <c r="C332" s="391" t="s">
        <v>7599</v>
      </c>
      <c r="D332" s="391" t="s">
        <v>2166</v>
      </c>
    </row>
    <row r="333" ht="15.75" customHeight="1">
      <c r="B333" s="391" t="s">
        <v>7600</v>
      </c>
      <c r="C333" s="391" t="s">
        <v>7601</v>
      </c>
      <c r="D333" s="391" t="s">
        <v>2232</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2195</v>
      </c>
    </row>
    <row r="337" ht="15.75" customHeight="1">
      <c r="B337" s="391" t="s">
        <v>7608</v>
      </c>
      <c r="C337" s="391" t="s">
        <v>7609</v>
      </c>
      <c r="D337" s="391" t="s">
        <v>2232</v>
      </c>
    </row>
    <row r="338" ht="15.75" customHeight="1">
      <c r="B338" s="391" t="s">
        <v>7610</v>
      </c>
      <c r="C338" s="391" t="s">
        <v>7611</v>
      </c>
      <c r="D338" s="391" t="s">
        <v>2232</v>
      </c>
    </row>
    <row r="339" ht="15.75" customHeight="1">
      <c r="B339" s="391" t="s">
        <v>7612</v>
      </c>
      <c r="C339" s="391" t="s">
        <v>7611</v>
      </c>
      <c r="D339" s="391" t="s">
        <v>2232</v>
      </c>
    </row>
    <row r="340" ht="15.75" customHeight="1">
      <c r="B340" s="391" t="s">
        <v>7613</v>
      </c>
      <c r="C340" s="391" t="s">
        <v>7614</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2166</v>
      </c>
    </row>
    <row r="348" ht="15.75" customHeight="1">
      <c r="B348" s="391" t="s">
        <v>7629</v>
      </c>
      <c r="C348" s="391" t="s">
        <v>7630</v>
      </c>
      <c r="D348" s="391" t="s">
        <v>2195</v>
      </c>
    </row>
    <row r="349" ht="15.75" customHeight="1">
      <c r="B349" s="391" t="s">
        <v>7631</v>
      </c>
      <c r="C349" s="391" t="s">
        <v>7632</v>
      </c>
      <c r="D349" s="391" t="s">
        <v>2232</v>
      </c>
    </row>
    <row r="350" ht="15.75" customHeight="1">
      <c r="B350" s="391" t="s">
        <v>7633</v>
      </c>
      <c r="C350" s="391" t="s">
        <v>7632</v>
      </c>
      <c r="D350" s="391" t="s">
        <v>2195</v>
      </c>
    </row>
    <row r="351" ht="15.75" customHeight="1">
      <c r="B351" s="391" t="s">
        <v>7634</v>
      </c>
      <c r="C351" s="391" t="s">
        <v>7635</v>
      </c>
      <c r="D351" s="391" t="s">
        <v>2195</v>
      </c>
    </row>
    <row r="352" ht="15.75" customHeight="1">
      <c r="B352" s="391" t="s">
        <v>7636</v>
      </c>
      <c r="C352" s="391" t="s">
        <v>7637</v>
      </c>
      <c r="D352" s="391" t="s">
        <v>2195</v>
      </c>
    </row>
    <row r="353" ht="15.75" customHeight="1">
      <c r="B353" s="391" t="s">
        <v>7638</v>
      </c>
      <c r="C353" s="391" t="s">
        <v>7639</v>
      </c>
      <c r="D353" s="391" t="s">
        <v>2232</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2195</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2232</v>
      </c>
    </row>
    <row r="360" ht="15.75" customHeight="1">
      <c r="B360" s="391" t="s">
        <v>7652</v>
      </c>
      <c r="C360" s="391" t="s">
        <v>7653</v>
      </c>
      <c r="D360" s="391" t="s">
        <v>2232</v>
      </c>
    </row>
    <row r="361" ht="15.75" customHeight="1">
      <c r="B361" s="391" t="s">
        <v>7654</v>
      </c>
      <c r="C361" s="391" t="s">
        <v>7655</v>
      </c>
      <c r="D361" s="391" t="s">
        <v>2195</v>
      </c>
    </row>
    <row r="362" ht="15.75" customHeight="1">
      <c r="B362" s="391" t="s">
        <v>7656</v>
      </c>
      <c r="C362" s="391" t="s">
        <v>7657</v>
      </c>
      <c r="D362" s="391" t="s">
        <v>2232</v>
      </c>
    </row>
    <row r="363" ht="15.75" customHeight="1">
      <c r="B363" s="391" t="s">
        <v>7658</v>
      </c>
      <c r="C363" s="391" t="s">
        <v>7659</v>
      </c>
      <c r="D363" s="391" t="s">
        <v>2166</v>
      </c>
    </row>
    <row r="364" ht="15.75" customHeight="1">
      <c r="B364" s="391" t="s">
        <v>7660</v>
      </c>
      <c r="C364" s="391" t="s">
        <v>7659</v>
      </c>
      <c r="D364" s="391" t="s">
        <v>2232</v>
      </c>
    </row>
    <row r="365" ht="15.75" customHeight="1">
      <c r="B365" s="391" t="s">
        <v>7661</v>
      </c>
      <c r="C365" s="391" t="s">
        <v>7662</v>
      </c>
      <c r="D365" s="391" t="s">
        <v>2195</v>
      </c>
    </row>
    <row r="366" ht="15.75" customHeight="1">
      <c r="B366" s="391" t="s">
        <v>7663</v>
      </c>
      <c r="C366" s="391" t="s">
        <v>7664</v>
      </c>
      <c r="D366" s="391" t="s">
        <v>2232</v>
      </c>
    </row>
    <row r="367" ht="15.75" customHeight="1">
      <c r="B367" s="391" t="s">
        <v>7665</v>
      </c>
      <c r="C367" s="391" t="s">
        <v>7666</v>
      </c>
      <c r="D367" s="391" t="s">
        <v>2195</v>
      </c>
    </row>
    <row r="368" ht="15.75" customHeight="1">
      <c r="B368" s="391" t="s">
        <v>7667</v>
      </c>
      <c r="C368" s="391" t="s">
        <v>7668</v>
      </c>
      <c r="D368" s="391" t="s">
        <v>2195</v>
      </c>
    </row>
    <row r="369" ht="15.75" customHeight="1">
      <c r="B369" s="391" t="s">
        <v>7669</v>
      </c>
      <c r="C369" s="391" t="s">
        <v>7670</v>
      </c>
      <c r="D369" s="391" t="s">
        <v>2232</v>
      </c>
    </row>
    <row r="370" ht="15.75" customHeight="1">
      <c r="B370" s="391" t="s">
        <v>7671</v>
      </c>
      <c r="C370" s="391" t="s">
        <v>7672</v>
      </c>
      <c r="D370" s="391" t="s">
        <v>2232</v>
      </c>
    </row>
    <row r="371" ht="15.75" customHeight="1">
      <c r="B371" s="391" t="s">
        <v>7673</v>
      </c>
      <c r="C371" s="391" t="s">
        <v>7672</v>
      </c>
      <c r="D371" s="391" t="s">
        <v>2232</v>
      </c>
    </row>
    <row r="372" ht="15.75" customHeight="1">
      <c r="B372" s="391" t="s">
        <v>7674</v>
      </c>
      <c r="C372" s="391" t="s">
        <v>7675</v>
      </c>
      <c r="D372" s="391" t="s">
        <v>2232</v>
      </c>
    </row>
    <row r="373" ht="15.75" customHeight="1">
      <c r="B373" s="391" t="s">
        <v>7676</v>
      </c>
      <c r="C373" s="391" t="s">
        <v>7677</v>
      </c>
      <c r="D373" s="391" t="s">
        <v>2195</v>
      </c>
    </row>
    <row r="374" ht="15.75" customHeight="1">
      <c r="B374" s="391" t="s">
        <v>7678</v>
      </c>
      <c r="C374" s="391" t="s">
        <v>7679</v>
      </c>
      <c r="D374" s="391" t="s">
        <v>2232</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7693</v>
      </c>
      <c r="D382" s="391" t="s">
        <v>2232</v>
      </c>
    </row>
    <row r="383" ht="15.75" customHeight="1">
      <c r="B383" s="391" t="s">
        <v>7695</v>
      </c>
      <c r="C383" s="391" t="s">
        <v>7693</v>
      </c>
      <c r="D383" s="391" t="s">
        <v>2232</v>
      </c>
    </row>
    <row r="384" ht="15.75" customHeight="1">
      <c r="B384" s="391" t="s">
        <v>7696</v>
      </c>
      <c r="C384" s="391" t="s">
        <v>7693</v>
      </c>
      <c r="D384" s="391" t="s">
        <v>2232</v>
      </c>
    </row>
    <row r="385" ht="15.75" customHeight="1">
      <c r="B385" s="391" t="s">
        <v>7697</v>
      </c>
      <c r="C385" s="391" t="s">
        <v>7698</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2195</v>
      </c>
    </row>
    <row r="391" ht="15.75" customHeight="1">
      <c r="B391" s="391" t="s">
        <v>7709</v>
      </c>
      <c r="C391" s="391" t="s">
        <v>7710</v>
      </c>
      <c r="D391" s="391" t="s">
        <v>2232</v>
      </c>
    </row>
    <row r="392" ht="15.75" customHeight="1">
      <c r="B392" s="391" t="s">
        <v>7711</v>
      </c>
      <c r="C392" s="391" t="s">
        <v>7712</v>
      </c>
      <c r="D392" s="391" t="s">
        <v>2195</v>
      </c>
    </row>
    <row r="393" ht="15.75" customHeight="1">
      <c r="B393" s="391" t="s">
        <v>7713</v>
      </c>
      <c r="C393" s="391" t="s">
        <v>7714</v>
      </c>
      <c r="D393" s="391" t="s">
        <v>2195</v>
      </c>
    </row>
    <row r="394" ht="15.75" customHeight="1">
      <c r="B394" s="391" t="s">
        <v>7715</v>
      </c>
      <c r="C394" s="391" t="s">
        <v>7716</v>
      </c>
      <c r="D394" s="391" t="s">
        <v>2232</v>
      </c>
    </row>
    <row r="395" ht="15.75" customHeight="1">
      <c r="B395" s="391" t="s">
        <v>7717</v>
      </c>
      <c r="C395" s="391" t="s">
        <v>7718</v>
      </c>
      <c r="D395" s="391" t="s">
        <v>2195</v>
      </c>
    </row>
    <row r="396" ht="15.75" customHeight="1">
      <c r="B396" s="391" t="s">
        <v>7719</v>
      </c>
      <c r="C396" s="391" t="s">
        <v>7720</v>
      </c>
      <c r="D396" s="391" t="s">
        <v>2166</v>
      </c>
    </row>
    <row r="397" ht="15.75" customHeight="1">
      <c r="B397" s="391" t="s">
        <v>7721</v>
      </c>
      <c r="C397" s="391" t="s">
        <v>7720</v>
      </c>
      <c r="D397" s="391" t="s">
        <v>2232</v>
      </c>
    </row>
    <row r="398" ht="15.75" customHeight="1">
      <c r="B398" s="391" t="s">
        <v>7722</v>
      </c>
      <c r="C398" s="391" t="s">
        <v>7723</v>
      </c>
      <c r="D398" s="391" t="s">
        <v>2232</v>
      </c>
    </row>
    <row r="399" ht="15.75" customHeight="1">
      <c r="B399" s="391" t="s">
        <v>7724</v>
      </c>
      <c r="C399" s="391" t="s">
        <v>7725</v>
      </c>
      <c r="D399" s="391" t="s">
        <v>2195</v>
      </c>
    </row>
    <row r="400" ht="15.75" customHeight="1">
      <c r="B400" s="391" t="s">
        <v>7726</v>
      </c>
      <c r="C400" s="391" t="s">
        <v>7727</v>
      </c>
      <c r="D400" s="391" t="s">
        <v>2195</v>
      </c>
    </row>
    <row r="401" ht="15.75" customHeight="1">
      <c r="B401" s="391" t="s">
        <v>7728</v>
      </c>
      <c r="C401" s="391" t="s">
        <v>7729</v>
      </c>
      <c r="D401" s="391" t="s">
        <v>2232</v>
      </c>
    </row>
    <row r="402" ht="15.75" customHeight="1">
      <c r="B402" s="391" t="s">
        <v>7730</v>
      </c>
      <c r="C402" s="391" t="s">
        <v>7731</v>
      </c>
      <c r="D402" s="391" t="s">
        <v>2232</v>
      </c>
    </row>
    <row r="403" ht="15.75" customHeight="1">
      <c r="B403" s="391" t="s">
        <v>7732</v>
      </c>
      <c r="C403" s="391" t="s">
        <v>7733</v>
      </c>
      <c r="D403" s="391" t="s">
        <v>2166</v>
      </c>
    </row>
    <row r="404" ht="15.75" customHeight="1">
      <c r="B404" s="391" t="s">
        <v>7734</v>
      </c>
      <c r="C404" s="391" t="s">
        <v>7735</v>
      </c>
      <c r="D404" s="391" t="s">
        <v>2195</v>
      </c>
    </row>
    <row r="405" ht="15.75" customHeight="1">
      <c r="B405" s="391" t="s">
        <v>7736</v>
      </c>
      <c r="C405" s="391" t="s">
        <v>7737</v>
      </c>
      <c r="D405" s="391" t="s">
        <v>2232</v>
      </c>
    </row>
    <row r="406" ht="15.75" customHeight="1">
      <c r="B406" s="391" t="s">
        <v>7738</v>
      </c>
      <c r="C406" s="391" t="s">
        <v>7739</v>
      </c>
      <c r="D406" s="391" t="s">
        <v>2232</v>
      </c>
    </row>
    <row r="407" ht="15.75" customHeight="1">
      <c r="B407" s="391" t="s">
        <v>7740</v>
      </c>
      <c r="C407" s="391" t="s">
        <v>7739</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7748</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2195</v>
      </c>
    </row>
    <row r="417" ht="15.75" customHeight="1">
      <c r="B417" s="391" t="s">
        <v>7758</v>
      </c>
      <c r="C417" s="391" t="s">
        <v>7759</v>
      </c>
      <c r="D417" s="391" t="s">
        <v>2232</v>
      </c>
    </row>
    <row r="418" ht="15.75" customHeight="1">
      <c r="B418" s="391" t="s">
        <v>7760</v>
      </c>
      <c r="C418" s="391" t="s">
        <v>7761</v>
      </c>
      <c r="D418" s="391" t="s">
        <v>2195</v>
      </c>
    </row>
    <row r="419" ht="15.75" customHeight="1">
      <c r="B419" s="391" t="s">
        <v>7762</v>
      </c>
      <c r="C419" s="391" t="s">
        <v>7763</v>
      </c>
      <c r="D419" s="391" t="s">
        <v>2195</v>
      </c>
    </row>
    <row r="420" ht="15.75" customHeight="1">
      <c r="B420" s="391" t="s">
        <v>7764</v>
      </c>
      <c r="C420" s="391" t="s">
        <v>7765</v>
      </c>
      <c r="D420" s="391" t="s">
        <v>2232</v>
      </c>
    </row>
    <row r="421" ht="15.75" customHeight="1">
      <c r="B421" s="391" t="s">
        <v>7766</v>
      </c>
      <c r="C421" s="391" t="s">
        <v>7767</v>
      </c>
      <c r="D421" s="391" t="s">
        <v>2195</v>
      </c>
    </row>
    <row r="422" ht="15.75" customHeight="1">
      <c r="B422" s="391" t="s">
        <v>7768</v>
      </c>
      <c r="C422" s="391" t="s">
        <v>7769</v>
      </c>
      <c r="D422" s="391" t="s">
        <v>2195</v>
      </c>
    </row>
    <row r="423" ht="15.75" customHeight="1">
      <c r="B423" s="391" t="s">
        <v>7770</v>
      </c>
      <c r="C423" s="391" t="s">
        <v>7771</v>
      </c>
      <c r="D423" s="391" t="s">
        <v>2166</v>
      </c>
    </row>
    <row r="424" ht="15.75" customHeight="1">
      <c r="B424" s="391" t="s">
        <v>7772</v>
      </c>
      <c r="C424" s="391" t="s">
        <v>7773</v>
      </c>
      <c r="D424" s="391" t="s">
        <v>2195</v>
      </c>
    </row>
    <row r="425" ht="15.75" customHeight="1">
      <c r="B425" s="391" t="s">
        <v>7774</v>
      </c>
      <c r="C425" s="391" t="s">
        <v>7773</v>
      </c>
      <c r="D425" s="391" t="s">
        <v>2195</v>
      </c>
    </row>
    <row r="426" ht="15.75" customHeight="1">
      <c r="B426" s="391" t="s">
        <v>7775</v>
      </c>
      <c r="C426" s="391" t="s">
        <v>7776</v>
      </c>
      <c r="D426" s="391" t="s">
        <v>2195</v>
      </c>
    </row>
    <row r="427" ht="15.75" customHeight="1">
      <c r="B427" s="391" t="s">
        <v>7777</v>
      </c>
      <c r="C427" s="391" t="s">
        <v>7778</v>
      </c>
      <c r="D427" s="391" t="s">
        <v>2232</v>
      </c>
    </row>
    <row r="428" ht="15.75" customHeight="1">
      <c r="B428" s="391" t="s">
        <v>7779</v>
      </c>
      <c r="C428" s="391" t="s">
        <v>7779</v>
      </c>
      <c r="D428" s="391" t="s">
        <v>2166</v>
      </c>
    </row>
    <row r="429" ht="15.75" customHeight="1">
      <c r="B429" s="391" t="s">
        <v>7780</v>
      </c>
      <c r="C429" s="391" t="s">
        <v>7781</v>
      </c>
      <c r="D429" s="391" t="s">
        <v>2232</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2195</v>
      </c>
    </row>
    <row r="433" ht="15.75" customHeight="1">
      <c r="B433" s="391" t="s">
        <v>7788</v>
      </c>
      <c r="C433" s="391" t="s">
        <v>7787</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2195</v>
      </c>
    </row>
    <row r="443" ht="15.75" customHeight="1">
      <c r="B443" s="391" t="s">
        <v>7807</v>
      </c>
      <c r="C443" s="391" t="s">
        <v>7808</v>
      </c>
      <c r="D443" s="391" t="s">
        <v>2232</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2195</v>
      </c>
    </row>
    <row r="447" ht="15.75" customHeight="1">
      <c r="B447" s="391" t="s">
        <v>7815</v>
      </c>
      <c r="C447" s="391" t="s">
        <v>7816</v>
      </c>
      <c r="D447" s="391" t="s">
        <v>2232</v>
      </c>
    </row>
    <row r="448" ht="15.75" customHeight="1">
      <c r="B448" s="391" t="s">
        <v>7817</v>
      </c>
      <c r="C448" s="391" t="s">
        <v>7818</v>
      </c>
      <c r="D448" s="391" t="s">
        <v>2195</v>
      </c>
    </row>
    <row r="449" ht="15.75" customHeight="1">
      <c r="B449" s="391" t="s">
        <v>7819</v>
      </c>
      <c r="C449" s="391" t="s">
        <v>7820</v>
      </c>
      <c r="D449" s="391" t="s">
        <v>2232</v>
      </c>
    </row>
    <row r="450" ht="15.75" customHeight="1">
      <c r="B450" s="391" t="s">
        <v>7821</v>
      </c>
      <c r="C450" s="391" t="s">
        <v>7822</v>
      </c>
      <c r="D450" s="391" t="s">
        <v>2195</v>
      </c>
    </row>
    <row r="451" ht="15.75" customHeight="1">
      <c r="B451" s="391" t="s">
        <v>7823</v>
      </c>
      <c r="C451" s="391" t="s">
        <v>7824</v>
      </c>
      <c r="D451" s="391" t="s">
        <v>2232</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4273</v>
      </c>
      <c r="C464" s="391" t="s">
        <v>7849</v>
      </c>
      <c r="D464" s="391" t="s">
        <v>2166</v>
      </c>
    </row>
    <row r="465" ht="15.75" customHeight="1">
      <c r="B465" s="391" t="s">
        <v>7850</v>
      </c>
      <c r="C465" s="391" t="s">
        <v>7851</v>
      </c>
      <c r="D465" s="391" t="s">
        <v>2195</v>
      </c>
    </row>
    <row r="466" ht="15.75" customHeight="1">
      <c r="B466" s="391" t="s">
        <v>4248</v>
      </c>
      <c r="C466" s="391" t="s">
        <v>7852</v>
      </c>
      <c r="D466" s="391" t="s">
        <v>2195</v>
      </c>
    </row>
    <row r="467" ht="15.75" customHeight="1">
      <c r="B467" s="391" t="s">
        <v>7853</v>
      </c>
      <c r="C467" s="391" t="s">
        <v>7852</v>
      </c>
      <c r="D467" s="391" t="s">
        <v>2195</v>
      </c>
    </row>
    <row r="468" ht="15.75" customHeight="1">
      <c r="B468" s="391" t="s">
        <v>4244</v>
      </c>
      <c r="C468" s="391" t="s">
        <v>7852</v>
      </c>
      <c r="D468" s="391" t="s">
        <v>2166</v>
      </c>
    </row>
    <row r="469" ht="15.75" customHeight="1">
      <c r="B469" s="391" t="s">
        <v>4265</v>
      </c>
      <c r="C469" s="391" t="s">
        <v>7852</v>
      </c>
      <c r="D469" s="391" t="s">
        <v>2195</v>
      </c>
    </row>
    <row r="470" ht="15.75" customHeight="1">
      <c r="B470" s="391" t="s">
        <v>4278</v>
      </c>
      <c r="C470" s="391" t="s">
        <v>7852</v>
      </c>
      <c r="D470" s="391" t="s">
        <v>2195</v>
      </c>
    </row>
    <row r="471" ht="15.75" customHeight="1">
      <c r="B471" s="391" t="s">
        <v>7854</v>
      </c>
      <c r="C471" s="391" t="s">
        <v>7855</v>
      </c>
      <c r="D471" s="391" t="s">
        <v>2195</v>
      </c>
    </row>
    <row r="472" ht="15.75" customHeight="1">
      <c r="B472" s="391" t="s">
        <v>4300</v>
      </c>
      <c r="C472" s="391" t="s">
        <v>7855</v>
      </c>
      <c r="D472" s="391" t="s">
        <v>2232</v>
      </c>
    </row>
    <row r="473" ht="15.75" customHeight="1">
      <c r="B473" s="391" t="s">
        <v>7856</v>
      </c>
      <c r="C473" s="391" t="s">
        <v>7857</v>
      </c>
      <c r="D473" s="391" t="s">
        <v>2195</v>
      </c>
    </row>
    <row r="474" ht="15.75" customHeight="1">
      <c r="B474" s="391" t="s">
        <v>7858</v>
      </c>
      <c r="C474" s="391" t="s">
        <v>7857</v>
      </c>
      <c r="D474" s="391" t="s">
        <v>2195</v>
      </c>
    </row>
    <row r="475" ht="15.75" customHeight="1">
      <c r="B475" s="391" t="s">
        <v>7859</v>
      </c>
      <c r="C475" s="391" t="s">
        <v>7857</v>
      </c>
      <c r="D475" s="391" t="s">
        <v>2195</v>
      </c>
    </row>
    <row r="476" ht="15.75" customHeight="1">
      <c r="B476" s="391" t="s">
        <v>7860</v>
      </c>
      <c r="C476" s="391" t="s">
        <v>7857</v>
      </c>
      <c r="D476" s="391" t="s">
        <v>2232</v>
      </c>
    </row>
    <row r="477" ht="15.75" customHeight="1">
      <c r="B477" s="391" t="s">
        <v>7861</v>
      </c>
      <c r="C477" s="391" t="s">
        <v>7857</v>
      </c>
      <c r="D477" s="391" t="s">
        <v>2232</v>
      </c>
    </row>
    <row r="478" ht="15.75" customHeight="1">
      <c r="B478" s="391" t="s">
        <v>7862</v>
      </c>
      <c r="C478" s="391" t="s">
        <v>7855</v>
      </c>
      <c r="D478" s="391" t="s">
        <v>2195</v>
      </c>
    </row>
    <row r="479" ht="15.75" customHeight="1">
      <c r="B479" s="391" t="s">
        <v>7863</v>
      </c>
      <c r="C479" s="391" t="s">
        <v>7855</v>
      </c>
      <c r="D479" s="391" t="s">
        <v>2232</v>
      </c>
    </row>
    <row r="480" ht="15.75" customHeight="1">
      <c r="B480" s="391" t="s">
        <v>4362</v>
      </c>
      <c r="C480" s="391" t="s">
        <v>7855</v>
      </c>
      <c r="D480" s="391" t="s">
        <v>2232</v>
      </c>
    </row>
    <row r="481" ht="15.75" customHeight="1">
      <c r="B481" s="391" t="s">
        <v>4256</v>
      </c>
      <c r="C481" s="391" t="s">
        <v>7857</v>
      </c>
      <c r="D481" s="391" t="s">
        <v>2166</v>
      </c>
    </row>
    <row r="482" ht="15.75" customHeight="1">
      <c r="B482" s="391" t="s">
        <v>4261</v>
      </c>
      <c r="C482" s="391" t="s">
        <v>7857</v>
      </c>
      <c r="D482" s="391" t="s">
        <v>2195</v>
      </c>
    </row>
    <row r="483" ht="15.75" customHeight="1">
      <c r="B483" s="391" t="s">
        <v>4269</v>
      </c>
      <c r="C483" s="391" t="s">
        <v>7857</v>
      </c>
      <c r="D483" s="391" t="s">
        <v>2166</v>
      </c>
    </row>
    <row r="484" ht="15.75" customHeight="1">
      <c r="B484" s="391" t="s">
        <v>7864</v>
      </c>
      <c r="C484" s="391" t="s">
        <v>7865</v>
      </c>
      <c r="D484" s="391" t="s">
        <v>2195</v>
      </c>
    </row>
    <row r="485" ht="15.75" customHeight="1">
      <c r="B485" s="391" t="s">
        <v>7866</v>
      </c>
      <c r="C485" s="391" t="s">
        <v>7865</v>
      </c>
      <c r="D485" s="391" t="s">
        <v>2195</v>
      </c>
    </row>
    <row r="486" ht="15.75" customHeight="1">
      <c r="B486" s="391" t="s">
        <v>7867</v>
      </c>
      <c r="C486" s="391" t="s">
        <v>7868</v>
      </c>
      <c r="D486" s="391" t="s">
        <v>2195</v>
      </c>
    </row>
    <row r="487" ht="15.75" customHeight="1">
      <c r="B487" s="391" t="s">
        <v>7869</v>
      </c>
      <c r="C487" s="391" t="s">
        <v>7870</v>
      </c>
      <c r="D487" s="391" t="s">
        <v>2232</v>
      </c>
    </row>
    <row r="488" ht="15.75" customHeight="1">
      <c r="B488" s="391" t="s">
        <v>7871</v>
      </c>
      <c r="C488" s="391" t="s">
        <v>7872</v>
      </c>
      <c r="D488" s="391" t="s">
        <v>2232</v>
      </c>
    </row>
    <row r="489" ht="15.75" customHeight="1">
      <c r="B489" s="391" t="s">
        <v>4252</v>
      </c>
      <c r="C489" s="391" t="s">
        <v>7873</v>
      </c>
      <c r="D489" s="391" t="s">
        <v>2232</v>
      </c>
    </row>
    <row r="490" ht="15.75" customHeight="1">
      <c r="B490" s="391" t="s">
        <v>7874</v>
      </c>
      <c r="C490" s="391" t="s">
        <v>7875</v>
      </c>
      <c r="D490" s="391" t="s">
        <v>2166</v>
      </c>
    </row>
    <row r="491" ht="15.75" customHeight="1">
      <c r="B491" s="391" t="s">
        <v>4601</v>
      </c>
      <c r="C491" s="391" t="s">
        <v>7876</v>
      </c>
      <c r="D491" s="391" t="s">
        <v>2166</v>
      </c>
    </row>
    <row r="492" ht="15.75" customHeight="1">
      <c r="B492" s="391" t="s">
        <v>4589</v>
      </c>
      <c r="C492" s="391" t="s">
        <v>4590</v>
      </c>
      <c r="D492" s="391" t="s">
        <v>2166</v>
      </c>
    </row>
    <row r="493" ht="15.75" customHeight="1">
      <c r="B493" s="391" t="s">
        <v>7877</v>
      </c>
      <c r="C493" s="391" t="s">
        <v>4590</v>
      </c>
      <c r="D493" s="391" t="s">
        <v>2166</v>
      </c>
    </row>
    <row r="494" ht="15.75" customHeight="1">
      <c r="B494" s="391" t="s">
        <v>7878</v>
      </c>
      <c r="C494" s="391" t="s">
        <v>7879</v>
      </c>
      <c r="D494" s="391" t="s">
        <v>2195</v>
      </c>
    </row>
    <row r="495" ht="15.75" customHeight="1">
      <c r="B495" s="391" t="s">
        <v>4593</v>
      </c>
      <c r="C495" s="391" t="s">
        <v>4594</v>
      </c>
      <c r="D495" s="391" t="s">
        <v>2166</v>
      </c>
    </row>
    <row r="496" ht="15.75" customHeight="1">
      <c r="B496" s="391" t="s">
        <v>7880</v>
      </c>
      <c r="C496" s="391" t="s">
        <v>7881</v>
      </c>
      <c r="D496" s="391" t="s">
        <v>2232</v>
      </c>
    </row>
    <row r="497" ht="15.75" customHeight="1">
      <c r="B497" s="391" t="s">
        <v>7882</v>
      </c>
      <c r="C497" s="391" t="s">
        <v>7881</v>
      </c>
      <c r="D497" s="391" t="s">
        <v>2195</v>
      </c>
    </row>
    <row r="498" ht="15.75" customHeight="1">
      <c r="B498" s="391" t="s">
        <v>4597</v>
      </c>
      <c r="C498" s="391" t="s">
        <v>4598</v>
      </c>
      <c r="D498" s="391" t="s">
        <v>2195</v>
      </c>
    </row>
    <row r="499" ht="15.75" customHeight="1">
      <c r="B499" s="391" t="s">
        <v>7883</v>
      </c>
      <c r="C499" s="391" t="s">
        <v>7884</v>
      </c>
      <c r="D499" s="391" t="s">
        <v>2232</v>
      </c>
    </row>
    <row r="500" ht="15.75" customHeight="1">
      <c r="B500" s="391" t="s">
        <v>7885</v>
      </c>
      <c r="C500" s="391" t="s">
        <v>7886</v>
      </c>
      <c r="D500" s="391" t="s">
        <v>2195</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2232</v>
      </c>
    </row>
    <row r="504" ht="15.75" customHeight="1">
      <c r="B504" s="391" t="s">
        <v>7893</v>
      </c>
      <c r="C504" s="391" t="s">
        <v>7894</v>
      </c>
      <c r="D504" s="391" t="s">
        <v>2195</v>
      </c>
    </row>
    <row r="505" ht="15.75" customHeight="1">
      <c r="B505" s="391" t="s">
        <v>7895</v>
      </c>
      <c r="C505" s="391" t="s">
        <v>7894</v>
      </c>
      <c r="D505" s="391" t="s">
        <v>2195</v>
      </c>
    </row>
    <row r="506" ht="15.75" customHeight="1">
      <c r="B506" s="391" t="s">
        <v>6865</v>
      </c>
      <c r="C506" s="391" t="s">
        <v>7896</v>
      </c>
      <c r="D506" s="391" t="s">
        <v>2232</v>
      </c>
    </row>
    <row r="507" ht="15.75" customHeight="1">
      <c r="B507" s="391" t="s">
        <v>6878</v>
      </c>
      <c r="C507" s="391" t="s">
        <v>7897</v>
      </c>
      <c r="D507" s="391" t="s">
        <v>2232</v>
      </c>
    </row>
    <row r="508" ht="15.75" customHeight="1">
      <c r="B508" s="391" t="s">
        <v>7898</v>
      </c>
      <c r="C508" s="391" t="s">
        <v>7897</v>
      </c>
      <c r="D508" s="391" t="s">
        <v>2195</v>
      </c>
    </row>
    <row r="509" ht="15.75" customHeight="1">
      <c r="B509" s="391" t="s">
        <v>6869</v>
      </c>
      <c r="C509" s="391" t="s">
        <v>7899</v>
      </c>
      <c r="D509" s="391" t="s">
        <v>2232</v>
      </c>
    </row>
    <row r="510" ht="15.75" customHeight="1">
      <c r="B510" s="391" t="s">
        <v>7900</v>
      </c>
      <c r="C510" s="391" t="s">
        <v>7899</v>
      </c>
      <c r="D510" s="391" t="s">
        <v>2195</v>
      </c>
    </row>
    <row r="511" ht="15.75" customHeight="1">
      <c r="B511" s="391" t="s">
        <v>7901</v>
      </c>
      <c r="C511" s="391" t="s">
        <v>7899</v>
      </c>
      <c r="D511" s="391" t="s">
        <v>2195</v>
      </c>
    </row>
    <row r="512" ht="15.75" customHeight="1">
      <c r="B512" s="391" t="s">
        <v>6886</v>
      </c>
      <c r="C512" s="391" t="s">
        <v>7899</v>
      </c>
      <c r="D512" s="391" t="s">
        <v>2232</v>
      </c>
    </row>
    <row r="513" ht="15.75" customHeight="1">
      <c r="B513" s="391" t="s">
        <v>7902</v>
      </c>
      <c r="C513" s="391" t="s">
        <v>7903</v>
      </c>
      <c r="D513" s="391" t="s">
        <v>2195</v>
      </c>
    </row>
    <row r="514" ht="15.75" customHeight="1">
      <c r="B514" s="391" t="s">
        <v>6873</v>
      </c>
      <c r="C514" s="391" t="s">
        <v>7904</v>
      </c>
      <c r="D514" s="391" t="s">
        <v>2232</v>
      </c>
    </row>
    <row r="515" ht="15.75" customHeight="1">
      <c r="B515" s="391" t="s">
        <v>6894</v>
      </c>
      <c r="C515" s="391" t="s">
        <v>7904</v>
      </c>
      <c r="D515" s="391" t="s">
        <v>2195</v>
      </c>
    </row>
    <row r="516" ht="15.75" customHeight="1">
      <c r="B516" s="391" t="s">
        <v>6882</v>
      </c>
      <c r="C516" s="391" t="s">
        <v>7904</v>
      </c>
      <c r="D516" s="391" t="s">
        <v>2195</v>
      </c>
    </row>
    <row r="517" ht="15.75" customHeight="1">
      <c r="B517" s="391" t="s">
        <v>6890</v>
      </c>
      <c r="C517" s="391" t="s">
        <v>7904</v>
      </c>
      <c r="D517" s="391" t="s">
        <v>2195</v>
      </c>
    </row>
    <row r="518" ht="15.75" customHeight="1">
      <c r="B518" s="391" t="s">
        <v>6899</v>
      </c>
      <c r="C518" s="391" t="s">
        <v>7904</v>
      </c>
      <c r="D518" s="391" t="s">
        <v>2195</v>
      </c>
    </row>
    <row r="519" ht="15.75" customHeight="1">
      <c r="B519" s="391" t="s">
        <v>7905</v>
      </c>
      <c r="C519" s="391" t="s">
        <v>7906</v>
      </c>
      <c r="D519" s="391" t="s">
        <v>2195</v>
      </c>
    </row>
    <row r="520" ht="15.75" customHeight="1">
      <c r="B520" s="391" t="s">
        <v>7907</v>
      </c>
      <c r="C520" s="391" t="s">
        <v>7906</v>
      </c>
      <c r="D520" s="391" t="s">
        <v>2195</v>
      </c>
    </row>
    <row r="521" ht="15.75" customHeight="1">
      <c r="B521" s="391" t="s">
        <v>7908</v>
      </c>
      <c r="C521" s="391" t="s">
        <v>7906</v>
      </c>
      <c r="D521" s="391" t="s">
        <v>2195</v>
      </c>
    </row>
    <row r="522" ht="15.75" customHeight="1">
      <c r="B522" s="391" t="s">
        <v>7909</v>
      </c>
      <c r="C522" s="391" t="s">
        <v>7906</v>
      </c>
      <c r="D522" s="391" t="s">
        <v>2195</v>
      </c>
    </row>
    <row r="523" ht="15.75" customHeight="1">
      <c r="B523" s="391" t="s">
        <v>6909</v>
      </c>
      <c r="C523" s="391" t="s">
        <v>7910</v>
      </c>
      <c r="D523" s="391" t="s">
        <v>2195</v>
      </c>
    </row>
    <row r="524" ht="15.75" customHeight="1">
      <c r="B524" s="391" t="s">
        <v>7911</v>
      </c>
      <c r="C524" s="391" t="s">
        <v>7910</v>
      </c>
      <c r="D524" s="391" t="s">
        <v>2195</v>
      </c>
    </row>
    <row r="525" ht="15.75" customHeight="1">
      <c r="B525" s="391" t="s">
        <v>6918</v>
      </c>
      <c r="C525" s="391" t="s">
        <v>7910</v>
      </c>
      <c r="D525" s="391" t="s">
        <v>2195</v>
      </c>
    </row>
    <row r="526" ht="15.75" customHeight="1">
      <c r="B526" s="391" t="s">
        <v>7912</v>
      </c>
      <c r="C526" s="391" t="s">
        <v>7910</v>
      </c>
      <c r="D526" s="391" t="s">
        <v>2195</v>
      </c>
    </row>
    <row r="527" ht="15.75" customHeight="1">
      <c r="B527" s="391" t="s">
        <v>6922</v>
      </c>
      <c r="C527" s="391" t="s">
        <v>7910</v>
      </c>
      <c r="D527" s="391" t="s">
        <v>2195</v>
      </c>
    </row>
    <row r="528" ht="15.75" customHeight="1">
      <c r="B528" s="391" t="s">
        <v>7913</v>
      </c>
      <c r="C528" s="391" t="s">
        <v>7914</v>
      </c>
      <c r="D528" s="391" t="s">
        <v>2195</v>
      </c>
    </row>
    <row r="529" ht="15.75" customHeight="1">
      <c r="B529" s="391" t="s">
        <v>7915</v>
      </c>
      <c r="C529" s="391" t="s">
        <v>7916</v>
      </c>
      <c r="D529" s="391" t="s">
        <v>2195</v>
      </c>
    </row>
    <row r="530" ht="15.75" customHeight="1">
      <c r="B530" s="391" t="s">
        <v>6903</v>
      </c>
      <c r="C530" s="391" t="s">
        <v>7917</v>
      </c>
      <c r="D530" s="391" t="s">
        <v>2195</v>
      </c>
    </row>
    <row r="531" ht="15.75" customHeight="1">
      <c r="B531" s="391" t="s">
        <v>2140</v>
      </c>
      <c r="C531" s="391" t="s">
        <v>7918</v>
      </c>
      <c r="D531" s="391" t="s">
        <v>2232</v>
      </c>
    </row>
    <row r="532" ht="15.75" customHeight="1">
      <c r="B532" s="391" t="s">
        <v>2144</v>
      </c>
      <c r="C532" s="391" t="s">
        <v>7919</v>
      </c>
      <c r="D532" s="391" t="s">
        <v>2232</v>
      </c>
    </row>
    <row r="533" ht="15.75" customHeight="1">
      <c r="B533" s="391" t="s">
        <v>7920</v>
      </c>
      <c r="C533" s="391" t="s">
        <v>7921</v>
      </c>
      <c r="D533" s="391" t="s">
        <v>2232</v>
      </c>
    </row>
    <row r="534" ht="15.75" customHeight="1">
      <c r="B534" s="391" t="s">
        <v>7922</v>
      </c>
      <c r="C534" s="391" t="s">
        <v>7923</v>
      </c>
      <c r="D534" s="391" t="s">
        <v>2195</v>
      </c>
    </row>
    <row r="535" ht="15.75" customHeight="1">
      <c r="B535" s="391" t="s">
        <v>7924</v>
      </c>
      <c r="C535" s="391" t="s">
        <v>7923</v>
      </c>
      <c r="D535" s="391" t="s">
        <v>2195</v>
      </c>
    </row>
    <row r="536" ht="15.75" customHeight="1">
      <c r="B536" s="391" t="s">
        <v>7925</v>
      </c>
      <c r="C536" s="391" t="s">
        <v>7926</v>
      </c>
      <c r="D536" s="391" t="s">
        <v>2195</v>
      </c>
    </row>
    <row r="537" ht="15.75" customHeight="1">
      <c r="B537" s="391" t="s">
        <v>7927</v>
      </c>
      <c r="C537" s="391" t="s">
        <v>7928</v>
      </c>
      <c r="D537" s="391" t="s">
        <v>2195</v>
      </c>
    </row>
    <row r="538" ht="15.75" customHeight="1">
      <c r="B538" s="391" t="s">
        <v>7929</v>
      </c>
      <c r="C538" s="391" t="s">
        <v>7930</v>
      </c>
      <c r="D538" s="391" t="s">
        <v>2166</v>
      </c>
    </row>
    <row r="539" ht="15.75" customHeight="1">
      <c r="B539" s="391" t="s">
        <v>4699</v>
      </c>
      <c r="C539" s="391" t="s">
        <v>7931</v>
      </c>
      <c r="D539" s="391" t="s">
        <v>2195</v>
      </c>
    </row>
    <row r="540" ht="15.75" customHeight="1">
      <c r="B540" s="391" t="s">
        <v>4647</v>
      </c>
      <c r="C540" s="391" t="s">
        <v>7932</v>
      </c>
      <c r="D540" s="391" t="s">
        <v>2195</v>
      </c>
    </row>
    <row r="541" ht="15.75" customHeight="1">
      <c r="B541" s="391" t="s">
        <v>4651</v>
      </c>
      <c r="C541" s="391" t="s">
        <v>7932</v>
      </c>
      <c r="D541" s="391" t="s">
        <v>2195</v>
      </c>
    </row>
    <row r="542" ht="15.75" customHeight="1">
      <c r="B542" s="391" t="s">
        <v>4655</v>
      </c>
      <c r="C542" s="391" t="s">
        <v>7932</v>
      </c>
      <c r="D542" s="391" t="s">
        <v>2195</v>
      </c>
    </row>
    <row r="543" ht="15.75" customHeight="1">
      <c r="B543" s="391" t="s">
        <v>4675</v>
      </c>
      <c r="C543" s="391" t="s">
        <v>7933</v>
      </c>
      <c r="D543" s="391" t="s">
        <v>2195</v>
      </c>
    </row>
    <row r="544" ht="15.75" customHeight="1">
      <c r="B544" s="391" t="s">
        <v>4663</v>
      </c>
      <c r="C544" s="391" t="s">
        <v>7934</v>
      </c>
      <c r="D544" s="391" t="s">
        <v>2232</v>
      </c>
    </row>
    <row r="545" ht="15.75" customHeight="1">
      <c r="B545" s="391" t="s">
        <v>7935</v>
      </c>
      <c r="C545" s="391" t="s">
        <v>7934</v>
      </c>
      <c r="D545" s="391" t="s">
        <v>2166</v>
      </c>
    </row>
    <row r="546" ht="15.75" customHeight="1">
      <c r="B546" s="391" t="s">
        <v>7936</v>
      </c>
      <c r="C546" s="391" t="s">
        <v>7934</v>
      </c>
      <c r="D546" s="391" t="s">
        <v>2232</v>
      </c>
    </row>
    <row r="547" ht="15.75" customHeight="1">
      <c r="B547" s="391" t="s">
        <v>7937</v>
      </c>
      <c r="C547" s="391" t="s">
        <v>7934</v>
      </c>
      <c r="D547" s="391" t="s">
        <v>2166</v>
      </c>
    </row>
    <row r="548" ht="15.75" customHeight="1">
      <c r="B548" s="391" t="s">
        <v>7938</v>
      </c>
      <c r="C548" s="391" t="s">
        <v>7934</v>
      </c>
      <c r="D548" s="391" t="s">
        <v>2166</v>
      </c>
    </row>
    <row r="549" ht="15.75" customHeight="1">
      <c r="B549" s="391" t="s">
        <v>4688</v>
      </c>
      <c r="C549" s="391" t="s">
        <v>7934</v>
      </c>
      <c r="D549" s="391" t="s">
        <v>2166</v>
      </c>
    </row>
    <row r="550" ht="15.75" customHeight="1">
      <c r="B550" s="391" t="s">
        <v>4691</v>
      </c>
      <c r="C550" s="391" t="s">
        <v>7934</v>
      </c>
      <c r="D550" s="391" t="s">
        <v>2166</v>
      </c>
    </row>
    <row r="551" ht="15.75" customHeight="1">
      <c r="B551" s="391" t="s">
        <v>4621</v>
      </c>
      <c r="C551" s="391" t="s">
        <v>7934</v>
      </c>
      <c r="D551" s="391" t="s">
        <v>2195</v>
      </c>
    </row>
    <row r="552" ht="15.75" customHeight="1">
      <c r="B552" s="391" t="s">
        <v>4734</v>
      </c>
      <c r="C552" s="391" t="s">
        <v>7939</v>
      </c>
      <c r="D552" s="391" t="s">
        <v>2166</v>
      </c>
    </row>
    <row r="553" ht="15.75" customHeight="1">
      <c r="B553" s="391" t="s">
        <v>4735</v>
      </c>
      <c r="C553" s="391" t="s">
        <v>7939</v>
      </c>
      <c r="D553" s="391" t="s">
        <v>2195</v>
      </c>
    </row>
    <row r="554" ht="15.75" customHeight="1">
      <c r="B554" s="391" t="s">
        <v>4736</v>
      </c>
      <c r="C554" s="391" t="s">
        <v>7939</v>
      </c>
      <c r="D554" s="391" t="s">
        <v>2232</v>
      </c>
    </row>
    <row r="555" ht="15.75" customHeight="1">
      <c r="B555" s="391" t="s">
        <v>4740</v>
      </c>
      <c r="C555" s="391" t="s">
        <v>7939</v>
      </c>
      <c r="D555" s="391" t="s">
        <v>2166</v>
      </c>
    </row>
    <row r="556" ht="15.75" customHeight="1">
      <c r="B556" s="391" t="s">
        <v>4743</v>
      </c>
      <c r="C556" s="391" t="s">
        <v>7939</v>
      </c>
      <c r="D556" s="391" t="s">
        <v>2166</v>
      </c>
    </row>
    <row r="557" ht="15.75" customHeight="1">
      <c r="B557" s="391" t="s">
        <v>4746</v>
      </c>
      <c r="C557" s="391" t="s">
        <v>7939</v>
      </c>
      <c r="D557" s="391" t="s">
        <v>2232</v>
      </c>
    </row>
    <row r="558" ht="15.75" customHeight="1">
      <c r="B558" s="391" t="s">
        <v>4749</v>
      </c>
      <c r="C558" s="391" t="s">
        <v>7940</v>
      </c>
      <c r="D558" s="391" t="s">
        <v>2232</v>
      </c>
    </row>
    <row r="559" ht="15.75" customHeight="1">
      <c r="B559" s="391" t="s">
        <v>7941</v>
      </c>
      <c r="C559" s="391" t="s">
        <v>7940</v>
      </c>
      <c r="D559" s="391" t="s">
        <v>2195</v>
      </c>
    </row>
    <row r="560" ht="15.75" customHeight="1">
      <c r="B560" s="391" t="s">
        <v>4659</v>
      </c>
      <c r="C560" s="391" t="s">
        <v>7942</v>
      </c>
      <c r="D560" s="391" t="s">
        <v>2195</v>
      </c>
    </row>
    <row r="561" ht="15.75" customHeight="1">
      <c r="B561" s="391" t="s">
        <v>4704</v>
      </c>
      <c r="C561" s="391" t="s">
        <v>7943</v>
      </c>
      <c r="D561" s="391" t="s">
        <v>2166</v>
      </c>
    </row>
    <row r="562" ht="15.75" customHeight="1">
      <c r="B562" s="391" t="s">
        <v>4708</v>
      </c>
      <c r="C562" s="391" t="s">
        <v>7943</v>
      </c>
      <c r="D562" s="391" t="s">
        <v>2166</v>
      </c>
    </row>
    <row r="563" ht="15.75" customHeight="1">
      <c r="B563" s="391" t="s">
        <v>4712</v>
      </c>
      <c r="C563" s="391" t="s">
        <v>7943</v>
      </c>
      <c r="D563" s="391" t="s">
        <v>2166</v>
      </c>
    </row>
    <row r="564" ht="15.75" customHeight="1">
      <c r="B564" s="391" t="s">
        <v>4684</v>
      </c>
      <c r="C564" s="391" t="s">
        <v>7943</v>
      </c>
      <c r="D564" s="391" t="s">
        <v>2166</v>
      </c>
    </row>
    <row r="565" ht="15.75" customHeight="1">
      <c r="B565" s="391" t="s">
        <v>4638</v>
      </c>
      <c r="C565" s="391" t="s">
        <v>7944</v>
      </c>
      <c r="D565" s="391" t="s">
        <v>2195</v>
      </c>
    </row>
    <row r="566" ht="15.75" customHeight="1">
      <c r="B566" s="391" t="s">
        <v>7945</v>
      </c>
      <c r="C566" s="391" t="s">
        <v>7946</v>
      </c>
      <c r="D566" s="391" t="s">
        <v>2166</v>
      </c>
    </row>
    <row r="567" ht="15.75" customHeight="1">
      <c r="B567" s="391" t="s">
        <v>7947</v>
      </c>
      <c r="C567" s="391" t="s">
        <v>7948</v>
      </c>
      <c r="D567" s="391" t="s">
        <v>2232</v>
      </c>
    </row>
    <row r="568" ht="15.75" customHeight="1">
      <c r="B568" s="391" t="s">
        <v>4681</v>
      </c>
      <c r="C568" s="391" t="s">
        <v>7948</v>
      </c>
      <c r="D568" s="391" t="s">
        <v>2166</v>
      </c>
    </row>
    <row r="569" ht="15.75" customHeight="1">
      <c r="B569" s="391" t="s">
        <v>7949</v>
      </c>
      <c r="C569" s="391" t="s">
        <v>7948</v>
      </c>
      <c r="D569" s="391" t="s">
        <v>2166</v>
      </c>
    </row>
    <row r="570" ht="15.75" customHeight="1">
      <c r="B570" s="391" t="s">
        <v>4634</v>
      </c>
      <c r="C570" s="391" t="s">
        <v>7950</v>
      </c>
      <c r="D570" s="391" t="s">
        <v>2195</v>
      </c>
    </row>
    <row r="571" ht="15.75" customHeight="1">
      <c r="B571" s="391" t="s">
        <v>4642</v>
      </c>
      <c r="C571" s="391" t="s">
        <v>7950</v>
      </c>
      <c r="D571" s="391" t="s">
        <v>2195</v>
      </c>
    </row>
    <row r="572" ht="15.75" customHeight="1">
      <c r="B572" s="391" t="s">
        <v>7951</v>
      </c>
      <c r="C572" s="391" t="s">
        <v>7950</v>
      </c>
      <c r="D572" s="391" t="s">
        <v>2195</v>
      </c>
    </row>
    <row r="573" ht="15.75" customHeight="1">
      <c r="B573" s="391" t="s">
        <v>4695</v>
      </c>
      <c r="C573" s="391" t="s">
        <v>7952</v>
      </c>
      <c r="D573" s="391" t="s">
        <v>2232</v>
      </c>
    </row>
    <row r="574" ht="15.75" customHeight="1">
      <c r="B574" s="391" t="s">
        <v>4717</v>
      </c>
      <c r="C574" s="391" t="s">
        <v>7952</v>
      </c>
      <c r="D574" s="391" t="s">
        <v>2195</v>
      </c>
    </row>
    <row r="575" ht="15.75" customHeight="1">
      <c r="B575" s="391" t="s">
        <v>7953</v>
      </c>
      <c r="C575" s="391" t="s">
        <v>7952</v>
      </c>
      <c r="D575" s="391" t="s">
        <v>2166</v>
      </c>
    </row>
    <row r="576" ht="15.75" customHeight="1">
      <c r="B576" s="391" t="s">
        <v>7954</v>
      </c>
      <c r="C576" s="391" t="s">
        <v>7952</v>
      </c>
      <c r="D576" s="391" t="s">
        <v>2195</v>
      </c>
    </row>
    <row r="577" ht="15.75" customHeight="1">
      <c r="B577" s="391" t="s">
        <v>7955</v>
      </c>
      <c r="C577" s="391" t="s">
        <v>7952</v>
      </c>
      <c r="D577" s="391" t="s">
        <v>2166</v>
      </c>
    </row>
    <row r="578" ht="15.75" customHeight="1">
      <c r="B578" s="391" t="s">
        <v>7956</v>
      </c>
      <c r="C578" s="391" t="s">
        <v>7952</v>
      </c>
      <c r="D578" s="391" t="s">
        <v>2232</v>
      </c>
    </row>
    <row r="579" ht="15.75" customHeight="1">
      <c r="B579" s="391" t="s">
        <v>4625</v>
      </c>
      <c r="C579" s="391" t="s">
        <v>7952</v>
      </c>
      <c r="D579" s="391" t="s">
        <v>2232</v>
      </c>
    </row>
    <row r="580" ht="15.75" customHeight="1">
      <c r="B580" s="391" t="s">
        <v>4632</v>
      </c>
      <c r="C580" s="391" t="s">
        <v>7952</v>
      </c>
      <c r="D580" s="391" t="s">
        <v>2195</v>
      </c>
    </row>
    <row r="581" ht="15.75" customHeight="1">
      <c r="B581" s="391" t="s">
        <v>7957</v>
      </c>
      <c r="C581" s="391" t="s">
        <v>7958</v>
      </c>
      <c r="D581" s="391" t="s">
        <v>2166</v>
      </c>
    </row>
    <row r="582" ht="15.75" customHeight="1">
      <c r="B582" s="391" t="s">
        <v>7959</v>
      </c>
      <c r="C582" s="391" t="s">
        <v>7959</v>
      </c>
      <c r="D582" s="391" t="s">
        <v>2166</v>
      </c>
    </row>
    <row r="583" ht="15.75" customHeight="1">
      <c r="B583" s="391" t="s">
        <v>7960</v>
      </c>
      <c r="C583" s="391" t="s">
        <v>7961</v>
      </c>
      <c r="D583" s="391" t="s">
        <v>2166</v>
      </c>
    </row>
    <row r="584" ht="15.75" customHeight="1">
      <c r="B584" s="391" t="s">
        <v>7962</v>
      </c>
      <c r="C584" s="391" t="s">
        <v>7963</v>
      </c>
      <c r="D584" s="391" t="s">
        <v>2195</v>
      </c>
    </row>
    <row r="585" ht="15.75" customHeight="1">
      <c r="B585" s="391" t="s">
        <v>7964</v>
      </c>
      <c r="C585" s="391" t="s">
        <v>7963</v>
      </c>
      <c r="D585" s="391" t="s">
        <v>2195</v>
      </c>
    </row>
    <row r="586" ht="15.75" customHeight="1">
      <c r="B586" s="391" t="s">
        <v>7965</v>
      </c>
      <c r="C586" s="391" t="s">
        <v>7966</v>
      </c>
      <c r="D586" s="391" t="s">
        <v>2232</v>
      </c>
    </row>
    <row r="587" ht="15.75" customHeight="1">
      <c r="B587" s="391" t="s">
        <v>7967</v>
      </c>
      <c r="C587" s="391" t="s">
        <v>7968</v>
      </c>
      <c r="D587" s="391" t="s">
        <v>2195</v>
      </c>
    </row>
    <row r="588" ht="15.75" customHeight="1">
      <c r="B588" s="391" t="s">
        <v>7969</v>
      </c>
      <c r="C588" s="391" t="s">
        <v>7968</v>
      </c>
      <c r="D588" s="391" t="s">
        <v>2232</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2166</v>
      </c>
    </row>
    <row r="592" ht="15.75" customHeight="1">
      <c r="B592" s="391" t="s">
        <v>1900</v>
      </c>
      <c r="C592" s="391" t="s">
        <v>7975</v>
      </c>
      <c r="D592" s="391" t="s">
        <v>2166</v>
      </c>
    </row>
    <row r="593" ht="15.75" customHeight="1">
      <c r="B593" s="391" t="s">
        <v>7976</v>
      </c>
      <c r="C593" s="391" t="s">
        <v>7975</v>
      </c>
      <c r="D593" s="391" t="s">
        <v>2166</v>
      </c>
    </row>
    <row r="594" ht="15.75" customHeight="1">
      <c r="B594" s="391" t="s">
        <v>7977</v>
      </c>
      <c r="C594" s="391" t="s">
        <v>7975</v>
      </c>
      <c r="D594" s="391" t="s">
        <v>2195</v>
      </c>
    </row>
    <row r="595" ht="15.75" customHeight="1">
      <c r="B595" s="391" t="s">
        <v>1875</v>
      </c>
      <c r="C595" s="391" t="s">
        <v>7978</v>
      </c>
      <c r="D595" s="391" t="s">
        <v>2195</v>
      </c>
    </row>
    <row r="596" ht="15.75" customHeight="1">
      <c r="B596" s="391" t="s">
        <v>7979</v>
      </c>
      <c r="C596" s="391" t="s">
        <v>7980</v>
      </c>
      <c r="D596" s="391" t="s">
        <v>2166</v>
      </c>
    </row>
    <row r="597" ht="15.75" customHeight="1">
      <c r="B597" s="391" t="s">
        <v>2093</v>
      </c>
      <c r="C597" s="391" t="s">
        <v>7981</v>
      </c>
      <c r="D597" s="391" t="s">
        <v>2232</v>
      </c>
    </row>
    <row r="598" ht="15.75" customHeight="1">
      <c r="B598" s="391" t="s">
        <v>7982</v>
      </c>
      <c r="C598" s="391" t="s">
        <v>7981</v>
      </c>
      <c r="D598" s="391" t="s">
        <v>2232</v>
      </c>
    </row>
    <row r="599" ht="15.75" customHeight="1">
      <c r="B599" s="391" t="s">
        <v>7983</v>
      </c>
      <c r="C599" s="391" t="s">
        <v>7981</v>
      </c>
      <c r="D599" s="391" t="s">
        <v>2232</v>
      </c>
    </row>
    <row r="600" ht="15.75" customHeight="1">
      <c r="B600" s="391" t="s">
        <v>7984</v>
      </c>
      <c r="C600" s="391" t="s">
        <v>7985</v>
      </c>
      <c r="D600" s="391" t="s">
        <v>2195</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7991</v>
      </c>
      <c r="D604" s="391" t="s">
        <v>2195</v>
      </c>
    </row>
    <row r="605" ht="15.75" customHeight="1">
      <c r="B605" s="391" t="s">
        <v>7993</v>
      </c>
      <c r="C605" s="391" t="s">
        <v>7991</v>
      </c>
      <c r="D605" s="391" t="s">
        <v>2195</v>
      </c>
    </row>
    <row r="606" ht="15.75" customHeight="1">
      <c r="B606" s="391" t="s">
        <v>7994</v>
      </c>
      <c r="C606" s="391" t="s">
        <v>7991</v>
      </c>
      <c r="D606" s="391" t="s">
        <v>2195</v>
      </c>
    </row>
    <row r="607" ht="15.75" customHeight="1">
      <c r="B607" s="391" t="s">
        <v>7995</v>
      </c>
      <c r="C607" s="391" t="s">
        <v>7996</v>
      </c>
      <c r="D607" s="391" t="s">
        <v>2166</v>
      </c>
    </row>
    <row r="608" ht="15.75" customHeight="1">
      <c r="B608" s="391" t="s">
        <v>7997</v>
      </c>
      <c r="C608" s="391" t="s">
        <v>7996</v>
      </c>
      <c r="D608" s="391" t="s">
        <v>2166</v>
      </c>
    </row>
    <row r="609" ht="15.75" customHeight="1">
      <c r="B609" s="391" t="s">
        <v>1815</v>
      </c>
      <c r="C609" s="391" t="s">
        <v>7998</v>
      </c>
      <c r="D609" s="391" t="s">
        <v>2166</v>
      </c>
    </row>
    <row r="610" ht="15.75" customHeight="1">
      <c r="B610" s="391" t="s">
        <v>1818</v>
      </c>
      <c r="C610" s="391" t="s">
        <v>7998</v>
      </c>
      <c r="D610" s="391" t="s">
        <v>2166</v>
      </c>
    </row>
    <row r="611" ht="15.75" customHeight="1">
      <c r="B611" s="391" t="s">
        <v>1821</v>
      </c>
      <c r="C611" s="391" t="s">
        <v>7998</v>
      </c>
      <c r="D611" s="391" t="s">
        <v>2166</v>
      </c>
    </row>
    <row r="612" ht="15.75" customHeight="1">
      <c r="B612" s="391" t="s">
        <v>1825</v>
      </c>
      <c r="C612" s="391" t="s">
        <v>7998</v>
      </c>
      <c r="D612" s="391" t="s">
        <v>2166</v>
      </c>
    </row>
    <row r="613" ht="15.75" customHeight="1">
      <c r="B613" s="391" t="s">
        <v>7999</v>
      </c>
      <c r="C613" s="391" t="s">
        <v>7998</v>
      </c>
      <c r="D613" s="391" t="s">
        <v>2195</v>
      </c>
    </row>
    <row r="614" ht="15.75" customHeight="1">
      <c r="B614" s="391" t="s">
        <v>1777</v>
      </c>
      <c r="C614" s="391" t="s">
        <v>7998</v>
      </c>
      <c r="D614" s="391" t="s">
        <v>2166</v>
      </c>
    </row>
    <row r="615" ht="15.75" customHeight="1">
      <c r="B615" s="391" t="s">
        <v>1781</v>
      </c>
      <c r="C615" s="391" t="s">
        <v>7998</v>
      </c>
      <c r="D615" s="391" t="s">
        <v>2166</v>
      </c>
    </row>
    <row r="616" ht="15.75" customHeight="1">
      <c r="B616" s="391" t="s">
        <v>1789</v>
      </c>
      <c r="C616" s="391" t="s">
        <v>7998</v>
      </c>
      <c r="D616" s="391" t="s">
        <v>2166</v>
      </c>
    </row>
    <row r="617" ht="15.75" customHeight="1">
      <c r="B617" s="391" t="s">
        <v>1785</v>
      </c>
      <c r="C617" s="391" t="s">
        <v>7998</v>
      </c>
      <c r="D617" s="391" t="s">
        <v>2166</v>
      </c>
    </row>
    <row r="618" ht="15.75" customHeight="1">
      <c r="B618" s="391" t="s">
        <v>1793</v>
      </c>
      <c r="C618" s="391" t="s">
        <v>7998</v>
      </c>
      <c r="D618" s="391" t="s">
        <v>2166</v>
      </c>
    </row>
    <row r="619" ht="15.75" customHeight="1">
      <c r="B619" s="391" t="s">
        <v>8000</v>
      </c>
      <c r="C619" s="391" t="s">
        <v>7998</v>
      </c>
      <c r="D619" s="391" t="s">
        <v>2232</v>
      </c>
    </row>
    <row r="620" ht="15.75" customHeight="1">
      <c r="B620" s="391" t="s">
        <v>8001</v>
      </c>
      <c r="C620" s="391" t="s">
        <v>7998</v>
      </c>
      <c r="D620" s="391" t="s">
        <v>2166</v>
      </c>
    </row>
    <row r="621" ht="15.75" customHeight="1">
      <c r="B621" s="391" t="s">
        <v>8002</v>
      </c>
      <c r="C621" s="391" t="s">
        <v>7998</v>
      </c>
      <c r="D621" s="391" t="s">
        <v>2232</v>
      </c>
    </row>
    <row r="622" ht="15.75" customHeight="1">
      <c r="B622" s="391" t="s">
        <v>8003</v>
      </c>
      <c r="C622" s="391" t="s">
        <v>7998</v>
      </c>
      <c r="D622" s="391" t="s">
        <v>2232</v>
      </c>
    </row>
    <row r="623" ht="15.75" customHeight="1">
      <c r="B623" s="391" t="s">
        <v>8004</v>
      </c>
      <c r="C623" s="391" t="s">
        <v>7998</v>
      </c>
      <c r="D623" s="391" t="s">
        <v>2166</v>
      </c>
    </row>
    <row r="624" ht="15.75" customHeight="1">
      <c r="B624" s="391" t="s">
        <v>8005</v>
      </c>
      <c r="C624" s="391" t="s">
        <v>7998</v>
      </c>
      <c r="D624" s="391" t="s">
        <v>2166</v>
      </c>
    </row>
    <row r="625" ht="15.75" customHeight="1">
      <c r="B625" s="391" t="s">
        <v>8006</v>
      </c>
      <c r="C625" s="391" t="s">
        <v>7998</v>
      </c>
      <c r="D625" s="391" t="s">
        <v>2195</v>
      </c>
    </row>
    <row r="626" ht="15.75" customHeight="1">
      <c r="B626" s="391" t="s">
        <v>8007</v>
      </c>
      <c r="C626" s="391" t="s">
        <v>7998</v>
      </c>
      <c r="D626" s="391" t="s">
        <v>2232</v>
      </c>
    </row>
    <row r="627" ht="15.75" customHeight="1">
      <c r="B627" s="391" t="s">
        <v>8008</v>
      </c>
      <c r="C627" s="391" t="s">
        <v>7998</v>
      </c>
      <c r="D627" s="391" t="s">
        <v>2195</v>
      </c>
    </row>
    <row r="628" ht="15.75" customHeight="1">
      <c r="B628" s="391" t="s">
        <v>8009</v>
      </c>
      <c r="C628" s="391" t="s">
        <v>7998</v>
      </c>
      <c r="D628" s="391" t="s">
        <v>2195</v>
      </c>
    </row>
    <row r="629" ht="15.75" customHeight="1">
      <c r="B629" s="391" t="s">
        <v>8010</v>
      </c>
      <c r="C629" s="391" t="s">
        <v>7998</v>
      </c>
      <c r="D629" s="391" t="s">
        <v>2232</v>
      </c>
    </row>
    <row r="630" ht="15.75" customHeight="1">
      <c r="B630" s="391" t="s">
        <v>8011</v>
      </c>
      <c r="C630" s="391" t="s">
        <v>7998</v>
      </c>
      <c r="D630" s="391" t="s">
        <v>2195</v>
      </c>
    </row>
    <row r="631" ht="15.75" customHeight="1">
      <c r="B631" s="391" t="s">
        <v>8012</v>
      </c>
      <c r="C631" s="391" t="s">
        <v>7998</v>
      </c>
      <c r="D631" s="391" t="s">
        <v>2195</v>
      </c>
    </row>
    <row r="632" ht="15.75" customHeight="1">
      <c r="B632" s="391" t="s">
        <v>1768</v>
      </c>
      <c r="C632" s="391" t="s">
        <v>7998</v>
      </c>
      <c r="D632" s="391" t="s">
        <v>2166</v>
      </c>
    </row>
    <row r="633" ht="15.75" customHeight="1">
      <c r="B633" s="391" t="s">
        <v>8013</v>
      </c>
      <c r="C633" s="391" t="s">
        <v>7998</v>
      </c>
      <c r="D633" s="391" t="s">
        <v>2195</v>
      </c>
    </row>
    <row r="634" ht="15.75" customHeight="1">
      <c r="B634" s="391" t="s">
        <v>8014</v>
      </c>
      <c r="C634" s="391" t="s">
        <v>7998</v>
      </c>
      <c r="D634" s="391" t="s">
        <v>2195</v>
      </c>
    </row>
    <row r="635" ht="15.75" customHeight="1">
      <c r="B635" s="391" t="s">
        <v>1772</v>
      </c>
      <c r="C635" s="391" t="s">
        <v>7998</v>
      </c>
      <c r="D635" s="391" t="s">
        <v>2166</v>
      </c>
    </row>
    <row r="636" ht="15.75" customHeight="1">
      <c r="B636" s="391" t="s">
        <v>8015</v>
      </c>
      <c r="C636" s="391" t="s">
        <v>7998</v>
      </c>
      <c r="D636" s="391" t="s">
        <v>2195</v>
      </c>
    </row>
    <row r="637" ht="15.75" customHeight="1">
      <c r="B637" s="391" t="s">
        <v>8016</v>
      </c>
      <c r="C637" s="391" t="s">
        <v>8017</v>
      </c>
      <c r="D637" s="391" t="s">
        <v>2166</v>
      </c>
    </row>
    <row r="638" ht="15.75" customHeight="1">
      <c r="B638" s="391" t="s">
        <v>8018</v>
      </c>
      <c r="C638" s="391" t="s">
        <v>8019</v>
      </c>
      <c r="D638" s="391" t="s">
        <v>2195</v>
      </c>
    </row>
    <row r="639" ht="15.75" customHeight="1">
      <c r="B639" s="391" t="s">
        <v>1798</v>
      </c>
      <c r="C639" s="391" t="s">
        <v>8020</v>
      </c>
      <c r="D639" s="391" t="s">
        <v>2195</v>
      </c>
    </row>
    <row r="640" ht="15.75" customHeight="1">
      <c r="B640" s="391" t="s">
        <v>1802</v>
      </c>
      <c r="C640" s="391" t="s">
        <v>8020</v>
      </c>
      <c r="D640" s="391" t="s">
        <v>2166</v>
      </c>
    </row>
    <row r="641" ht="15.75" customHeight="1">
      <c r="B641" s="391" t="s">
        <v>1810</v>
      </c>
      <c r="C641" s="391" t="s">
        <v>8020</v>
      </c>
      <c r="D641" s="391" t="s">
        <v>2195</v>
      </c>
    </row>
    <row r="642" ht="15.75" customHeight="1">
      <c r="B642" s="391" t="s">
        <v>1806</v>
      </c>
      <c r="C642" s="391" t="s">
        <v>8020</v>
      </c>
      <c r="D642" s="391" t="s">
        <v>2166</v>
      </c>
    </row>
    <row r="643" ht="15.75" customHeight="1">
      <c r="B643" s="391" t="s">
        <v>8021</v>
      </c>
      <c r="C643" s="391" t="s">
        <v>8020</v>
      </c>
      <c r="D643" s="391" t="s">
        <v>2166</v>
      </c>
    </row>
    <row r="644" ht="15.75" customHeight="1">
      <c r="B644" s="391" t="s">
        <v>8022</v>
      </c>
      <c r="C644" s="391" t="s">
        <v>8020</v>
      </c>
      <c r="D644" s="391" t="s">
        <v>2232</v>
      </c>
    </row>
    <row r="645" ht="15.75" customHeight="1">
      <c r="B645" s="391" t="s">
        <v>8023</v>
      </c>
      <c r="C645" s="391" t="s">
        <v>8024</v>
      </c>
      <c r="D645" s="391" t="s">
        <v>2232</v>
      </c>
    </row>
    <row r="646" ht="15.75" customHeight="1">
      <c r="B646" s="391" t="s">
        <v>8025</v>
      </c>
      <c r="C646" s="391" t="s">
        <v>8024</v>
      </c>
      <c r="D646" s="391" t="s">
        <v>2232</v>
      </c>
    </row>
    <row r="647" ht="15.75" customHeight="1">
      <c r="B647" s="391" t="s">
        <v>8026</v>
      </c>
      <c r="C647" s="391" t="s">
        <v>8024</v>
      </c>
      <c r="D647" s="391" t="s">
        <v>2166</v>
      </c>
    </row>
    <row r="648" ht="15.75" customHeight="1">
      <c r="B648" s="391" t="s">
        <v>8027</v>
      </c>
      <c r="C648" s="391" t="s">
        <v>8024</v>
      </c>
      <c r="D648" s="391" t="s">
        <v>2166</v>
      </c>
    </row>
    <row r="649" ht="15.75" customHeight="1">
      <c r="B649" s="391" t="s">
        <v>8028</v>
      </c>
      <c r="C649" s="391" t="s">
        <v>8024</v>
      </c>
      <c r="D649" s="391" t="s">
        <v>2166</v>
      </c>
    </row>
    <row r="650" ht="15.75" customHeight="1">
      <c r="B650" s="391" t="s">
        <v>8029</v>
      </c>
      <c r="C650" s="391" t="s">
        <v>8024</v>
      </c>
      <c r="D650" s="391" t="s">
        <v>2166</v>
      </c>
    </row>
    <row r="651" ht="15.75" customHeight="1">
      <c r="B651" s="391" t="s">
        <v>8030</v>
      </c>
      <c r="C651" s="391" t="s">
        <v>8024</v>
      </c>
      <c r="D651" s="391" t="s">
        <v>2166</v>
      </c>
    </row>
    <row r="652" ht="15.75" customHeight="1">
      <c r="B652" s="391" t="s">
        <v>8031</v>
      </c>
      <c r="C652" s="391" t="s">
        <v>8024</v>
      </c>
      <c r="D652" s="391" t="s">
        <v>2166</v>
      </c>
    </row>
    <row r="653" ht="15.75" customHeight="1">
      <c r="B653" s="391" t="s">
        <v>8032</v>
      </c>
      <c r="C653" s="391" t="s">
        <v>8024</v>
      </c>
      <c r="D653" s="391" t="s">
        <v>2166</v>
      </c>
    </row>
    <row r="654" ht="15.75" customHeight="1">
      <c r="B654" s="391" t="s">
        <v>8033</v>
      </c>
      <c r="C654" s="391" t="s">
        <v>8024</v>
      </c>
      <c r="D654" s="391" t="s">
        <v>2166</v>
      </c>
    </row>
    <row r="655" ht="15.75" customHeight="1">
      <c r="B655" s="391" t="s">
        <v>8034</v>
      </c>
      <c r="C655" s="391" t="s">
        <v>8024</v>
      </c>
      <c r="D655" s="391" t="s">
        <v>2166</v>
      </c>
    </row>
    <row r="656" ht="15.75" customHeight="1">
      <c r="B656" s="391" t="s">
        <v>8035</v>
      </c>
      <c r="C656" s="391" t="s">
        <v>8024</v>
      </c>
      <c r="D656" s="391" t="s">
        <v>2166</v>
      </c>
    </row>
    <row r="657" ht="15.75" customHeight="1">
      <c r="B657" s="391" t="s">
        <v>8036</v>
      </c>
      <c r="C657" s="391" t="s">
        <v>8024</v>
      </c>
      <c r="D657" s="391" t="s">
        <v>2166</v>
      </c>
    </row>
    <row r="658" ht="15.75" customHeight="1">
      <c r="B658" s="391" t="s">
        <v>8037</v>
      </c>
      <c r="C658" s="391" t="s">
        <v>8024</v>
      </c>
      <c r="D658" s="391" t="s">
        <v>2166</v>
      </c>
    </row>
    <row r="659" ht="15.75" customHeight="1">
      <c r="B659" s="391" t="s">
        <v>8038</v>
      </c>
      <c r="C659" s="391" t="s">
        <v>8024</v>
      </c>
      <c r="D659" s="391" t="s">
        <v>2166</v>
      </c>
    </row>
    <row r="660" ht="15.75" customHeight="1">
      <c r="B660" s="391" t="s">
        <v>8039</v>
      </c>
      <c r="C660" s="391" t="s">
        <v>8024</v>
      </c>
      <c r="D660" s="391" t="s">
        <v>2166</v>
      </c>
    </row>
    <row r="661" ht="15.75" customHeight="1">
      <c r="B661" s="391" t="s">
        <v>8040</v>
      </c>
      <c r="C661" s="391" t="s">
        <v>8024</v>
      </c>
      <c r="D661" s="391" t="s">
        <v>2232</v>
      </c>
    </row>
    <row r="662" ht="15.75" customHeight="1">
      <c r="B662" s="391" t="s">
        <v>8041</v>
      </c>
      <c r="C662" s="391" t="s">
        <v>8024</v>
      </c>
      <c r="D662" s="391" t="s">
        <v>2166</v>
      </c>
    </row>
    <row r="663" ht="15.75" customHeight="1">
      <c r="B663" s="391" t="s">
        <v>8042</v>
      </c>
      <c r="C663" s="391" t="s">
        <v>8024</v>
      </c>
      <c r="D663" s="391" t="s">
        <v>2166</v>
      </c>
    </row>
    <row r="664" ht="15.75" customHeight="1">
      <c r="B664" s="391" t="s">
        <v>8043</v>
      </c>
      <c r="C664" s="391" t="s">
        <v>8024</v>
      </c>
      <c r="D664" s="391" t="s">
        <v>2166</v>
      </c>
    </row>
    <row r="665" ht="15.75" customHeight="1">
      <c r="B665" s="391" t="s">
        <v>8044</v>
      </c>
      <c r="C665" s="391" t="s">
        <v>8024</v>
      </c>
      <c r="D665" s="391" t="s">
        <v>2195</v>
      </c>
    </row>
    <row r="666" ht="15.75" customHeight="1">
      <c r="B666" s="391" t="s">
        <v>8045</v>
      </c>
      <c r="C666" s="391" t="s">
        <v>8024</v>
      </c>
      <c r="D666" s="391" t="s">
        <v>2166</v>
      </c>
    </row>
    <row r="667" ht="15.75" customHeight="1">
      <c r="B667" s="391" t="s">
        <v>8046</v>
      </c>
      <c r="C667" s="391" t="s">
        <v>8024</v>
      </c>
      <c r="D667" s="391" t="s">
        <v>2166</v>
      </c>
    </row>
    <row r="668" ht="15.75" customHeight="1">
      <c r="B668" s="391" t="s">
        <v>8047</v>
      </c>
      <c r="C668" s="391" t="s">
        <v>8024</v>
      </c>
      <c r="D668" s="391" t="s">
        <v>2195</v>
      </c>
    </row>
    <row r="669" ht="15.75" customHeight="1">
      <c r="B669" s="391" t="s">
        <v>8048</v>
      </c>
      <c r="C669" s="391" t="s">
        <v>8024</v>
      </c>
      <c r="D669" s="391" t="s">
        <v>2232</v>
      </c>
    </row>
    <row r="670" ht="15.75" customHeight="1">
      <c r="B670" s="391" t="s">
        <v>8049</v>
      </c>
      <c r="C670" s="391" t="s">
        <v>8024</v>
      </c>
      <c r="D670" s="391" t="s">
        <v>2166</v>
      </c>
    </row>
    <row r="671" ht="15.75" customHeight="1">
      <c r="B671" s="391" t="s">
        <v>8050</v>
      </c>
      <c r="C671" s="391" t="s">
        <v>8024</v>
      </c>
      <c r="D671" s="391" t="s">
        <v>2166</v>
      </c>
    </row>
    <row r="672" ht="15.75" customHeight="1">
      <c r="B672" s="391" t="s">
        <v>8051</v>
      </c>
      <c r="C672" s="391" t="s">
        <v>8024</v>
      </c>
      <c r="D672" s="391" t="s">
        <v>2232</v>
      </c>
    </row>
    <row r="673" ht="15.75" customHeight="1">
      <c r="B673" s="391" t="s">
        <v>8052</v>
      </c>
      <c r="C673" s="391" t="s">
        <v>8053</v>
      </c>
      <c r="D673" s="391" t="s">
        <v>2232</v>
      </c>
    </row>
    <row r="674" ht="15.75" customHeight="1">
      <c r="B674" s="391" t="s">
        <v>8054</v>
      </c>
      <c r="C674" s="391" t="s">
        <v>8053</v>
      </c>
      <c r="D674" s="391" t="s">
        <v>2195</v>
      </c>
    </row>
    <row r="675" ht="15.75" customHeight="1">
      <c r="B675" s="391" t="s">
        <v>8055</v>
      </c>
      <c r="C675" s="391" t="s">
        <v>8056</v>
      </c>
      <c r="D675" s="391" t="s">
        <v>2232</v>
      </c>
    </row>
    <row r="676" ht="15.75" customHeight="1">
      <c r="B676" s="391" t="s">
        <v>8057</v>
      </c>
      <c r="C676" s="391" t="s">
        <v>8056</v>
      </c>
      <c r="D676" s="391" t="s">
        <v>2232</v>
      </c>
    </row>
    <row r="677" ht="15.75" customHeight="1">
      <c r="B677" s="391" t="s">
        <v>8058</v>
      </c>
      <c r="C677" s="391" t="s">
        <v>8059</v>
      </c>
      <c r="D677" s="391" t="s">
        <v>2232</v>
      </c>
    </row>
    <row r="678" ht="15.75" customHeight="1">
      <c r="B678" s="391" t="s">
        <v>1861</v>
      </c>
      <c r="C678" s="391" t="s">
        <v>8060</v>
      </c>
      <c r="D678" s="391" t="s">
        <v>2195</v>
      </c>
    </row>
    <row r="679" ht="15.75" customHeight="1">
      <c r="B679" s="391" t="s">
        <v>8061</v>
      </c>
      <c r="C679" s="391" t="s">
        <v>8062</v>
      </c>
      <c r="D679" s="391" t="s">
        <v>2232</v>
      </c>
    </row>
    <row r="680" ht="15.75" customHeight="1">
      <c r="B680" s="391" t="s">
        <v>8063</v>
      </c>
      <c r="C680" s="391" t="s">
        <v>8064</v>
      </c>
      <c r="D680" s="391" t="s">
        <v>2232</v>
      </c>
    </row>
    <row r="681" ht="15.75" customHeight="1">
      <c r="B681" s="391" t="s">
        <v>8065</v>
      </c>
      <c r="C681" s="391" t="s">
        <v>8066</v>
      </c>
      <c r="D681" s="391" t="s">
        <v>2232</v>
      </c>
    </row>
    <row r="682" ht="15.75" customHeight="1">
      <c r="B682" s="391" t="s">
        <v>1846</v>
      </c>
      <c r="C682" s="391" t="s">
        <v>8067</v>
      </c>
      <c r="D682" s="391" t="s">
        <v>2195</v>
      </c>
    </row>
    <row r="683" ht="15.75" customHeight="1">
      <c r="B683" s="391" t="s">
        <v>8068</v>
      </c>
      <c r="C683" s="391" t="s">
        <v>8069</v>
      </c>
      <c r="D683" s="391" t="s">
        <v>2232</v>
      </c>
    </row>
    <row r="684" ht="15.75" customHeight="1">
      <c r="B684" s="391" t="s">
        <v>2123</v>
      </c>
      <c r="C684" s="391" t="s">
        <v>8070</v>
      </c>
      <c r="D684" s="391" t="s">
        <v>2166</v>
      </c>
    </row>
    <row r="685" ht="15.75" customHeight="1">
      <c r="B685" s="391" t="s">
        <v>8071</v>
      </c>
      <c r="C685" s="391" t="s">
        <v>8072</v>
      </c>
      <c r="D685" s="391" t="s">
        <v>2232</v>
      </c>
    </row>
    <row r="686" ht="15.75" customHeight="1">
      <c r="B686" s="391" t="s">
        <v>8073</v>
      </c>
      <c r="C686" s="391" t="s">
        <v>8074</v>
      </c>
      <c r="D686" s="391" t="s">
        <v>2232</v>
      </c>
    </row>
    <row r="687" ht="15.75" customHeight="1">
      <c r="B687" s="391" t="s">
        <v>8075</v>
      </c>
      <c r="C687" s="391" t="s">
        <v>8076</v>
      </c>
      <c r="D687" s="391" t="s">
        <v>2195</v>
      </c>
    </row>
    <row r="688" ht="15.75" customHeight="1">
      <c r="B688" s="391" t="s">
        <v>2125</v>
      </c>
      <c r="C688" s="391" t="s">
        <v>8077</v>
      </c>
      <c r="D688" s="391" t="s">
        <v>2166</v>
      </c>
    </row>
    <row r="689" ht="15.75" customHeight="1">
      <c r="B689" s="391" t="s">
        <v>8078</v>
      </c>
      <c r="C689" s="391" t="s">
        <v>8079</v>
      </c>
      <c r="D689" s="391" t="s">
        <v>2232</v>
      </c>
    </row>
    <row r="690" ht="15.75" customHeight="1">
      <c r="B690" s="391" t="s">
        <v>2119</v>
      </c>
      <c r="C690" s="391" t="s">
        <v>8080</v>
      </c>
      <c r="D690" s="391" t="s">
        <v>2232</v>
      </c>
    </row>
    <row r="691" ht="15.75" customHeight="1">
      <c r="B691" s="391" t="s">
        <v>2121</v>
      </c>
      <c r="C691" s="391" t="s">
        <v>8080</v>
      </c>
      <c r="D691" s="391" t="s">
        <v>2232</v>
      </c>
    </row>
    <row r="692" ht="15.75" customHeight="1">
      <c r="B692" s="391" t="s">
        <v>2103</v>
      </c>
      <c r="C692" s="391" t="s">
        <v>8081</v>
      </c>
      <c r="D692" s="391" t="s">
        <v>2166</v>
      </c>
    </row>
    <row r="693" ht="15.75" customHeight="1">
      <c r="B693" s="391" t="s">
        <v>2107</v>
      </c>
      <c r="C693" s="391" t="s">
        <v>8081</v>
      </c>
      <c r="D693" s="391" t="s">
        <v>2232</v>
      </c>
    </row>
    <row r="694" ht="15.75" customHeight="1">
      <c r="B694" s="391" t="s">
        <v>2111</v>
      </c>
      <c r="C694" s="391" t="s">
        <v>8081</v>
      </c>
      <c r="D694" s="391" t="s">
        <v>2195</v>
      </c>
    </row>
    <row r="695" ht="15.75" customHeight="1">
      <c r="B695" s="391" t="s">
        <v>2115</v>
      </c>
      <c r="C695" s="391" t="s">
        <v>8081</v>
      </c>
      <c r="D695" s="391" t="s">
        <v>2232</v>
      </c>
    </row>
    <row r="696" ht="15.75" customHeight="1">
      <c r="B696" s="391" t="s">
        <v>8082</v>
      </c>
      <c r="C696" s="391" t="s">
        <v>8083</v>
      </c>
      <c r="D696" s="391" t="s">
        <v>2195</v>
      </c>
    </row>
    <row r="697" ht="15.75" customHeight="1">
      <c r="B697" s="391" t="s">
        <v>8084</v>
      </c>
      <c r="C697" s="391" t="s">
        <v>8085</v>
      </c>
      <c r="D697" s="391" t="s">
        <v>2195</v>
      </c>
    </row>
    <row r="698" ht="15.75" customHeight="1">
      <c r="B698" s="391" t="s">
        <v>2133</v>
      </c>
      <c r="C698" s="391" t="s">
        <v>8086</v>
      </c>
      <c r="D698" s="391" t="s">
        <v>2195</v>
      </c>
    </row>
    <row r="699" ht="15.75" customHeight="1">
      <c r="B699" s="391" t="s">
        <v>2138</v>
      </c>
      <c r="C699" s="391" t="s">
        <v>8087</v>
      </c>
      <c r="D699" s="391" t="s">
        <v>2232</v>
      </c>
    </row>
    <row r="700" ht="15.75" customHeight="1">
      <c r="B700" s="391" t="s">
        <v>2161</v>
      </c>
      <c r="C700" s="391" t="s">
        <v>8088</v>
      </c>
      <c r="D700" s="391" t="s">
        <v>2195</v>
      </c>
    </row>
    <row r="701" ht="15.75" customHeight="1">
      <c r="B701" s="391" t="s">
        <v>8089</v>
      </c>
      <c r="C701" s="391" t="s">
        <v>8090</v>
      </c>
      <c r="D701" s="391" t="s">
        <v>2166</v>
      </c>
    </row>
    <row r="702" ht="15.75" customHeight="1">
      <c r="B702" s="391" t="s">
        <v>8091</v>
      </c>
      <c r="C702" s="391" t="s">
        <v>8092</v>
      </c>
      <c r="D702" s="391" t="s">
        <v>2232</v>
      </c>
    </row>
    <row r="703" ht="15.75" customHeight="1">
      <c r="B703" s="391" t="s">
        <v>8093</v>
      </c>
      <c r="C703" s="391" t="s">
        <v>8094</v>
      </c>
      <c r="D703" s="391" t="s">
        <v>2195</v>
      </c>
    </row>
    <row r="704" ht="15.75" customHeight="1">
      <c r="B704" s="391" t="s">
        <v>8095</v>
      </c>
      <c r="C704" s="391" t="s">
        <v>8096</v>
      </c>
      <c r="D704" s="391" t="s">
        <v>2195</v>
      </c>
    </row>
    <row r="705" ht="15.75" customHeight="1">
      <c r="B705" s="391" t="s">
        <v>1751</v>
      </c>
      <c r="C705" s="391" t="s">
        <v>8097</v>
      </c>
      <c r="D705" s="391" t="s">
        <v>2166</v>
      </c>
    </row>
    <row r="706" ht="15.75" customHeight="1">
      <c r="B706" s="391" t="s">
        <v>1755</v>
      </c>
      <c r="C706" s="391" t="s">
        <v>8097</v>
      </c>
      <c r="D706" s="391" t="s">
        <v>2166</v>
      </c>
    </row>
    <row r="707" ht="15.75" customHeight="1">
      <c r="B707" s="391" t="s">
        <v>1759</v>
      </c>
      <c r="C707" s="391" t="s">
        <v>8098</v>
      </c>
      <c r="D707" s="391" t="s">
        <v>2166</v>
      </c>
    </row>
    <row r="708" ht="15.75" customHeight="1">
      <c r="B708" s="391" t="s">
        <v>8099</v>
      </c>
      <c r="C708" s="391" t="s">
        <v>8100</v>
      </c>
      <c r="D708" s="391" t="s">
        <v>2232</v>
      </c>
    </row>
    <row r="709" ht="15.75" customHeight="1">
      <c r="B709" s="391" t="s">
        <v>8101</v>
      </c>
      <c r="C709" s="391" t="s">
        <v>8100</v>
      </c>
      <c r="D709" s="391" t="s">
        <v>2232</v>
      </c>
    </row>
    <row r="710" ht="15.75" customHeight="1">
      <c r="B710" s="391" t="s">
        <v>8102</v>
      </c>
      <c r="C710" s="391" t="s">
        <v>8103</v>
      </c>
      <c r="D710" s="391" t="s">
        <v>2232</v>
      </c>
    </row>
    <row r="711" ht="15.75" customHeight="1">
      <c r="B711" s="391" t="s">
        <v>8104</v>
      </c>
      <c r="C711" s="391" t="s">
        <v>8105</v>
      </c>
      <c r="D711" s="391" t="s">
        <v>2195</v>
      </c>
    </row>
    <row r="712" ht="15.75" customHeight="1">
      <c r="B712" s="391" t="s">
        <v>8106</v>
      </c>
      <c r="C712" s="391" t="s">
        <v>8105</v>
      </c>
      <c r="D712" s="391" t="s">
        <v>2195</v>
      </c>
    </row>
    <row r="713" ht="15.75" customHeight="1">
      <c r="B713" s="391" t="s">
        <v>8107</v>
      </c>
      <c r="C713" s="391" t="s">
        <v>8108</v>
      </c>
      <c r="D713" s="391" t="s">
        <v>2232</v>
      </c>
    </row>
    <row r="714" ht="15.75" customHeight="1">
      <c r="B714" s="391" t="s">
        <v>8109</v>
      </c>
      <c r="C714" s="391" t="s">
        <v>8110</v>
      </c>
      <c r="D714" s="391" t="s">
        <v>2232</v>
      </c>
    </row>
    <row r="715" ht="15.75" customHeight="1">
      <c r="B715" s="391" t="s">
        <v>1895</v>
      </c>
      <c r="C715" s="391" t="s">
        <v>8111</v>
      </c>
      <c r="D715" s="391" t="s">
        <v>2232</v>
      </c>
    </row>
    <row r="716" ht="15.75" customHeight="1">
      <c r="B716" s="391" t="s">
        <v>8112</v>
      </c>
      <c r="C716" s="391" t="s">
        <v>8113</v>
      </c>
      <c r="D716" s="391" t="s">
        <v>2232</v>
      </c>
    </row>
    <row r="717" ht="15.75" customHeight="1">
      <c r="B717" s="391" t="s">
        <v>8114</v>
      </c>
      <c r="C717" s="391" t="s">
        <v>8113</v>
      </c>
      <c r="D717" s="391" t="s">
        <v>2195</v>
      </c>
    </row>
    <row r="718" ht="15.75" customHeight="1">
      <c r="B718" s="391" t="s">
        <v>8115</v>
      </c>
      <c r="C718" s="391" t="s">
        <v>8116</v>
      </c>
      <c r="D718" s="391" t="s">
        <v>2195</v>
      </c>
    </row>
    <row r="719" ht="15.75" customHeight="1">
      <c r="B719" s="391" t="s">
        <v>8117</v>
      </c>
      <c r="C719" s="391" t="s">
        <v>8116</v>
      </c>
      <c r="D719" s="391" t="s">
        <v>2195</v>
      </c>
    </row>
    <row r="720" ht="15.75" customHeight="1">
      <c r="B720" s="391" t="s">
        <v>1904</v>
      </c>
      <c r="C720" s="391" t="s">
        <v>8118</v>
      </c>
      <c r="D720" s="391" t="s">
        <v>2195</v>
      </c>
    </row>
    <row r="721" ht="15.75" customHeight="1">
      <c r="B721" s="391" t="s">
        <v>8119</v>
      </c>
      <c r="C721" s="391" t="s">
        <v>8120</v>
      </c>
      <c r="D721" s="391" t="s">
        <v>2195</v>
      </c>
    </row>
    <row r="722" ht="15.75" customHeight="1">
      <c r="B722" s="391" t="s">
        <v>8121</v>
      </c>
      <c r="C722" s="391" t="s">
        <v>8122</v>
      </c>
      <c r="D722" s="391" t="s">
        <v>2166</v>
      </c>
    </row>
    <row r="723" ht="15.75" customHeight="1">
      <c r="B723" s="391" t="s">
        <v>8123</v>
      </c>
      <c r="C723" s="391" t="s">
        <v>8124</v>
      </c>
      <c r="D723" s="391" t="s">
        <v>2232</v>
      </c>
    </row>
    <row r="724" ht="15.75" customHeight="1">
      <c r="B724" s="391" t="s">
        <v>8125</v>
      </c>
      <c r="C724" s="391" t="s">
        <v>8126</v>
      </c>
      <c r="D724" s="391" t="s">
        <v>2166</v>
      </c>
    </row>
    <row r="725" ht="15.75" customHeight="1">
      <c r="B725" s="391" t="s">
        <v>8127</v>
      </c>
      <c r="C725" s="391" t="s">
        <v>8128</v>
      </c>
      <c r="D725" s="391" t="s">
        <v>2232</v>
      </c>
    </row>
    <row r="726" ht="15.75" customHeight="1">
      <c r="B726" s="391" t="s">
        <v>8129</v>
      </c>
      <c r="C726" s="391" t="s">
        <v>8130</v>
      </c>
      <c r="D726" s="391" t="s">
        <v>2195</v>
      </c>
    </row>
    <row r="727" ht="15.75" customHeight="1">
      <c r="B727" s="391" t="s">
        <v>1878</v>
      </c>
      <c r="C727" s="391" t="s">
        <v>8131</v>
      </c>
      <c r="D727" s="391" t="s">
        <v>2195</v>
      </c>
    </row>
    <row r="728" ht="15.75" customHeight="1">
      <c r="B728" s="391" t="s">
        <v>8132</v>
      </c>
      <c r="C728" s="391" t="s">
        <v>8133</v>
      </c>
      <c r="D728" s="391" t="s">
        <v>2166</v>
      </c>
    </row>
    <row r="729" ht="15.75" customHeight="1">
      <c r="B729" s="391" t="s">
        <v>8134</v>
      </c>
      <c r="C729" s="391" t="s">
        <v>8135</v>
      </c>
      <c r="D729" s="391" t="s">
        <v>2195</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2166</v>
      </c>
    </row>
    <row r="733" ht="15.75" customHeight="1">
      <c r="B733" s="391" t="s">
        <v>2148</v>
      </c>
      <c r="C733" s="391" t="s">
        <v>8142</v>
      </c>
      <c r="D733" s="391" t="s">
        <v>2232</v>
      </c>
    </row>
    <row r="734" ht="15.75" customHeight="1">
      <c r="B734" s="391" t="s">
        <v>8143</v>
      </c>
      <c r="C734" s="391" t="s">
        <v>8144</v>
      </c>
      <c r="D734" s="391" t="s">
        <v>2166</v>
      </c>
    </row>
    <row r="735" ht="15.75" customHeight="1">
      <c r="B735" s="391" t="s">
        <v>8145</v>
      </c>
      <c r="C735" s="391" t="s">
        <v>8146</v>
      </c>
      <c r="D735" s="391" t="s">
        <v>2166</v>
      </c>
    </row>
    <row r="736" ht="15.75" customHeight="1">
      <c r="B736" s="391" t="s">
        <v>8147</v>
      </c>
      <c r="C736" s="391" t="s">
        <v>8148</v>
      </c>
      <c r="D736" s="391" t="s">
        <v>2195</v>
      </c>
    </row>
    <row r="737" ht="15.75" customHeight="1">
      <c r="B737" s="391" t="s">
        <v>8149</v>
      </c>
      <c r="C737" s="391" t="s">
        <v>8150</v>
      </c>
      <c r="D737" s="391" t="s">
        <v>2195</v>
      </c>
    </row>
    <row r="738" ht="15.75" customHeight="1">
      <c r="B738" s="391" t="s">
        <v>8151</v>
      </c>
      <c r="C738" s="391" t="s">
        <v>8152</v>
      </c>
      <c r="D738" s="391" t="s">
        <v>2195</v>
      </c>
    </row>
    <row r="739" ht="15.75" customHeight="1">
      <c r="B739" s="391" t="s">
        <v>2135</v>
      </c>
      <c r="C739" s="391" t="s">
        <v>8153</v>
      </c>
      <c r="D739" s="391" t="s">
        <v>2195</v>
      </c>
    </row>
    <row r="740" ht="15.75" customHeight="1">
      <c r="B740" s="391" t="s">
        <v>2128</v>
      </c>
      <c r="C740" s="391" t="s">
        <v>8154</v>
      </c>
      <c r="D740" s="391" t="s">
        <v>2195</v>
      </c>
    </row>
    <row r="741" ht="15.75" customHeight="1">
      <c r="B741" s="391" t="s">
        <v>2131</v>
      </c>
      <c r="C741" s="391" t="s">
        <v>8154</v>
      </c>
      <c r="D741" s="391" t="s">
        <v>2195</v>
      </c>
    </row>
    <row r="742" ht="15.75" customHeight="1">
      <c r="B742" s="391" t="s">
        <v>1916</v>
      </c>
      <c r="C742" s="391" t="s">
        <v>8155</v>
      </c>
      <c r="D742" s="391" t="s">
        <v>2232</v>
      </c>
    </row>
    <row r="743" ht="15.75" customHeight="1">
      <c r="B743" s="391">
        <v>5078166.0</v>
      </c>
      <c r="C743" s="391" t="s">
        <v>8156</v>
      </c>
      <c r="D743" s="391" t="s">
        <v>2195</v>
      </c>
    </row>
    <row r="744" ht="15.75" customHeight="1">
      <c r="B744" s="391" t="s">
        <v>8157</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8166</v>
      </c>
      <c r="D749" s="391" t="s">
        <v>2195</v>
      </c>
    </row>
    <row r="750" ht="15.75" customHeight="1">
      <c r="B750" s="391" t="s">
        <v>8168</v>
      </c>
      <c r="C750" s="391" t="s">
        <v>8169</v>
      </c>
      <c r="D750" s="391" t="s">
        <v>2195</v>
      </c>
    </row>
    <row r="751" ht="15.75" customHeight="1">
      <c r="B751" s="391" t="s">
        <v>8170</v>
      </c>
      <c r="C751" s="391" t="s">
        <v>8169</v>
      </c>
      <c r="D751" s="391" t="s">
        <v>2195</v>
      </c>
    </row>
    <row r="752" ht="15.75" customHeight="1">
      <c r="B752" s="391" t="s">
        <v>8171</v>
      </c>
      <c r="C752" s="391" t="s">
        <v>8172</v>
      </c>
      <c r="D752" s="391" t="s">
        <v>2232</v>
      </c>
    </row>
    <row r="753" ht="15.75" customHeight="1">
      <c r="B753" s="391" t="s">
        <v>8173</v>
      </c>
      <c r="C753" s="391" t="s">
        <v>8174</v>
      </c>
      <c r="D753" s="391" t="s">
        <v>2195</v>
      </c>
    </row>
    <row r="754" ht="15.75" customHeight="1">
      <c r="B754" s="391" t="s">
        <v>8175</v>
      </c>
      <c r="C754" s="391" t="s">
        <v>8176</v>
      </c>
      <c r="D754" s="391" t="s">
        <v>2232</v>
      </c>
    </row>
    <row r="755" ht="15.75" customHeight="1">
      <c r="B755" s="391" t="s">
        <v>8177</v>
      </c>
      <c r="C755" s="391" t="s">
        <v>8178</v>
      </c>
      <c r="D755" s="391" t="s">
        <v>2232</v>
      </c>
    </row>
    <row r="756" ht="15.75" customHeight="1">
      <c r="B756" s="391" t="s">
        <v>8179</v>
      </c>
      <c r="C756" s="391" t="s">
        <v>8180</v>
      </c>
      <c r="D756" s="391" t="s">
        <v>2195</v>
      </c>
    </row>
    <row r="757" ht="15.75" customHeight="1">
      <c r="B757" s="391" t="s">
        <v>8181</v>
      </c>
      <c r="C757" s="391" t="s">
        <v>8182</v>
      </c>
      <c r="D757" s="391" t="s">
        <v>2195</v>
      </c>
    </row>
    <row r="758" ht="15.75" customHeight="1">
      <c r="B758" s="391" t="s">
        <v>8183</v>
      </c>
      <c r="C758" s="391" t="s">
        <v>8182</v>
      </c>
      <c r="D758" s="391" t="s">
        <v>2195</v>
      </c>
    </row>
    <row r="759" ht="15.75" customHeight="1">
      <c r="B759" s="391" t="s">
        <v>8184</v>
      </c>
      <c r="C759" s="391" t="s">
        <v>8182</v>
      </c>
      <c r="D759" s="391" t="s">
        <v>2232</v>
      </c>
    </row>
    <row r="760" ht="15.75" customHeight="1">
      <c r="B760" s="391" t="s">
        <v>8185</v>
      </c>
      <c r="C760" s="391" t="s">
        <v>8182</v>
      </c>
      <c r="D760" s="391" t="s">
        <v>2232</v>
      </c>
    </row>
    <row r="761" ht="15.75" customHeight="1">
      <c r="B761" s="391" t="s">
        <v>8186</v>
      </c>
      <c r="C761" s="391" t="s">
        <v>8187</v>
      </c>
      <c r="D761" s="391" t="s">
        <v>2195</v>
      </c>
    </row>
    <row r="762" ht="15.75" customHeight="1">
      <c r="B762" s="391" t="s">
        <v>4487</v>
      </c>
      <c r="C762" s="391" t="s">
        <v>8188</v>
      </c>
      <c r="D762" s="391" t="s">
        <v>2232</v>
      </c>
    </row>
    <row r="763" ht="15.75" customHeight="1">
      <c r="B763" s="391" t="s">
        <v>4239</v>
      </c>
      <c r="C763" s="391" t="s">
        <v>8189</v>
      </c>
      <c r="D763" s="391" t="s">
        <v>2166</v>
      </c>
    </row>
    <row r="764" ht="15.75" customHeight="1">
      <c r="B764" s="391" t="s">
        <v>4323</v>
      </c>
      <c r="C764" s="391" t="s">
        <v>8190</v>
      </c>
      <c r="D764" s="391" t="s">
        <v>2166</v>
      </c>
    </row>
    <row r="765" ht="15.75" customHeight="1">
      <c r="B765" s="391" t="s">
        <v>4327</v>
      </c>
      <c r="C765" s="391" t="s">
        <v>8191</v>
      </c>
      <c r="D765" s="391" t="s">
        <v>2232</v>
      </c>
    </row>
    <row r="766" ht="15.75" customHeight="1">
      <c r="B766" s="391" t="s">
        <v>4319</v>
      </c>
      <c r="C766" s="391" t="s">
        <v>8191</v>
      </c>
      <c r="D766" s="391" t="s">
        <v>2166</v>
      </c>
    </row>
    <row r="767" ht="15.75" customHeight="1">
      <c r="B767" s="391" t="s">
        <v>4335</v>
      </c>
      <c r="C767" s="391" t="s">
        <v>8191</v>
      </c>
      <c r="D767" s="391" t="s">
        <v>2232</v>
      </c>
    </row>
    <row r="768" ht="15.75" customHeight="1">
      <c r="B768" s="391" t="s">
        <v>4331</v>
      </c>
      <c r="C768" s="391" t="s">
        <v>8191</v>
      </c>
      <c r="D768" s="391" t="s">
        <v>2232</v>
      </c>
    </row>
    <row r="769" ht="15.75" customHeight="1">
      <c r="B769" s="391" t="s">
        <v>8192</v>
      </c>
      <c r="C769" s="391" t="s">
        <v>8193</v>
      </c>
      <c r="D769" s="391" t="s">
        <v>2195</v>
      </c>
    </row>
    <row r="770" ht="15.75" customHeight="1">
      <c r="B770" s="391" t="s">
        <v>4530</v>
      </c>
      <c r="C770" s="391" t="s">
        <v>8194</v>
      </c>
      <c r="D770" s="391" t="s">
        <v>2195</v>
      </c>
    </row>
    <row r="771" ht="15.75" customHeight="1">
      <c r="B771" s="391" t="s">
        <v>4534</v>
      </c>
      <c r="C771" s="391" t="s">
        <v>8194</v>
      </c>
      <c r="D771" s="391" t="s">
        <v>2232</v>
      </c>
    </row>
    <row r="772" ht="15.75" customHeight="1">
      <c r="B772" s="391" t="s">
        <v>8195</v>
      </c>
      <c r="C772" s="391" t="s">
        <v>8196</v>
      </c>
      <c r="D772" s="391" t="s">
        <v>2195</v>
      </c>
    </row>
    <row r="773" ht="15.75" customHeight="1">
      <c r="B773" s="391" t="s">
        <v>8197</v>
      </c>
      <c r="C773" s="391" t="s">
        <v>8196</v>
      </c>
      <c r="D773" s="391" t="s">
        <v>2195</v>
      </c>
    </row>
    <row r="774" ht="15.75" customHeight="1">
      <c r="B774" s="391" t="s">
        <v>4478</v>
      </c>
      <c r="C774" s="391" t="s">
        <v>8198</v>
      </c>
      <c r="D774" s="391" t="s">
        <v>2195</v>
      </c>
    </row>
    <row r="775" ht="15.75" customHeight="1">
      <c r="B775" s="391" t="s">
        <v>8199</v>
      </c>
      <c r="C775" s="391" t="s">
        <v>8200</v>
      </c>
      <c r="D775" s="391" t="s">
        <v>2195</v>
      </c>
    </row>
    <row r="776" ht="15.75" customHeight="1">
      <c r="B776" s="391" t="s">
        <v>4370</v>
      </c>
      <c r="C776" s="391" t="s">
        <v>8201</v>
      </c>
      <c r="D776" s="391" t="s">
        <v>2195</v>
      </c>
    </row>
    <row r="777" ht="15.75" customHeight="1">
      <c r="B777" s="391" t="s">
        <v>4374</v>
      </c>
      <c r="C777" s="391" t="s">
        <v>8201</v>
      </c>
      <c r="D777" s="391" t="s">
        <v>2195</v>
      </c>
    </row>
    <row r="778" ht="15.75" customHeight="1">
      <c r="B778" s="391" t="s">
        <v>8202</v>
      </c>
      <c r="C778" s="391" t="s">
        <v>8201</v>
      </c>
      <c r="D778" s="391" t="s">
        <v>2232</v>
      </c>
    </row>
    <row r="779" ht="15.75" customHeight="1">
      <c r="B779" s="391" t="s">
        <v>8203</v>
      </c>
      <c r="C779" s="391" t="s">
        <v>8201</v>
      </c>
      <c r="D779" s="391" t="s">
        <v>2195</v>
      </c>
    </row>
    <row r="780" ht="15.75" customHeight="1">
      <c r="B780" s="391" t="s">
        <v>8204</v>
      </c>
      <c r="C780" s="391" t="s">
        <v>8201</v>
      </c>
      <c r="D780" s="391" t="s">
        <v>2195</v>
      </c>
    </row>
    <row r="781" ht="15.75" customHeight="1">
      <c r="B781" s="391" t="s">
        <v>8205</v>
      </c>
      <c r="C781" s="391" t="s">
        <v>8206</v>
      </c>
      <c r="D781" s="391" t="s">
        <v>2195</v>
      </c>
    </row>
    <row r="782" ht="15.75" customHeight="1">
      <c r="B782" s="391" t="s">
        <v>8207</v>
      </c>
      <c r="C782" s="391" t="s">
        <v>8208</v>
      </c>
      <c r="D782" s="391" t="s">
        <v>2195</v>
      </c>
    </row>
    <row r="783" ht="15.75" customHeight="1">
      <c r="B783" s="391" t="s">
        <v>8209</v>
      </c>
      <c r="C783" s="391" t="s">
        <v>8208</v>
      </c>
      <c r="D783" s="391" t="s">
        <v>2195</v>
      </c>
    </row>
    <row r="784" ht="15.75" customHeight="1">
      <c r="B784" s="391" t="s">
        <v>8210</v>
      </c>
      <c r="C784" s="391" t="s">
        <v>8208</v>
      </c>
      <c r="D784" s="391" t="s">
        <v>2195</v>
      </c>
    </row>
    <row r="785" ht="15.75" customHeight="1">
      <c r="B785" s="391" t="s">
        <v>4340</v>
      </c>
      <c r="C785" s="391" t="s">
        <v>8211</v>
      </c>
      <c r="D785" s="391" t="s">
        <v>2232</v>
      </c>
    </row>
    <row r="786" ht="15.75" customHeight="1">
      <c r="B786" s="391" t="s">
        <v>4344</v>
      </c>
      <c r="C786" s="391" t="s">
        <v>8211</v>
      </c>
      <c r="D786" s="391" t="s">
        <v>2195</v>
      </c>
    </row>
    <row r="787" ht="15.75" customHeight="1">
      <c r="B787" s="391" t="s">
        <v>4585</v>
      </c>
      <c r="C787" s="391" t="s">
        <v>8212</v>
      </c>
      <c r="D787" s="391" t="s">
        <v>2166</v>
      </c>
    </row>
    <row r="788" ht="15.75" customHeight="1">
      <c r="B788" s="391" t="s">
        <v>8213</v>
      </c>
      <c r="C788" s="391" t="s">
        <v>8214</v>
      </c>
      <c r="D788" s="391" t="s">
        <v>2195</v>
      </c>
    </row>
    <row r="789" ht="15.75" customHeight="1">
      <c r="B789" s="391" t="s">
        <v>4606</v>
      </c>
      <c r="C789" s="391" t="s">
        <v>8215</v>
      </c>
      <c r="D789" s="391" t="s">
        <v>2232</v>
      </c>
    </row>
    <row r="790" ht="15.75" customHeight="1">
      <c r="B790" s="391" t="s">
        <v>4610</v>
      </c>
      <c r="C790" s="391" t="s">
        <v>8216</v>
      </c>
      <c r="D790" s="391" t="s">
        <v>2232</v>
      </c>
    </row>
    <row r="791" ht="15.75" customHeight="1">
      <c r="B791" s="391" t="s">
        <v>4615</v>
      </c>
      <c r="C791" s="391" t="s">
        <v>8217</v>
      </c>
      <c r="D791" s="391" t="s">
        <v>2232</v>
      </c>
    </row>
    <row r="792" ht="15.75" customHeight="1">
      <c r="B792" s="391" t="s">
        <v>4400</v>
      </c>
      <c r="C792" s="391" t="s">
        <v>8218</v>
      </c>
      <c r="D792" s="391" t="s">
        <v>2166</v>
      </c>
    </row>
    <row r="793" ht="15.75" customHeight="1">
      <c r="B793" s="391" t="s">
        <v>8219</v>
      </c>
      <c r="C793" s="391" t="s">
        <v>8220</v>
      </c>
      <c r="D793" s="391" t="s">
        <v>2166</v>
      </c>
    </row>
    <row r="794" ht="15.75" customHeight="1">
      <c r="B794" s="391">
        <v>8124.0</v>
      </c>
      <c r="C794" s="391" t="s">
        <v>8221</v>
      </c>
      <c r="D794" s="391" t="s">
        <v>2166</v>
      </c>
    </row>
    <row r="795" ht="15.75" customHeight="1">
      <c r="B795" s="391">
        <v>8128.0</v>
      </c>
      <c r="C795" s="391" t="s">
        <v>8221</v>
      </c>
      <c r="D795" s="391" t="s">
        <v>2195</v>
      </c>
    </row>
    <row r="796" ht="15.75" customHeight="1">
      <c r="B796" s="391" t="s">
        <v>4558</v>
      </c>
      <c r="C796" s="391" t="s">
        <v>8221</v>
      </c>
      <c r="D796" s="391" t="s">
        <v>2232</v>
      </c>
    </row>
    <row r="797" ht="15.75" customHeight="1">
      <c r="B797" s="391" t="s">
        <v>8222</v>
      </c>
      <c r="C797" s="391" t="s">
        <v>8221</v>
      </c>
      <c r="D797" s="391" t="s">
        <v>2232</v>
      </c>
    </row>
    <row r="798" ht="15.75" customHeight="1">
      <c r="B798" s="391" t="s">
        <v>4482</v>
      </c>
      <c r="C798" s="391" t="s">
        <v>8221</v>
      </c>
      <c r="D798" s="391" t="s">
        <v>2232</v>
      </c>
    </row>
    <row r="799" ht="15.75" customHeight="1">
      <c r="B799" s="391" t="s">
        <v>4483</v>
      </c>
      <c r="C799" s="391" t="s">
        <v>8221</v>
      </c>
      <c r="D799" s="391" t="s">
        <v>2232</v>
      </c>
    </row>
    <row r="800" ht="15.75" customHeight="1">
      <c r="B800" s="391" t="s">
        <v>8223</v>
      </c>
      <c r="C800" s="391" t="s">
        <v>8221</v>
      </c>
      <c r="D800" s="391" t="s">
        <v>2232</v>
      </c>
    </row>
    <row r="801" ht="15.75" customHeight="1">
      <c r="B801" s="391" t="s">
        <v>8224</v>
      </c>
      <c r="C801" s="391" t="s">
        <v>8221</v>
      </c>
      <c r="D801" s="391" t="s">
        <v>2232</v>
      </c>
    </row>
    <row r="802" ht="15.75" customHeight="1">
      <c r="B802" s="391" t="s">
        <v>4499</v>
      </c>
      <c r="C802" s="391" t="s">
        <v>8221</v>
      </c>
      <c r="D802" s="391" t="s">
        <v>2166</v>
      </c>
    </row>
    <row r="803" ht="15.75" customHeight="1">
      <c r="B803" s="391" t="s">
        <v>4507</v>
      </c>
      <c r="C803" s="391" t="s">
        <v>8221</v>
      </c>
      <c r="D803" s="391" t="s">
        <v>2166</v>
      </c>
    </row>
    <row r="804" ht="15.75" customHeight="1">
      <c r="B804" s="391" t="s">
        <v>8225</v>
      </c>
      <c r="C804" s="391" t="s">
        <v>8221</v>
      </c>
      <c r="D804" s="391" t="s">
        <v>2232</v>
      </c>
    </row>
    <row r="805" ht="15.75" customHeight="1">
      <c r="B805" s="391" t="s">
        <v>8226</v>
      </c>
      <c r="C805" s="391" t="s">
        <v>8221</v>
      </c>
      <c r="D805" s="391" t="s">
        <v>2232</v>
      </c>
    </row>
    <row r="806" ht="15.75" customHeight="1">
      <c r="B806" s="391" t="s">
        <v>4548</v>
      </c>
      <c r="C806" s="391" t="s">
        <v>8221</v>
      </c>
      <c r="D806" s="391" t="s">
        <v>2195</v>
      </c>
    </row>
    <row r="807" ht="15.75" customHeight="1">
      <c r="B807" s="391" t="s">
        <v>4516</v>
      </c>
      <c r="C807" s="391" t="s">
        <v>8221</v>
      </c>
      <c r="D807" s="391" t="s">
        <v>2166</v>
      </c>
    </row>
    <row r="808" ht="15.75" customHeight="1">
      <c r="B808" s="391" t="s">
        <v>8227</v>
      </c>
      <c r="C808" s="391" t="s">
        <v>8221</v>
      </c>
      <c r="D808" s="391" t="s">
        <v>2195</v>
      </c>
    </row>
    <row r="809" ht="15.75" customHeight="1">
      <c r="B809" s="391" t="s">
        <v>8228</v>
      </c>
      <c r="C809" s="391" t="s">
        <v>8221</v>
      </c>
      <c r="D809" s="391" t="s">
        <v>2195</v>
      </c>
    </row>
    <row r="810" ht="15.75" customHeight="1">
      <c r="B810" s="391" t="s">
        <v>8229</v>
      </c>
      <c r="C810" s="391" t="s">
        <v>8221</v>
      </c>
      <c r="D810" s="391" t="s">
        <v>2195</v>
      </c>
    </row>
    <row r="811" ht="15.75" customHeight="1">
      <c r="B811" s="391" t="s">
        <v>8230</v>
      </c>
      <c r="C811" s="391" t="s">
        <v>8221</v>
      </c>
      <c r="D811" s="391" t="s">
        <v>2195</v>
      </c>
    </row>
    <row r="812" ht="15.75" customHeight="1">
      <c r="B812" s="391" t="s">
        <v>4562</v>
      </c>
      <c r="C812" s="391" t="s">
        <v>8231</v>
      </c>
      <c r="D812" s="391" t="s">
        <v>2232</v>
      </c>
    </row>
    <row r="813" ht="15.75" customHeight="1">
      <c r="B813" s="391" t="s">
        <v>4544</v>
      </c>
      <c r="C813" s="391" t="s">
        <v>8232</v>
      </c>
      <c r="D813" s="391" t="s">
        <v>2166</v>
      </c>
    </row>
    <row r="814" ht="15.75" customHeight="1">
      <c r="B814" s="391" t="s">
        <v>4521</v>
      </c>
      <c r="C814" s="391" t="s">
        <v>8233</v>
      </c>
      <c r="D814" s="391" t="s">
        <v>2166</v>
      </c>
    </row>
    <row r="815" ht="15.75" customHeight="1">
      <c r="B815" s="391" t="s">
        <v>4525</v>
      </c>
      <c r="C815" s="391" t="s">
        <v>8233</v>
      </c>
      <c r="D815" s="391" t="s">
        <v>2195</v>
      </c>
    </row>
    <row r="816" ht="15.75" customHeight="1">
      <c r="B816" s="391" t="s">
        <v>4580</v>
      </c>
      <c r="C816" s="391" t="s">
        <v>8234</v>
      </c>
      <c r="D816" s="391" t="s">
        <v>2195</v>
      </c>
    </row>
    <row r="817" ht="15.75" customHeight="1">
      <c r="B817" s="391" t="s">
        <v>8235</v>
      </c>
      <c r="C817" s="391" t="s">
        <v>8236</v>
      </c>
      <c r="D817" s="391" t="s">
        <v>2195</v>
      </c>
    </row>
    <row r="818" ht="15.75" customHeight="1">
      <c r="B818" s="391" t="s">
        <v>4382</v>
      </c>
      <c r="C818" s="391" t="s">
        <v>8237</v>
      </c>
      <c r="D818" s="391" t="s">
        <v>2195</v>
      </c>
    </row>
    <row r="819" ht="15.75" customHeight="1">
      <c r="B819" s="391" t="s">
        <v>8238</v>
      </c>
      <c r="C819" s="391" t="s">
        <v>8239</v>
      </c>
      <c r="D819" s="391" t="s">
        <v>2166</v>
      </c>
    </row>
    <row r="820" ht="15.75" customHeight="1">
      <c r="B820" s="391" t="s">
        <v>8240</v>
      </c>
      <c r="C820" s="391" t="s">
        <v>8239</v>
      </c>
      <c r="D820" s="391" t="s">
        <v>2166</v>
      </c>
    </row>
    <row r="821" ht="15.75" customHeight="1">
      <c r="B821" s="391" t="s">
        <v>8241</v>
      </c>
      <c r="C821" s="391" t="s">
        <v>8239</v>
      </c>
      <c r="D821" s="391" t="s">
        <v>2166</v>
      </c>
    </row>
    <row r="822" ht="15.75" customHeight="1">
      <c r="B822" s="391" t="s">
        <v>8242</v>
      </c>
      <c r="C822" s="391" t="s">
        <v>8239</v>
      </c>
      <c r="D822" s="391" t="s">
        <v>2166</v>
      </c>
    </row>
    <row r="823" ht="15.75" customHeight="1">
      <c r="B823" s="391" t="s">
        <v>4492</v>
      </c>
      <c r="C823" s="391" t="s">
        <v>8243</v>
      </c>
      <c r="D823" s="391" t="s">
        <v>2166</v>
      </c>
    </row>
    <row r="824" ht="15.75" customHeight="1">
      <c r="B824" s="391" t="s">
        <v>4496</v>
      </c>
      <c r="C824" s="391" t="s">
        <v>8243</v>
      </c>
      <c r="D824" s="391" t="s">
        <v>2166</v>
      </c>
    </row>
    <row r="825" ht="15.75" customHeight="1">
      <c r="B825" s="391" t="s">
        <v>8244</v>
      </c>
      <c r="C825" s="391" t="s">
        <v>8245</v>
      </c>
      <c r="D825" s="391" t="s">
        <v>2195</v>
      </c>
    </row>
    <row r="826" ht="15.75" customHeight="1">
      <c r="B826" s="391" t="s">
        <v>8246</v>
      </c>
      <c r="C826" s="391" t="s">
        <v>8247</v>
      </c>
      <c r="D826" s="391" t="s">
        <v>2166</v>
      </c>
    </row>
    <row r="827" ht="15.75" customHeight="1">
      <c r="B827" s="391" t="s">
        <v>8248</v>
      </c>
      <c r="C827" s="391" t="s">
        <v>8249</v>
      </c>
      <c r="D827" s="391" t="s">
        <v>2195</v>
      </c>
    </row>
    <row r="828" ht="15.75" customHeight="1">
      <c r="B828" s="391" t="s">
        <v>4552</v>
      </c>
      <c r="C828" s="391" t="s">
        <v>8250</v>
      </c>
      <c r="D828" s="391" t="s">
        <v>2166</v>
      </c>
    </row>
    <row r="829" ht="15.75" customHeight="1">
      <c r="B829" s="391" t="s">
        <v>4556</v>
      </c>
      <c r="C829" s="391" t="s">
        <v>8250</v>
      </c>
      <c r="D829" s="391" t="s">
        <v>2166</v>
      </c>
    </row>
    <row r="830" ht="15.75" customHeight="1">
      <c r="B830" s="391" t="s">
        <v>8251</v>
      </c>
      <c r="C830" s="391" t="s">
        <v>8250</v>
      </c>
      <c r="D830" s="391" t="s">
        <v>2166</v>
      </c>
    </row>
    <row r="831" ht="15.75" customHeight="1">
      <c r="B831" s="391" t="s">
        <v>8252</v>
      </c>
      <c r="C831" s="391" t="s">
        <v>8250</v>
      </c>
      <c r="D831" s="391" t="s">
        <v>2166</v>
      </c>
    </row>
    <row r="832" ht="15.75" customHeight="1">
      <c r="B832" s="391" t="s">
        <v>8253</v>
      </c>
      <c r="C832" s="391" t="s">
        <v>8250</v>
      </c>
      <c r="D832" s="391" t="s">
        <v>2166</v>
      </c>
    </row>
    <row r="833" ht="15.75" customHeight="1">
      <c r="B833" s="391" t="s">
        <v>8254</v>
      </c>
      <c r="C833" s="391" t="s">
        <v>8250</v>
      </c>
      <c r="D833" s="391" t="s">
        <v>2166</v>
      </c>
    </row>
    <row r="834" ht="15.75" customHeight="1">
      <c r="B834" s="391" t="s">
        <v>8255</v>
      </c>
      <c r="C834" s="391" t="s">
        <v>8250</v>
      </c>
      <c r="D834" s="391" t="s">
        <v>2166</v>
      </c>
    </row>
    <row r="835" ht="15.75" customHeight="1">
      <c r="B835" s="391" t="s">
        <v>8256</v>
      </c>
      <c r="C835" s="391" t="s">
        <v>8250</v>
      </c>
      <c r="D835" s="391" t="s">
        <v>2166</v>
      </c>
    </row>
    <row r="836" ht="15.75" customHeight="1">
      <c r="B836" s="391" t="s">
        <v>8257</v>
      </c>
      <c r="C836" s="391" t="s">
        <v>8250</v>
      </c>
      <c r="D836" s="391" t="s">
        <v>2166</v>
      </c>
    </row>
    <row r="837" ht="15.75" customHeight="1">
      <c r="B837" s="391" t="s">
        <v>8258</v>
      </c>
      <c r="C837" s="391" t="s">
        <v>8250</v>
      </c>
      <c r="D837" s="391" t="s">
        <v>2166</v>
      </c>
    </row>
    <row r="838" ht="15.75" customHeight="1">
      <c r="B838" s="391" t="s">
        <v>8259</v>
      </c>
      <c r="C838" s="391" t="s">
        <v>8250</v>
      </c>
      <c r="D838" s="391" t="s">
        <v>2232</v>
      </c>
    </row>
    <row r="839" ht="15.75" customHeight="1">
      <c r="B839" s="391" t="s">
        <v>8260</v>
      </c>
      <c r="C839" s="391" t="s">
        <v>8250</v>
      </c>
      <c r="D839" s="391" t="s">
        <v>2232</v>
      </c>
    </row>
    <row r="840" ht="15.75" customHeight="1">
      <c r="B840" s="391" t="s">
        <v>8261</v>
      </c>
      <c r="C840" s="391" t="s">
        <v>8250</v>
      </c>
      <c r="D840" s="391" t="s">
        <v>2232</v>
      </c>
    </row>
    <row r="841" ht="15.75" customHeight="1">
      <c r="B841" s="391" t="s">
        <v>4503</v>
      </c>
      <c r="C841" s="391" t="s">
        <v>8250</v>
      </c>
      <c r="D841" s="391" t="s">
        <v>2166</v>
      </c>
    </row>
    <row r="842" ht="15.75" customHeight="1">
      <c r="B842" s="391" t="s">
        <v>4470</v>
      </c>
      <c r="C842" s="391" t="s">
        <v>8250</v>
      </c>
      <c r="D842" s="391" t="s">
        <v>2166</v>
      </c>
    </row>
    <row r="843" ht="15.75" customHeight="1">
      <c r="B843" s="391" t="s">
        <v>4473</v>
      </c>
      <c r="C843" s="391" t="s">
        <v>8250</v>
      </c>
      <c r="D843" s="391" t="s">
        <v>2166</v>
      </c>
    </row>
    <row r="844" ht="15.75" customHeight="1">
      <c r="B844" s="391" t="s">
        <v>4512</v>
      </c>
      <c r="C844" s="391" t="s">
        <v>8250</v>
      </c>
      <c r="D844" s="391" t="s">
        <v>2232</v>
      </c>
    </row>
    <row r="845" ht="15.75" customHeight="1">
      <c r="B845" s="391" t="s">
        <v>8262</v>
      </c>
      <c r="C845" s="391" t="s">
        <v>8263</v>
      </c>
      <c r="D845" s="391" t="s">
        <v>2166</v>
      </c>
    </row>
    <row r="846" ht="15.75" customHeight="1">
      <c r="B846" s="391" t="s">
        <v>4348</v>
      </c>
      <c r="C846" s="391" t="s">
        <v>8264</v>
      </c>
      <c r="D846" s="391" t="s">
        <v>2166</v>
      </c>
    </row>
    <row r="847" ht="15.75" customHeight="1">
      <c r="B847" s="391" t="s">
        <v>8265</v>
      </c>
      <c r="C847" s="391" t="s">
        <v>8266</v>
      </c>
      <c r="D847" s="391" t="s">
        <v>2232</v>
      </c>
    </row>
    <row r="848" ht="15.75" customHeight="1">
      <c r="B848" s="391" t="s">
        <v>3658</v>
      </c>
      <c r="C848" s="391" t="s">
        <v>8267</v>
      </c>
      <c r="D848" s="391" t="s">
        <v>2232</v>
      </c>
    </row>
    <row r="849" ht="15.75" customHeight="1">
      <c r="B849" s="391" t="s">
        <v>3970</v>
      </c>
      <c r="C849" s="391" t="s">
        <v>8268</v>
      </c>
      <c r="D849" s="391" t="s">
        <v>2166</v>
      </c>
    </row>
    <row r="850" ht="15.75" customHeight="1">
      <c r="B850" s="391" t="s">
        <v>3771</v>
      </c>
      <c r="C850" s="391" t="s">
        <v>8269</v>
      </c>
      <c r="D850" s="391" t="s">
        <v>2195</v>
      </c>
    </row>
    <row r="851" ht="15.75" customHeight="1">
      <c r="B851" s="391" t="s">
        <v>3974</v>
      </c>
      <c r="C851" s="391" t="s">
        <v>8270</v>
      </c>
      <c r="D851" s="391" t="s">
        <v>2166</v>
      </c>
    </row>
    <row r="852" ht="15.75" customHeight="1">
      <c r="B852" s="391" t="s">
        <v>3933</v>
      </c>
      <c r="C852" s="391" t="s">
        <v>8271</v>
      </c>
      <c r="D852" s="391" t="s">
        <v>2195</v>
      </c>
    </row>
    <row r="853" ht="15.75" customHeight="1">
      <c r="B853" s="391">
        <v>26703.0</v>
      </c>
      <c r="C853" s="391" t="s">
        <v>8272</v>
      </c>
      <c r="D853" s="391" t="s">
        <v>2195</v>
      </c>
    </row>
    <row r="854" ht="15.75" customHeight="1">
      <c r="B854" s="391" t="s">
        <v>3796</v>
      </c>
      <c r="C854" s="391" t="s">
        <v>8273</v>
      </c>
      <c r="D854" s="391" t="s">
        <v>2195</v>
      </c>
    </row>
    <row r="855" ht="15.75" customHeight="1">
      <c r="B855" s="391" t="s">
        <v>3801</v>
      </c>
      <c r="C855" s="391" t="s">
        <v>8273</v>
      </c>
      <c r="D855" s="391" t="s">
        <v>2166</v>
      </c>
    </row>
    <row r="856" ht="15.75" customHeight="1">
      <c r="B856" s="391" t="s">
        <v>4070</v>
      </c>
      <c r="C856" s="391" t="s">
        <v>8274</v>
      </c>
      <c r="D856" s="391" t="s">
        <v>2166</v>
      </c>
    </row>
    <row r="857" ht="15.75" customHeight="1">
      <c r="B857" s="391" t="s">
        <v>4060</v>
      </c>
      <c r="C857" s="391" t="s">
        <v>8275</v>
      </c>
      <c r="D857" s="391" t="s">
        <v>2232</v>
      </c>
    </row>
    <row r="858" ht="15.75" customHeight="1">
      <c r="B858" s="391" t="s">
        <v>3653</v>
      </c>
      <c r="C858" s="391" t="s">
        <v>8276</v>
      </c>
      <c r="D858" s="391" t="s">
        <v>2232</v>
      </c>
    </row>
    <row r="859" ht="15.75" customHeight="1">
      <c r="B859" s="391" t="s">
        <v>3561</v>
      </c>
      <c r="C859" s="391" t="s">
        <v>8277</v>
      </c>
      <c r="D859" s="391" t="s">
        <v>2195</v>
      </c>
    </row>
    <row r="860" ht="15.75" customHeight="1">
      <c r="B860" s="391" t="s">
        <v>3583</v>
      </c>
      <c r="C860" s="391" t="s">
        <v>8278</v>
      </c>
      <c r="D860" s="391" t="s">
        <v>2195</v>
      </c>
    </row>
    <row r="861" ht="15.75" customHeight="1">
      <c r="B861" s="391" t="s">
        <v>4001</v>
      </c>
      <c r="C861" s="391" t="s">
        <v>8279</v>
      </c>
      <c r="D861" s="391" t="s">
        <v>2195</v>
      </c>
    </row>
    <row r="862" ht="15.75" customHeight="1">
      <c r="B862" s="391" t="s">
        <v>3984</v>
      </c>
      <c r="C862" s="391" t="s">
        <v>8280</v>
      </c>
      <c r="D862" s="391" t="s">
        <v>2166</v>
      </c>
    </row>
    <row r="863" ht="15.75" customHeight="1">
      <c r="B863" s="391" t="s">
        <v>8281</v>
      </c>
      <c r="C863" s="391" t="s">
        <v>8282</v>
      </c>
      <c r="D863" s="391" t="s">
        <v>2195</v>
      </c>
    </row>
    <row r="864" ht="15.75" customHeight="1">
      <c r="B864" s="391" t="s">
        <v>8283</v>
      </c>
      <c r="C864" s="391" t="s">
        <v>8284</v>
      </c>
      <c r="D864" s="391" t="s">
        <v>2166</v>
      </c>
    </row>
    <row r="865" ht="15.75" customHeight="1">
      <c r="B865" s="391" t="s">
        <v>3614</v>
      </c>
      <c r="C865" s="391" t="s">
        <v>8285</v>
      </c>
      <c r="D865" s="391" t="s">
        <v>2195</v>
      </c>
    </row>
    <row r="866" ht="15.75" customHeight="1">
      <c r="B866" s="391" t="s">
        <v>3998</v>
      </c>
      <c r="C866" s="391" t="s">
        <v>8286</v>
      </c>
      <c r="D866" s="391" t="s">
        <v>2166</v>
      </c>
    </row>
    <row r="867" ht="15.75" customHeight="1">
      <c r="B867" s="391" t="s">
        <v>4037</v>
      </c>
      <c r="C867" s="391" t="s">
        <v>8287</v>
      </c>
      <c r="D867" s="391" t="s">
        <v>2166</v>
      </c>
    </row>
    <row r="868" ht="15.75" customHeight="1">
      <c r="B868" s="391" t="s">
        <v>4032</v>
      </c>
      <c r="C868" s="391" t="s">
        <v>8288</v>
      </c>
      <c r="D868" s="391" t="s">
        <v>2166</v>
      </c>
    </row>
    <row r="869" ht="15.75" customHeight="1">
      <c r="B869" s="391" t="s">
        <v>4047</v>
      </c>
      <c r="C869" s="391" t="s">
        <v>8289</v>
      </c>
      <c r="D869" s="391" t="s">
        <v>2232</v>
      </c>
    </row>
    <row r="870" ht="15.75" customHeight="1">
      <c r="B870" s="391" t="s">
        <v>4042</v>
      </c>
      <c r="C870" s="391" t="s">
        <v>8290</v>
      </c>
      <c r="D870" s="391" t="s">
        <v>2232</v>
      </c>
    </row>
    <row r="871" ht="15.75" customHeight="1">
      <c r="B871" s="391" t="s">
        <v>3812</v>
      </c>
      <c r="C871" s="391" t="s">
        <v>8291</v>
      </c>
      <c r="D871" s="391" t="s">
        <v>2166</v>
      </c>
    </row>
    <row r="872" ht="15.75" customHeight="1">
      <c r="B872" s="391" t="s">
        <v>3818</v>
      </c>
      <c r="C872" s="391" t="s">
        <v>8292</v>
      </c>
      <c r="D872" s="391" t="s">
        <v>2166</v>
      </c>
    </row>
    <row r="873" ht="15.75" customHeight="1">
      <c r="B873" s="391" t="s">
        <v>3672</v>
      </c>
      <c r="C873" s="391" t="s">
        <v>8293</v>
      </c>
      <c r="D873" s="391" t="s">
        <v>2232</v>
      </c>
    </row>
    <row r="874" ht="15.75" customHeight="1">
      <c r="B874" s="391" t="s">
        <v>3663</v>
      </c>
      <c r="C874" s="391" t="s">
        <v>8294</v>
      </c>
      <c r="D874" s="391" t="s">
        <v>2232</v>
      </c>
    </row>
    <row r="875" ht="15.75" customHeight="1">
      <c r="B875" s="391" t="s">
        <v>3674</v>
      </c>
      <c r="C875" s="391" t="s">
        <v>8295</v>
      </c>
      <c r="D875" s="391" t="s">
        <v>2166</v>
      </c>
    </row>
    <row r="876" ht="15.75" customHeight="1">
      <c r="B876" s="391" t="s">
        <v>3987</v>
      </c>
      <c r="C876" s="391" t="s">
        <v>8296</v>
      </c>
      <c r="D876" s="391" t="s">
        <v>2166</v>
      </c>
    </row>
    <row r="877" ht="15.75" customHeight="1">
      <c r="B877" s="391" t="s">
        <v>3696</v>
      </c>
      <c r="C877" s="391" t="s">
        <v>8297</v>
      </c>
      <c r="D877" s="391" t="s">
        <v>2166</v>
      </c>
    </row>
    <row r="878" ht="15.75" customHeight="1">
      <c r="B878" s="391" t="s">
        <v>3718</v>
      </c>
      <c r="C878" s="391" t="s">
        <v>8298</v>
      </c>
      <c r="D878" s="391" t="s">
        <v>2166</v>
      </c>
    </row>
    <row r="879" ht="15.75" customHeight="1">
      <c r="B879" s="391" t="s">
        <v>3723</v>
      </c>
      <c r="C879" s="391" t="s">
        <v>8299</v>
      </c>
      <c r="D879" s="391" t="s">
        <v>2195</v>
      </c>
    </row>
    <row r="880" ht="15.75" customHeight="1">
      <c r="B880" s="391" t="s">
        <v>4021</v>
      </c>
      <c r="C880" s="391" t="s">
        <v>8300</v>
      </c>
      <c r="D880" s="391" t="s">
        <v>2232</v>
      </c>
    </row>
    <row r="881" ht="15.75" customHeight="1">
      <c r="B881" s="391" t="s">
        <v>3566</v>
      </c>
      <c r="C881" s="391" t="s">
        <v>8301</v>
      </c>
      <c r="D881" s="391" t="s">
        <v>2232</v>
      </c>
    </row>
    <row r="882" ht="15.75" customHeight="1">
      <c r="B882" s="391" t="s">
        <v>3575</v>
      </c>
      <c r="C882" s="391" t="s">
        <v>8302</v>
      </c>
      <c r="D882" s="391" t="s">
        <v>2166</v>
      </c>
    </row>
    <row r="883" ht="15.75" customHeight="1">
      <c r="B883" s="391" t="s">
        <v>3571</v>
      </c>
      <c r="C883" s="391" t="s">
        <v>8303</v>
      </c>
      <c r="D883" s="391" t="s">
        <v>2195</v>
      </c>
    </row>
    <row r="884" ht="15.75" customHeight="1">
      <c r="B884" s="391" t="s">
        <v>3738</v>
      </c>
      <c r="C884" s="391" t="s">
        <v>8304</v>
      </c>
      <c r="D884" s="391" t="s">
        <v>2195</v>
      </c>
    </row>
    <row r="885" ht="15.75" customHeight="1">
      <c r="B885" s="391" t="s">
        <v>3742</v>
      </c>
      <c r="C885" s="391" t="s">
        <v>8304</v>
      </c>
      <c r="D885" s="391" t="s">
        <v>2195</v>
      </c>
    </row>
    <row r="886" ht="15.75" customHeight="1">
      <c r="B886" s="391" t="s">
        <v>3588</v>
      </c>
      <c r="C886" s="391" t="s">
        <v>8305</v>
      </c>
      <c r="D886" s="391" t="s">
        <v>2195</v>
      </c>
    </row>
    <row r="887" ht="15.75" customHeight="1">
      <c r="B887" s="391" t="s">
        <v>3580</v>
      </c>
      <c r="C887" s="391" t="s">
        <v>8305</v>
      </c>
      <c r="D887" s="391" t="s">
        <v>2232</v>
      </c>
    </row>
    <row r="888" ht="15.75" customHeight="1">
      <c r="B888" s="391" t="s">
        <v>3766</v>
      </c>
      <c r="C888" s="391" t="s">
        <v>8306</v>
      </c>
      <c r="D888" s="391" t="s">
        <v>2195</v>
      </c>
    </row>
    <row r="889" ht="15.75" customHeight="1">
      <c r="B889" s="391" t="s">
        <v>3761</v>
      </c>
      <c r="C889" s="391" t="s">
        <v>8307</v>
      </c>
      <c r="D889" s="391" t="s">
        <v>2166</v>
      </c>
    </row>
    <row r="890" ht="15.75" customHeight="1">
      <c r="B890" s="391" t="s">
        <v>8308</v>
      </c>
      <c r="C890" s="391" t="s">
        <v>8307</v>
      </c>
      <c r="D890" s="391" t="s">
        <v>2195</v>
      </c>
    </row>
    <row r="891" ht="15.75" customHeight="1">
      <c r="B891" s="391" t="s">
        <v>3691</v>
      </c>
      <c r="C891" s="391" t="s">
        <v>8309</v>
      </c>
      <c r="D891" s="391" t="s">
        <v>2166</v>
      </c>
    </row>
    <row r="892" ht="15.75" customHeight="1">
      <c r="B892" s="391" t="s">
        <v>4016</v>
      </c>
      <c r="C892" s="391" t="s">
        <v>8310</v>
      </c>
      <c r="D892" s="391" t="s">
        <v>2166</v>
      </c>
    </row>
    <row r="893" ht="15.75" customHeight="1">
      <c r="B893" s="391" t="s">
        <v>3733</v>
      </c>
      <c r="C893" s="391" t="s">
        <v>8311</v>
      </c>
      <c r="D893" s="391" t="s">
        <v>2195</v>
      </c>
    </row>
    <row r="894" ht="15.75" customHeight="1">
      <c r="B894" s="391" t="s">
        <v>4006</v>
      </c>
      <c r="C894" s="391" t="s">
        <v>8312</v>
      </c>
      <c r="D894" s="391" t="s">
        <v>2195</v>
      </c>
    </row>
    <row r="895" ht="15.75" customHeight="1">
      <c r="B895" s="391" t="s">
        <v>3728</v>
      </c>
      <c r="C895" s="391" t="s">
        <v>8313</v>
      </c>
      <c r="D895" s="391" t="s">
        <v>2195</v>
      </c>
    </row>
    <row r="896" ht="15.75" customHeight="1">
      <c r="B896" s="391" t="s">
        <v>4095</v>
      </c>
      <c r="C896" s="391" t="s">
        <v>8314</v>
      </c>
      <c r="D896" s="391" t="s">
        <v>2232</v>
      </c>
    </row>
    <row r="897" ht="15.75" customHeight="1">
      <c r="B897" s="391" t="s">
        <v>4085</v>
      </c>
      <c r="C897" s="391" t="s">
        <v>8315</v>
      </c>
      <c r="D897" s="391" t="s">
        <v>2232</v>
      </c>
    </row>
    <row r="898" ht="15.75" customHeight="1">
      <c r="B898" s="391" t="s">
        <v>3852</v>
      </c>
      <c r="C898" s="391" t="s">
        <v>8316</v>
      </c>
      <c r="D898" s="391" t="s">
        <v>2232</v>
      </c>
    </row>
    <row r="899" ht="15.75" customHeight="1">
      <c r="B899" s="391" t="s">
        <v>3828</v>
      </c>
      <c r="C899" s="391" t="s">
        <v>8316</v>
      </c>
      <c r="D899" s="391" t="s">
        <v>2195</v>
      </c>
    </row>
    <row r="900" ht="15.75" customHeight="1">
      <c r="B900" s="391" t="s">
        <v>8317</v>
      </c>
      <c r="C900" s="391" t="s">
        <v>8316</v>
      </c>
      <c r="D900" s="391" t="s">
        <v>2195</v>
      </c>
    </row>
    <row r="901" ht="15.75" customHeight="1">
      <c r="B901" s="391" t="s">
        <v>3593</v>
      </c>
      <c r="C901" s="391" t="s">
        <v>8316</v>
      </c>
      <c r="D901" s="391" t="s">
        <v>2195</v>
      </c>
    </row>
    <row r="902" ht="15.75" customHeight="1">
      <c r="B902" s="391" t="s">
        <v>3642</v>
      </c>
      <c r="C902" s="391" t="s">
        <v>8316</v>
      </c>
      <c r="D902" s="391" t="s">
        <v>2232</v>
      </c>
    </row>
    <row r="903" ht="15.75" customHeight="1">
      <c r="B903" s="391" t="s">
        <v>3637</v>
      </c>
      <c r="C903" s="391" t="s">
        <v>8316</v>
      </c>
      <c r="D903" s="391" t="s">
        <v>2232</v>
      </c>
    </row>
    <row r="904" ht="15.75" customHeight="1">
      <c r="B904" s="391" t="s">
        <v>3868</v>
      </c>
      <c r="C904" s="391" t="s">
        <v>8316</v>
      </c>
      <c r="D904" s="391" t="s">
        <v>2195</v>
      </c>
    </row>
    <row r="905" ht="15.75" customHeight="1">
      <c r="B905" s="391" t="s">
        <v>8318</v>
      </c>
      <c r="C905" s="391" t="s">
        <v>8316</v>
      </c>
      <c r="D905" s="391" t="s">
        <v>2195</v>
      </c>
    </row>
    <row r="906" ht="15.75" customHeight="1">
      <c r="B906" s="391" t="s">
        <v>3923</v>
      </c>
      <c r="C906" s="391" t="s">
        <v>8316</v>
      </c>
      <c r="D906" s="391" t="s">
        <v>2195</v>
      </c>
    </row>
    <row r="907" ht="15.75" customHeight="1">
      <c r="B907" s="391" t="s">
        <v>3780</v>
      </c>
      <c r="C907" s="391" t="s">
        <v>8316</v>
      </c>
      <c r="D907" s="391" t="s">
        <v>2232</v>
      </c>
    </row>
    <row r="908" ht="15.75" customHeight="1">
      <c r="B908" s="391" t="s">
        <v>3680</v>
      </c>
      <c r="C908" s="391" t="s">
        <v>8316</v>
      </c>
      <c r="D908" s="391" t="s">
        <v>2195</v>
      </c>
    </row>
    <row r="909" ht="15.75" customHeight="1">
      <c r="B909" s="391" t="s">
        <v>3751</v>
      </c>
      <c r="C909" s="391" t="s">
        <v>8316</v>
      </c>
      <c r="D909" s="391" t="s">
        <v>2195</v>
      </c>
    </row>
    <row r="910" ht="15.75" customHeight="1">
      <c r="B910" s="391" t="s">
        <v>8319</v>
      </c>
      <c r="C910" s="391" t="s">
        <v>8316</v>
      </c>
      <c r="D910" s="391" t="s">
        <v>2195</v>
      </c>
    </row>
    <row r="911" ht="15.75" customHeight="1">
      <c r="B911" s="391" t="s">
        <v>3599</v>
      </c>
      <c r="C911" s="391" t="s">
        <v>8316</v>
      </c>
      <c r="D911" s="391" t="s">
        <v>2166</v>
      </c>
    </row>
    <row r="912" ht="15.75" customHeight="1">
      <c r="B912" s="391" t="s">
        <v>3845</v>
      </c>
      <c r="C912" s="391" t="s">
        <v>8320</v>
      </c>
      <c r="D912" s="391" t="s">
        <v>2195</v>
      </c>
    </row>
    <row r="913" ht="15.75" customHeight="1">
      <c r="B913" s="391" t="s">
        <v>3756</v>
      </c>
      <c r="C913" s="391" t="s">
        <v>8320</v>
      </c>
      <c r="D913" s="391" t="s">
        <v>2166</v>
      </c>
    </row>
    <row r="914" ht="15.75" customHeight="1">
      <c r="B914" s="391">
        <v>27395.0</v>
      </c>
      <c r="C914" s="391" t="s">
        <v>8320</v>
      </c>
      <c r="D914" s="391" t="s">
        <v>2195</v>
      </c>
    </row>
    <row r="915" ht="15.75" customHeight="1">
      <c r="B915" s="391" t="s">
        <v>3850</v>
      </c>
      <c r="C915" s="391" t="s">
        <v>8321</v>
      </c>
      <c r="D915" s="391" t="s">
        <v>2166</v>
      </c>
    </row>
    <row r="916" ht="15.75" customHeight="1">
      <c r="B916" s="391" t="s">
        <v>3668</v>
      </c>
      <c r="C916" s="391" t="s">
        <v>8322</v>
      </c>
      <c r="D916" s="391" t="s">
        <v>2166</v>
      </c>
    </row>
    <row r="917" ht="15.75" customHeight="1">
      <c r="B917" s="391" t="s">
        <v>3781</v>
      </c>
      <c r="C917" s="391" t="s">
        <v>8322</v>
      </c>
      <c r="D917" s="391" t="s">
        <v>2195</v>
      </c>
    </row>
    <row r="918" ht="15.75" customHeight="1">
      <c r="B918" s="391" t="s">
        <v>3685</v>
      </c>
      <c r="C918" s="391" t="s">
        <v>8322</v>
      </c>
      <c r="D918" s="391" t="s">
        <v>2232</v>
      </c>
    </row>
    <row r="919" ht="15.75" customHeight="1">
      <c r="B919" s="391" t="s">
        <v>3785</v>
      </c>
      <c r="C919" s="391" t="s">
        <v>8322</v>
      </c>
      <c r="D919" s="391" t="s">
        <v>2195</v>
      </c>
    </row>
    <row r="920" ht="15.75" customHeight="1">
      <c r="B920" s="391" t="s">
        <v>3787</v>
      </c>
      <c r="C920" s="391" t="s">
        <v>8322</v>
      </c>
      <c r="D920" s="391" t="s">
        <v>2195</v>
      </c>
    </row>
    <row r="921" ht="15.75" customHeight="1">
      <c r="B921" s="391" t="s">
        <v>3746</v>
      </c>
      <c r="C921" s="391" t="s">
        <v>8322</v>
      </c>
      <c r="D921" s="391" t="s">
        <v>2166</v>
      </c>
    </row>
    <row r="922" ht="15.75" customHeight="1">
      <c r="B922" s="391" t="s">
        <v>8323</v>
      </c>
      <c r="C922" s="391" t="s">
        <v>8322</v>
      </c>
      <c r="D922" s="391" t="s">
        <v>2195</v>
      </c>
    </row>
    <row r="923" ht="15.75" customHeight="1">
      <c r="B923" s="391" t="s">
        <v>3791</v>
      </c>
      <c r="C923" s="391" t="s">
        <v>8322</v>
      </c>
      <c r="D923" s="391" t="s">
        <v>2195</v>
      </c>
    </row>
    <row r="924" ht="15.75" customHeight="1">
      <c r="B924" s="391" t="s">
        <v>3712</v>
      </c>
      <c r="C924" s="391" t="s">
        <v>8324</v>
      </c>
      <c r="D924" s="391" t="s">
        <v>2232</v>
      </c>
    </row>
    <row r="925" ht="15.75" customHeight="1">
      <c r="B925" s="391" t="s">
        <v>3928</v>
      </c>
      <c r="C925" s="391" t="s">
        <v>8325</v>
      </c>
      <c r="D925" s="391" t="s">
        <v>2195</v>
      </c>
    </row>
    <row r="926" ht="15.75" customHeight="1">
      <c r="B926" s="391" t="s">
        <v>8326</v>
      </c>
      <c r="C926" s="391" t="s">
        <v>8327</v>
      </c>
      <c r="D926" s="391" t="s">
        <v>2166</v>
      </c>
    </row>
    <row r="927" ht="15.75" customHeight="1">
      <c r="B927" s="391" t="s">
        <v>3877</v>
      </c>
      <c r="C927" s="391" t="s">
        <v>8328</v>
      </c>
      <c r="D927" s="391" t="s">
        <v>2166</v>
      </c>
    </row>
    <row r="928" ht="15.75" customHeight="1">
      <c r="B928" s="391" t="s">
        <v>3882</v>
      </c>
      <c r="C928" s="391" t="s">
        <v>8329</v>
      </c>
      <c r="D928" s="391" t="s">
        <v>2166</v>
      </c>
    </row>
    <row r="929" ht="15.75" customHeight="1">
      <c r="B929" s="391" t="s">
        <v>3863</v>
      </c>
      <c r="C929" s="391" t="s">
        <v>8330</v>
      </c>
      <c r="D929" s="391" t="s">
        <v>2166</v>
      </c>
    </row>
    <row r="930" ht="15.75" customHeight="1">
      <c r="B930" s="391" t="s">
        <v>3889</v>
      </c>
      <c r="C930" s="391" t="s">
        <v>8331</v>
      </c>
      <c r="D930" s="391" t="s">
        <v>2166</v>
      </c>
    </row>
    <row r="931" ht="15.75" customHeight="1">
      <c r="B931" s="391" t="s">
        <v>3898</v>
      </c>
      <c r="C931" s="391" t="s">
        <v>8332</v>
      </c>
      <c r="D931" s="391" t="s">
        <v>2166</v>
      </c>
    </row>
    <row r="932" ht="15.75" customHeight="1">
      <c r="B932" s="391" t="s">
        <v>3873</v>
      </c>
      <c r="C932" s="391" t="s">
        <v>8333</v>
      </c>
      <c r="D932" s="391" t="s">
        <v>2195</v>
      </c>
    </row>
    <row r="933" ht="15.75" customHeight="1">
      <c r="B933" s="391" t="s">
        <v>3915</v>
      </c>
      <c r="C933" s="391" t="s">
        <v>8334</v>
      </c>
      <c r="D933" s="391" t="s">
        <v>2166</v>
      </c>
    </row>
    <row r="934" ht="15.75" customHeight="1">
      <c r="B934" s="391" t="s">
        <v>3894</v>
      </c>
      <c r="C934" s="391" t="s">
        <v>8335</v>
      </c>
      <c r="D934" s="391" t="s">
        <v>2166</v>
      </c>
    </row>
    <row r="935" ht="15.75" customHeight="1">
      <c r="B935" s="391" t="s">
        <v>3912</v>
      </c>
      <c r="C935" s="391" t="s">
        <v>8336</v>
      </c>
      <c r="D935" s="391" t="s">
        <v>2166</v>
      </c>
    </row>
    <row r="936" ht="15.75" customHeight="1">
      <c r="B936" s="391" t="s">
        <v>4056</v>
      </c>
      <c r="C936" s="391" t="s">
        <v>8337</v>
      </c>
      <c r="D936" s="391" t="s">
        <v>2195</v>
      </c>
    </row>
    <row r="937" ht="15.75" customHeight="1">
      <c r="B937" s="391" t="s">
        <v>4065</v>
      </c>
      <c r="C937" s="391" t="s">
        <v>8338</v>
      </c>
      <c r="D937" s="391" t="s">
        <v>2232</v>
      </c>
    </row>
    <row r="938" ht="15.75" customHeight="1">
      <c r="B938" s="391" t="s">
        <v>4081</v>
      </c>
      <c r="C938" s="391" t="s">
        <v>8339</v>
      </c>
      <c r="D938" s="391" t="s">
        <v>2166</v>
      </c>
    </row>
    <row r="939" ht="15.75" customHeight="1">
      <c r="B939" s="391" t="s">
        <v>3823</v>
      </c>
      <c r="C939" s="391" t="s">
        <v>8340</v>
      </c>
      <c r="D939" s="391" t="s">
        <v>2232</v>
      </c>
    </row>
    <row r="940" ht="15.75" customHeight="1">
      <c r="B940" s="391">
        <v>23560.0</v>
      </c>
      <c r="C940" s="391" t="s">
        <v>8341</v>
      </c>
      <c r="D940" s="391" t="s">
        <v>2195</v>
      </c>
    </row>
    <row r="941" ht="15.75" customHeight="1">
      <c r="B941" s="391" t="s">
        <v>3632</v>
      </c>
      <c r="C941" s="391" t="s">
        <v>8342</v>
      </c>
      <c r="D941" s="391" t="s">
        <v>2166</v>
      </c>
    </row>
    <row r="942" ht="15.75" customHeight="1">
      <c r="B942" s="391" t="s">
        <v>8343</v>
      </c>
      <c r="C942" s="391" t="s">
        <v>8342</v>
      </c>
      <c r="D942" s="391" t="s">
        <v>2195</v>
      </c>
    </row>
    <row r="943" ht="15.75" customHeight="1">
      <c r="B943" s="391" t="s">
        <v>3648</v>
      </c>
      <c r="C943" s="391" t="s">
        <v>8342</v>
      </c>
      <c r="D943" s="391" t="s">
        <v>2232</v>
      </c>
    </row>
    <row r="944" ht="15.75" customHeight="1">
      <c r="B944" s="391" t="s">
        <v>4052</v>
      </c>
      <c r="C944" s="391" t="s">
        <v>8344</v>
      </c>
      <c r="D944" s="391" t="s">
        <v>2232</v>
      </c>
    </row>
    <row r="945" ht="15.75" customHeight="1">
      <c r="B945" s="391" t="s">
        <v>8345</v>
      </c>
      <c r="C945" s="391" t="s">
        <v>8344</v>
      </c>
      <c r="D945" s="391" t="s">
        <v>2195</v>
      </c>
    </row>
    <row r="946" ht="15.75" customHeight="1">
      <c r="B946" s="391" t="s">
        <v>3701</v>
      </c>
      <c r="C946" s="391" t="s">
        <v>8344</v>
      </c>
      <c r="D946" s="391" t="s">
        <v>2166</v>
      </c>
    </row>
    <row r="947" ht="15.75" customHeight="1">
      <c r="B947" s="391" t="s">
        <v>3703</v>
      </c>
      <c r="C947" s="391" t="s">
        <v>8344</v>
      </c>
      <c r="D947" s="391" t="s">
        <v>2166</v>
      </c>
    </row>
    <row r="948" ht="15.75" customHeight="1">
      <c r="B948" s="391" t="s">
        <v>8346</v>
      </c>
      <c r="C948" s="391" t="s">
        <v>8347</v>
      </c>
      <c r="D948" s="391" t="s">
        <v>2232</v>
      </c>
    </row>
    <row r="949" ht="15.75" customHeight="1">
      <c r="B949" s="391" t="s">
        <v>3921</v>
      </c>
      <c r="C949" s="391" t="s">
        <v>8348</v>
      </c>
      <c r="D949" s="391" t="s">
        <v>2195</v>
      </c>
    </row>
    <row r="950" ht="15.75" customHeight="1">
      <c r="B950" s="391" t="s">
        <v>4027</v>
      </c>
      <c r="C950" s="391" t="s">
        <v>8349</v>
      </c>
      <c r="D950" s="391" t="s">
        <v>2166</v>
      </c>
    </row>
    <row r="951" ht="15.75" customHeight="1">
      <c r="B951" s="391" t="s">
        <v>3622</v>
      </c>
      <c r="C951" s="391" t="s">
        <v>8350</v>
      </c>
      <c r="D951" s="391" t="s">
        <v>2166</v>
      </c>
    </row>
    <row r="952" ht="15.75" customHeight="1">
      <c r="B952" s="391" t="s">
        <v>3627</v>
      </c>
      <c r="C952" s="391" t="s">
        <v>8351</v>
      </c>
      <c r="D952" s="391" t="s">
        <v>2166</v>
      </c>
    </row>
    <row r="953" ht="15.75" customHeight="1">
      <c r="B953" s="391" t="s">
        <v>3966</v>
      </c>
      <c r="C953" s="391" t="s">
        <v>8352</v>
      </c>
      <c r="D953" s="391" t="s">
        <v>2166</v>
      </c>
    </row>
    <row r="954" ht="15.75" customHeight="1">
      <c r="B954" s="391" t="s">
        <v>3944</v>
      </c>
      <c r="C954" s="391" t="s">
        <v>8353</v>
      </c>
      <c r="D954" s="391" t="s">
        <v>2166</v>
      </c>
    </row>
    <row r="955" ht="15.75" customHeight="1">
      <c r="B955" s="391" t="s">
        <v>3957</v>
      </c>
      <c r="C955" s="391" t="s">
        <v>8354</v>
      </c>
      <c r="D955" s="391" t="s">
        <v>2166</v>
      </c>
    </row>
    <row r="956" ht="15.75" customHeight="1">
      <c r="B956" s="391" t="s">
        <v>3959</v>
      </c>
      <c r="C956" s="391" t="s">
        <v>8355</v>
      </c>
      <c r="D956" s="391" t="s">
        <v>2166</v>
      </c>
    </row>
    <row r="957" ht="15.75" customHeight="1">
      <c r="B957" s="391" t="s">
        <v>3949</v>
      </c>
      <c r="C957" s="391" t="s">
        <v>8356</v>
      </c>
      <c r="D957" s="391" t="s">
        <v>2166</v>
      </c>
    </row>
    <row r="958" ht="15.75" customHeight="1">
      <c r="B958" s="391" t="s">
        <v>4075</v>
      </c>
      <c r="C958" s="391" t="s">
        <v>8357</v>
      </c>
      <c r="D958" s="391" t="s">
        <v>2166</v>
      </c>
    </row>
    <row r="959" ht="15.75" customHeight="1">
      <c r="B959" s="391" t="s">
        <v>3834</v>
      </c>
      <c r="C959" s="391" t="s">
        <v>8358</v>
      </c>
      <c r="D959" s="391" t="s">
        <v>2195</v>
      </c>
    </row>
    <row r="960" ht="15.75" customHeight="1">
      <c r="B960" s="391" t="s">
        <v>3840</v>
      </c>
      <c r="C960" s="391" t="s">
        <v>8359</v>
      </c>
      <c r="D960" s="391" t="s">
        <v>2232</v>
      </c>
    </row>
    <row r="961" ht="15.75" customHeight="1">
      <c r="B961" s="391" t="s">
        <v>3609</v>
      </c>
      <c r="C961" s="391" t="s">
        <v>8360</v>
      </c>
      <c r="D961" s="391" t="s">
        <v>2232</v>
      </c>
    </row>
    <row r="962" ht="15.75" customHeight="1">
      <c r="B962" s="391" t="s">
        <v>3962</v>
      </c>
      <c r="C962" s="391" t="s">
        <v>8361</v>
      </c>
      <c r="D962" s="391" t="s">
        <v>2232</v>
      </c>
    </row>
    <row r="963" ht="15.75" customHeight="1">
      <c r="B963" s="391" t="s">
        <v>3939</v>
      </c>
      <c r="C963" s="391" t="s">
        <v>8362</v>
      </c>
      <c r="D963" s="391" t="s">
        <v>2232</v>
      </c>
    </row>
    <row r="964" ht="15.75" customHeight="1">
      <c r="B964" s="391" t="s">
        <v>3955</v>
      </c>
      <c r="C964" s="391" t="s">
        <v>8363</v>
      </c>
      <c r="D964" s="391" t="s">
        <v>2232</v>
      </c>
    </row>
    <row r="965" ht="15.75" customHeight="1">
      <c r="B965" s="391" t="s">
        <v>4090</v>
      </c>
      <c r="C965" s="391" t="s">
        <v>8364</v>
      </c>
      <c r="D965" s="391" t="s">
        <v>2232</v>
      </c>
    </row>
    <row r="966" ht="15.75" customHeight="1">
      <c r="B966" s="391" t="s">
        <v>3857</v>
      </c>
      <c r="C966" s="391" t="s">
        <v>8365</v>
      </c>
      <c r="D966" s="391" t="s">
        <v>2166</v>
      </c>
    </row>
    <row r="967" ht="15.75" customHeight="1">
      <c r="B967" s="391" t="s">
        <v>3902</v>
      </c>
      <c r="C967" s="391" t="s">
        <v>8366</v>
      </c>
      <c r="D967" s="391" t="s">
        <v>2166</v>
      </c>
    </row>
    <row r="968" ht="15.75" customHeight="1">
      <c r="B968" s="391" t="s">
        <v>3887</v>
      </c>
      <c r="C968" s="391" t="s">
        <v>8367</v>
      </c>
      <c r="D968" s="391" t="s">
        <v>2166</v>
      </c>
    </row>
    <row r="969" ht="15.75" customHeight="1">
      <c r="B969" s="391" t="s">
        <v>3907</v>
      </c>
      <c r="C969" s="391" t="s">
        <v>8368</v>
      </c>
      <c r="D969" s="391" t="s">
        <v>2166</v>
      </c>
    </row>
    <row r="970" ht="15.75" customHeight="1">
      <c r="B970" s="391" t="s">
        <v>3619</v>
      </c>
      <c r="C970" s="391" t="s">
        <v>8369</v>
      </c>
      <c r="D970" s="391" t="s">
        <v>2166</v>
      </c>
    </row>
    <row r="971" ht="15.75" customHeight="1">
      <c r="B971" s="391" t="s">
        <v>3604</v>
      </c>
      <c r="C971" s="391" t="s">
        <v>8370</v>
      </c>
      <c r="D971" s="391" t="s">
        <v>2166</v>
      </c>
    </row>
    <row r="972" ht="15.75" customHeight="1">
      <c r="B972" s="391" t="s">
        <v>3992</v>
      </c>
      <c r="C972" s="391" t="s">
        <v>8371</v>
      </c>
      <c r="D972" s="391" t="s">
        <v>2166</v>
      </c>
    </row>
    <row r="973" ht="15.75" customHeight="1">
      <c r="B973" s="391" t="s">
        <v>3979</v>
      </c>
      <c r="C973" s="391" t="s">
        <v>8372</v>
      </c>
      <c r="D973" s="391" t="s">
        <v>2166</v>
      </c>
    </row>
    <row r="974" ht="15.75" customHeight="1">
      <c r="B974" s="391" t="s">
        <v>4011</v>
      </c>
      <c r="C974" s="391" t="s">
        <v>8373</v>
      </c>
      <c r="D974" s="391" t="s">
        <v>2195</v>
      </c>
    </row>
    <row r="975" ht="15.75" customHeight="1">
      <c r="B975" s="391" t="s">
        <v>7223</v>
      </c>
      <c r="C975" s="391" t="s">
        <v>8374</v>
      </c>
      <c r="D975" s="391" t="s">
        <v>2195</v>
      </c>
    </row>
    <row r="976" ht="15.75" customHeight="1">
      <c r="B976" s="391" t="s">
        <v>7231</v>
      </c>
      <c r="C976" s="391" t="s">
        <v>8374</v>
      </c>
      <c r="D976" s="391" t="s">
        <v>2232</v>
      </c>
    </row>
    <row r="977" ht="15.75" customHeight="1">
      <c r="B977" s="391" t="s">
        <v>8375</v>
      </c>
      <c r="C977" s="391" t="s">
        <v>8374</v>
      </c>
      <c r="D977" s="391" t="s">
        <v>2195</v>
      </c>
    </row>
    <row r="978" ht="15.75" customHeight="1">
      <c r="B978" s="391" t="s">
        <v>8376</v>
      </c>
      <c r="C978" s="391" t="s">
        <v>8374</v>
      </c>
      <c r="D978" s="391" t="s">
        <v>2232</v>
      </c>
    </row>
    <row r="979" ht="15.75" customHeight="1">
      <c r="B979" s="391" t="s">
        <v>8377</v>
      </c>
      <c r="C979" s="391" t="s">
        <v>8378</v>
      </c>
      <c r="D979" s="391" t="s">
        <v>2232</v>
      </c>
    </row>
    <row r="980" ht="15.75" customHeight="1">
      <c r="B980" s="391" t="s">
        <v>8379</v>
      </c>
      <c r="C980" s="391" t="s">
        <v>8380</v>
      </c>
      <c r="D980" s="391" t="s">
        <v>2195</v>
      </c>
    </row>
    <row r="981" ht="15.75" customHeight="1">
      <c r="B981" s="391" t="s">
        <v>6927</v>
      </c>
      <c r="C981" s="391" t="s">
        <v>8381</v>
      </c>
      <c r="D981" s="391" t="s">
        <v>2232</v>
      </c>
    </row>
    <row r="982" ht="15.75" customHeight="1">
      <c r="B982" s="391" t="s">
        <v>7123</v>
      </c>
      <c r="C982" s="391" t="s">
        <v>8382</v>
      </c>
      <c r="D982" s="391" t="s">
        <v>2232</v>
      </c>
    </row>
    <row r="983" ht="15.75" customHeight="1">
      <c r="B983" s="391" t="s">
        <v>8383</v>
      </c>
      <c r="C983" s="391" t="s">
        <v>8384</v>
      </c>
      <c r="D983" s="391" t="s">
        <v>2232</v>
      </c>
    </row>
    <row r="984" ht="15.75" customHeight="1">
      <c r="B984" s="391" t="s">
        <v>7131</v>
      </c>
      <c r="C984" s="391" t="s">
        <v>8385</v>
      </c>
      <c r="D984" s="391" t="s">
        <v>2232</v>
      </c>
    </row>
    <row r="985" ht="15.75" customHeight="1">
      <c r="B985" s="391" t="s">
        <v>7098</v>
      </c>
      <c r="C985" s="391" t="s">
        <v>8386</v>
      </c>
      <c r="D985" s="391" t="s">
        <v>2232</v>
      </c>
    </row>
    <row r="986" ht="15.75" customHeight="1">
      <c r="B986" s="391" t="s">
        <v>8387</v>
      </c>
      <c r="C986" s="391" t="s">
        <v>8388</v>
      </c>
      <c r="D986" s="391" t="s">
        <v>2195</v>
      </c>
    </row>
    <row r="987" ht="15.75" customHeight="1">
      <c r="B987" s="391" t="s">
        <v>7127</v>
      </c>
      <c r="C987" s="391" t="s">
        <v>8389</v>
      </c>
      <c r="D987" s="391" t="s">
        <v>2195</v>
      </c>
    </row>
    <row r="988" ht="15.75" customHeight="1">
      <c r="B988" s="391" t="s">
        <v>6932</v>
      </c>
      <c r="C988" s="391" t="s">
        <v>8389</v>
      </c>
      <c r="D988" s="391" t="s">
        <v>2232</v>
      </c>
    </row>
    <row r="989" ht="15.75" customHeight="1">
      <c r="B989" s="391" t="s">
        <v>6936</v>
      </c>
      <c r="C989" s="391" t="s">
        <v>8389</v>
      </c>
      <c r="D989" s="391" t="s">
        <v>2232</v>
      </c>
    </row>
    <row r="990" ht="15.75" customHeight="1">
      <c r="B990" s="391" t="s">
        <v>8390</v>
      </c>
      <c r="C990" s="391" t="s">
        <v>8389</v>
      </c>
      <c r="D990" s="391" t="s">
        <v>2232</v>
      </c>
    </row>
    <row r="991" ht="15.75" customHeight="1">
      <c r="B991" s="391" t="s">
        <v>8391</v>
      </c>
      <c r="C991" s="391" t="s">
        <v>8389</v>
      </c>
      <c r="D991" s="391" t="s">
        <v>2232</v>
      </c>
    </row>
    <row r="992" ht="15.75" customHeight="1">
      <c r="B992" s="391" t="s">
        <v>6940</v>
      </c>
      <c r="C992" s="391" t="s">
        <v>8389</v>
      </c>
      <c r="D992" s="391" t="s">
        <v>2232</v>
      </c>
    </row>
    <row r="993" ht="15.75" customHeight="1">
      <c r="B993" s="391" t="s">
        <v>6944</v>
      </c>
      <c r="C993" s="391" t="s">
        <v>8389</v>
      </c>
      <c r="D993" s="391" t="s">
        <v>2232</v>
      </c>
    </row>
    <row r="994" ht="15.75" customHeight="1">
      <c r="B994" s="391" t="s">
        <v>7011</v>
      </c>
      <c r="C994" s="391" t="s">
        <v>8389</v>
      </c>
      <c r="D994" s="391" t="s">
        <v>2232</v>
      </c>
    </row>
    <row r="995" ht="15.75" customHeight="1">
      <c r="B995" s="391" t="s">
        <v>7020</v>
      </c>
      <c r="C995" s="391" t="s">
        <v>8389</v>
      </c>
      <c r="D995" s="391" t="s">
        <v>2232</v>
      </c>
    </row>
    <row r="996" ht="15.75" customHeight="1">
      <c r="B996" s="391" t="s">
        <v>7032</v>
      </c>
      <c r="C996" s="391" t="s">
        <v>8389</v>
      </c>
      <c r="D996" s="391" t="s">
        <v>2232</v>
      </c>
    </row>
    <row r="997" ht="15.75" customHeight="1">
      <c r="B997" s="391" t="s">
        <v>8392</v>
      </c>
      <c r="C997" s="391" t="s">
        <v>8389</v>
      </c>
      <c r="D997" s="391" t="s">
        <v>2195</v>
      </c>
    </row>
    <row r="998" ht="15.75" customHeight="1">
      <c r="B998" s="391" t="s">
        <v>8393</v>
      </c>
      <c r="C998" s="391" t="s">
        <v>8389</v>
      </c>
      <c r="D998" s="391" t="s">
        <v>2195</v>
      </c>
    </row>
    <row r="999" ht="15.75" customHeight="1">
      <c r="B999" s="391" t="s">
        <v>6993</v>
      </c>
      <c r="C999" s="391" t="s">
        <v>8389</v>
      </c>
      <c r="D999" s="391" t="s">
        <v>2195</v>
      </c>
    </row>
    <row r="1000" ht="15.75" customHeight="1">
      <c r="B1000" s="391" t="s">
        <v>6989</v>
      </c>
      <c r="C1000" s="391" t="s">
        <v>8389</v>
      </c>
      <c r="D1000" s="391" t="s">
        <v>2166</v>
      </c>
    </row>
    <row r="1001" ht="15.75" customHeight="1">
      <c r="B1001" s="391" t="s">
        <v>8394</v>
      </c>
      <c r="C1001" s="391" t="s">
        <v>8389</v>
      </c>
      <c r="D1001" s="391" t="s">
        <v>2166</v>
      </c>
    </row>
    <row r="1002" ht="15.75" customHeight="1">
      <c r="B1002" s="391" t="s">
        <v>8395</v>
      </c>
      <c r="C1002" s="391" t="s">
        <v>8389</v>
      </c>
      <c r="D1002" s="391" t="s">
        <v>2232</v>
      </c>
    </row>
    <row r="1003" ht="15.75" customHeight="1">
      <c r="B1003" s="391" t="s">
        <v>7094</v>
      </c>
      <c r="C1003" s="391" t="s">
        <v>8389</v>
      </c>
      <c r="D1003" s="391" t="s">
        <v>2195</v>
      </c>
    </row>
    <row r="1004" ht="15.75" customHeight="1">
      <c r="B1004" s="391" t="s">
        <v>8396</v>
      </c>
      <c r="C1004" s="391" t="s">
        <v>8389</v>
      </c>
      <c r="D1004" s="391" t="s">
        <v>2166</v>
      </c>
    </row>
    <row r="1005" ht="15.75" customHeight="1">
      <c r="B1005" s="391" t="s">
        <v>6949</v>
      </c>
      <c r="C1005" s="391" t="s">
        <v>8389</v>
      </c>
      <c r="D1005" s="391" t="s">
        <v>2232</v>
      </c>
    </row>
    <row r="1006" ht="15.75" customHeight="1">
      <c r="B1006" s="391" t="s">
        <v>8397</v>
      </c>
      <c r="C1006" s="391" t="s">
        <v>8389</v>
      </c>
      <c r="D1006" s="391" t="s">
        <v>2195</v>
      </c>
    </row>
    <row r="1007" ht="15.75" customHeight="1">
      <c r="B1007" s="391" t="s">
        <v>6953</v>
      </c>
      <c r="C1007" s="391" t="s">
        <v>8389</v>
      </c>
      <c r="D1007" s="391" t="s">
        <v>2232</v>
      </c>
    </row>
    <row r="1008" ht="15.75" customHeight="1">
      <c r="B1008" s="391" t="s">
        <v>8398</v>
      </c>
      <c r="C1008" s="391" t="s">
        <v>8389</v>
      </c>
      <c r="D1008" s="391" t="s">
        <v>2232</v>
      </c>
    </row>
    <row r="1009" ht="15.75" customHeight="1">
      <c r="B1009" s="391" t="s">
        <v>6957</v>
      </c>
      <c r="C1009" s="391" t="s">
        <v>8389</v>
      </c>
      <c r="D1009" s="391" t="s">
        <v>2195</v>
      </c>
    </row>
    <row r="1010" ht="15.75" customHeight="1">
      <c r="B1010" s="391" t="s">
        <v>8399</v>
      </c>
      <c r="C1010" s="391" t="s">
        <v>8389</v>
      </c>
      <c r="D1010" s="391" t="s">
        <v>2232</v>
      </c>
    </row>
    <row r="1011" ht="15.75" customHeight="1">
      <c r="B1011" s="391" t="s">
        <v>7102</v>
      </c>
      <c r="C1011" s="391" t="s">
        <v>8389</v>
      </c>
      <c r="D1011" s="391" t="s">
        <v>2232</v>
      </c>
    </row>
    <row r="1012" ht="15.75" customHeight="1">
      <c r="B1012" s="391" t="s">
        <v>7080</v>
      </c>
      <c r="C1012" s="391" t="s">
        <v>8389</v>
      </c>
      <c r="D1012" s="391" t="s">
        <v>2232</v>
      </c>
    </row>
    <row r="1013" ht="15.75" customHeight="1">
      <c r="B1013" s="391" t="s">
        <v>7084</v>
      </c>
      <c r="C1013" s="391" t="s">
        <v>8389</v>
      </c>
      <c r="D1013" s="391" t="s">
        <v>2232</v>
      </c>
    </row>
    <row r="1014" ht="15.75" customHeight="1">
      <c r="B1014" s="391" t="s">
        <v>8400</v>
      </c>
      <c r="C1014" s="391" t="s">
        <v>8389</v>
      </c>
      <c r="D1014" s="391" t="s">
        <v>2195</v>
      </c>
    </row>
    <row r="1015" ht="15.75" customHeight="1">
      <c r="B1015" s="391" t="s">
        <v>7058</v>
      </c>
      <c r="C1015" s="391" t="s">
        <v>8389</v>
      </c>
      <c r="D1015" s="391" t="s">
        <v>2232</v>
      </c>
    </row>
    <row r="1016" ht="15.75" customHeight="1">
      <c r="B1016" s="391" t="s">
        <v>7062</v>
      </c>
      <c r="C1016" s="391" t="s">
        <v>8389</v>
      </c>
      <c r="D1016" s="391" t="s">
        <v>2232</v>
      </c>
    </row>
    <row r="1017" ht="15.75" customHeight="1">
      <c r="B1017" s="391" t="s">
        <v>7073</v>
      </c>
      <c r="C1017" s="391" t="s">
        <v>8389</v>
      </c>
      <c r="D1017" s="391" t="s">
        <v>2232</v>
      </c>
    </row>
    <row r="1018" ht="15.75" customHeight="1">
      <c r="B1018" s="391" t="s">
        <v>8401</v>
      </c>
      <c r="C1018" s="391" t="s">
        <v>8389</v>
      </c>
      <c r="D1018" s="391" t="s">
        <v>2232</v>
      </c>
    </row>
    <row r="1019" ht="15.75" customHeight="1">
      <c r="B1019" s="391" t="s">
        <v>7075</v>
      </c>
      <c r="C1019" s="391" t="s">
        <v>8389</v>
      </c>
      <c r="D1019" s="391" t="s">
        <v>2232</v>
      </c>
    </row>
    <row r="1020" ht="15.75" customHeight="1">
      <c r="B1020" s="391" t="s">
        <v>7071</v>
      </c>
      <c r="C1020" s="391" t="s">
        <v>8389</v>
      </c>
      <c r="D1020" s="391" t="s">
        <v>2232</v>
      </c>
    </row>
    <row r="1021" ht="15.75" customHeight="1">
      <c r="B1021" s="391" t="s">
        <v>7067</v>
      </c>
      <c r="C1021" s="391" t="s">
        <v>8389</v>
      </c>
      <c r="D1021" s="391" t="s">
        <v>2232</v>
      </c>
    </row>
    <row r="1022" ht="15.75" customHeight="1">
      <c r="B1022" s="391" t="s">
        <v>6976</v>
      </c>
      <c r="C1022" s="391" t="s">
        <v>8389</v>
      </c>
      <c r="D1022" s="391" t="s">
        <v>2195</v>
      </c>
    </row>
    <row r="1023" ht="15.75" customHeight="1">
      <c r="B1023" s="391" t="s">
        <v>8402</v>
      </c>
      <c r="C1023" s="391" t="s">
        <v>8389</v>
      </c>
      <c r="D1023" s="391" t="s">
        <v>2232</v>
      </c>
    </row>
    <row r="1024" ht="15.75" customHeight="1">
      <c r="B1024" s="391" t="s">
        <v>8403</v>
      </c>
      <c r="C1024" s="391" t="s">
        <v>8389</v>
      </c>
      <c r="D1024" s="391" t="s">
        <v>2232</v>
      </c>
    </row>
    <row r="1025" ht="15.75" customHeight="1">
      <c r="B1025" s="391" t="s">
        <v>6984</v>
      </c>
      <c r="C1025" s="391" t="s">
        <v>8389</v>
      </c>
      <c r="D1025" s="391" t="s">
        <v>2195</v>
      </c>
    </row>
    <row r="1026" ht="15.75" customHeight="1">
      <c r="B1026" s="391" t="s">
        <v>8404</v>
      </c>
      <c r="C1026" s="391" t="s">
        <v>8389</v>
      </c>
      <c r="D1026" s="391" t="s">
        <v>2232</v>
      </c>
    </row>
    <row r="1027" ht="15.75" customHeight="1">
      <c r="B1027" s="391" t="s">
        <v>7006</v>
      </c>
      <c r="C1027" s="391" t="s">
        <v>8389</v>
      </c>
      <c r="D1027" s="391" t="s">
        <v>2232</v>
      </c>
    </row>
    <row r="1028" ht="15.75" customHeight="1">
      <c r="B1028" s="391" t="s">
        <v>8405</v>
      </c>
      <c r="C1028" s="391" t="s">
        <v>8389</v>
      </c>
      <c r="D1028" s="391" t="s">
        <v>2166</v>
      </c>
    </row>
    <row r="1029" ht="15.75" customHeight="1">
      <c r="B1029" s="391" t="s">
        <v>6967</v>
      </c>
      <c r="C1029" s="391" t="s">
        <v>8389</v>
      </c>
      <c r="D1029" s="391" t="s">
        <v>2195</v>
      </c>
    </row>
    <row r="1030" ht="15.75" customHeight="1">
      <c r="B1030" s="391" t="s">
        <v>8406</v>
      </c>
      <c r="C1030" s="391" t="s">
        <v>8389</v>
      </c>
      <c r="D1030" s="391" t="s">
        <v>2232</v>
      </c>
    </row>
    <row r="1031" ht="15.75" customHeight="1">
      <c r="B1031" s="391" t="s">
        <v>8407</v>
      </c>
      <c r="C1031" s="391" t="s">
        <v>8389</v>
      </c>
      <c r="D1031" s="391" t="s">
        <v>2232</v>
      </c>
    </row>
    <row r="1032" ht="15.75" customHeight="1">
      <c r="B1032" s="391" t="s">
        <v>8408</v>
      </c>
      <c r="C1032" s="391" t="s">
        <v>8409</v>
      </c>
      <c r="D1032" s="391" t="s">
        <v>2232</v>
      </c>
    </row>
    <row r="1033" ht="15.75" customHeight="1">
      <c r="B1033" s="391" t="s">
        <v>8410</v>
      </c>
      <c r="C1033" s="391" t="s">
        <v>8411</v>
      </c>
      <c r="D1033" s="391" t="s">
        <v>2232</v>
      </c>
    </row>
    <row r="1034" ht="15.75" customHeight="1">
      <c r="B1034" s="391" t="s">
        <v>8412</v>
      </c>
      <c r="C1034" s="391" t="s">
        <v>8413</v>
      </c>
      <c r="D1034" s="391" t="s">
        <v>2232</v>
      </c>
    </row>
    <row r="1035" ht="15.75" customHeight="1">
      <c r="B1035" s="391" t="s">
        <v>8414</v>
      </c>
      <c r="C1035" s="391" t="s">
        <v>8413</v>
      </c>
      <c r="D1035" s="391" t="s">
        <v>2166</v>
      </c>
    </row>
    <row r="1036" ht="15.75" customHeight="1">
      <c r="B1036" s="391" t="s">
        <v>8415</v>
      </c>
      <c r="C1036" s="391" t="s">
        <v>8413</v>
      </c>
      <c r="D1036" s="391" t="s">
        <v>2232</v>
      </c>
    </row>
    <row r="1037" ht="15.75" customHeight="1">
      <c r="B1037" s="391" t="s">
        <v>8416</v>
      </c>
      <c r="C1037" s="391" t="s">
        <v>8413</v>
      </c>
      <c r="D1037" s="391" t="s">
        <v>2166</v>
      </c>
    </row>
    <row r="1038" ht="15.75" customHeight="1">
      <c r="B1038" s="391" t="s">
        <v>8417</v>
      </c>
      <c r="C1038" s="391" t="s">
        <v>8413</v>
      </c>
      <c r="D1038" s="391" t="s">
        <v>2195</v>
      </c>
    </row>
    <row r="1039" ht="15.75" customHeight="1">
      <c r="B1039" s="391" t="s">
        <v>8418</v>
      </c>
      <c r="C1039" s="391" t="s">
        <v>8413</v>
      </c>
      <c r="D1039" s="391" t="s">
        <v>2166</v>
      </c>
    </row>
    <row r="1040" ht="15.75" customHeight="1">
      <c r="B1040" s="391" t="s">
        <v>8419</v>
      </c>
      <c r="C1040" s="391" t="s">
        <v>8420</v>
      </c>
      <c r="D1040" s="391" t="s">
        <v>2232</v>
      </c>
    </row>
    <row r="1041" ht="15.75" customHeight="1">
      <c r="B1041" s="391" t="s">
        <v>7036</v>
      </c>
      <c r="C1041" s="391" t="s">
        <v>8421</v>
      </c>
      <c r="D1041" s="391" t="s">
        <v>2166</v>
      </c>
    </row>
    <row r="1042" ht="15.75" customHeight="1">
      <c r="B1042" s="391" t="s">
        <v>8422</v>
      </c>
      <c r="C1042" s="391" t="s">
        <v>8423</v>
      </c>
      <c r="D1042" s="391" t="s">
        <v>2232</v>
      </c>
    </row>
    <row r="1043" ht="15.75" customHeight="1">
      <c r="B1043" s="391" t="s">
        <v>7181</v>
      </c>
      <c r="C1043" s="391" t="s">
        <v>8424</v>
      </c>
      <c r="D1043" s="391" t="s">
        <v>2166</v>
      </c>
    </row>
    <row r="1044" ht="15.75" customHeight="1">
      <c r="B1044" s="391" t="s">
        <v>8425</v>
      </c>
      <c r="C1044" s="391" t="s">
        <v>8424</v>
      </c>
      <c r="D1044" s="391" t="s">
        <v>2166</v>
      </c>
    </row>
    <row r="1045" ht="15.75" customHeight="1">
      <c r="B1045" s="391" t="s">
        <v>7191</v>
      </c>
      <c r="C1045" s="391" t="s">
        <v>8424</v>
      </c>
      <c r="D1045" s="391" t="s">
        <v>2166</v>
      </c>
    </row>
    <row r="1046" ht="15.75" customHeight="1">
      <c r="B1046" s="391" t="s">
        <v>8426</v>
      </c>
      <c r="C1046" s="391" t="s">
        <v>8427</v>
      </c>
      <c r="D1046" s="391" t="s">
        <v>2232</v>
      </c>
    </row>
    <row r="1047" ht="15.75" customHeight="1">
      <c r="B1047" s="391" t="s">
        <v>7227</v>
      </c>
      <c r="C1047" s="391" t="s">
        <v>8427</v>
      </c>
      <c r="D1047" s="391" t="s">
        <v>2232</v>
      </c>
    </row>
    <row r="1048" ht="15.75" customHeight="1">
      <c r="B1048" s="391" t="s">
        <v>7235</v>
      </c>
      <c r="C1048" s="391" t="s">
        <v>8427</v>
      </c>
      <c r="D1048" s="391" t="s">
        <v>2166</v>
      </c>
    </row>
    <row r="1049" ht="15.75" customHeight="1">
      <c r="B1049" s="391" t="s">
        <v>8428</v>
      </c>
      <c r="C1049" s="391" t="s">
        <v>8427</v>
      </c>
      <c r="D1049" s="391" t="s">
        <v>2232</v>
      </c>
    </row>
    <row r="1050" ht="15.75" customHeight="1">
      <c r="B1050" s="391" t="s">
        <v>7160</v>
      </c>
      <c r="C1050" s="391" t="s">
        <v>8429</v>
      </c>
      <c r="D1050" s="391" t="s">
        <v>2232</v>
      </c>
    </row>
    <row r="1051" ht="15.75" customHeight="1">
      <c r="B1051" s="391" t="s">
        <v>7164</v>
      </c>
      <c r="C1051" s="391" t="s">
        <v>8429</v>
      </c>
      <c r="D1051" s="391" t="s">
        <v>2232</v>
      </c>
    </row>
    <row r="1052" ht="15.75" customHeight="1">
      <c r="B1052" s="391" t="s">
        <v>7168</v>
      </c>
      <c r="C1052" s="391" t="s">
        <v>8429</v>
      </c>
      <c r="D1052" s="391" t="s">
        <v>2232</v>
      </c>
    </row>
    <row r="1053" ht="15.75" customHeight="1">
      <c r="B1053" s="391" t="s">
        <v>7172</v>
      </c>
      <c r="C1053" s="391" t="s">
        <v>8429</v>
      </c>
      <c r="D1053" s="391" t="s">
        <v>2232</v>
      </c>
    </row>
    <row r="1054" ht="15.75" customHeight="1">
      <c r="B1054" s="391" t="s">
        <v>7176</v>
      </c>
      <c r="C1054" s="391" t="s">
        <v>8429</v>
      </c>
      <c r="D1054" s="391" t="s">
        <v>2166</v>
      </c>
    </row>
    <row r="1055" ht="15.75" customHeight="1">
      <c r="B1055" s="391" t="s">
        <v>8430</v>
      </c>
      <c r="C1055" s="391" t="s">
        <v>8431</v>
      </c>
      <c r="D1055" s="391" t="s">
        <v>2166</v>
      </c>
    </row>
    <row r="1056" ht="15.75" customHeight="1">
      <c r="B1056" s="391" t="s">
        <v>7241</v>
      </c>
      <c r="C1056" s="391" t="s">
        <v>8431</v>
      </c>
      <c r="D1056" s="391" t="s">
        <v>2232</v>
      </c>
    </row>
    <row r="1057" ht="15.75" customHeight="1">
      <c r="B1057" s="391" t="s">
        <v>8432</v>
      </c>
      <c r="C1057" s="391" t="s">
        <v>8431</v>
      </c>
      <c r="D1057" s="391" t="s">
        <v>2166</v>
      </c>
    </row>
    <row r="1058" ht="15.75" customHeight="1">
      <c r="B1058" s="391" t="s">
        <v>7244</v>
      </c>
      <c r="C1058" s="391" t="s">
        <v>8431</v>
      </c>
      <c r="D1058" s="391" t="s">
        <v>2166</v>
      </c>
    </row>
    <row r="1059" ht="15.75" customHeight="1">
      <c r="B1059" s="391" t="s">
        <v>7247</v>
      </c>
      <c r="C1059" s="391" t="s">
        <v>8431</v>
      </c>
      <c r="D1059" s="391" t="s">
        <v>2232</v>
      </c>
    </row>
    <row r="1060" ht="15.75" customHeight="1">
      <c r="B1060" s="391" t="s">
        <v>7250</v>
      </c>
      <c r="C1060" s="391" t="s">
        <v>8431</v>
      </c>
      <c r="D1060" s="391" t="s">
        <v>2166</v>
      </c>
    </row>
    <row r="1061" ht="15.75" customHeight="1">
      <c r="B1061" s="391" t="s">
        <v>7253</v>
      </c>
      <c r="C1061" s="391" t="s">
        <v>8431</v>
      </c>
      <c r="D1061" s="391" t="s">
        <v>2232</v>
      </c>
    </row>
    <row r="1062" ht="15.75" customHeight="1">
      <c r="B1062" s="391" t="s">
        <v>7185</v>
      </c>
      <c r="C1062" s="391" t="s">
        <v>8431</v>
      </c>
      <c r="D1062" s="391" t="s">
        <v>2166</v>
      </c>
    </row>
    <row r="1063" ht="15.75" customHeight="1">
      <c r="B1063" s="391" t="s">
        <v>7192</v>
      </c>
      <c r="C1063" s="391" t="s">
        <v>8431</v>
      </c>
      <c r="D1063" s="391" t="s">
        <v>2195</v>
      </c>
    </row>
    <row r="1064" ht="15.75" customHeight="1">
      <c r="B1064" s="391" t="s">
        <v>8433</v>
      </c>
      <c r="C1064" s="391" t="s">
        <v>8431</v>
      </c>
      <c r="D1064" s="391" t="s">
        <v>2166</v>
      </c>
    </row>
    <row r="1065" ht="15.75" customHeight="1">
      <c r="B1065" s="391" t="s">
        <v>7198</v>
      </c>
      <c r="C1065" s="391" t="s">
        <v>8431</v>
      </c>
      <c r="D1065" s="391" t="s">
        <v>2166</v>
      </c>
    </row>
    <row r="1066" ht="15.75" customHeight="1">
      <c r="B1066" s="391" t="s">
        <v>8434</v>
      </c>
      <c r="C1066" s="391" t="s">
        <v>8431</v>
      </c>
      <c r="D1066" s="391" t="s">
        <v>2166</v>
      </c>
    </row>
    <row r="1067" ht="15.75" customHeight="1">
      <c r="B1067" s="391" t="s">
        <v>7196</v>
      </c>
      <c r="C1067" s="391" t="s">
        <v>8431</v>
      </c>
      <c r="D1067" s="391" t="s">
        <v>2195</v>
      </c>
    </row>
    <row r="1068" ht="15.75" customHeight="1">
      <c r="B1068" s="391" t="s">
        <v>8435</v>
      </c>
      <c r="C1068" s="391" t="s">
        <v>8431</v>
      </c>
      <c r="D1068" s="391" t="s">
        <v>2166</v>
      </c>
    </row>
    <row r="1069" ht="15.75" customHeight="1">
      <c r="B1069" s="391" t="s">
        <v>7202</v>
      </c>
      <c r="C1069" s="391" t="s">
        <v>8431</v>
      </c>
      <c r="D1069" s="391" t="s">
        <v>2166</v>
      </c>
    </row>
    <row r="1070" ht="15.75" customHeight="1">
      <c r="B1070" s="391" t="s">
        <v>7206</v>
      </c>
      <c r="C1070" s="391" t="s">
        <v>8431</v>
      </c>
      <c r="D1070" s="391" t="s">
        <v>2166</v>
      </c>
    </row>
    <row r="1071" ht="15.75" customHeight="1">
      <c r="B1071" s="391" t="s">
        <v>7257</v>
      </c>
      <c r="C1071" s="391" t="s">
        <v>8431</v>
      </c>
      <c r="D1071" s="391" t="s">
        <v>2166</v>
      </c>
    </row>
    <row r="1072" ht="15.75" customHeight="1">
      <c r="B1072" s="391" t="s">
        <v>7260</v>
      </c>
      <c r="C1072" s="391" t="s">
        <v>8431</v>
      </c>
      <c r="D1072" s="391" t="s">
        <v>2166</v>
      </c>
    </row>
    <row r="1073" ht="15.75" customHeight="1">
      <c r="B1073" s="391" t="s">
        <v>7156</v>
      </c>
      <c r="C1073" s="391" t="s">
        <v>8431</v>
      </c>
      <c r="D1073" s="391" t="s">
        <v>2166</v>
      </c>
    </row>
    <row r="1074" ht="15.75" customHeight="1">
      <c r="B1074" s="391" t="s">
        <v>7152</v>
      </c>
      <c r="C1074" s="391" t="s">
        <v>8431</v>
      </c>
      <c r="D1074" s="391" t="s">
        <v>2166</v>
      </c>
    </row>
    <row r="1075" ht="15.75" customHeight="1">
      <c r="B1075" s="391" t="s">
        <v>8436</v>
      </c>
      <c r="C1075" s="391" t="s">
        <v>8431</v>
      </c>
      <c r="D1075" s="391" t="s">
        <v>2166</v>
      </c>
    </row>
    <row r="1076" ht="15.75" customHeight="1">
      <c r="B1076" s="391" t="s">
        <v>8437</v>
      </c>
      <c r="C1076" s="391" t="s">
        <v>8431</v>
      </c>
      <c r="D1076" s="391" t="s">
        <v>2166</v>
      </c>
    </row>
    <row r="1077" ht="15.75" customHeight="1">
      <c r="B1077" s="391" t="s">
        <v>8438</v>
      </c>
      <c r="C1077" s="391" t="s">
        <v>8431</v>
      </c>
      <c r="D1077" s="391" t="s">
        <v>2166</v>
      </c>
    </row>
    <row r="1078" ht="15.75" customHeight="1">
      <c r="B1078" s="391" t="s">
        <v>7135</v>
      </c>
      <c r="C1078" s="391" t="s">
        <v>8431</v>
      </c>
      <c r="D1078" s="391" t="s">
        <v>2232</v>
      </c>
    </row>
    <row r="1079" ht="15.75" customHeight="1">
      <c r="B1079" s="391" t="s">
        <v>7139</v>
      </c>
      <c r="C1079" s="391" t="s">
        <v>8431</v>
      </c>
      <c r="D1079" s="391" t="s">
        <v>2232</v>
      </c>
    </row>
    <row r="1080" ht="15.75" customHeight="1">
      <c r="B1080" s="391" t="s">
        <v>7143</v>
      </c>
      <c r="C1080" s="391" t="s">
        <v>8431</v>
      </c>
      <c r="D1080" s="391" t="s">
        <v>2232</v>
      </c>
    </row>
    <row r="1081" ht="15.75" customHeight="1">
      <c r="B1081" s="391" t="s">
        <v>7147</v>
      </c>
      <c r="C1081" s="391" t="s">
        <v>8431</v>
      </c>
      <c r="D1081" s="391" t="s">
        <v>2232</v>
      </c>
    </row>
    <row r="1082" ht="15.75" customHeight="1">
      <c r="B1082" s="391" t="s">
        <v>7213</v>
      </c>
      <c r="C1082" s="391" t="s">
        <v>8431</v>
      </c>
      <c r="D1082" s="391" t="s">
        <v>2166</v>
      </c>
    </row>
    <row r="1083" ht="15.75" customHeight="1">
      <c r="B1083" s="391" t="s">
        <v>8439</v>
      </c>
      <c r="C1083" s="391" t="s">
        <v>8431</v>
      </c>
      <c r="D1083" s="391" t="s">
        <v>2232</v>
      </c>
    </row>
    <row r="1084" ht="15.75" customHeight="1">
      <c r="B1084" s="391" t="s">
        <v>7217</v>
      </c>
      <c r="C1084" s="391" t="s">
        <v>8431</v>
      </c>
      <c r="D1084" s="391" t="s">
        <v>2232</v>
      </c>
    </row>
    <row r="1085" ht="15.75" customHeight="1">
      <c r="B1085" s="391" t="s">
        <v>7209</v>
      </c>
      <c r="C1085" s="391" t="s">
        <v>8431</v>
      </c>
      <c r="D1085" s="391" t="s">
        <v>2232</v>
      </c>
    </row>
    <row r="1086" ht="15.75" customHeight="1">
      <c r="B1086" s="391" t="s">
        <v>8440</v>
      </c>
      <c r="C1086" s="391" t="s">
        <v>8431</v>
      </c>
      <c r="D1086" s="391" t="s">
        <v>2232</v>
      </c>
    </row>
    <row r="1087" ht="15.75" customHeight="1">
      <c r="B1087" s="391" t="s">
        <v>8441</v>
      </c>
      <c r="C1087" s="391" t="s">
        <v>8431</v>
      </c>
      <c r="D1087" s="391" t="s">
        <v>2232</v>
      </c>
    </row>
    <row r="1088" ht="15.75" customHeight="1">
      <c r="B1088" s="391" t="s">
        <v>8442</v>
      </c>
      <c r="C1088" s="391" t="s">
        <v>8443</v>
      </c>
      <c r="D1088" s="391" t="s">
        <v>2166</v>
      </c>
    </row>
    <row r="1089" ht="15.75" customHeight="1">
      <c r="B1089" s="391" t="s">
        <v>8444</v>
      </c>
      <c r="C1089" s="391" t="s">
        <v>8445</v>
      </c>
      <c r="D1089" s="391" t="s">
        <v>2195</v>
      </c>
    </row>
    <row r="1090" ht="15.75" customHeight="1">
      <c r="B1090" s="391" t="s">
        <v>8446</v>
      </c>
      <c r="C1090" s="391" t="s">
        <v>8447</v>
      </c>
      <c r="D1090" s="391" t="s">
        <v>2195</v>
      </c>
    </row>
    <row r="1091" ht="15.75" customHeight="1">
      <c r="B1091" s="391" t="s">
        <v>8448</v>
      </c>
      <c r="C1091" s="391" t="s">
        <v>8449</v>
      </c>
      <c r="D1091" s="391" t="s">
        <v>2195</v>
      </c>
    </row>
    <row r="1092" ht="15.75" customHeight="1">
      <c r="B1092" s="391" t="s">
        <v>8450</v>
      </c>
      <c r="C1092" s="391" t="s">
        <v>8451</v>
      </c>
      <c r="D1092" s="391" t="s">
        <v>2195</v>
      </c>
    </row>
    <row r="1093" ht="15.75" customHeight="1">
      <c r="B1093" s="391" t="s">
        <v>8452</v>
      </c>
      <c r="C1093" s="391" t="s">
        <v>8453</v>
      </c>
      <c r="D1093" s="391" t="s">
        <v>2232</v>
      </c>
    </row>
    <row r="1094" ht="15.75" customHeight="1">
      <c r="B1094" s="391" t="s">
        <v>8454</v>
      </c>
      <c r="C1094" s="391" t="s">
        <v>8455</v>
      </c>
      <c r="D1094" s="391" t="s">
        <v>2195</v>
      </c>
    </row>
    <row r="1095" ht="15.75" customHeight="1">
      <c r="B1095" s="391" t="s">
        <v>8456</v>
      </c>
      <c r="C1095" s="391" t="s">
        <v>8457</v>
      </c>
      <c r="D1095" s="391" t="s">
        <v>2195</v>
      </c>
    </row>
    <row r="1096" ht="15.75" customHeight="1">
      <c r="B1096" s="391" t="s">
        <v>8458</v>
      </c>
      <c r="C1096" s="391" t="s">
        <v>8459</v>
      </c>
      <c r="D1096" s="391" t="s">
        <v>2195</v>
      </c>
    </row>
    <row r="1097" ht="15.75" customHeight="1">
      <c r="B1097" s="391" t="s">
        <v>8460</v>
      </c>
      <c r="C1097" s="391" t="s">
        <v>8461</v>
      </c>
      <c r="D1097" s="391" t="s">
        <v>2232</v>
      </c>
    </row>
    <row r="1098" ht="15.75" customHeight="1">
      <c r="B1098" s="391" t="s">
        <v>8462</v>
      </c>
      <c r="C1098" s="391" t="s">
        <v>8461</v>
      </c>
      <c r="D1098" s="391" t="s">
        <v>2195</v>
      </c>
    </row>
    <row r="1099" ht="15.75" customHeight="1">
      <c r="B1099" s="391" t="s">
        <v>8463</v>
      </c>
      <c r="C1099" s="391" t="s">
        <v>8461</v>
      </c>
      <c r="D1099" s="391" t="s">
        <v>2232</v>
      </c>
    </row>
    <row r="1100" ht="15.75" customHeight="1">
      <c r="B1100" s="391" t="s">
        <v>8464</v>
      </c>
      <c r="C1100" s="391" t="s">
        <v>8465</v>
      </c>
      <c r="D1100" s="391" t="s">
        <v>2195</v>
      </c>
    </row>
    <row r="1101" ht="15.75" customHeight="1">
      <c r="B1101" s="391" t="s">
        <v>8466</v>
      </c>
      <c r="C1101" s="391" t="s">
        <v>8467</v>
      </c>
      <c r="D1101" s="391" t="s">
        <v>2195</v>
      </c>
    </row>
    <row r="1102" ht="15.75" customHeight="1">
      <c r="B1102" s="391" t="s">
        <v>8468</v>
      </c>
      <c r="C1102" s="391" t="s">
        <v>8467</v>
      </c>
      <c r="D1102" s="391" t="s">
        <v>2232</v>
      </c>
    </row>
    <row r="1103" ht="15.75" customHeight="1">
      <c r="B1103" s="391" t="s">
        <v>8469</v>
      </c>
      <c r="C1103" s="391" t="s">
        <v>8467</v>
      </c>
      <c r="D1103" s="391" t="s">
        <v>2195</v>
      </c>
    </row>
    <row r="1104" ht="15.75" customHeight="1">
      <c r="B1104" s="391" t="s">
        <v>8470</v>
      </c>
      <c r="C1104" s="391" t="s">
        <v>8467</v>
      </c>
      <c r="D1104" s="391" t="s">
        <v>2195</v>
      </c>
    </row>
    <row r="1105" ht="15.75" customHeight="1">
      <c r="B1105" s="391" t="s">
        <v>8471</v>
      </c>
      <c r="C1105" s="391" t="s">
        <v>8472</v>
      </c>
      <c r="D1105" s="391" t="s">
        <v>2195</v>
      </c>
    </row>
    <row r="1106" ht="15.75" customHeight="1">
      <c r="B1106" s="391" t="s">
        <v>8473</v>
      </c>
      <c r="C1106" s="391" t="s">
        <v>8474</v>
      </c>
      <c r="D1106" s="391" t="s">
        <v>2195</v>
      </c>
    </row>
    <row r="1107" ht="15.75" customHeight="1">
      <c r="B1107" s="391" t="s">
        <v>8475</v>
      </c>
      <c r="C1107" s="391" t="s">
        <v>8474</v>
      </c>
      <c r="D1107" s="391" t="s">
        <v>2195</v>
      </c>
    </row>
    <row r="1108" ht="15.75" customHeight="1">
      <c r="B1108" s="391" t="s">
        <v>8476</v>
      </c>
      <c r="C1108" s="391" t="s">
        <v>8474</v>
      </c>
      <c r="D1108" s="391" t="s">
        <v>2195</v>
      </c>
    </row>
    <row r="1109" ht="15.75" customHeight="1">
      <c r="B1109" s="391" t="s">
        <v>8477</v>
      </c>
      <c r="C1109" s="391" t="s">
        <v>8474</v>
      </c>
      <c r="D1109" s="391" t="s">
        <v>2195</v>
      </c>
    </row>
    <row r="1110" ht="15.75" customHeight="1">
      <c r="B1110" s="391" t="s">
        <v>8478</v>
      </c>
      <c r="C1110" s="391" t="s">
        <v>8474</v>
      </c>
      <c r="D1110" s="391" t="s">
        <v>2195</v>
      </c>
    </row>
    <row r="1111" ht="15.75" customHeight="1">
      <c r="B1111" s="391" t="s">
        <v>8479</v>
      </c>
      <c r="C1111" s="391" t="s">
        <v>8474</v>
      </c>
      <c r="D1111" s="391" t="s">
        <v>2195</v>
      </c>
    </row>
    <row r="1112" ht="15.75" customHeight="1">
      <c r="B1112" s="391" t="s">
        <v>8480</v>
      </c>
      <c r="C1112" s="391" t="s">
        <v>8474</v>
      </c>
      <c r="D1112" s="391" t="s">
        <v>2195</v>
      </c>
    </row>
    <row r="1113" ht="15.75" customHeight="1">
      <c r="B1113" s="391" t="s">
        <v>8481</v>
      </c>
      <c r="C1113" s="391" t="s">
        <v>8482</v>
      </c>
      <c r="D1113" s="391" t="s">
        <v>2195</v>
      </c>
    </row>
    <row r="1114" ht="15.75" customHeight="1">
      <c r="B1114" s="391" t="s">
        <v>8483</v>
      </c>
      <c r="C1114" s="391" t="s">
        <v>8484</v>
      </c>
      <c r="D1114" s="391" t="s">
        <v>2195</v>
      </c>
    </row>
    <row r="1115" ht="15.75" customHeight="1">
      <c r="B1115" s="391" t="s">
        <v>8485</v>
      </c>
      <c r="C1115" s="391" t="s">
        <v>8484</v>
      </c>
      <c r="D1115" s="391" t="s">
        <v>2195</v>
      </c>
    </row>
    <row r="1116" ht="15.75" customHeight="1">
      <c r="B1116" s="391" t="s">
        <v>8486</v>
      </c>
      <c r="C1116" s="391" t="s">
        <v>8484</v>
      </c>
      <c r="D1116" s="391" t="s">
        <v>2195</v>
      </c>
    </row>
    <row r="1117" ht="15.75" customHeight="1">
      <c r="B1117" s="391" t="s">
        <v>8487</v>
      </c>
      <c r="C1117" s="391" t="s">
        <v>8488</v>
      </c>
      <c r="D1117" s="391" t="s">
        <v>2195</v>
      </c>
    </row>
    <row r="1118" ht="15.75" customHeight="1">
      <c r="B1118" s="391" t="s">
        <v>2198</v>
      </c>
      <c r="C1118" s="391" t="s">
        <v>8489</v>
      </c>
      <c r="D1118" s="391" t="s">
        <v>2232</v>
      </c>
    </row>
    <row r="1119" ht="15.75" customHeight="1">
      <c r="B1119" s="391" t="s">
        <v>2248</v>
      </c>
      <c r="C1119" s="391" t="s">
        <v>8490</v>
      </c>
      <c r="D1119" s="391" t="s">
        <v>2166</v>
      </c>
    </row>
    <row r="1120" ht="15.75" customHeight="1">
      <c r="B1120" s="391" t="s">
        <v>2252</v>
      </c>
      <c r="C1120" s="391" t="s">
        <v>8490</v>
      </c>
      <c r="D1120" s="391" t="s">
        <v>2166</v>
      </c>
    </row>
    <row r="1121" ht="15.75" customHeight="1">
      <c r="B1121" s="391" t="s">
        <v>8491</v>
      </c>
      <c r="C1121" s="391" t="s">
        <v>8492</v>
      </c>
      <c r="D1121" s="391" t="s">
        <v>2195</v>
      </c>
    </row>
    <row r="1122" ht="15.75" customHeight="1">
      <c r="B1122" s="391" t="s">
        <v>2244</v>
      </c>
      <c r="C1122" s="391" t="s">
        <v>8493</v>
      </c>
      <c r="D1122" s="391" t="s">
        <v>2232</v>
      </c>
    </row>
    <row r="1123" ht="15.75" customHeight="1">
      <c r="B1123" s="391" t="s">
        <v>2345</v>
      </c>
      <c r="C1123" s="391" t="s">
        <v>8494</v>
      </c>
      <c r="D1123" s="391" t="s">
        <v>2232</v>
      </c>
    </row>
    <row r="1124" ht="15.75" customHeight="1">
      <c r="B1124" s="391" t="s">
        <v>2353</v>
      </c>
      <c r="C1124" s="391" t="s">
        <v>8494</v>
      </c>
      <c r="D1124" s="391" t="s">
        <v>2166</v>
      </c>
    </row>
    <row r="1125" ht="15.75" customHeight="1">
      <c r="B1125" s="391" t="s">
        <v>8495</v>
      </c>
      <c r="C1125" s="391" t="s">
        <v>8494</v>
      </c>
      <c r="D1125" s="391" t="s">
        <v>2195</v>
      </c>
    </row>
    <row r="1126" ht="15.75" customHeight="1">
      <c r="B1126" s="391" t="s">
        <v>2428</v>
      </c>
      <c r="C1126" s="391" t="s">
        <v>8494</v>
      </c>
      <c r="D1126" s="391" t="s">
        <v>2166</v>
      </c>
    </row>
    <row r="1127" ht="15.75" customHeight="1">
      <c r="B1127" s="391" t="s">
        <v>2434</v>
      </c>
      <c r="C1127" s="391" t="s">
        <v>8494</v>
      </c>
      <c r="D1127" s="391" t="s">
        <v>2232</v>
      </c>
    </row>
    <row r="1128" ht="15.75" customHeight="1">
      <c r="B1128" s="391" t="s">
        <v>2437</v>
      </c>
      <c r="C1128" s="391" t="s">
        <v>8494</v>
      </c>
      <c r="D1128" s="391" t="s">
        <v>2166</v>
      </c>
    </row>
    <row r="1129" ht="15.75" customHeight="1">
      <c r="B1129" s="391" t="s">
        <v>2456</v>
      </c>
      <c r="C1129" s="391" t="s">
        <v>8494</v>
      </c>
      <c r="D1129" s="391" t="s">
        <v>2232</v>
      </c>
    </row>
    <row r="1130" ht="15.75" customHeight="1">
      <c r="B1130" s="391" t="s">
        <v>8496</v>
      </c>
      <c r="C1130" s="391" t="s">
        <v>8494</v>
      </c>
      <c r="D1130" s="391" t="s">
        <v>2232</v>
      </c>
    </row>
    <row r="1131" ht="15.75" customHeight="1">
      <c r="B1131" s="391" t="s">
        <v>2488</v>
      </c>
      <c r="C1131" s="391" t="s">
        <v>8497</v>
      </c>
      <c r="D1131" s="391" t="s">
        <v>2232</v>
      </c>
    </row>
    <row r="1132" ht="15.75" customHeight="1">
      <c r="B1132" s="391" t="s">
        <v>2492</v>
      </c>
      <c r="C1132" s="391" t="s">
        <v>8497</v>
      </c>
      <c r="D1132" s="391" t="s">
        <v>2166</v>
      </c>
    </row>
    <row r="1133" ht="15.75" customHeight="1">
      <c r="B1133" s="391" t="s">
        <v>8498</v>
      </c>
      <c r="C1133" s="391" t="s">
        <v>8497</v>
      </c>
      <c r="D1133" s="391" t="s">
        <v>2195</v>
      </c>
    </row>
    <row r="1134" ht="15.75" customHeight="1">
      <c r="B1134" s="391" t="s">
        <v>8499</v>
      </c>
      <c r="C1134" s="391" t="s">
        <v>8500</v>
      </c>
      <c r="D1134" s="391" t="s">
        <v>2195</v>
      </c>
    </row>
    <row r="1135" ht="15.75" customHeight="1">
      <c r="B1135" s="391" t="s">
        <v>8501</v>
      </c>
      <c r="C1135" s="391" t="s">
        <v>8500</v>
      </c>
      <c r="D1135" s="391" t="s">
        <v>2232</v>
      </c>
    </row>
    <row r="1136" ht="15.75" customHeight="1">
      <c r="B1136" s="391" t="s">
        <v>8502</v>
      </c>
      <c r="C1136" s="391" t="s">
        <v>8503</v>
      </c>
      <c r="D1136" s="391" t="s">
        <v>2232</v>
      </c>
    </row>
    <row r="1137" ht="15.75" customHeight="1">
      <c r="B1137" s="391" t="s">
        <v>2394</v>
      </c>
      <c r="C1137" s="391" t="s">
        <v>8504</v>
      </c>
      <c r="D1137" s="391" t="s">
        <v>2232</v>
      </c>
    </row>
    <row r="1138" ht="15.75" customHeight="1">
      <c r="B1138" s="391" t="s">
        <v>2392</v>
      </c>
      <c r="C1138" s="391" t="s">
        <v>8505</v>
      </c>
      <c r="D1138" s="391" t="s">
        <v>2195</v>
      </c>
    </row>
    <row r="1139" ht="15.75" customHeight="1">
      <c r="B1139" s="391" t="s">
        <v>2214</v>
      </c>
      <c r="C1139" s="391" t="s">
        <v>8506</v>
      </c>
      <c r="D1139" s="391" t="s">
        <v>2195</v>
      </c>
    </row>
    <row r="1140" ht="15.75" customHeight="1">
      <c r="B1140" s="391" t="s">
        <v>2177</v>
      </c>
      <c r="C1140" s="391" t="s">
        <v>8507</v>
      </c>
      <c r="D1140" s="391" t="s">
        <v>2166</v>
      </c>
    </row>
    <row r="1141" ht="15.75" customHeight="1">
      <c r="B1141" s="391" t="s">
        <v>2173</v>
      </c>
      <c r="C1141" s="391" t="s">
        <v>8507</v>
      </c>
      <c r="D1141" s="391" t="s">
        <v>2166</v>
      </c>
    </row>
    <row r="1142" ht="15.75" customHeight="1">
      <c r="B1142" s="391" t="s">
        <v>2169</v>
      </c>
      <c r="C1142" s="391" t="s">
        <v>8507</v>
      </c>
      <c r="D1142" s="391" t="s">
        <v>2166</v>
      </c>
    </row>
    <row r="1143" ht="15.75" customHeight="1">
      <c r="B1143" s="391" t="s">
        <v>2185</v>
      </c>
      <c r="C1143" s="391" t="s">
        <v>8507</v>
      </c>
      <c r="D1143" s="391" t="s">
        <v>2166</v>
      </c>
    </row>
    <row r="1144" ht="15.75" customHeight="1">
      <c r="B1144" s="391" t="s">
        <v>2181</v>
      </c>
      <c r="C1144" s="391" t="s">
        <v>8507</v>
      </c>
      <c r="D1144" s="391" t="s">
        <v>2166</v>
      </c>
    </row>
    <row r="1145" ht="15.75" customHeight="1">
      <c r="B1145" s="391" t="s">
        <v>8508</v>
      </c>
      <c r="C1145" s="391" t="s">
        <v>8507</v>
      </c>
      <c r="D1145" s="391" t="s">
        <v>2166</v>
      </c>
    </row>
    <row r="1146" ht="15.75" customHeight="1">
      <c r="B1146" s="391" t="s">
        <v>8509</v>
      </c>
      <c r="C1146" s="391" t="s">
        <v>8507</v>
      </c>
      <c r="D1146" s="391" t="s">
        <v>2166</v>
      </c>
    </row>
    <row r="1147" ht="15.75" customHeight="1">
      <c r="B1147" s="391" t="s">
        <v>8510</v>
      </c>
      <c r="C1147" s="391" t="s">
        <v>8507</v>
      </c>
      <c r="D1147" s="391" t="s">
        <v>2232</v>
      </c>
    </row>
    <row r="1148" ht="15.75" customHeight="1">
      <c r="B1148" s="391" t="s">
        <v>8511</v>
      </c>
      <c r="C1148" s="391" t="s">
        <v>8507</v>
      </c>
      <c r="D1148" s="391" t="s">
        <v>2195</v>
      </c>
    </row>
    <row r="1149" ht="15.75" customHeight="1">
      <c r="B1149" s="391" t="s">
        <v>2206</v>
      </c>
      <c r="C1149" s="391" t="s">
        <v>8507</v>
      </c>
      <c r="D1149" s="391" t="s">
        <v>2166</v>
      </c>
    </row>
    <row r="1150" ht="15.75" customHeight="1">
      <c r="B1150" s="391" t="s">
        <v>2164</v>
      </c>
      <c r="C1150" s="391" t="s">
        <v>8507</v>
      </c>
      <c r="D1150" s="391" t="s">
        <v>2166</v>
      </c>
    </row>
    <row r="1151" ht="15.75" customHeight="1">
      <c r="B1151" s="391" t="s">
        <v>8512</v>
      </c>
      <c r="C1151" s="391" t="s">
        <v>8507</v>
      </c>
      <c r="D1151" s="391" t="s">
        <v>2195</v>
      </c>
    </row>
    <row r="1152" ht="15.75" customHeight="1">
      <c r="B1152" s="391" t="s">
        <v>8513</v>
      </c>
      <c r="C1152" s="391" t="s">
        <v>8514</v>
      </c>
      <c r="D1152" s="391" t="s">
        <v>2166</v>
      </c>
    </row>
    <row r="1153" ht="15.75" customHeight="1">
      <c r="B1153" s="391" t="s">
        <v>2230</v>
      </c>
      <c r="C1153" s="391" t="s">
        <v>8515</v>
      </c>
      <c r="D1153" s="391" t="s">
        <v>2232</v>
      </c>
    </row>
    <row r="1154" ht="15.75" customHeight="1">
      <c r="B1154" s="391" t="s">
        <v>2383</v>
      </c>
      <c r="C1154" s="391" t="s">
        <v>8516</v>
      </c>
      <c r="D1154" s="391" t="s">
        <v>2195</v>
      </c>
    </row>
    <row r="1155" ht="15.75" customHeight="1">
      <c r="B1155" s="391" t="s">
        <v>2414</v>
      </c>
      <c r="C1155" s="391" t="s">
        <v>8517</v>
      </c>
      <c r="D1155" s="391" t="s">
        <v>2195</v>
      </c>
    </row>
    <row r="1156" ht="15.75" customHeight="1">
      <c r="B1156" s="391" t="s">
        <v>2416</v>
      </c>
      <c r="C1156" s="391" t="s">
        <v>8517</v>
      </c>
      <c r="D1156" s="391" t="s">
        <v>2232</v>
      </c>
    </row>
    <row r="1157" ht="15.75" customHeight="1">
      <c r="B1157" s="391" t="s">
        <v>2418</v>
      </c>
      <c r="C1157" s="391" t="s">
        <v>8517</v>
      </c>
      <c r="D1157" s="391" t="s">
        <v>2195</v>
      </c>
    </row>
    <row r="1158" ht="15.75" customHeight="1">
      <c r="B1158" s="391" t="s">
        <v>2420</v>
      </c>
      <c r="C1158" s="391" t="s">
        <v>8517</v>
      </c>
      <c r="D1158" s="391" t="s">
        <v>2195</v>
      </c>
    </row>
    <row r="1159" ht="15.75" customHeight="1">
      <c r="B1159" s="391" t="s">
        <v>8518</v>
      </c>
      <c r="C1159" s="391" t="s">
        <v>8517</v>
      </c>
      <c r="D1159" s="391" t="s">
        <v>2232</v>
      </c>
    </row>
    <row r="1160" ht="15.75" customHeight="1">
      <c r="B1160" s="391" t="s">
        <v>8519</v>
      </c>
      <c r="C1160" s="391" t="s">
        <v>8520</v>
      </c>
      <c r="D1160" s="391" t="s">
        <v>2232</v>
      </c>
    </row>
    <row r="1161" ht="15.75" customHeight="1">
      <c r="B1161" s="391" t="s">
        <v>2202</v>
      </c>
      <c r="C1161" s="391" t="s">
        <v>8521</v>
      </c>
      <c r="D1161" s="391" t="s">
        <v>2232</v>
      </c>
    </row>
    <row r="1162" ht="15.75" customHeight="1">
      <c r="B1162" s="391" t="s">
        <v>8522</v>
      </c>
      <c r="C1162" s="391" t="s">
        <v>8523</v>
      </c>
      <c r="D1162" s="391" t="s">
        <v>2232</v>
      </c>
    </row>
    <row r="1163" ht="15.75" customHeight="1">
      <c r="B1163" s="391" t="s">
        <v>8524</v>
      </c>
      <c r="C1163" s="391" t="s">
        <v>8523</v>
      </c>
      <c r="D1163" s="391" t="s">
        <v>2232</v>
      </c>
    </row>
    <row r="1164" ht="15.75" customHeight="1">
      <c r="B1164" s="391" t="s">
        <v>8525</v>
      </c>
      <c r="C1164" s="391" t="s">
        <v>8523</v>
      </c>
      <c r="D1164" s="391" t="s">
        <v>2166</v>
      </c>
    </row>
    <row r="1165" ht="15.75" customHeight="1">
      <c r="B1165" s="391" t="s">
        <v>8526</v>
      </c>
      <c r="C1165" s="391" t="s">
        <v>8527</v>
      </c>
      <c r="D1165" s="391" t="s">
        <v>2195</v>
      </c>
    </row>
    <row r="1166" ht="15.75" customHeight="1">
      <c r="B1166" s="391" t="s">
        <v>5023</v>
      </c>
      <c r="C1166" s="391" t="s">
        <v>8527</v>
      </c>
      <c r="D1166" s="391" t="s">
        <v>2195</v>
      </c>
    </row>
    <row r="1167" ht="15.75" customHeight="1">
      <c r="B1167" s="391" t="s">
        <v>5027</v>
      </c>
      <c r="C1167" s="391" t="s">
        <v>8527</v>
      </c>
      <c r="D1167" s="391" t="s">
        <v>2166</v>
      </c>
    </row>
    <row r="1168" ht="15.75" customHeight="1">
      <c r="B1168" s="391" t="s">
        <v>8528</v>
      </c>
      <c r="C1168" s="391" t="s">
        <v>8529</v>
      </c>
      <c r="D1168" s="391" t="s">
        <v>2166</v>
      </c>
    </row>
    <row r="1169" ht="15.75" customHeight="1">
      <c r="B1169" s="391" t="s">
        <v>5029</v>
      </c>
      <c r="C1169" s="391" t="s">
        <v>8530</v>
      </c>
      <c r="D1169" s="391" t="s">
        <v>2232</v>
      </c>
    </row>
    <row r="1170" ht="15.75" customHeight="1">
      <c r="B1170" s="391" t="s">
        <v>5039</v>
      </c>
      <c r="C1170" s="391" t="s">
        <v>8530</v>
      </c>
      <c r="D1170" s="391" t="s">
        <v>2166</v>
      </c>
    </row>
    <row r="1171" ht="15.75" customHeight="1">
      <c r="B1171" s="391" t="s">
        <v>5037</v>
      </c>
      <c r="C1171" s="391" t="s">
        <v>8530</v>
      </c>
      <c r="D1171" s="391" t="s">
        <v>2166</v>
      </c>
    </row>
    <row r="1172" ht="15.75" customHeight="1">
      <c r="B1172" s="391" t="s">
        <v>5049</v>
      </c>
      <c r="C1172" s="391" t="s">
        <v>8530</v>
      </c>
      <c r="D1172" s="391" t="s">
        <v>2195</v>
      </c>
    </row>
    <row r="1173" ht="15.75" customHeight="1">
      <c r="B1173" s="391" t="s">
        <v>5079</v>
      </c>
      <c r="C1173" s="391" t="s">
        <v>8531</v>
      </c>
      <c r="D1173" s="391" t="s">
        <v>2232</v>
      </c>
    </row>
    <row r="1174" ht="15.75" customHeight="1">
      <c r="B1174" s="391" t="s">
        <v>5033</v>
      </c>
      <c r="C1174" s="391" t="s">
        <v>8532</v>
      </c>
      <c r="D1174" s="391" t="s">
        <v>2166</v>
      </c>
    </row>
    <row r="1175" ht="15.75" customHeight="1">
      <c r="B1175" s="391" t="s">
        <v>5087</v>
      </c>
      <c r="C1175" s="391" t="s">
        <v>8532</v>
      </c>
      <c r="D1175" s="391" t="s">
        <v>2232</v>
      </c>
    </row>
    <row r="1176" ht="15.75" customHeight="1">
      <c r="B1176" s="391" t="s">
        <v>5089</v>
      </c>
      <c r="C1176" s="391" t="s">
        <v>8532</v>
      </c>
      <c r="D1176" s="391" t="s">
        <v>2166</v>
      </c>
    </row>
    <row r="1177" ht="15.75" customHeight="1">
      <c r="B1177" s="391" t="s">
        <v>5055</v>
      </c>
      <c r="C1177" s="391" t="s">
        <v>8533</v>
      </c>
      <c r="D1177" s="391" t="s">
        <v>2166</v>
      </c>
    </row>
    <row r="1178" ht="15.75" customHeight="1">
      <c r="B1178" s="391" t="s">
        <v>5096</v>
      </c>
      <c r="C1178" s="391" t="s">
        <v>8534</v>
      </c>
      <c r="D1178" s="391" t="s">
        <v>2166</v>
      </c>
    </row>
    <row r="1179" ht="15.75" customHeight="1">
      <c r="B1179" s="391" t="s">
        <v>5066</v>
      </c>
      <c r="C1179" s="391" t="s">
        <v>8535</v>
      </c>
      <c r="D1179" s="391" t="s">
        <v>2166</v>
      </c>
    </row>
    <row r="1180" ht="15.75" customHeight="1">
      <c r="B1180" s="391" t="s">
        <v>5070</v>
      </c>
      <c r="C1180" s="391" t="s">
        <v>8536</v>
      </c>
      <c r="D1180" s="391" t="s">
        <v>2166</v>
      </c>
    </row>
    <row r="1181" ht="15.75" customHeight="1">
      <c r="B1181" s="391" t="s">
        <v>5191</v>
      </c>
      <c r="C1181" s="391" t="s">
        <v>8537</v>
      </c>
      <c r="D1181" s="391" t="s">
        <v>2166</v>
      </c>
    </row>
    <row r="1182" ht="15.75" customHeight="1">
      <c r="B1182" s="391" t="s">
        <v>8538</v>
      </c>
      <c r="C1182" s="391" t="s">
        <v>8539</v>
      </c>
      <c r="D1182" s="391" t="s">
        <v>2195</v>
      </c>
    </row>
    <row r="1183" ht="15.75" customHeight="1">
      <c r="B1183" s="391" t="s">
        <v>5175</v>
      </c>
      <c r="C1183" s="391" t="s">
        <v>8540</v>
      </c>
      <c r="D1183" s="391" t="s">
        <v>2166</v>
      </c>
    </row>
    <row r="1184" ht="15.75" customHeight="1">
      <c r="B1184" s="391" t="s">
        <v>5183</v>
      </c>
      <c r="C1184" s="391" t="s">
        <v>8541</v>
      </c>
      <c r="D1184" s="391" t="s">
        <v>2166</v>
      </c>
    </row>
    <row r="1185" ht="15.75" customHeight="1">
      <c r="B1185" s="391" t="s">
        <v>5187</v>
      </c>
      <c r="C1185" s="391" t="s">
        <v>8542</v>
      </c>
      <c r="D1185" s="391" t="s">
        <v>2166</v>
      </c>
    </row>
    <row r="1186" ht="15.75" customHeight="1">
      <c r="B1186" s="391" t="s">
        <v>5179</v>
      </c>
      <c r="C1186" s="391" t="s">
        <v>8543</v>
      </c>
      <c r="D1186" s="391" t="s">
        <v>2166</v>
      </c>
    </row>
    <row r="1187" ht="15.75" customHeight="1">
      <c r="B1187" s="391" t="s">
        <v>5171</v>
      </c>
      <c r="C1187" s="391" t="s">
        <v>8544</v>
      </c>
      <c r="D1187" s="391" t="s">
        <v>2166</v>
      </c>
    </row>
    <row r="1188" ht="15.75" customHeight="1">
      <c r="B1188" s="391" t="s">
        <v>5236</v>
      </c>
      <c r="C1188" s="391" t="s">
        <v>8545</v>
      </c>
      <c r="D1188" s="391" t="s">
        <v>2166</v>
      </c>
    </row>
    <row r="1189" ht="15.75" customHeight="1">
      <c r="B1189" s="391" t="s">
        <v>5441</v>
      </c>
      <c r="C1189" s="391" t="s">
        <v>8546</v>
      </c>
      <c r="D1189" s="391" t="s">
        <v>2232</v>
      </c>
    </row>
    <row r="1190" ht="15.75" customHeight="1">
      <c r="B1190" s="391" t="s">
        <v>5445</v>
      </c>
      <c r="C1190" s="391" t="s">
        <v>8546</v>
      </c>
      <c r="D1190" s="391" t="s">
        <v>2232</v>
      </c>
    </row>
    <row r="1191" ht="15.75" customHeight="1">
      <c r="B1191" s="391" t="s">
        <v>4763</v>
      </c>
      <c r="C1191" s="391" t="s">
        <v>8547</v>
      </c>
      <c r="D1191" s="391" t="s">
        <v>2232</v>
      </c>
    </row>
    <row r="1192" ht="15.75" customHeight="1">
      <c r="B1192" s="391" t="s">
        <v>4863</v>
      </c>
      <c r="C1192" s="391" t="s">
        <v>8548</v>
      </c>
      <c r="D1192" s="391" t="s">
        <v>2166</v>
      </c>
    </row>
    <row r="1193" ht="15.75" customHeight="1">
      <c r="B1193" s="391" t="s">
        <v>4771</v>
      </c>
      <c r="C1193" s="391" t="s">
        <v>8549</v>
      </c>
      <c r="D1193" s="391" t="s">
        <v>2232</v>
      </c>
    </row>
    <row r="1194" ht="15.75" customHeight="1">
      <c r="B1194" s="391" t="s">
        <v>6123</v>
      </c>
      <c r="C1194" s="391" t="s">
        <v>8550</v>
      </c>
      <c r="D1194" s="391" t="s">
        <v>2166</v>
      </c>
    </row>
    <row r="1195" ht="15.75" customHeight="1">
      <c r="B1195" s="391" t="s">
        <v>6127</v>
      </c>
      <c r="C1195" s="391" t="s">
        <v>8551</v>
      </c>
      <c r="D1195" s="391" t="s">
        <v>2166</v>
      </c>
    </row>
    <row r="1196" ht="15.75" customHeight="1">
      <c r="B1196" s="391" t="s">
        <v>8552</v>
      </c>
      <c r="C1196" s="391" t="s">
        <v>8553</v>
      </c>
      <c r="D1196" s="391" t="s">
        <v>2166</v>
      </c>
    </row>
    <row r="1197" ht="15.75" customHeight="1">
      <c r="B1197" s="391" t="s">
        <v>8554</v>
      </c>
      <c r="C1197" s="391" t="s">
        <v>8553</v>
      </c>
      <c r="D1197" s="391" t="s">
        <v>2166</v>
      </c>
    </row>
    <row r="1198" ht="15.75" customHeight="1">
      <c r="B1198" s="391" t="s">
        <v>8555</v>
      </c>
      <c r="C1198" s="391" t="s">
        <v>8553</v>
      </c>
      <c r="D1198" s="391" t="s">
        <v>2195</v>
      </c>
    </row>
    <row r="1199" ht="15.75" customHeight="1">
      <c r="B1199" s="391" t="s">
        <v>5318</v>
      </c>
      <c r="C1199" s="391" t="s">
        <v>8556</v>
      </c>
      <c r="D1199" s="391" t="s">
        <v>2166</v>
      </c>
    </row>
    <row r="1200" ht="15.75" customHeight="1">
      <c r="B1200" s="391" t="s">
        <v>5308</v>
      </c>
      <c r="C1200" s="391" t="s">
        <v>8556</v>
      </c>
      <c r="D1200" s="391" t="s">
        <v>2166</v>
      </c>
    </row>
    <row r="1201" ht="15.75" customHeight="1">
      <c r="B1201" s="391" t="s">
        <v>4755</v>
      </c>
      <c r="C1201" s="391" t="s">
        <v>8556</v>
      </c>
      <c r="D1201" s="391" t="s">
        <v>2166</v>
      </c>
    </row>
    <row r="1202" ht="15.75" customHeight="1">
      <c r="B1202" s="391" t="s">
        <v>4759</v>
      </c>
      <c r="C1202" s="391" t="s">
        <v>8556</v>
      </c>
      <c r="D1202" s="391" t="s">
        <v>2166</v>
      </c>
    </row>
    <row r="1203" ht="15.75" customHeight="1">
      <c r="B1203" s="391" t="s">
        <v>4867</v>
      </c>
      <c r="C1203" s="391" t="s">
        <v>8556</v>
      </c>
      <c r="D1203" s="391" t="s">
        <v>2166</v>
      </c>
    </row>
    <row r="1204" ht="15.75" customHeight="1">
      <c r="B1204" s="391" t="s">
        <v>5045</v>
      </c>
      <c r="C1204" s="391" t="s">
        <v>8556</v>
      </c>
      <c r="D1204" s="391" t="s">
        <v>2166</v>
      </c>
    </row>
    <row r="1205" ht="15.75" customHeight="1">
      <c r="B1205" s="391" t="s">
        <v>5091</v>
      </c>
      <c r="C1205" s="391" t="s">
        <v>8556</v>
      </c>
      <c r="D1205" s="391" t="s">
        <v>2166</v>
      </c>
    </row>
    <row r="1206" ht="15.75" customHeight="1">
      <c r="B1206" s="391" t="s">
        <v>5053</v>
      </c>
      <c r="C1206" s="391" t="s">
        <v>8556</v>
      </c>
      <c r="D1206" s="391" t="s">
        <v>2166</v>
      </c>
    </row>
    <row r="1207" ht="15.75" customHeight="1">
      <c r="B1207" s="391" t="s">
        <v>5100</v>
      </c>
      <c r="C1207" s="391" t="s">
        <v>8556</v>
      </c>
      <c r="D1207" s="391" t="s">
        <v>2166</v>
      </c>
    </row>
    <row r="1208" ht="15.75" customHeight="1">
      <c r="B1208" s="391" t="s">
        <v>5074</v>
      </c>
      <c r="C1208" s="391" t="s">
        <v>8556</v>
      </c>
      <c r="D1208" s="391" t="s">
        <v>2166</v>
      </c>
    </row>
    <row r="1209" ht="15.75" customHeight="1">
      <c r="B1209" s="391" t="s">
        <v>5340</v>
      </c>
      <c r="C1209" s="391" t="s">
        <v>8556</v>
      </c>
      <c r="D1209" s="391" t="s">
        <v>2166</v>
      </c>
    </row>
    <row r="1210" ht="15.75" customHeight="1">
      <c r="B1210" s="391" t="s">
        <v>5344</v>
      </c>
      <c r="C1210" s="391" t="s">
        <v>8556</v>
      </c>
      <c r="D1210" s="391" t="s">
        <v>2166</v>
      </c>
    </row>
    <row r="1211" ht="15.75" customHeight="1">
      <c r="B1211" s="391" t="s">
        <v>5202</v>
      </c>
      <c r="C1211" s="391" t="s">
        <v>8557</v>
      </c>
      <c r="D1211" s="391" t="s">
        <v>2195</v>
      </c>
    </row>
    <row r="1212" ht="15.75" customHeight="1">
      <c r="B1212" s="391" t="s">
        <v>5209</v>
      </c>
      <c r="C1212" s="391" t="s">
        <v>8557</v>
      </c>
      <c r="D1212" s="391" t="s">
        <v>2166</v>
      </c>
    </row>
    <row r="1213" ht="15.75" customHeight="1">
      <c r="B1213" s="391" t="s">
        <v>5228</v>
      </c>
      <c r="C1213" s="391" t="s">
        <v>8557</v>
      </c>
      <c r="D1213" s="391" t="s">
        <v>2166</v>
      </c>
    </row>
    <row r="1214" ht="15.75" customHeight="1">
      <c r="B1214" s="391" t="s">
        <v>5232</v>
      </c>
      <c r="C1214" s="391" t="s">
        <v>8558</v>
      </c>
      <c r="D1214" s="391" t="s">
        <v>2166</v>
      </c>
    </row>
    <row r="1215" ht="15.75" customHeight="1">
      <c r="B1215" s="391" t="s">
        <v>5206</v>
      </c>
      <c r="C1215" s="391" t="s">
        <v>8559</v>
      </c>
      <c r="D1215" s="391" t="s">
        <v>2166</v>
      </c>
    </row>
    <row r="1216" ht="15.75" customHeight="1">
      <c r="B1216" s="391" t="s">
        <v>5210</v>
      </c>
      <c r="C1216" s="391" t="s">
        <v>8559</v>
      </c>
      <c r="D1216" s="391" t="s">
        <v>2166</v>
      </c>
    </row>
    <row r="1217" ht="15.75" customHeight="1">
      <c r="B1217" s="391" t="s">
        <v>5297</v>
      </c>
      <c r="C1217" s="391" t="s">
        <v>8560</v>
      </c>
      <c r="D1217" s="391" t="s">
        <v>2166</v>
      </c>
    </row>
    <row r="1218" ht="15.75" customHeight="1">
      <c r="B1218" s="391" t="s">
        <v>5287</v>
      </c>
      <c r="C1218" s="391" t="s">
        <v>8560</v>
      </c>
      <c r="D1218" s="391" t="s">
        <v>2166</v>
      </c>
    </row>
    <row r="1219" ht="15.75" customHeight="1">
      <c r="B1219" s="391" t="s">
        <v>5289</v>
      </c>
      <c r="C1219" s="391" t="s">
        <v>8560</v>
      </c>
      <c r="D1219" s="391" t="s">
        <v>2166</v>
      </c>
    </row>
    <row r="1220" ht="15.75" customHeight="1">
      <c r="B1220" s="391" t="s">
        <v>5301</v>
      </c>
      <c r="C1220" s="391" t="s">
        <v>8560</v>
      </c>
      <c r="D1220" s="391" t="s">
        <v>2195</v>
      </c>
    </row>
    <row r="1221" ht="15.75" customHeight="1">
      <c r="B1221" s="391" t="s">
        <v>5291</v>
      </c>
      <c r="C1221" s="391" t="s">
        <v>8560</v>
      </c>
      <c r="D1221" s="391" t="s">
        <v>2166</v>
      </c>
    </row>
    <row r="1222" ht="15.75" customHeight="1">
      <c r="B1222" s="391" t="s">
        <v>5314</v>
      </c>
      <c r="C1222" s="391" t="s">
        <v>8561</v>
      </c>
      <c r="D1222" s="391" t="s">
        <v>2166</v>
      </c>
    </row>
    <row r="1223" ht="15.75" customHeight="1">
      <c r="B1223" s="391" t="s">
        <v>5312</v>
      </c>
      <c r="C1223" s="391" t="s">
        <v>8561</v>
      </c>
      <c r="D1223" s="391" t="s">
        <v>2166</v>
      </c>
    </row>
    <row r="1224" ht="15.75" customHeight="1">
      <c r="B1224" s="391" t="s">
        <v>5304</v>
      </c>
      <c r="C1224" s="391" t="s">
        <v>8561</v>
      </c>
      <c r="D1224" s="391" t="s">
        <v>2166</v>
      </c>
    </row>
    <row r="1225" ht="15.75" customHeight="1">
      <c r="B1225" s="391" t="s">
        <v>5295</v>
      </c>
      <c r="C1225" s="391" t="s">
        <v>8561</v>
      </c>
      <c r="D1225" s="391" t="s">
        <v>2166</v>
      </c>
    </row>
    <row r="1226" ht="15.75" customHeight="1">
      <c r="B1226" s="391" t="s">
        <v>5372</v>
      </c>
      <c r="C1226" s="391" t="s">
        <v>8562</v>
      </c>
      <c r="D1226" s="391" t="s">
        <v>2166</v>
      </c>
    </row>
    <row r="1227" ht="15.75" customHeight="1">
      <c r="B1227" s="391" t="s">
        <v>5376</v>
      </c>
      <c r="C1227" s="391" t="s">
        <v>8562</v>
      </c>
      <c r="D1227" s="391" t="s">
        <v>2166</v>
      </c>
    </row>
    <row r="1228" ht="15.75" customHeight="1">
      <c r="B1228" s="391" t="s">
        <v>5388</v>
      </c>
      <c r="C1228" s="391" t="s">
        <v>8563</v>
      </c>
      <c r="D1228" s="391" t="s">
        <v>2166</v>
      </c>
    </row>
    <row r="1229" ht="15.75" customHeight="1">
      <c r="B1229" s="391" t="s">
        <v>5323</v>
      </c>
      <c r="C1229" s="391" t="s">
        <v>8564</v>
      </c>
      <c r="D1229" s="391" t="s">
        <v>2195</v>
      </c>
    </row>
    <row r="1230" ht="15.75" customHeight="1">
      <c r="B1230" s="391" t="s">
        <v>5336</v>
      </c>
      <c r="C1230" s="391" t="s">
        <v>8565</v>
      </c>
      <c r="D1230" s="391" t="s">
        <v>2166</v>
      </c>
    </row>
    <row r="1231" ht="15.75" customHeight="1">
      <c r="B1231" s="391" t="s">
        <v>5332</v>
      </c>
      <c r="C1231" s="391" t="s">
        <v>8565</v>
      </c>
      <c r="D1231" s="391" t="s">
        <v>2166</v>
      </c>
    </row>
    <row r="1232" ht="15.75" customHeight="1">
      <c r="B1232" s="391" t="s">
        <v>8566</v>
      </c>
      <c r="C1232" s="391" t="s">
        <v>8567</v>
      </c>
      <c r="D1232" s="391" t="s">
        <v>2195</v>
      </c>
    </row>
    <row r="1233" ht="15.75" customHeight="1">
      <c r="B1233" s="391" t="s">
        <v>5384</v>
      </c>
      <c r="C1233" s="391" t="s">
        <v>8567</v>
      </c>
      <c r="D1233" s="391" t="s">
        <v>2232</v>
      </c>
    </row>
    <row r="1234" ht="15.75" customHeight="1">
      <c r="B1234" s="391" t="s">
        <v>5699</v>
      </c>
      <c r="C1234" s="391" t="s">
        <v>8568</v>
      </c>
      <c r="D1234" s="391" t="s">
        <v>2232</v>
      </c>
    </row>
    <row r="1235" ht="15.75" customHeight="1">
      <c r="B1235" s="391" t="s">
        <v>8569</v>
      </c>
      <c r="C1235" s="391" t="s">
        <v>8570</v>
      </c>
      <c r="D1235" s="391" t="s">
        <v>2166</v>
      </c>
    </row>
    <row r="1236" ht="15.75" customHeight="1">
      <c r="B1236" s="391" t="s">
        <v>5245</v>
      </c>
      <c r="C1236" s="391" t="s">
        <v>8571</v>
      </c>
      <c r="D1236" s="391" t="s">
        <v>2166</v>
      </c>
    </row>
    <row r="1237" ht="15.75" customHeight="1">
      <c r="B1237" s="391" t="s">
        <v>5249</v>
      </c>
      <c r="C1237" s="391" t="s">
        <v>8571</v>
      </c>
      <c r="D1237" s="391" t="s">
        <v>2166</v>
      </c>
    </row>
    <row r="1238" ht="15.75" customHeight="1">
      <c r="B1238" s="391" t="s">
        <v>5259</v>
      </c>
      <c r="C1238" s="391" t="s">
        <v>8572</v>
      </c>
      <c r="D1238" s="391" t="s">
        <v>2166</v>
      </c>
    </row>
    <row r="1239" ht="15.75" customHeight="1">
      <c r="B1239" s="391" t="s">
        <v>5255</v>
      </c>
      <c r="C1239" s="391" t="s">
        <v>8572</v>
      </c>
      <c r="D1239" s="391" t="s">
        <v>2166</v>
      </c>
    </row>
    <row r="1240" ht="15.75" customHeight="1">
      <c r="B1240" s="391" t="s">
        <v>5265</v>
      </c>
      <c r="C1240" s="391" t="s">
        <v>8572</v>
      </c>
      <c r="D1240" s="391" t="s">
        <v>2166</v>
      </c>
    </row>
    <row r="1241" ht="15.75" customHeight="1">
      <c r="B1241" s="391" t="s">
        <v>5261</v>
      </c>
      <c r="C1241" s="391" t="s">
        <v>8572</v>
      </c>
      <c r="D1241" s="391" t="s">
        <v>2195</v>
      </c>
    </row>
    <row r="1242" ht="15.75" customHeight="1">
      <c r="B1242" s="391" t="s">
        <v>5241</v>
      </c>
      <c r="C1242" s="391" t="s">
        <v>8572</v>
      </c>
      <c r="D1242" s="391" t="s">
        <v>2166</v>
      </c>
    </row>
    <row r="1243" ht="15.75" customHeight="1">
      <c r="B1243" s="391" t="s">
        <v>5251</v>
      </c>
      <c r="C1243" s="391" t="s">
        <v>8573</v>
      </c>
      <c r="D1243" s="391" t="s">
        <v>2166</v>
      </c>
    </row>
    <row r="1244" ht="15.75" customHeight="1">
      <c r="B1244" s="391" t="s">
        <v>5269</v>
      </c>
      <c r="C1244" s="391" t="s">
        <v>8573</v>
      </c>
      <c r="D1244" s="391" t="s">
        <v>2166</v>
      </c>
    </row>
    <row r="1245" ht="15.75" customHeight="1">
      <c r="B1245" s="391" t="s">
        <v>8574</v>
      </c>
      <c r="C1245" s="391" t="s">
        <v>8575</v>
      </c>
      <c r="D1245" s="391" t="s">
        <v>2166</v>
      </c>
    </row>
    <row r="1246" ht="15.75" customHeight="1">
      <c r="B1246" s="391" t="s">
        <v>8576</v>
      </c>
      <c r="C1246" s="391" t="s">
        <v>8577</v>
      </c>
      <c r="D1246" s="391" t="s">
        <v>2166</v>
      </c>
    </row>
    <row r="1247" ht="15.75" customHeight="1">
      <c r="B1247" s="391" t="s">
        <v>8578</v>
      </c>
      <c r="C1247" s="391" t="s">
        <v>8579</v>
      </c>
      <c r="D1247" s="391" t="s">
        <v>2166</v>
      </c>
    </row>
    <row r="1248" ht="15.75" customHeight="1">
      <c r="B1248" s="391" t="s">
        <v>4841</v>
      </c>
      <c r="C1248" s="391" t="s">
        <v>8580</v>
      </c>
      <c r="D1248" s="391" t="s">
        <v>2166</v>
      </c>
    </row>
    <row r="1249" ht="15.75" customHeight="1">
      <c r="B1249" s="391" t="s">
        <v>5168</v>
      </c>
      <c r="C1249" s="391" t="s">
        <v>8581</v>
      </c>
      <c r="D1249" s="391" t="s">
        <v>2166</v>
      </c>
    </row>
    <row r="1250" ht="15.75" customHeight="1">
      <c r="B1250" s="391" t="s">
        <v>5164</v>
      </c>
      <c r="C1250" s="391" t="s">
        <v>8581</v>
      </c>
      <c r="D1250" s="391" t="s">
        <v>2166</v>
      </c>
    </row>
    <row r="1251" ht="15.75" customHeight="1">
      <c r="B1251" s="391" t="s">
        <v>5014</v>
      </c>
      <c r="C1251" s="391" t="s">
        <v>8582</v>
      </c>
      <c r="D1251" s="391" t="s">
        <v>2166</v>
      </c>
    </row>
    <row r="1252" ht="15.75" customHeight="1">
      <c r="B1252" s="391" t="s">
        <v>5018</v>
      </c>
      <c r="C1252" s="391" t="s">
        <v>8583</v>
      </c>
      <c r="D1252" s="391" t="s">
        <v>2166</v>
      </c>
    </row>
    <row r="1253" ht="15.75" customHeight="1">
      <c r="B1253" s="391" t="s">
        <v>5113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8589</v>
      </c>
      <c r="C1256" s="391" t="s">
        <v>8590</v>
      </c>
      <c r="D1256" s="391" t="s">
        <v>2166</v>
      </c>
    </row>
    <row r="1257" ht="15.75" customHeight="1">
      <c r="B1257" s="391" t="s">
        <v>8591</v>
      </c>
      <c r="C1257" s="391" t="s">
        <v>8592</v>
      </c>
      <c r="D1257" s="391" t="s">
        <v>2166</v>
      </c>
    </row>
    <row r="1258" ht="15.75" customHeight="1">
      <c r="B1258" s="391" t="s">
        <v>8593</v>
      </c>
      <c r="C1258" s="391" t="s">
        <v>8594</v>
      </c>
      <c r="D1258" s="391" t="s">
        <v>2166</v>
      </c>
    </row>
    <row r="1259" ht="15.75" customHeight="1">
      <c r="B1259" s="391" t="s">
        <v>5121</v>
      </c>
      <c r="C1259" s="391" t="s">
        <v>8595</v>
      </c>
      <c r="D1259" s="391" t="s">
        <v>2166</v>
      </c>
    </row>
    <row r="1260" ht="15.75" customHeight="1">
      <c r="B1260" s="391" t="s">
        <v>5436</v>
      </c>
      <c r="C1260" s="391" t="s">
        <v>8596</v>
      </c>
      <c r="D1260" s="391" t="s">
        <v>2166</v>
      </c>
    </row>
    <row r="1261" ht="15.75" customHeight="1">
      <c r="B1261" s="391" t="s">
        <v>5150</v>
      </c>
      <c r="C1261" s="391" t="s">
        <v>8597</v>
      </c>
      <c r="D1261" s="391" t="s">
        <v>2166</v>
      </c>
    </row>
    <row r="1262" ht="15.75" customHeight="1">
      <c r="B1262" s="391" t="s">
        <v>5356</v>
      </c>
      <c r="C1262" s="391" t="s">
        <v>8598</v>
      </c>
      <c r="D1262" s="391" t="s">
        <v>2232</v>
      </c>
    </row>
    <row r="1263" ht="15.75" customHeight="1">
      <c r="B1263" s="391" t="s">
        <v>5357</v>
      </c>
      <c r="C1263" s="391" t="s">
        <v>8599</v>
      </c>
      <c r="D1263" s="391" t="s">
        <v>2166</v>
      </c>
    </row>
    <row r="1264" ht="15.75" customHeight="1">
      <c r="B1264" s="391" t="s">
        <v>5360</v>
      </c>
      <c r="C1264" s="391" t="s">
        <v>8600</v>
      </c>
      <c r="D1264" s="391" t="s">
        <v>2166</v>
      </c>
    </row>
    <row r="1265" ht="15.75" customHeight="1">
      <c r="B1265" s="391" t="s">
        <v>5366</v>
      </c>
      <c r="C1265" s="391" t="s">
        <v>8601</v>
      </c>
      <c r="D1265" s="391" t="s">
        <v>2166</v>
      </c>
    </row>
    <row r="1266" ht="15.75" customHeight="1">
      <c r="B1266" s="391" t="s">
        <v>5697</v>
      </c>
      <c r="C1266" s="391" t="s">
        <v>8602</v>
      </c>
      <c r="D1266" s="391" t="s">
        <v>2166</v>
      </c>
    </row>
    <row r="1267" ht="15.75" customHeight="1">
      <c r="B1267" s="391" t="s">
        <v>5698</v>
      </c>
      <c r="C1267" s="391" t="s">
        <v>8603</v>
      </c>
      <c r="D1267" s="391" t="s">
        <v>2166</v>
      </c>
    </row>
    <row r="1268" ht="15.75" customHeight="1">
      <c r="B1268" s="391" t="s">
        <v>5349</v>
      </c>
      <c r="C1268" s="391" t="s">
        <v>8604</v>
      </c>
      <c r="D1268" s="391" t="s">
        <v>2166</v>
      </c>
    </row>
    <row r="1269" ht="15.75" customHeight="1">
      <c r="B1269" s="391" t="s">
        <v>5352</v>
      </c>
      <c r="C1269" s="391" t="s">
        <v>8605</v>
      </c>
      <c r="D1269" s="391" t="s">
        <v>2166</v>
      </c>
    </row>
    <row r="1270" ht="15.75" customHeight="1">
      <c r="B1270" s="391" t="s">
        <v>5353</v>
      </c>
      <c r="C1270" s="391" t="s">
        <v>8606</v>
      </c>
      <c r="D1270" s="391" t="s">
        <v>2166</v>
      </c>
    </row>
    <row r="1271" ht="15.75" customHeight="1">
      <c r="B1271" s="391" t="s">
        <v>5369</v>
      </c>
      <c r="C1271" s="391" t="s">
        <v>8607</v>
      </c>
      <c r="D1271" s="391" t="s">
        <v>2166</v>
      </c>
    </row>
    <row r="1272" ht="15.75" customHeight="1">
      <c r="B1272" s="391" t="s">
        <v>4839</v>
      </c>
      <c r="C1272" s="391" t="s">
        <v>8608</v>
      </c>
      <c r="D1272" s="391" t="s">
        <v>2166</v>
      </c>
    </row>
    <row r="1273" ht="15.75" customHeight="1">
      <c r="B1273" s="391" t="s">
        <v>5403</v>
      </c>
      <c r="C1273" s="391" t="s">
        <v>8609</v>
      </c>
      <c r="D1273" s="391" t="s">
        <v>2195</v>
      </c>
    </row>
    <row r="1274" ht="15.75" customHeight="1">
      <c r="B1274" s="391" t="s">
        <v>5407</v>
      </c>
      <c r="C1274" s="391" t="s">
        <v>8610</v>
      </c>
      <c r="D1274" s="391" t="s">
        <v>2232</v>
      </c>
    </row>
    <row r="1275" ht="15.75" customHeight="1">
      <c r="B1275" s="391" t="s">
        <v>5411</v>
      </c>
      <c r="C1275" s="391" t="s">
        <v>8610</v>
      </c>
      <c r="D1275" s="391" t="s">
        <v>2166</v>
      </c>
    </row>
    <row r="1276" ht="15.75" customHeight="1">
      <c r="B1276" s="391" t="s">
        <v>5464</v>
      </c>
      <c r="C1276" s="391" t="s">
        <v>8611</v>
      </c>
      <c r="D1276" s="391" t="s">
        <v>2166</v>
      </c>
    </row>
    <row r="1277" ht="15.75" customHeight="1">
      <c r="B1277" s="391" t="s">
        <v>8612</v>
      </c>
      <c r="C1277" s="391" t="s">
        <v>8613</v>
      </c>
      <c r="D1277" s="391" t="s">
        <v>2166</v>
      </c>
    </row>
    <row r="1278" ht="15.75" customHeight="1">
      <c r="B1278" s="391" t="s">
        <v>5428</v>
      </c>
      <c r="C1278" s="391" t="s">
        <v>8614</v>
      </c>
      <c r="D1278" s="391" t="s">
        <v>2166</v>
      </c>
    </row>
    <row r="1279" ht="15.75" customHeight="1">
      <c r="B1279" s="391" t="s">
        <v>5424</v>
      </c>
      <c r="C1279" s="391" t="s">
        <v>8614</v>
      </c>
      <c r="D1279" s="391" t="s">
        <v>2166</v>
      </c>
    </row>
    <row r="1280" ht="15.75" customHeight="1">
      <c r="B1280" s="391" t="s">
        <v>5702</v>
      </c>
      <c r="C1280" s="391" t="s">
        <v>8614</v>
      </c>
      <c r="D1280" s="391" t="s">
        <v>2166</v>
      </c>
    </row>
    <row r="1281" ht="15.75" customHeight="1">
      <c r="B1281" s="391" t="s">
        <v>8615</v>
      </c>
      <c r="C1281" s="391" t="s">
        <v>8614</v>
      </c>
      <c r="D1281" s="391" t="s">
        <v>2166</v>
      </c>
    </row>
    <row r="1282" ht="15.75" customHeight="1">
      <c r="B1282" s="391" t="s">
        <v>8616</v>
      </c>
      <c r="C1282" s="391" t="s">
        <v>8614</v>
      </c>
      <c r="D1282" s="391" t="s">
        <v>2166</v>
      </c>
    </row>
    <row r="1283" ht="15.75" customHeight="1">
      <c r="B1283" s="391" t="s">
        <v>8617</v>
      </c>
      <c r="C1283" s="391" t="s">
        <v>8614</v>
      </c>
      <c r="D1283" s="391" t="s">
        <v>2232</v>
      </c>
    </row>
    <row r="1284" ht="15.75" customHeight="1">
      <c r="B1284" s="391" t="s">
        <v>5397</v>
      </c>
      <c r="C1284" s="391" t="s">
        <v>8614</v>
      </c>
      <c r="D1284" s="391" t="s">
        <v>2166</v>
      </c>
    </row>
    <row r="1285" ht="15.75" customHeight="1">
      <c r="B1285" s="391" t="s">
        <v>5393</v>
      </c>
      <c r="C1285" s="391" t="s">
        <v>8614</v>
      </c>
      <c r="D1285" s="391" t="s">
        <v>2166</v>
      </c>
    </row>
    <row r="1286" ht="15.75" customHeight="1">
      <c r="B1286" s="391" t="s">
        <v>5140</v>
      </c>
      <c r="C1286" s="391" t="s">
        <v>8618</v>
      </c>
      <c r="D1286" s="391" t="s">
        <v>2166</v>
      </c>
    </row>
    <row r="1287" ht="15.75" customHeight="1">
      <c r="B1287" s="391" t="s">
        <v>5130</v>
      </c>
      <c r="C1287" s="391" t="s">
        <v>8619</v>
      </c>
      <c r="D1287" s="391" t="s">
        <v>2166</v>
      </c>
    </row>
    <row r="1288" ht="15.75" customHeight="1">
      <c r="B1288" s="391" t="s">
        <v>5136</v>
      </c>
      <c r="C1288" s="391" t="s">
        <v>8620</v>
      </c>
      <c r="D1288" s="391" t="s">
        <v>2166</v>
      </c>
    </row>
    <row r="1289" ht="15.75" customHeight="1">
      <c r="B1289" s="391" t="s">
        <v>8621</v>
      </c>
      <c r="C1289" s="391" t="s">
        <v>8620</v>
      </c>
      <c r="D1289" s="391" t="s">
        <v>2195</v>
      </c>
    </row>
    <row r="1290" ht="15.75" customHeight="1">
      <c r="B1290" s="391" t="s">
        <v>5134</v>
      </c>
      <c r="C1290" s="391" t="s">
        <v>8622</v>
      </c>
      <c r="D1290" s="391" t="s">
        <v>2166</v>
      </c>
    </row>
    <row r="1291" ht="15.75" customHeight="1">
      <c r="B1291" s="391" t="s">
        <v>5144</v>
      </c>
      <c r="C1291" s="391" t="s">
        <v>8623</v>
      </c>
      <c r="D1291" s="391" t="s">
        <v>2166</v>
      </c>
    </row>
    <row r="1292" ht="15.75" customHeight="1">
      <c r="B1292" s="391" t="s">
        <v>8624</v>
      </c>
      <c r="C1292" s="391" t="s">
        <v>8625</v>
      </c>
      <c r="D1292" s="391" t="s">
        <v>2195</v>
      </c>
    </row>
    <row r="1293" ht="15.75" customHeight="1">
      <c r="B1293" s="391" t="s">
        <v>5146</v>
      </c>
      <c r="C1293" s="391" t="s">
        <v>8626</v>
      </c>
      <c r="D1293" s="391" t="s">
        <v>2166</v>
      </c>
    </row>
    <row r="1294" ht="15.75" customHeight="1">
      <c r="B1294" s="391" t="s">
        <v>5431</v>
      </c>
      <c r="C1294" s="391" t="s">
        <v>8627</v>
      </c>
      <c r="D1294" s="391" t="s">
        <v>2166</v>
      </c>
    </row>
    <row r="1295" ht="15.75" customHeight="1">
      <c r="B1295" s="391" t="s">
        <v>8628</v>
      </c>
      <c r="C1295" s="391" t="s">
        <v>8629</v>
      </c>
      <c r="D1295" s="391" t="s">
        <v>2166</v>
      </c>
    </row>
    <row r="1296" ht="15.75" customHeight="1">
      <c r="B1296" s="391" t="s">
        <v>5213</v>
      </c>
      <c r="C1296" s="391" t="s">
        <v>8630</v>
      </c>
      <c r="D1296" s="391" t="s">
        <v>2195</v>
      </c>
    </row>
    <row r="1297" ht="15.75" customHeight="1">
      <c r="B1297" s="391" t="s">
        <v>5196</v>
      </c>
      <c r="C1297" s="391" t="s">
        <v>8630</v>
      </c>
      <c r="D1297" s="391" t="s">
        <v>2166</v>
      </c>
    </row>
    <row r="1298" ht="15.75" customHeight="1">
      <c r="B1298" s="391" t="s">
        <v>5215</v>
      </c>
      <c r="C1298" s="391" t="s">
        <v>8630</v>
      </c>
      <c r="D1298" s="391" t="s">
        <v>2166</v>
      </c>
    </row>
    <row r="1299" ht="15.75" customHeight="1">
      <c r="B1299" s="391" t="s">
        <v>5200</v>
      </c>
      <c r="C1299" s="391" t="s">
        <v>8630</v>
      </c>
      <c r="D1299" s="391" t="s">
        <v>2166</v>
      </c>
    </row>
    <row r="1300" ht="15.75" customHeight="1">
      <c r="B1300" s="391" t="s">
        <v>5217</v>
      </c>
      <c r="C1300" s="391" t="s">
        <v>8631</v>
      </c>
      <c r="D1300" s="391" t="s">
        <v>2166</v>
      </c>
    </row>
    <row r="1301" ht="15.75" customHeight="1">
      <c r="B1301" s="391" t="s">
        <v>5221</v>
      </c>
      <c r="C1301" s="391" t="s">
        <v>8631</v>
      </c>
      <c r="D1301" s="391" t="s">
        <v>2166</v>
      </c>
    </row>
    <row r="1302" ht="15.75" customHeight="1">
      <c r="B1302" s="391" t="s">
        <v>5224</v>
      </c>
      <c r="C1302" s="391" t="s">
        <v>8631</v>
      </c>
      <c r="D1302" s="391" t="s">
        <v>2166</v>
      </c>
    </row>
    <row r="1303" ht="15.75" customHeight="1">
      <c r="B1303" s="391" t="s">
        <v>5363</v>
      </c>
      <c r="C1303" s="391" t="s">
        <v>8632</v>
      </c>
      <c r="D1303" s="391" t="s">
        <v>2166</v>
      </c>
    </row>
    <row r="1304" ht="15.75" customHeight="1">
      <c r="B1304" s="391" t="s">
        <v>5664</v>
      </c>
      <c r="C1304" s="391" t="s">
        <v>8633</v>
      </c>
      <c r="D1304" s="391" t="s">
        <v>2166</v>
      </c>
    </row>
    <row r="1305" ht="15.75" customHeight="1">
      <c r="B1305" s="391" t="s">
        <v>8634</v>
      </c>
      <c r="C1305" s="391" t="s">
        <v>8635</v>
      </c>
      <c r="D1305" s="391" t="s">
        <v>2166</v>
      </c>
    </row>
    <row r="1306" ht="15.75" customHeight="1">
      <c r="B1306" s="391" t="s">
        <v>5159</v>
      </c>
      <c r="C1306" s="391" t="s">
        <v>8636</v>
      </c>
      <c r="D1306" s="391" t="s">
        <v>2166</v>
      </c>
    </row>
    <row r="1307" ht="15.75" customHeight="1">
      <c r="B1307" s="391" t="s">
        <v>4835</v>
      </c>
      <c r="C1307" s="391" t="s">
        <v>8637</v>
      </c>
      <c r="D1307" s="391" t="s">
        <v>2166</v>
      </c>
    </row>
    <row r="1308" ht="15.75" customHeight="1">
      <c r="B1308" s="391" t="s">
        <v>5041</v>
      </c>
      <c r="C1308" s="391" t="s">
        <v>8638</v>
      </c>
      <c r="D1308" s="391" t="s">
        <v>2195</v>
      </c>
    </row>
    <row r="1309" ht="15.75" customHeight="1">
      <c r="B1309" s="391" t="s">
        <v>5059</v>
      </c>
      <c r="C1309" s="391" t="s">
        <v>8639</v>
      </c>
      <c r="D1309" s="391" t="s">
        <v>2232</v>
      </c>
    </row>
    <row r="1310" ht="15.75" customHeight="1">
      <c r="B1310" s="391" t="s">
        <v>5063</v>
      </c>
      <c r="C1310" s="391" t="s">
        <v>8639</v>
      </c>
      <c r="D1310" s="391" t="s">
        <v>2195</v>
      </c>
    </row>
    <row r="1311" ht="15.75" customHeight="1">
      <c r="B1311" s="391" t="s">
        <v>5083</v>
      </c>
      <c r="C1311" s="391" t="s">
        <v>8640</v>
      </c>
      <c r="D1311" s="391" t="s">
        <v>2166</v>
      </c>
    </row>
    <row r="1312" ht="15.75" customHeight="1">
      <c r="B1312" s="391" t="s">
        <v>5093</v>
      </c>
      <c r="C1312" s="391" t="s">
        <v>8641</v>
      </c>
      <c r="D1312" s="391" t="s">
        <v>2166</v>
      </c>
    </row>
    <row r="1313" ht="15.75" customHeight="1">
      <c r="B1313" s="391" t="s">
        <v>5117</v>
      </c>
      <c r="C1313" s="391" t="s">
        <v>8642</v>
      </c>
      <c r="D1313" s="391" t="s">
        <v>2166</v>
      </c>
    </row>
    <row r="1314" ht="15.75" customHeight="1">
      <c r="B1314" s="391" t="s">
        <v>5125</v>
      </c>
      <c r="C1314" s="391" t="s">
        <v>8642</v>
      </c>
      <c r="D1314" s="391" t="s">
        <v>2166</v>
      </c>
    </row>
    <row r="1315" ht="15.75" customHeight="1">
      <c r="B1315" s="391" t="s">
        <v>5328</v>
      </c>
      <c r="C1315" s="391" t="s">
        <v>8643</v>
      </c>
      <c r="D1315" s="391" t="s">
        <v>2166</v>
      </c>
    </row>
    <row r="1316" ht="15.75" customHeight="1">
      <c r="B1316" s="391" t="s">
        <v>4787</v>
      </c>
      <c r="C1316" s="391" t="s">
        <v>8644</v>
      </c>
      <c r="D1316" s="391" t="s">
        <v>2195</v>
      </c>
    </row>
    <row r="1317" ht="15.75" customHeight="1">
      <c r="B1317" s="391" t="s">
        <v>4767</v>
      </c>
      <c r="C1317" s="391" t="s">
        <v>8645</v>
      </c>
      <c r="D1317" s="391" t="s">
        <v>2166</v>
      </c>
    </row>
    <row r="1318" ht="15.75" customHeight="1">
      <c r="B1318" s="391" t="s">
        <v>5009</v>
      </c>
      <c r="C1318" s="391" t="s">
        <v>8646</v>
      </c>
      <c r="D1318" s="391" t="s">
        <v>2166</v>
      </c>
    </row>
    <row r="1319" ht="15.75" customHeight="1">
      <c r="B1319" s="391" t="s">
        <v>4967</v>
      </c>
      <c r="C1319" s="391" t="s">
        <v>8647</v>
      </c>
      <c r="D1319" s="391" t="s">
        <v>2166</v>
      </c>
    </row>
    <row r="1320" ht="15.75" customHeight="1">
      <c r="B1320" s="391" t="s">
        <v>4981</v>
      </c>
      <c r="C1320" s="391" t="s">
        <v>8647</v>
      </c>
      <c r="D1320" s="391" t="s">
        <v>2166</v>
      </c>
    </row>
    <row r="1321" ht="15.75" customHeight="1">
      <c r="B1321" s="391" t="s">
        <v>4830</v>
      </c>
      <c r="C1321" s="391" t="s">
        <v>8648</v>
      </c>
      <c r="D1321" s="391" t="s">
        <v>2166</v>
      </c>
    </row>
    <row r="1322" ht="15.75" customHeight="1">
      <c r="B1322" s="391" t="s">
        <v>5005</v>
      </c>
      <c r="C1322" s="391" t="s">
        <v>8649</v>
      </c>
      <c r="D1322" s="391" t="s">
        <v>2166</v>
      </c>
    </row>
    <row r="1323" ht="15.75" customHeight="1">
      <c r="B1323" s="391" t="s">
        <v>4998</v>
      </c>
      <c r="C1323" s="391" t="s">
        <v>8649</v>
      </c>
      <c r="D1323" s="391" t="s">
        <v>2166</v>
      </c>
    </row>
    <row r="1324" ht="15.75" customHeight="1">
      <c r="B1324" s="391" t="s">
        <v>5002</v>
      </c>
      <c r="C1324" s="391" t="s">
        <v>8649</v>
      </c>
      <c r="D1324" s="391" t="s">
        <v>2166</v>
      </c>
    </row>
    <row r="1325" ht="15.75" customHeight="1">
      <c r="B1325" s="391" t="s">
        <v>4783</v>
      </c>
      <c r="C1325" s="391" t="s">
        <v>8650</v>
      </c>
      <c r="D1325" s="391" t="s">
        <v>2166</v>
      </c>
    </row>
    <row r="1326" ht="15.75" customHeight="1">
      <c r="B1326" s="391" t="s">
        <v>4798</v>
      </c>
      <c r="C1326" s="391" t="s">
        <v>8650</v>
      </c>
      <c r="D1326" s="391" t="s">
        <v>2166</v>
      </c>
    </row>
    <row r="1327" ht="15.75" customHeight="1">
      <c r="B1327" s="391" t="s">
        <v>4775</v>
      </c>
      <c r="C1327" s="391" t="s">
        <v>8650</v>
      </c>
      <c r="D1327" s="391" t="s">
        <v>2166</v>
      </c>
    </row>
    <row r="1328" ht="15.75" customHeight="1">
      <c r="B1328" s="391" t="s">
        <v>4814</v>
      </c>
      <c r="C1328" s="391" t="s">
        <v>8650</v>
      </c>
      <c r="D1328" s="391" t="s">
        <v>2166</v>
      </c>
    </row>
    <row r="1329" ht="15.75" customHeight="1">
      <c r="B1329" s="391" t="s">
        <v>4806</v>
      </c>
      <c r="C1329" s="391" t="s">
        <v>8650</v>
      </c>
      <c r="D1329" s="391" t="s">
        <v>2166</v>
      </c>
    </row>
    <row r="1330" ht="15.75" customHeight="1">
      <c r="B1330" s="391" t="s">
        <v>4910</v>
      </c>
      <c r="C1330" s="391" t="s">
        <v>8651</v>
      </c>
      <c r="D1330" s="391" t="s">
        <v>2166</v>
      </c>
    </row>
    <row r="1331" ht="15.75" customHeight="1">
      <c r="B1331" s="391" t="s">
        <v>4902</v>
      </c>
      <c r="C1331" s="391" t="s">
        <v>8651</v>
      </c>
      <c r="D1331" s="391" t="s">
        <v>2166</v>
      </c>
    </row>
    <row r="1332" ht="15.75" customHeight="1">
      <c r="B1332" s="391" t="s">
        <v>4822</v>
      </c>
      <c r="C1332" s="391" t="s">
        <v>8652</v>
      </c>
      <c r="D1332" s="391" t="s">
        <v>2166</v>
      </c>
    </row>
    <row r="1333" ht="15.75" customHeight="1">
      <c r="B1333" s="391" t="s">
        <v>4989</v>
      </c>
      <c r="C1333" s="391" t="s">
        <v>8653</v>
      </c>
      <c r="D1333" s="391" t="s">
        <v>2195</v>
      </c>
    </row>
    <row r="1334" ht="15.75" customHeight="1">
      <c r="B1334" s="391" t="s">
        <v>4975</v>
      </c>
      <c r="C1334" s="391" t="s">
        <v>8654</v>
      </c>
      <c r="D1334" s="391" t="s">
        <v>2166</v>
      </c>
    </row>
    <row r="1335" ht="15.75" customHeight="1">
      <c r="B1335" s="391" t="s">
        <v>4971</v>
      </c>
      <c r="C1335" s="391" t="s">
        <v>8655</v>
      </c>
      <c r="D1335" s="391" t="s">
        <v>2166</v>
      </c>
    </row>
    <row r="1336" ht="15.75" customHeight="1">
      <c r="B1336" s="391" t="s">
        <v>4985</v>
      </c>
      <c r="C1336" s="391" t="s">
        <v>8655</v>
      </c>
      <c r="D1336" s="391" t="s">
        <v>2166</v>
      </c>
    </row>
    <row r="1337" ht="15.75" customHeight="1">
      <c r="B1337" s="391" t="s">
        <v>4791</v>
      </c>
      <c r="C1337" s="391" t="s">
        <v>8656</v>
      </c>
      <c r="D1337" s="391" t="s">
        <v>2166</v>
      </c>
    </row>
    <row r="1338" ht="15.75" customHeight="1">
      <c r="B1338" s="391" t="s">
        <v>4802</v>
      </c>
      <c r="C1338" s="391" t="s">
        <v>8656</v>
      </c>
      <c r="D1338" s="391" t="s">
        <v>2166</v>
      </c>
    </row>
    <row r="1339" ht="15.75" customHeight="1">
      <c r="B1339" s="391" t="s">
        <v>4779</v>
      </c>
      <c r="C1339" s="391" t="s">
        <v>8656</v>
      </c>
      <c r="D1339" s="391" t="s">
        <v>2166</v>
      </c>
    </row>
    <row r="1340" ht="15.75" customHeight="1">
      <c r="B1340" s="391" t="s">
        <v>4818</v>
      </c>
      <c r="C1340" s="391" t="s">
        <v>8656</v>
      </c>
      <c r="D1340" s="391" t="s">
        <v>2166</v>
      </c>
    </row>
    <row r="1341" ht="15.75" customHeight="1">
      <c r="B1341" s="391" t="s">
        <v>4810</v>
      </c>
      <c r="C1341" s="391" t="s">
        <v>8656</v>
      </c>
      <c r="D1341" s="391" t="s">
        <v>2166</v>
      </c>
    </row>
    <row r="1342" ht="15.75" customHeight="1">
      <c r="B1342" s="391" t="s">
        <v>4914</v>
      </c>
      <c r="C1342" s="391" t="s">
        <v>8657</v>
      </c>
      <c r="D1342" s="391" t="s">
        <v>2166</v>
      </c>
    </row>
    <row r="1343" ht="15.75" customHeight="1">
      <c r="B1343" s="391" t="s">
        <v>4922</v>
      </c>
      <c r="C1343" s="391" t="s">
        <v>8657</v>
      </c>
      <c r="D1343" s="391" t="s">
        <v>2166</v>
      </c>
    </row>
    <row r="1344" ht="15.75" customHeight="1">
      <c r="B1344" s="391" t="s">
        <v>4906</v>
      </c>
      <c r="C1344" s="391" t="s">
        <v>8657</v>
      </c>
      <c r="D1344" s="391" t="s">
        <v>2166</v>
      </c>
    </row>
    <row r="1345" ht="15.75" customHeight="1">
      <c r="B1345" s="391" t="s">
        <v>4826</v>
      </c>
      <c r="C1345" s="391" t="s">
        <v>8658</v>
      </c>
      <c r="D1345" s="391" t="s">
        <v>2166</v>
      </c>
    </row>
    <row r="1346" ht="15.75" customHeight="1">
      <c r="B1346" s="391" t="s">
        <v>4993</v>
      </c>
      <c r="C1346" s="391" t="s">
        <v>8659</v>
      </c>
      <c r="D1346" s="391" t="s">
        <v>2195</v>
      </c>
    </row>
    <row r="1347" ht="15.75" customHeight="1">
      <c r="B1347" s="391" t="s">
        <v>4979</v>
      </c>
      <c r="C1347" s="391" t="s">
        <v>8660</v>
      </c>
      <c r="D1347" s="391" t="s">
        <v>2166</v>
      </c>
    </row>
    <row r="1348" ht="15.75" customHeight="1">
      <c r="B1348" s="391" t="s">
        <v>4854</v>
      </c>
      <c r="C1348" s="391" t="s">
        <v>8661</v>
      </c>
      <c r="D1348" s="391" t="s">
        <v>2166</v>
      </c>
    </row>
    <row r="1349" ht="15.75" customHeight="1">
      <c r="B1349" s="391" t="s">
        <v>4850</v>
      </c>
      <c r="C1349" s="391" t="s">
        <v>8661</v>
      </c>
      <c r="D1349" s="391" t="s">
        <v>2166</v>
      </c>
    </row>
    <row r="1350" ht="15.75" customHeight="1">
      <c r="B1350" s="391" t="s">
        <v>4935</v>
      </c>
      <c r="C1350" s="391" t="s">
        <v>8662</v>
      </c>
      <c r="D1350" s="391" t="s">
        <v>2166</v>
      </c>
    </row>
    <row r="1351" ht="15.75" customHeight="1">
      <c r="B1351" s="391" t="s">
        <v>4927</v>
      </c>
      <c r="C1351" s="391" t="s">
        <v>8662</v>
      </c>
      <c r="D1351" s="391" t="s">
        <v>2166</v>
      </c>
    </row>
    <row r="1352" ht="15.75" customHeight="1">
      <c r="B1352" s="391" t="s">
        <v>4858</v>
      </c>
      <c r="C1352" s="391" t="s">
        <v>8663</v>
      </c>
      <c r="D1352" s="391" t="s">
        <v>2166</v>
      </c>
    </row>
    <row r="1353" ht="15.75" customHeight="1">
      <c r="B1353" s="391" t="s">
        <v>4937</v>
      </c>
      <c r="C1353" s="391" t="s">
        <v>8664</v>
      </c>
      <c r="D1353" s="391" t="s">
        <v>2166</v>
      </c>
    </row>
    <row r="1354" ht="15.75" customHeight="1">
      <c r="B1354" s="391" t="s">
        <v>4931</v>
      </c>
      <c r="C1354" s="391" t="s">
        <v>8664</v>
      </c>
      <c r="D1354" s="391" t="s">
        <v>2166</v>
      </c>
    </row>
    <row r="1355" ht="15.75" customHeight="1">
      <c r="B1355" s="391" t="s">
        <v>4871</v>
      </c>
      <c r="C1355" s="391" t="s">
        <v>8665</v>
      </c>
      <c r="D1355" s="391" t="s">
        <v>2166</v>
      </c>
    </row>
    <row r="1356" ht="15.75" customHeight="1">
      <c r="B1356" s="391" t="s">
        <v>8666</v>
      </c>
      <c r="C1356" s="391" t="s">
        <v>8667</v>
      </c>
      <c r="D1356" s="391" t="s">
        <v>2195</v>
      </c>
    </row>
    <row r="1357" ht="15.75" customHeight="1">
      <c r="B1357" s="391" t="s">
        <v>4942</v>
      </c>
      <c r="C1357" s="391" t="s">
        <v>8667</v>
      </c>
      <c r="D1357" s="391" t="s">
        <v>2166</v>
      </c>
    </row>
    <row r="1358" ht="15.75" customHeight="1">
      <c r="B1358" s="391" t="s">
        <v>4875</v>
      </c>
      <c r="C1358" s="391" t="s">
        <v>8668</v>
      </c>
      <c r="D1358" s="391" t="s">
        <v>2166</v>
      </c>
    </row>
    <row r="1359" ht="15.75" customHeight="1">
      <c r="B1359" s="391" t="s">
        <v>4950</v>
      </c>
      <c r="C1359" s="391" t="s">
        <v>8669</v>
      </c>
      <c r="D1359" s="391" t="s">
        <v>2166</v>
      </c>
    </row>
    <row r="1360" ht="15.75" customHeight="1">
      <c r="B1360" s="391" t="s">
        <v>4946</v>
      </c>
      <c r="C1360" s="391" t="s">
        <v>8669</v>
      </c>
      <c r="D1360" s="391" t="s">
        <v>2166</v>
      </c>
    </row>
    <row r="1361" ht="15.75" customHeight="1">
      <c r="B1361" s="391" t="s">
        <v>4880</v>
      </c>
      <c r="C1361" s="391" t="s">
        <v>8670</v>
      </c>
      <c r="D1361" s="391" t="s">
        <v>2166</v>
      </c>
    </row>
    <row r="1362" ht="15.75" customHeight="1">
      <c r="B1362" s="391" t="s">
        <v>4884</v>
      </c>
      <c r="C1362" s="391" t="s">
        <v>8671</v>
      </c>
      <c r="D1362" s="391" t="s">
        <v>2166</v>
      </c>
    </row>
    <row r="1363" ht="15.75" customHeight="1">
      <c r="B1363" s="391" t="s">
        <v>4893</v>
      </c>
      <c r="C1363" s="391" t="s">
        <v>8672</v>
      </c>
      <c r="D1363" s="391" t="s">
        <v>2166</v>
      </c>
    </row>
    <row r="1364" ht="15.75" customHeight="1">
      <c r="B1364" s="391" t="s">
        <v>4963</v>
      </c>
      <c r="C1364" s="391" t="s">
        <v>8673</v>
      </c>
      <c r="D1364" s="391" t="s">
        <v>2166</v>
      </c>
    </row>
    <row r="1365" ht="15.75" customHeight="1">
      <c r="B1365" s="391" t="s">
        <v>4955</v>
      </c>
      <c r="C1365" s="391" t="s">
        <v>8674</v>
      </c>
      <c r="D1365" s="391" t="s">
        <v>2166</v>
      </c>
    </row>
    <row r="1366" ht="15.75" customHeight="1">
      <c r="B1366" s="391" t="s">
        <v>4897</v>
      </c>
      <c r="C1366" s="391" t="s">
        <v>8675</v>
      </c>
      <c r="D1366" s="391" t="s">
        <v>2166</v>
      </c>
    </row>
    <row r="1367" ht="15.75" customHeight="1">
      <c r="B1367" s="391" t="s">
        <v>4889</v>
      </c>
      <c r="C1367" s="391" t="s">
        <v>8675</v>
      </c>
      <c r="D1367" s="391" t="s">
        <v>2166</v>
      </c>
    </row>
    <row r="1368" ht="15.75" customHeight="1">
      <c r="B1368" s="391" t="s">
        <v>4959</v>
      </c>
      <c r="C1368" s="391" t="s">
        <v>8676</v>
      </c>
      <c r="D1368" s="391" t="s">
        <v>2166</v>
      </c>
    </row>
    <row r="1369" ht="15.75" customHeight="1">
      <c r="B1369" s="391" t="s">
        <v>8677</v>
      </c>
      <c r="C1369" s="391" t="s">
        <v>8678</v>
      </c>
      <c r="D1369" s="391" t="s">
        <v>2166</v>
      </c>
    </row>
    <row r="1370" ht="15.75" customHeight="1">
      <c r="B1370" s="391" t="s">
        <v>8679</v>
      </c>
      <c r="C1370" s="391" t="s">
        <v>8680</v>
      </c>
      <c r="D1370" s="391" t="s">
        <v>2166</v>
      </c>
    </row>
    <row r="1371" ht="15.75" customHeight="1">
      <c r="B1371" s="391" t="s">
        <v>5591</v>
      </c>
      <c r="C1371" s="391" t="s">
        <v>8681</v>
      </c>
      <c r="D1371" s="391" t="s">
        <v>2166</v>
      </c>
    </row>
    <row r="1372" ht="15.75" customHeight="1">
      <c r="B1372" s="391" t="s">
        <v>5574</v>
      </c>
      <c r="C1372" s="391" t="s">
        <v>8682</v>
      </c>
      <c r="D1372" s="391" t="s">
        <v>2166</v>
      </c>
    </row>
    <row r="1373" ht="15.75" customHeight="1">
      <c r="B1373" s="391" t="s">
        <v>5584</v>
      </c>
      <c r="C1373" s="391" t="s">
        <v>8683</v>
      </c>
      <c r="D1373" s="391" t="s">
        <v>2166</v>
      </c>
    </row>
    <row r="1374" ht="15.75" customHeight="1">
      <c r="B1374" s="391" t="s">
        <v>5581</v>
      </c>
      <c r="C1374" s="391" t="s">
        <v>8684</v>
      </c>
      <c r="D1374" s="391" t="s">
        <v>2195</v>
      </c>
    </row>
    <row r="1375" ht="15.75" customHeight="1">
      <c r="B1375" s="391" t="s">
        <v>5629</v>
      </c>
      <c r="C1375" s="391" t="s">
        <v>8685</v>
      </c>
      <c r="D1375" s="391" t="s">
        <v>2166</v>
      </c>
    </row>
    <row r="1376" ht="15.75" customHeight="1">
      <c r="B1376" s="391" t="s">
        <v>5593</v>
      </c>
      <c r="C1376" s="391" t="s">
        <v>8686</v>
      </c>
      <c r="D1376" s="391" t="s">
        <v>2195</v>
      </c>
    </row>
    <row r="1377" ht="15.75" customHeight="1">
      <c r="B1377" s="391" t="s">
        <v>5586</v>
      </c>
      <c r="C1377" s="391" t="s">
        <v>8687</v>
      </c>
      <c r="D1377" s="391" t="s">
        <v>2166</v>
      </c>
    </row>
    <row r="1378" ht="15.75" customHeight="1">
      <c r="B1378" s="391" t="s">
        <v>8688</v>
      </c>
      <c r="C1378" s="391" t="s">
        <v>8687</v>
      </c>
      <c r="D1378" s="391" t="s">
        <v>2166</v>
      </c>
    </row>
    <row r="1379" ht="15.75" customHeight="1">
      <c r="B1379" s="391" t="s">
        <v>5587</v>
      </c>
      <c r="C1379" s="391" t="s">
        <v>8689</v>
      </c>
      <c r="D1379" s="391" t="s">
        <v>2166</v>
      </c>
    </row>
    <row r="1380" ht="15.75" customHeight="1">
      <c r="B1380" s="391" t="s">
        <v>5677</v>
      </c>
      <c r="C1380" s="391" t="s">
        <v>8690</v>
      </c>
      <c r="D1380" s="391" t="s">
        <v>2166</v>
      </c>
    </row>
    <row r="1381" ht="15.75" customHeight="1">
      <c r="B1381" s="391" t="s">
        <v>5570</v>
      </c>
      <c r="C1381" s="391" t="s">
        <v>8691</v>
      </c>
      <c r="D1381" s="391" t="s">
        <v>2232</v>
      </c>
    </row>
    <row r="1382" ht="15.75" customHeight="1">
      <c r="B1382" s="391" t="s">
        <v>5577</v>
      </c>
      <c r="C1382" s="391" t="s">
        <v>8692</v>
      </c>
      <c r="D1382" s="391" t="s">
        <v>2166</v>
      </c>
    </row>
    <row r="1383" ht="15.75" customHeight="1">
      <c r="B1383" s="391" t="s">
        <v>5549</v>
      </c>
      <c r="C1383" s="391" t="s">
        <v>8693</v>
      </c>
      <c r="D1383" s="391" t="s">
        <v>2166</v>
      </c>
    </row>
    <row r="1384" ht="15.75" customHeight="1">
      <c r="B1384" s="391" t="s">
        <v>5693</v>
      </c>
      <c r="C1384" s="391" t="s">
        <v>8694</v>
      </c>
      <c r="D1384" s="391" t="s">
        <v>2166</v>
      </c>
    </row>
    <row r="1385" ht="15.75" customHeight="1">
      <c r="B1385" s="391" t="s">
        <v>5542</v>
      </c>
      <c r="C1385" s="391" t="s">
        <v>8695</v>
      </c>
      <c r="D1385" s="391" t="s">
        <v>2166</v>
      </c>
    </row>
    <row r="1386" ht="15.75" customHeight="1">
      <c r="B1386" s="391" t="s">
        <v>5544</v>
      </c>
      <c r="C1386" s="391" t="s">
        <v>8696</v>
      </c>
      <c r="D1386" s="391" t="s">
        <v>2166</v>
      </c>
    </row>
    <row r="1387" ht="15.75" customHeight="1">
      <c r="B1387" s="391" t="s">
        <v>5538</v>
      </c>
      <c r="C1387" s="391" t="s">
        <v>8697</v>
      </c>
      <c r="D1387" s="391" t="s">
        <v>2166</v>
      </c>
    </row>
    <row r="1388" ht="15.75" customHeight="1">
      <c r="B1388" s="391" t="s">
        <v>5528</v>
      </c>
      <c r="C1388" s="391" t="s">
        <v>8698</v>
      </c>
      <c r="D1388" s="391" t="s">
        <v>2166</v>
      </c>
    </row>
    <row r="1389" ht="15.75" customHeight="1">
      <c r="B1389" s="391" t="s">
        <v>5595</v>
      </c>
      <c r="C1389" s="391" t="s">
        <v>8699</v>
      </c>
      <c r="D1389" s="391" t="s">
        <v>2195</v>
      </c>
    </row>
    <row r="1390" ht="15.75" customHeight="1">
      <c r="B1390" s="391" t="s">
        <v>4847</v>
      </c>
      <c r="C1390" s="391" t="s">
        <v>8700</v>
      </c>
      <c r="D1390" s="391" t="s">
        <v>2166</v>
      </c>
    </row>
    <row r="1391" ht="15.75" customHeight="1">
      <c r="B1391" s="391" t="s">
        <v>5104</v>
      </c>
      <c r="C1391" s="391" t="s">
        <v>8701</v>
      </c>
      <c r="D1391" s="391" t="s">
        <v>2232</v>
      </c>
    </row>
    <row r="1392" ht="15.75" customHeight="1">
      <c r="B1392" s="391" t="s">
        <v>5108</v>
      </c>
      <c r="C1392" s="391" t="s">
        <v>8701</v>
      </c>
      <c r="D1392" s="391" t="s">
        <v>2166</v>
      </c>
    </row>
    <row r="1393" ht="15.75" customHeight="1">
      <c r="B1393" s="391" t="s">
        <v>5547</v>
      </c>
      <c r="C1393" s="391" t="s">
        <v>8702</v>
      </c>
      <c r="D1393" s="391" t="s">
        <v>2166</v>
      </c>
    </row>
    <row r="1394" ht="15.75" customHeight="1">
      <c r="B1394" s="391" t="s">
        <v>5454</v>
      </c>
      <c r="C1394" s="391" t="s">
        <v>8703</v>
      </c>
      <c r="D1394" s="391" t="s">
        <v>2166</v>
      </c>
    </row>
    <row r="1395" ht="15.75" customHeight="1">
      <c r="B1395" s="391" t="s">
        <v>5460</v>
      </c>
      <c r="C1395" s="391" t="s">
        <v>8704</v>
      </c>
      <c r="D1395" s="391" t="s">
        <v>2166</v>
      </c>
    </row>
    <row r="1396" ht="15.75" customHeight="1">
      <c r="B1396" s="391" t="s">
        <v>5456</v>
      </c>
      <c r="C1396" s="391" t="s">
        <v>8705</v>
      </c>
      <c r="D1396" s="391" t="s">
        <v>2166</v>
      </c>
    </row>
    <row r="1397" ht="15.75" customHeight="1">
      <c r="B1397" s="391" t="s">
        <v>5450</v>
      </c>
      <c r="C1397" s="391" t="s">
        <v>8706</v>
      </c>
      <c r="D1397" s="391" t="s">
        <v>2166</v>
      </c>
    </row>
    <row r="1398" ht="15.75" customHeight="1">
      <c r="B1398" s="391" t="s">
        <v>8707</v>
      </c>
      <c r="C1398" s="391" t="s">
        <v>8706</v>
      </c>
      <c r="D1398" s="391" t="s">
        <v>2166</v>
      </c>
    </row>
    <row r="1399" ht="15.75" customHeight="1">
      <c r="B1399" s="391" t="s">
        <v>8708</v>
      </c>
      <c r="C1399" s="391" t="s">
        <v>8709</v>
      </c>
      <c r="D1399" s="391" t="s">
        <v>2166</v>
      </c>
    </row>
    <row r="1400" ht="15.75" customHeight="1">
      <c r="B1400" s="391" t="s">
        <v>8710</v>
      </c>
      <c r="C1400" s="391" t="s">
        <v>8711</v>
      </c>
      <c r="D1400" s="391" t="s">
        <v>2166</v>
      </c>
    </row>
    <row r="1401" ht="15.75" customHeight="1">
      <c r="B1401" s="391" t="s">
        <v>5604</v>
      </c>
      <c r="C1401" s="391" t="s">
        <v>8712</v>
      </c>
      <c r="D1401" s="391" t="s">
        <v>2166</v>
      </c>
    </row>
    <row r="1402" ht="15.75" customHeight="1">
      <c r="B1402" s="391" t="s">
        <v>5600</v>
      </c>
      <c r="C1402" s="391" t="s">
        <v>8713</v>
      </c>
      <c r="D1402" s="391" t="s">
        <v>2166</v>
      </c>
    </row>
    <row r="1403" ht="15.75" customHeight="1">
      <c r="B1403" s="391" t="s">
        <v>5608</v>
      </c>
      <c r="C1403" s="391" t="s">
        <v>8713</v>
      </c>
      <c r="D1403" s="391" t="s">
        <v>2166</v>
      </c>
    </row>
    <row r="1404" ht="15.75" customHeight="1">
      <c r="B1404" s="391" t="s">
        <v>5612</v>
      </c>
      <c r="C1404" s="391" t="s">
        <v>8713</v>
      </c>
      <c r="D1404" s="391" t="s">
        <v>2166</v>
      </c>
    </row>
    <row r="1405" ht="15.75" customHeight="1">
      <c r="B1405" s="391" t="s">
        <v>5616</v>
      </c>
      <c r="C1405" s="391" t="s">
        <v>8714</v>
      </c>
      <c r="D1405" s="391" t="s">
        <v>2166</v>
      </c>
    </row>
    <row r="1406" ht="15.75" customHeight="1">
      <c r="B1406" s="391" t="s">
        <v>5618</v>
      </c>
      <c r="C1406" s="391" t="s">
        <v>8715</v>
      </c>
      <c r="D1406" s="391" t="s">
        <v>2166</v>
      </c>
    </row>
    <row r="1407" ht="15.75" customHeight="1">
      <c r="B1407" s="391" t="s">
        <v>5641</v>
      </c>
      <c r="C1407" s="391" t="s">
        <v>8716</v>
      </c>
      <c r="D1407" s="391" t="s">
        <v>2166</v>
      </c>
    </row>
    <row r="1408" ht="15.75" customHeight="1">
      <c r="B1408" s="391" t="s">
        <v>5637</v>
      </c>
      <c r="C1408" s="391" t="s">
        <v>8717</v>
      </c>
      <c r="D1408" s="391" t="s">
        <v>2166</v>
      </c>
    </row>
    <row r="1409" ht="15.75" customHeight="1">
      <c r="B1409" s="391" t="s">
        <v>5655</v>
      </c>
      <c r="C1409" s="391" t="s">
        <v>8718</v>
      </c>
      <c r="D1409" s="391" t="s">
        <v>2166</v>
      </c>
    </row>
    <row r="1410" ht="15.75" customHeight="1">
      <c r="B1410" s="391" t="s">
        <v>5562</v>
      </c>
      <c r="C1410" s="391" t="s">
        <v>8719</v>
      </c>
      <c r="D1410" s="391" t="s">
        <v>2166</v>
      </c>
    </row>
    <row r="1411" ht="15.75" customHeight="1">
      <c r="B1411" s="391" t="s">
        <v>8720</v>
      </c>
      <c r="C1411" s="391" t="s">
        <v>8721</v>
      </c>
      <c r="D1411" s="391" t="s">
        <v>2195</v>
      </c>
    </row>
    <row r="1412" ht="15.75" customHeight="1">
      <c r="B1412" s="391" t="s">
        <v>5468</v>
      </c>
      <c r="C1412" s="391" t="s">
        <v>8722</v>
      </c>
      <c r="D1412" s="391" t="s">
        <v>2166</v>
      </c>
    </row>
    <row r="1413" ht="15.75" customHeight="1">
      <c r="B1413" s="391" t="s">
        <v>5470</v>
      </c>
      <c r="C1413" s="391" t="s">
        <v>8723</v>
      </c>
      <c r="D1413" s="391" t="s">
        <v>2166</v>
      </c>
    </row>
    <row r="1414" ht="15.75" customHeight="1">
      <c r="B1414" s="391" t="s">
        <v>5476</v>
      </c>
      <c r="C1414" s="391" t="s">
        <v>8724</v>
      </c>
      <c r="D1414" s="391" t="s">
        <v>2166</v>
      </c>
    </row>
    <row r="1415" ht="15.75" customHeight="1">
      <c r="B1415" s="391" t="s">
        <v>5590</v>
      </c>
      <c r="C1415" s="391" t="s">
        <v>8725</v>
      </c>
      <c r="D1415" s="391" t="s">
        <v>2166</v>
      </c>
    </row>
    <row r="1416" ht="15.75" customHeight="1">
      <c r="B1416" s="391" t="s">
        <v>5558</v>
      </c>
      <c r="C1416" s="391" t="s">
        <v>8726</v>
      </c>
      <c r="D1416" s="391" t="s">
        <v>2166</v>
      </c>
    </row>
    <row r="1417" ht="15.75" customHeight="1">
      <c r="B1417" s="391" t="s">
        <v>5552</v>
      </c>
      <c r="C1417" s="391" t="s">
        <v>8727</v>
      </c>
      <c r="D1417" s="391" t="s">
        <v>2166</v>
      </c>
    </row>
    <row r="1418" ht="15.75" customHeight="1">
      <c r="B1418" s="391" t="s">
        <v>5555</v>
      </c>
      <c r="C1418" s="391" t="s">
        <v>8728</v>
      </c>
      <c r="D1418" s="391" t="s">
        <v>2195</v>
      </c>
    </row>
    <row r="1419" ht="15.75" customHeight="1">
      <c r="B1419" s="391" t="s">
        <v>5627</v>
      </c>
      <c r="C1419" s="391" t="s">
        <v>8729</v>
      </c>
      <c r="D1419" s="391" t="s">
        <v>2166</v>
      </c>
    </row>
    <row r="1420" ht="15.75" customHeight="1">
      <c r="B1420" s="391" t="s">
        <v>5623</v>
      </c>
      <c r="C1420" s="391" t="s">
        <v>8730</v>
      </c>
      <c r="D1420" s="391" t="s">
        <v>2166</v>
      </c>
    </row>
    <row r="1421" ht="15.75" customHeight="1">
      <c r="B1421" s="391" t="s">
        <v>5633</v>
      </c>
      <c r="C1421" s="391" t="s">
        <v>8731</v>
      </c>
      <c r="D1421" s="391" t="s">
        <v>2166</v>
      </c>
    </row>
    <row r="1422" ht="15.75" customHeight="1">
      <c r="B1422" s="391" t="s">
        <v>5635</v>
      </c>
      <c r="C1422" s="391" t="s">
        <v>8732</v>
      </c>
      <c r="D1422" s="391" t="s">
        <v>2166</v>
      </c>
    </row>
    <row r="1423" ht="15.75" customHeight="1">
      <c r="B1423" s="391" t="s">
        <v>5532</v>
      </c>
      <c r="C1423" s="391" t="s">
        <v>8733</v>
      </c>
      <c r="D1423" s="391" t="s">
        <v>2166</v>
      </c>
    </row>
    <row r="1424" ht="15.75" customHeight="1">
      <c r="B1424" s="391" t="s">
        <v>5524</v>
      </c>
      <c r="C1424" s="391" t="s">
        <v>8734</v>
      </c>
      <c r="D1424" s="391" t="s">
        <v>2166</v>
      </c>
    </row>
    <row r="1425" ht="15.75" customHeight="1">
      <c r="B1425" s="391" t="s">
        <v>4843</v>
      </c>
      <c r="C1425" s="391" t="s">
        <v>8735</v>
      </c>
      <c r="D1425" s="391" t="s">
        <v>2166</v>
      </c>
    </row>
    <row r="1426" ht="15.75" customHeight="1">
      <c r="B1426" s="391" t="s">
        <v>5488</v>
      </c>
      <c r="C1426" s="391" t="s">
        <v>8736</v>
      </c>
      <c r="D1426" s="391" t="s">
        <v>2166</v>
      </c>
    </row>
    <row r="1427" ht="15.75" customHeight="1">
      <c r="B1427" s="391" t="s">
        <v>5492</v>
      </c>
      <c r="C1427" s="391" t="s">
        <v>8737</v>
      </c>
      <c r="D1427" s="391" t="s">
        <v>2166</v>
      </c>
    </row>
    <row r="1428" ht="15.75" customHeight="1">
      <c r="B1428" s="391" t="s">
        <v>5685</v>
      </c>
      <c r="C1428" s="391" t="s">
        <v>8738</v>
      </c>
      <c r="D1428" s="391" t="s">
        <v>2166</v>
      </c>
    </row>
    <row r="1429" ht="15.75" customHeight="1">
      <c r="B1429" s="391" t="s">
        <v>5689</v>
      </c>
      <c r="C1429" s="391" t="s">
        <v>8739</v>
      </c>
      <c r="D1429" s="391" t="s">
        <v>2166</v>
      </c>
    </row>
    <row r="1430" ht="15.75" customHeight="1">
      <c r="B1430" s="391" t="s">
        <v>5681</v>
      </c>
      <c r="C1430" s="391" t="s">
        <v>8740</v>
      </c>
      <c r="D1430" s="391" t="s">
        <v>2166</v>
      </c>
    </row>
    <row r="1431" ht="15.75" customHeight="1">
      <c r="B1431" s="391" t="s">
        <v>5536</v>
      </c>
      <c r="C1431" s="391" t="s">
        <v>8741</v>
      </c>
      <c r="D1431" s="391" t="s">
        <v>2166</v>
      </c>
    </row>
    <row r="1432" ht="15.75" customHeight="1">
      <c r="B1432" s="391" t="s">
        <v>5537</v>
      </c>
      <c r="C1432" s="391" t="s">
        <v>8742</v>
      </c>
      <c r="D1432" s="391" t="s">
        <v>2166</v>
      </c>
    </row>
    <row r="1433" ht="15.75" customHeight="1">
      <c r="B1433" s="391" t="s">
        <v>5502</v>
      </c>
      <c r="C1433" s="391" t="s">
        <v>8743</v>
      </c>
      <c r="D1433" s="391" t="s">
        <v>2166</v>
      </c>
    </row>
    <row r="1434" ht="15.75" customHeight="1">
      <c r="B1434" s="391" t="s">
        <v>5508</v>
      </c>
      <c r="C1434" s="391" t="s">
        <v>8744</v>
      </c>
      <c r="D1434" s="391" t="s">
        <v>2166</v>
      </c>
    </row>
    <row r="1435" ht="15.75" customHeight="1">
      <c r="B1435" s="391" t="s">
        <v>5512</v>
      </c>
      <c r="C1435" s="391" t="s">
        <v>8744</v>
      </c>
      <c r="D1435" s="391" t="s">
        <v>2166</v>
      </c>
    </row>
    <row r="1436" ht="15.75" customHeight="1">
      <c r="B1436" s="391" t="s">
        <v>5496</v>
      </c>
      <c r="C1436" s="391" t="s">
        <v>8744</v>
      </c>
      <c r="D1436" s="391" t="s">
        <v>2166</v>
      </c>
    </row>
    <row r="1437" ht="15.75" customHeight="1">
      <c r="B1437" s="391" t="s">
        <v>5505</v>
      </c>
      <c r="C1437" s="391" t="s">
        <v>8745</v>
      </c>
      <c r="D1437" s="391" t="s">
        <v>2166</v>
      </c>
    </row>
    <row r="1438" ht="15.75" customHeight="1">
      <c r="B1438" s="391" t="s">
        <v>5520</v>
      </c>
      <c r="C1438" s="391" t="s">
        <v>8746</v>
      </c>
      <c r="D1438" s="391" t="s">
        <v>2166</v>
      </c>
    </row>
    <row r="1439" ht="15.75" customHeight="1">
      <c r="B1439" s="391" t="s">
        <v>5516</v>
      </c>
      <c r="C1439" s="391" t="s">
        <v>8747</v>
      </c>
      <c r="D1439" s="391" t="s">
        <v>2166</v>
      </c>
    </row>
    <row r="1440" ht="15.75" customHeight="1">
      <c r="B1440" s="391" t="s">
        <v>5500</v>
      </c>
      <c r="C1440" s="391" t="s">
        <v>8747</v>
      </c>
      <c r="D1440" s="391" t="s">
        <v>2166</v>
      </c>
    </row>
    <row r="1441" ht="15.75" customHeight="1">
      <c r="B1441" s="391" t="s">
        <v>5659</v>
      </c>
      <c r="C1441" s="391" t="s">
        <v>8748</v>
      </c>
      <c r="D1441" s="391" t="s">
        <v>2166</v>
      </c>
    </row>
    <row r="1442" ht="15.75" customHeight="1">
      <c r="B1442" s="391" t="s">
        <v>5278</v>
      </c>
      <c r="C1442" s="391" t="s">
        <v>8748</v>
      </c>
      <c r="D1442" s="391" t="s">
        <v>2195</v>
      </c>
    </row>
    <row r="1443" ht="15.75" customHeight="1">
      <c r="B1443" s="391" t="s">
        <v>5282</v>
      </c>
      <c r="C1443" s="391" t="s">
        <v>8748</v>
      </c>
      <c r="D1443" s="391" t="s">
        <v>2232</v>
      </c>
    </row>
    <row r="1444" ht="15.75" customHeight="1">
      <c r="B1444" s="391" t="s">
        <v>5566</v>
      </c>
      <c r="C1444" s="391" t="s">
        <v>8748</v>
      </c>
      <c r="D1444" s="391" t="s">
        <v>2166</v>
      </c>
    </row>
    <row r="1445" ht="15.75" customHeight="1">
      <c r="B1445" s="391" t="s">
        <v>5668</v>
      </c>
      <c r="C1445" s="391" t="s">
        <v>8748</v>
      </c>
      <c r="D1445" s="391" t="s">
        <v>2166</v>
      </c>
    </row>
    <row r="1446" ht="15.75" customHeight="1">
      <c r="B1446" s="391" t="s">
        <v>5672</v>
      </c>
      <c r="C1446" s="391" t="s">
        <v>8748</v>
      </c>
      <c r="D1446" s="391" t="s">
        <v>2166</v>
      </c>
    </row>
    <row r="1447" ht="15.75" customHeight="1">
      <c r="B1447" s="391" t="s">
        <v>5651</v>
      </c>
      <c r="C1447" s="391" t="s">
        <v>8749</v>
      </c>
      <c r="D1447" s="391" t="s">
        <v>2166</v>
      </c>
    </row>
    <row r="1448" ht="15.75" customHeight="1">
      <c r="B1448" s="391" t="s">
        <v>5534</v>
      </c>
      <c r="C1448" s="391" t="s">
        <v>8750</v>
      </c>
      <c r="D1448" s="391" t="s">
        <v>2166</v>
      </c>
    </row>
    <row r="1449" ht="15.75" customHeight="1">
      <c r="B1449" s="391" t="s">
        <v>8751</v>
      </c>
      <c r="C1449" s="391" t="s">
        <v>8751</v>
      </c>
      <c r="D1449" s="391" t="s">
        <v>2232</v>
      </c>
    </row>
    <row r="1450" ht="15.75" customHeight="1">
      <c r="B1450" s="391" t="s">
        <v>8752</v>
      </c>
      <c r="C1450" s="391" t="s">
        <v>8753</v>
      </c>
      <c r="D1450" s="391" t="s">
        <v>2232</v>
      </c>
    </row>
    <row r="1451" ht="15.75" customHeight="1">
      <c r="B1451" s="391" t="s">
        <v>8754</v>
      </c>
      <c r="C1451" s="391" t="s">
        <v>8753</v>
      </c>
      <c r="D1451" s="391" t="s">
        <v>2232</v>
      </c>
    </row>
    <row r="1452" ht="15.75" customHeight="1">
      <c r="B1452" s="391" t="s">
        <v>8755</v>
      </c>
      <c r="C1452" s="391" t="s">
        <v>8753</v>
      </c>
      <c r="D1452" s="391" t="s">
        <v>2232</v>
      </c>
    </row>
    <row r="1453" ht="15.75" customHeight="1">
      <c r="B1453" s="391" t="s">
        <v>8756</v>
      </c>
      <c r="C1453" s="391" t="s">
        <v>8753</v>
      </c>
      <c r="D1453" s="391" t="s">
        <v>2232</v>
      </c>
    </row>
    <row r="1454" ht="15.75" customHeight="1">
      <c r="B1454" s="391" t="s">
        <v>8757</v>
      </c>
      <c r="C1454" s="391" t="s">
        <v>8758</v>
      </c>
      <c r="D1454" s="391" t="s">
        <v>2195</v>
      </c>
    </row>
    <row r="1455" ht="15.75" customHeight="1">
      <c r="B1455" s="391" t="s">
        <v>8759</v>
      </c>
      <c r="C1455" s="391" t="s">
        <v>8760</v>
      </c>
      <c r="D1455" s="391" t="s">
        <v>2232</v>
      </c>
    </row>
    <row r="1456" ht="15.75" customHeight="1">
      <c r="B1456" s="391" t="s">
        <v>8761</v>
      </c>
      <c r="C1456" s="391" t="s">
        <v>8762</v>
      </c>
      <c r="D1456" s="391" t="s">
        <v>2232</v>
      </c>
    </row>
    <row r="1457" ht="15.75" customHeight="1">
      <c r="B1457" s="391" t="s">
        <v>8763</v>
      </c>
      <c r="C1457" s="391" t="s">
        <v>8764</v>
      </c>
      <c r="D1457" s="391" t="s">
        <v>2195</v>
      </c>
    </row>
    <row r="1458" ht="15.75" customHeight="1">
      <c r="B1458" s="391" t="s">
        <v>8765</v>
      </c>
      <c r="C1458" s="391" t="s">
        <v>8766</v>
      </c>
      <c r="D1458" s="391" t="s">
        <v>2166</v>
      </c>
    </row>
    <row r="1459" ht="15.75" customHeight="1">
      <c r="B1459" s="391" t="s">
        <v>8767</v>
      </c>
      <c r="C1459" s="391" t="s">
        <v>8766</v>
      </c>
      <c r="D1459" s="391" t="s">
        <v>2166</v>
      </c>
    </row>
    <row r="1460" ht="15.75" customHeight="1">
      <c r="B1460" s="391" t="s">
        <v>8768</v>
      </c>
      <c r="C1460" s="391" t="s">
        <v>8766</v>
      </c>
      <c r="D1460" s="391" t="s">
        <v>2166</v>
      </c>
    </row>
    <row r="1461" ht="15.75" customHeight="1">
      <c r="B1461" s="391" t="s">
        <v>8769</v>
      </c>
      <c r="C1461" s="391" t="s">
        <v>8766</v>
      </c>
      <c r="D1461" s="391" t="s">
        <v>2232</v>
      </c>
    </row>
    <row r="1462" ht="15.75" customHeight="1">
      <c r="B1462" s="391" t="s">
        <v>8770</v>
      </c>
      <c r="C1462" s="391" t="s">
        <v>8771</v>
      </c>
      <c r="D1462" s="391" t="s">
        <v>2195</v>
      </c>
    </row>
    <row r="1463" ht="15.75" customHeight="1">
      <c r="B1463" s="391" t="s">
        <v>6074</v>
      </c>
      <c r="C1463" s="391" t="s">
        <v>8771</v>
      </c>
      <c r="D1463" s="391" t="s">
        <v>2195</v>
      </c>
    </row>
    <row r="1464" ht="15.75" customHeight="1">
      <c r="B1464" s="391" t="s">
        <v>6078</v>
      </c>
      <c r="C1464" s="391" t="s">
        <v>8771</v>
      </c>
      <c r="D1464" s="391" t="s">
        <v>2166</v>
      </c>
    </row>
    <row r="1465" ht="15.75" customHeight="1">
      <c r="B1465" s="391" t="s">
        <v>6082</v>
      </c>
      <c r="C1465" s="391" t="s">
        <v>8771</v>
      </c>
      <c r="D1465" s="391" t="s">
        <v>2232</v>
      </c>
    </row>
    <row r="1466" ht="15.75" customHeight="1">
      <c r="B1466" s="391" t="s">
        <v>8772</v>
      </c>
      <c r="C1466" s="391" t="s">
        <v>8773</v>
      </c>
      <c r="D1466" s="391" t="s">
        <v>2195</v>
      </c>
    </row>
    <row r="1467" ht="15.75" customHeight="1">
      <c r="B1467" s="391" t="s">
        <v>6086</v>
      </c>
      <c r="C1467" s="391" t="s">
        <v>8774</v>
      </c>
      <c r="D1467" s="391" t="s">
        <v>2232</v>
      </c>
    </row>
    <row r="1468" ht="15.75" customHeight="1">
      <c r="B1468" s="391" t="s">
        <v>8775</v>
      </c>
      <c r="C1468" s="391" t="s">
        <v>8776</v>
      </c>
      <c r="D1468" s="391" t="s">
        <v>2195</v>
      </c>
    </row>
    <row r="1469" ht="15.75" customHeight="1">
      <c r="B1469" s="391" t="s">
        <v>6113</v>
      </c>
      <c r="C1469" s="391" t="s">
        <v>8777</v>
      </c>
      <c r="D1469" s="391" t="s">
        <v>2195</v>
      </c>
    </row>
    <row r="1470" ht="15.75" customHeight="1">
      <c r="B1470" s="391" t="s">
        <v>8778</v>
      </c>
      <c r="C1470" s="391" t="s">
        <v>8777</v>
      </c>
      <c r="D1470" s="391" t="s">
        <v>2195</v>
      </c>
    </row>
    <row r="1471" ht="15.75" customHeight="1">
      <c r="B1471" s="391" t="s">
        <v>6117</v>
      </c>
      <c r="C1471" s="391" t="s">
        <v>8777</v>
      </c>
      <c r="D1471" s="391" t="s">
        <v>2166</v>
      </c>
    </row>
    <row r="1472" ht="15.75" customHeight="1">
      <c r="B1472" s="391" t="s">
        <v>8779</v>
      </c>
      <c r="C1472" s="391" t="s">
        <v>8780</v>
      </c>
      <c r="D1472" s="391" t="s">
        <v>2232</v>
      </c>
    </row>
    <row r="1473" ht="15.75" customHeight="1">
      <c r="B1473" s="391" t="s">
        <v>6106</v>
      </c>
      <c r="C1473" s="391" t="s">
        <v>8781</v>
      </c>
      <c r="D1473" s="391" t="s">
        <v>2195</v>
      </c>
    </row>
    <row r="1474" ht="15.75" customHeight="1">
      <c r="B1474" s="391" t="s">
        <v>6108</v>
      </c>
      <c r="C1474" s="391" t="s">
        <v>8781</v>
      </c>
      <c r="D1474" s="391" t="s">
        <v>2195</v>
      </c>
    </row>
    <row r="1475" ht="15.75" customHeight="1">
      <c r="B1475" s="391" t="s">
        <v>6110</v>
      </c>
      <c r="C1475" s="391" t="s">
        <v>8781</v>
      </c>
      <c r="D1475" s="391" t="s">
        <v>2195</v>
      </c>
    </row>
    <row r="1476" ht="15.75" customHeight="1">
      <c r="B1476" s="391" t="s">
        <v>8782</v>
      </c>
      <c r="C1476" s="391" t="s">
        <v>8781</v>
      </c>
      <c r="D1476" s="391" t="s">
        <v>2166</v>
      </c>
    </row>
    <row r="1477" ht="15.75" customHeight="1">
      <c r="B1477" s="391" t="s">
        <v>8783</v>
      </c>
      <c r="C1477" s="391" t="s">
        <v>8781</v>
      </c>
      <c r="D1477" s="391" t="s">
        <v>2232</v>
      </c>
    </row>
    <row r="1478" ht="15.75" customHeight="1">
      <c r="B1478" s="391" t="s">
        <v>8784</v>
      </c>
      <c r="C1478" s="391" t="s">
        <v>8781</v>
      </c>
      <c r="D1478" s="391" t="s">
        <v>2232</v>
      </c>
    </row>
    <row r="1479" ht="15.75" customHeight="1">
      <c r="B1479" s="391" t="s">
        <v>8785</v>
      </c>
      <c r="C1479" s="391" t="s">
        <v>8781</v>
      </c>
      <c r="D1479" s="391" t="s">
        <v>2232</v>
      </c>
    </row>
    <row r="1480" ht="15.75" customHeight="1">
      <c r="B1480" s="391" t="s">
        <v>8786</v>
      </c>
      <c r="C1480" s="391" t="s">
        <v>8781</v>
      </c>
      <c r="D1480" s="391" t="s">
        <v>2166</v>
      </c>
    </row>
    <row r="1481" ht="15.75" customHeight="1">
      <c r="B1481" s="391" t="s">
        <v>8787</v>
      </c>
      <c r="C1481" s="391" t="s">
        <v>8788</v>
      </c>
      <c r="D1481" s="391" t="s">
        <v>2166</v>
      </c>
    </row>
    <row r="1482" ht="15.75" customHeight="1">
      <c r="B1482" s="391" t="s">
        <v>5646</v>
      </c>
      <c r="C1482" s="391" t="s">
        <v>8789</v>
      </c>
      <c r="D1482" s="391" t="s">
        <v>2166</v>
      </c>
    </row>
    <row r="1483" ht="15.75" customHeight="1">
      <c r="B1483" s="391" t="s">
        <v>5650</v>
      </c>
      <c r="C1483" s="391" t="s">
        <v>8790</v>
      </c>
      <c r="D1483" s="391" t="s">
        <v>2166</v>
      </c>
    </row>
    <row r="1484" ht="15.75" customHeight="1">
      <c r="B1484" s="391" t="s">
        <v>8791</v>
      </c>
      <c r="C1484" s="391" t="s">
        <v>8792</v>
      </c>
      <c r="D1484" s="391" t="s">
        <v>2166</v>
      </c>
    </row>
    <row r="1485" ht="15.75" customHeight="1">
      <c r="B1485" s="391" t="s">
        <v>8793</v>
      </c>
      <c r="C1485" s="391" t="s">
        <v>8792</v>
      </c>
      <c r="D1485" s="391" t="s">
        <v>2166</v>
      </c>
    </row>
    <row r="1486" ht="15.75" customHeight="1">
      <c r="B1486" s="391" t="s">
        <v>8794</v>
      </c>
      <c r="C1486" s="391" t="s">
        <v>8795</v>
      </c>
      <c r="D1486" s="391" t="s">
        <v>2166</v>
      </c>
    </row>
    <row r="1487" ht="15.75" customHeight="1">
      <c r="B1487" s="391" t="s">
        <v>8796</v>
      </c>
      <c r="C1487" s="391" t="s">
        <v>8796</v>
      </c>
      <c r="D1487" s="391" t="s">
        <v>2166</v>
      </c>
    </row>
    <row r="1488" ht="15.75" customHeight="1">
      <c r="B1488" s="391" t="s">
        <v>8797</v>
      </c>
      <c r="C1488" s="391" t="s">
        <v>8796</v>
      </c>
      <c r="D1488" s="391" t="s">
        <v>2166</v>
      </c>
    </row>
    <row r="1489" ht="15.75" customHeight="1">
      <c r="B1489" s="391" t="s">
        <v>6826</v>
      </c>
      <c r="C1489" s="391" t="s">
        <v>8798</v>
      </c>
      <c r="D1489" s="391" t="s">
        <v>2232</v>
      </c>
    </row>
    <row r="1490" ht="15.75" customHeight="1">
      <c r="B1490" s="391" t="s">
        <v>6577</v>
      </c>
      <c r="C1490" s="391" t="s">
        <v>8799</v>
      </c>
      <c r="D1490" s="391" t="s">
        <v>2166</v>
      </c>
    </row>
    <row r="1491" ht="15.75" customHeight="1">
      <c r="B1491" s="391" t="s">
        <v>6685</v>
      </c>
      <c r="C1491" s="391" t="s">
        <v>8799</v>
      </c>
      <c r="D1491" s="391" t="s">
        <v>2195</v>
      </c>
    </row>
    <row r="1492" ht="15.75" customHeight="1">
      <c r="B1492" s="391" t="s">
        <v>6587</v>
      </c>
      <c r="C1492" s="391" t="s">
        <v>8799</v>
      </c>
      <c r="D1492" s="391" t="s">
        <v>2166</v>
      </c>
    </row>
    <row r="1493" ht="15.75" customHeight="1">
      <c r="B1493" s="391" t="s">
        <v>6625</v>
      </c>
      <c r="C1493" s="391" t="s">
        <v>8799</v>
      </c>
      <c r="D1493" s="391" t="s">
        <v>2195</v>
      </c>
    </row>
    <row r="1494" ht="15.75" customHeight="1">
      <c r="B1494" s="391" t="s">
        <v>6707</v>
      </c>
      <c r="C1494" s="391" t="s">
        <v>8799</v>
      </c>
      <c r="D1494" s="391" t="s">
        <v>2195</v>
      </c>
    </row>
    <row r="1495" ht="15.75" customHeight="1">
      <c r="B1495" s="391" t="s">
        <v>6794</v>
      </c>
      <c r="C1495" s="391" t="s">
        <v>8799</v>
      </c>
      <c r="D1495" s="391" t="s">
        <v>2166</v>
      </c>
    </row>
    <row r="1496" ht="15.75" customHeight="1">
      <c r="B1496" s="391" t="s">
        <v>6832</v>
      </c>
      <c r="C1496" s="391" t="s">
        <v>8799</v>
      </c>
      <c r="D1496" s="391" t="s">
        <v>2195</v>
      </c>
    </row>
    <row r="1497" ht="15.75" customHeight="1">
      <c r="B1497" s="391" t="s">
        <v>6484</v>
      </c>
      <c r="C1497" s="391" t="s">
        <v>8800</v>
      </c>
      <c r="D1497" s="391" t="s">
        <v>2166</v>
      </c>
    </row>
    <row r="1498" ht="15.75" customHeight="1">
      <c r="B1498" s="391" t="s">
        <v>6480</v>
      </c>
      <c r="C1498" s="391" t="s">
        <v>8801</v>
      </c>
      <c r="D1498" s="391" t="s">
        <v>2232</v>
      </c>
    </row>
    <row r="1499" ht="15.75" customHeight="1">
      <c r="B1499" s="391" t="s">
        <v>6630</v>
      </c>
      <c r="C1499" s="391" t="s">
        <v>8802</v>
      </c>
      <c r="D1499" s="391" t="s">
        <v>2166</v>
      </c>
    </row>
    <row r="1500" ht="15.75" customHeight="1">
      <c r="B1500" s="391" t="s">
        <v>6638</v>
      </c>
      <c r="C1500" s="391" t="s">
        <v>8802</v>
      </c>
      <c r="D1500" s="391" t="s">
        <v>2166</v>
      </c>
    </row>
    <row r="1501" ht="15.75" customHeight="1">
      <c r="B1501" s="391" t="s">
        <v>6640</v>
      </c>
      <c r="C1501" s="391" t="s">
        <v>8802</v>
      </c>
      <c r="D1501" s="391" t="s">
        <v>2166</v>
      </c>
    </row>
    <row r="1502" ht="15.75" customHeight="1">
      <c r="B1502" s="391" t="s">
        <v>6642</v>
      </c>
      <c r="C1502" s="391" t="s">
        <v>8802</v>
      </c>
      <c r="D1502" s="391" t="s">
        <v>2166</v>
      </c>
    </row>
    <row r="1503" ht="15.75" customHeight="1">
      <c r="B1503" s="391" t="s">
        <v>6509</v>
      </c>
      <c r="C1503" s="391" t="s">
        <v>8802</v>
      </c>
      <c r="D1503" s="391" t="s">
        <v>2166</v>
      </c>
    </row>
    <row r="1504" ht="15.75" customHeight="1">
      <c r="B1504" s="391" t="s">
        <v>6604</v>
      </c>
      <c r="C1504" s="391" t="s">
        <v>8802</v>
      </c>
      <c r="D1504" s="391" t="s">
        <v>2195</v>
      </c>
    </row>
    <row r="1505" ht="15.75" customHeight="1">
      <c r="B1505" s="391" t="s">
        <v>6606</v>
      </c>
      <c r="C1505" s="391" t="s">
        <v>8802</v>
      </c>
      <c r="D1505" s="391" t="s">
        <v>2166</v>
      </c>
    </row>
    <row r="1506" ht="15.75" customHeight="1">
      <c r="B1506" s="391" t="s">
        <v>6610</v>
      </c>
      <c r="C1506" s="391" t="s">
        <v>8802</v>
      </c>
      <c r="D1506" s="391" t="s">
        <v>2166</v>
      </c>
    </row>
    <row r="1507" ht="15.75" customHeight="1">
      <c r="B1507" s="391" t="s">
        <v>6616</v>
      </c>
      <c r="C1507" s="391" t="s">
        <v>8802</v>
      </c>
      <c r="D1507" s="391" t="s">
        <v>2232</v>
      </c>
    </row>
    <row r="1508" ht="15.75" customHeight="1">
      <c r="B1508" s="391" t="s">
        <v>6486</v>
      </c>
      <c r="C1508" s="391" t="s">
        <v>8802</v>
      </c>
      <c r="D1508" s="391" t="s">
        <v>2166</v>
      </c>
    </row>
    <row r="1509" ht="15.75" customHeight="1">
      <c r="B1509" s="391" t="s">
        <v>6488</v>
      </c>
      <c r="C1509" s="391" t="s">
        <v>8802</v>
      </c>
      <c r="D1509" s="391" t="s">
        <v>2166</v>
      </c>
    </row>
    <row r="1510" ht="15.75" customHeight="1">
      <c r="B1510" s="391" t="s">
        <v>6492</v>
      </c>
      <c r="C1510" s="391" t="s">
        <v>8802</v>
      </c>
      <c r="D1510" s="391" t="s">
        <v>2232</v>
      </c>
    </row>
    <row r="1511" ht="15.75" customHeight="1">
      <c r="B1511" s="391" t="s">
        <v>6496</v>
      </c>
      <c r="C1511" s="391" t="s">
        <v>8802</v>
      </c>
      <c r="D1511" s="391" t="s">
        <v>2195</v>
      </c>
    </row>
    <row r="1512" ht="15.75" customHeight="1">
      <c r="B1512" s="391" t="s">
        <v>6498</v>
      </c>
      <c r="C1512" s="391" t="s">
        <v>8802</v>
      </c>
      <c r="D1512" s="391" t="s">
        <v>2166</v>
      </c>
    </row>
    <row r="1513" ht="15.75" customHeight="1">
      <c r="B1513" s="391" t="s">
        <v>6501</v>
      </c>
      <c r="C1513" s="391" t="s">
        <v>8802</v>
      </c>
      <c r="D1513" s="391" t="s">
        <v>2166</v>
      </c>
    </row>
    <row r="1514" ht="15.75" customHeight="1">
      <c r="B1514" s="391" t="s">
        <v>6595</v>
      </c>
      <c r="C1514" s="391" t="s">
        <v>8802</v>
      </c>
      <c r="D1514" s="391" t="s">
        <v>2166</v>
      </c>
    </row>
    <row r="1515" ht="15.75" customHeight="1">
      <c r="B1515" s="391" t="s">
        <v>6513</v>
      </c>
      <c r="C1515" s="391" t="s">
        <v>8802</v>
      </c>
      <c r="D1515" s="391" t="s">
        <v>2166</v>
      </c>
    </row>
    <row r="1516" ht="15.75" customHeight="1">
      <c r="B1516" s="391" t="s">
        <v>6664</v>
      </c>
      <c r="C1516" s="391" t="s">
        <v>8803</v>
      </c>
      <c r="D1516" s="391" t="s">
        <v>2166</v>
      </c>
    </row>
    <row r="1517" ht="15.75" customHeight="1">
      <c r="B1517" s="391" t="s">
        <v>6668</v>
      </c>
      <c r="C1517" s="391" t="s">
        <v>8804</v>
      </c>
      <c r="D1517" s="391" t="s">
        <v>2166</v>
      </c>
    </row>
    <row r="1518" ht="15.75" customHeight="1">
      <c r="B1518" s="391" t="s">
        <v>8805</v>
      </c>
      <c r="C1518" s="391" t="s">
        <v>8806</v>
      </c>
      <c r="D1518" s="391" t="s">
        <v>2232</v>
      </c>
    </row>
    <row r="1519" ht="15.75" customHeight="1">
      <c r="B1519" s="391" t="s">
        <v>6542</v>
      </c>
      <c r="C1519" s="391" t="s">
        <v>8807</v>
      </c>
      <c r="D1519" s="391" t="s">
        <v>2166</v>
      </c>
    </row>
    <row r="1520" ht="15.75" customHeight="1">
      <c r="B1520" s="391" t="s">
        <v>6476</v>
      </c>
      <c r="C1520" s="391" t="s">
        <v>8808</v>
      </c>
      <c r="D1520" s="391" t="s">
        <v>2166</v>
      </c>
    </row>
    <row r="1521" ht="15.75" customHeight="1">
      <c r="B1521" s="391" t="s">
        <v>6526</v>
      </c>
      <c r="C1521" s="391" t="s">
        <v>8809</v>
      </c>
      <c r="D1521" s="391" t="s">
        <v>2166</v>
      </c>
    </row>
    <row r="1522" ht="15.75" customHeight="1">
      <c r="B1522" s="391" t="s">
        <v>8810</v>
      </c>
      <c r="C1522" s="391" t="s">
        <v>8809</v>
      </c>
      <c r="D1522" s="391" t="s">
        <v>2166</v>
      </c>
    </row>
    <row r="1523" ht="15.75" customHeight="1">
      <c r="B1523" s="391" t="s">
        <v>8811</v>
      </c>
      <c r="C1523" s="391" t="s">
        <v>8809</v>
      </c>
      <c r="D1523" s="391" t="s">
        <v>2166</v>
      </c>
    </row>
    <row r="1524" ht="15.75" customHeight="1">
      <c r="B1524" s="391" t="s">
        <v>8812</v>
      </c>
      <c r="C1524" s="391" t="s">
        <v>8809</v>
      </c>
      <c r="D1524" s="391" t="s">
        <v>2166</v>
      </c>
    </row>
    <row r="1525" ht="15.75" customHeight="1">
      <c r="B1525" s="391" t="s">
        <v>8813</v>
      </c>
      <c r="C1525" s="391" t="s">
        <v>8814</v>
      </c>
      <c r="D1525" s="391" t="s">
        <v>2166</v>
      </c>
    </row>
    <row r="1526" ht="15.75" customHeight="1">
      <c r="B1526" s="391" t="s">
        <v>6675</v>
      </c>
      <c r="C1526" s="391" t="s">
        <v>8815</v>
      </c>
      <c r="D1526" s="391" t="s">
        <v>2166</v>
      </c>
    </row>
    <row r="1527" ht="15.75" customHeight="1">
      <c r="B1527" s="391" t="s">
        <v>5845</v>
      </c>
      <c r="C1527" s="391" t="s">
        <v>8815</v>
      </c>
      <c r="D1527" s="391" t="s">
        <v>2166</v>
      </c>
    </row>
    <row r="1528" ht="15.75" customHeight="1">
      <c r="B1528" s="391" t="s">
        <v>6334</v>
      </c>
      <c r="C1528" s="391" t="s">
        <v>8816</v>
      </c>
      <c r="D1528" s="391" t="s">
        <v>2195</v>
      </c>
    </row>
    <row r="1529" ht="15.75" customHeight="1">
      <c r="B1529" s="391" t="s">
        <v>8817</v>
      </c>
      <c r="C1529" s="391" t="s">
        <v>8818</v>
      </c>
      <c r="D1529" s="391" t="s">
        <v>2195</v>
      </c>
    </row>
    <row r="1530" ht="15.75" customHeight="1">
      <c r="B1530" s="391" t="s">
        <v>6810</v>
      </c>
      <c r="C1530" s="391" t="s">
        <v>8819</v>
      </c>
      <c r="D1530" s="391" t="s">
        <v>2166</v>
      </c>
    </row>
    <row r="1531" ht="15.75" customHeight="1">
      <c r="B1531" s="391" t="s">
        <v>6360</v>
      </c>
      <c r="C1531" s="391" t="s">
        <v>8820</v>
      </c>
      <c r="D1531" s="391" t="s">
        <v>2195</v>
      </c>
    </row>
    <row r="1532" ht="15.75" customHeight="1">
      <c r="B1532" s="391" t="s">
        <v>6771</v>
      </c>
      <c r="C1532" s="391" t="s">
        <v>8821</v>
      </c>
      <c r="D1532" s="391" t="s">
        <v>2166</v>
      </c>
    </row>
    <row r="1533" ht="15.75" customHeight="1">
      <c r="B1533" s="391" t="s">
        <v>6691</v>
      </c>
      <c r="C1533" s="391" t="s">
        <v>8822</v>
      </c>
      <c r="D1533" s="391" t="s">
        <v>2166</v>
      </c>
    </row>
    <row r="1534" ht="15.75" customHeight="1">
      <c r="B1534" s="391" t="s">
        <v>6299</v>
      </c>
      <c r="C1534" s="391" t="s">
        <v>8823</v>
      </c>
      <c r="D1534" s="391" t="s">
        <v>2195</v>
      </c>
    </row>
    <row r="1535" ht="15.75" customHeight="1">
      <c r="B1535" s="391" t="s">
        <v>6697</v>
      </c>
      <c r="C1535" s="391" t="s">
        <v>8823</v>
      </c>
      <c r="D1535" s="391" t="s">
        <v>2166</v>
      </c>
    </row>
    <row r="1536" ht="15.75" customHeight="1">
      <c r="B1536" s="391" t="s">
        <v>6699</v>
      </c>
      <c r="C1536" s="391" t="s">
        <v>8823</v>
      </c>
      <c r="D1536" s="391" t="s">
        <v>2166</v>
      </c>
    </row>
    <row r="1537" ht="15.75" customHeight="1">
      <c r="B1537" s="391" t="s">
        <v>6701</v>
      </c>
      <c r="C1537" s="391" t="s">
        <v>8823</v>
      </c>
      <c r="D1537" s="391" t="s">
        <v>2166</v>
      </c>
    </row>
    <row r="1538" ht="15.75" customHeight="1">
      <c r="B1538" s="391" t="s">
        <v>8824</v>
      </c>
      <c r="C1538" s="391" t="s">
        <v>8825</v>
      </c>
      <c r="D1538" s="391" t="s">
        <v>2195</v>
      </c>
    </row>
    <row r="1539" ht="15.75" customHeight="1">
      <c r="B1539" s="391" t="s">
        <v>6370</v>
      </c>
      <c r="C1539" s="391" t="s">
        <v>8826</v>
      </c>
      <c r="D1539" s="391" t="s">
        <v>2232</v>
      </c>
    </row>
    <row r="1540" ht="15.75" customHeight="1">
      <c r="B1540" s="391" t="s">
        <v>6368</v>
      </c>
      <c r="C1540" s="391" t="s">
        <v>8827</v>
      </c>
      <c r="D1540" s="391" t="s">
        <v>2166</v>
      </c>
    </row>
    <row r="1541" ht="15.75" customHeight="1">
      <c r="B1541" s="391" t="s">
        <v>6711</v>
      </c>
      <c r="C1541" s="391" t="s">
        <v>8828</v>
      </c>
      <c r="D1541" s="391" t="s">
        <v>2232</v>
      </c>
    </row>
    <row r="1542" ht="15.75" customHeight="1">
      <c r="B1542" s="391" t="s">
        <v>6738</v>
      </c>
      <c r="C1542" s="391" t="s">
        <v>8828</v>
      </c>
      <c r="D1542" s="391" t="s">
        <v>2232</v>
      </c>
    </row>
    <row r="1543" ht="15.75" customHeight="1">
      <c r="B1543" s="391" t="s">
        <v>6709</v>
      </c>
      <c r="C1543" s="391" t="s">
        <v>8829</v>
      </c>
      <c r="D1543" s="391" t="s">
        <v>2166</v>
      </c>
    </row>
    <row r="1544" ht="15.75" customHeight="1">
      <c r="B1544" s="391" t="s">
        <v>8830</v>
      </c>
      <c r="C1544" s="391" t="s">
        <v>8831</v>
      </c>
      <c r="D1544" s="391" t="s">
        <v>2195</v>
      </c>
    </row>
    <row r="1545" ht="15.75" customHeight="1">
      <c r="B1545" s="391" t="s">
        <v>8832</v>
      </c>
      <c r="C1545" s="391" t="s">
        <v>8833</v>
      </c>
      <c r="D1545" s="391" t="s">
        <v>2166</v>
      </c>
    </row>
    <row r="1546" ht="15.75" customHeight="1">
      <c r="B1546" s="391" t="s">
        <v>8834</v>
      </c>
      <c r="C1546" s="391" t="s">
        <v>8833</v>
      </c>
      <c r="D1546" s="391" t="s">
        <v>2166</v>
      </c>
    </row>
    <row r="1547" ht="15.75" customHeight="1">
      <c r="B1547" s="391" t="s">
        <v>6362</v>
      </c>
      <c r="C1547" s="391" t="s">
        <v>8833</v>
      </c>
      <c r="D1547" s="391" t="s">
        <v>2195</v>
      </c>
    </row>
    <row r="1548" ht="15.75" customHeight="1">
      <c r="B1548" s="391" t="s">
        <v>6854</v>
      </c>
      <c r="C1548" s="391" t="s">
        <v>8835</v>
      </c>
      <c r="D1548" s="391" t="s">
        <v>2166</v>
      </c>
    </row>
    <row r="1549" ht="15.75" customHeight="1">
      <c r="B1549" s="391" t="s">
        <v>6857</v>
      </c>
      <c r="C1549" s="391" t="s">
        <v>8835</v>
      </c>
      <c r="D1549" s="391" t="s">
        <v>2166</v>
      </c>
    </row>
    <row r="1550" ht="15.75" customHeight="1">
      <c r="B1550" s="391" t="s">
        <v>6164</v>
      </c>
      <c r="C1550" s="391" t="s">
        <v>8836</v>
      </c>
      <c r="D1550" s="391" t="s">
        <v>2195</v>
      </c>
    </row>
    <row r="1551" ht="15.75" customHeight="1">
      <c r="B1551" s="391" t="s">
        <v>6221</v>
      </c>
      <c r="C1551" s="391" t="s">
        <v>8836</v>
      </c>
      <c r="D1551" s="391" t="s">
        <v>2195</v>
      </c>
    </row>
    <row r="1552" ht="15.75" customHeight="1">
      <c r="B1552" s="391" t="s">
        <v>6225</v>
      </c>
      <c r="C1552" s="391" t="s">
        <v>8836</v>
      </c>
      <c r="D1552" s="391" t="s">
        <v>2166</v>
      </c>
    </row>
    <row r="1553" ht="15.75" customHeight="1">
      <c r="B1553" s="391" t="s">
        <v>6233</v>
      </c>
      <c r="C1553" s="391" t="s">
        <v>8836</v>
      </c>
      <c r="D1553" s="391" t="s">
        <v>2195</v>
      </c>
    </row>
    <row r="1554" ht="15.75" customHeight="1">
      <c r="B1554" s="391" t="s">
        <v>8837</v>
      </c>
      <c r="C1554" s="391" t="s">
        <v>8838</v>
      </c>
      <c r="D1554" s="391" t="s">
        <v>2232</v>
      </c>
    </row>
    <row r="1555" ht="15.75" customHeight="1">
      <c r="B1555" s="391" t="s">
        <v>8839</v>
      </c>
      <c r="C1555" s="391" t="s">
        <v>8838</v>
      </c>
      <c r="D1555" s="391" t="s">
        <v>2195</v>
      </c>
    </row>
    <row r="1556" ht="15.75" customHeight="1">
      <c r="B1556" s="391" t="s">
        <v>8840</v>
      </c>
      <c r="C1556" s="391" t="s">
        <v>8838</v>
      </c>
      <c r="D1556" s="391" t="s">
        <v>2195</v>
      </c>
    </row>
    <row r="1557" ht="15.75" customHeight="1">
      <c r="B1557" s="391" t="s">
        <v>8841</v>
      </c>
      <c r="C1557" s="391" t="s">
        <v>8842</v>
      </c>
      <c r="D1557" s="391" t="s">
        <v>2195</v>
      </c>
    </row>
    <row r="1558" ht="15.75" customHeight="1">
      <c r="B1558" s="391" t="s">
        <v>8843</v>
      </c>
      <c r="C1558" s="391" t="s">
        <v>8844</v>
      </c>
      <c r="D1558" s="391" t="s">
        <v>2195</v>
      </c>
    </row>
    <row r="1559" ht="15.75" customHeight="1">
      <c r="B1559" s="391" t="s">
        <v>6402</v>
      </c>
      <c r="C1559" s="391" t="s">
        <v>8844</v>
      </c>
      <c r="D1559" s="391" t="s">
        <v>2166</v>
      </c>
    </row>
    <row r="1560" ht="15.75" customHeight="1">
      <c r="B1560" s="391" t="s">
        <v>6174</v>
      </c>
      <c r="C1560" s="391" t="s">
        <v>8845</v>
      </c>
      <c r="D1560" s="391" t="s">
        <v>2166</v>
      </c>
    </row>
    <row r="1561" ht="15.75" customHeight="1">
      <c r="B1561" s="391" t="s">
        <v>6229</v>
      </c>
      <c r="C1561" s="391" t="s">
        <v>8845</v>
      </c>
      <c r="D1561" s="391" t="s">
        <v>2195</v>
      </c>
    </row>
    <row r="1562" ht="15.75" customHeight="1">
      <c r="B1562" s="391" t="s">
        <v>6242</v>
      </c>
      <c r="C1562" s="391" t="s">
        <v>8846</v>
      </c>
      <c r="D1562" s="391" t="s">
        <v>2166</v>
      </c>
    </row>
    <row r="1563" ht="15.75" customHeight="1">
      <c r="B1563" s="391" t="s">
        <v>6250</v>
      </c>
      <c r="C1563" s="391" t="s">
        <v>8846</v>
      </c>
      <c r="D1563" s="391" t="s">
        <v>2166</v>
      </c>
    </row>
    <row r="1564" ht="15.75" customHeight="1">
      <c r="B1564" s="391" t="s">
        <v>6246</v>
      </c>
      <c r="C1564" s="391" t="s">
        <v>8847</v>
      </c>
      <c r="D1564" s="391" t="s">
        <v>2166</v>
      </c>
    </row>
    <row r="1565" ht="15.75" customHeight="1">
      <c r="B1565" s="391" t="s">
        <v>6256</v>
      </c>
      <c r="C1565" s="391" t="s">
        <v>8847</v>
      </c>
      <c r="D1565" s="391" t="s">
        <v>2195</v>
      </c>
    </row>
    <row r="1566" ht="15.75" customHeight="1">
      <c r="B1566" s="391" t="s">
        <v>6260</v>
      </c>
      <c r="C1566" s="391" t="s">
        <v>8847</v>
      </c>
      <c r="D1566" s="391" t="s">
        <v>2166</v>
      </c>
    </row>
    <row r="1567" ht="15.75" customHeight="1">
      <c r="B1567" s="391" t="s">
        <v>6268</v>
      </c>
      <c r="C1567" s="391" t="s">
        <v>8848</v>
      </c>
      <c r="D1567" s="391" t="s">
        <v>2166</v>
      </c>
    </row>
    <row r="1568" ht="15.75" customHeight="1">
      <c r="B1568" s="391" t="s">
        <v>6859</v>
      </c>
      <c r="C1568" s="391" t="s">
        <v>8848</v>
      </c>
      <c r="D1568" s="391" t="s">
        <v>2166</v>
      </c>
    </row>
    <row r="1569" ht="15.75" customHeight="1">
      <c r="B1569" s="391" t="s">
        <v>6324</v>
      </c>
      <c r="C1569" s="391" t="s">
        <v>8848</v>
      </c>
      <c r="D1569" s="391" t="s">
        <v>2195</v>
      </c>
    </row>
    <row r="1570" ht="15.75" customHeight="1">
      <c r="B1570" s="391" t="s">
        <v>6337</v>
      </c>
      <c r="C1570" s="391" t="s">
        <v>8848</v>
      </c>
      <c r="D1570" s="391" t="s">
        <v>2195</v>
      </c>
    </row>
    <row r="1571" ht="15.75" customHeight="1">
      <c r="B1571" s="391" t="s">
        <v>6185</v>
      </c>
      <c r="C1571" s="391" t="s">
        <v>8849</v>
      </c>
      <c r="D1571" s="391" t="s">
        <v>2166</v>
      </c>
    </row>
    <row r="1572" ht="15.75" customHeight="1">
      <c r="B1572" s="391" t="s">
        <v>6189</v>
      </c>
      <c r="C1572" s="391" t="s">
        <v>8849</v>
      </c>
      <c r="D1572" s="391" t="s">
        <v>2166</v>
      </c>
    </row>
    <row r="1573" ht="15.75" customHeight="1">
      <c r="B1573" s="391" t="s">
        <v>6145</v>
      </c>
      <c r="C1573" s="391" t="s">
        <v>8850</v>
      </c>
      <c r="D1573" s="391" t="s">
        <v>2166</v>
      </c>
    </row>
    <row r="1574" ht="15.75" customHeight="1">
      <c r="B1574" s="391" t="s">
        <v>6156</v>
      </c>
      <c r="C1574" s="391" t="s">
        <v>8850</v>
      </c>
      <c r="D1574" s="391" t="s">
        <v>2166</v>
      </c>
    </row>
    <row r="1575" ht="15.75" customHeight="1">
      <c r="B1575" s="391" t="s">
        <v>6160</v>
      </c>
      <c r="C1575" s="391" t="s">
        <v>8850</v>
      </c>
      <c r="D1575" s="391" t="s">
        <v>2166</v>
      </c>
    </row>
    <row r="1576" ht="15.75" customHeight="1">
      <c r="B1576" s="391" t="s">
        <v>8851</v>
      </c>
      <c r="C1576" s="391" t="s">
        <v>8850</v>
      </c>
      <c r="D1576" s="391" t="s">
        <v>2195</v>
      </c>
    </row>
    <row r="1577" ht="15.75" customHeight="1">
      <c r="B1577" s="391" t="s">
        <v>6193</v>
      </c>
      <c r="C1577" s="391" t="s">
        <v>8850</v>
      </c>
      <c r="D1577" s="391" t="s">
        <v>2166</v>
      </c>
    </row>
    <row r="1578" ht="15.75" customHeight="1">
      <c r="B1578" s="391" t="s">
        <v>6203</v>
      </c>
      <c r="C1578" s="391" t="s">
        <v>8850</v>
      </c>
      <c r="D1578" s="391" t="s">
        <v>2195</v>
      </c>
    </row>
    <row r="1579" ht="15.75" customHeight="1">
      <c r="B1579" s="391" t="s">
        <v>8852</v>
      </c>
      <c r="C1579" s="391" t="s">
        <v>8850</v>
      </c>
      <c r="D1579" s="391" t="s">
        <v>2195</v>
      </c>
    </row>
    <row r="1580" ht="15.75" customHeight="1">
      <c r="B1580" s="391" t="s">
        <v>6213</v>
      </c>
      <c r="C1580" s="391" t="s">
        <v>8850</v>
      </c>
      <c r="D1580" s="391" t="s">
        <v>2166</v>
      </c>
    </row>
    <row r="1581" ht="15.75" customHeight="1">
      <c r="B1581" s="391" t="s">
        <v>6273</v>
      </c>
      <c r="C1581" s="391" t="s">
        <v>8853</v>
      </c>
      <c r="D1581" s="391" t="s">
        <v>2166</v>
      </c>
    </row>
    <row r="1582" ht="15.75" customHeight="1">
      <c r="B1582" s="391" t="s">
        <v>6197</v>
      </c>
      <c r="C1582" s="391" t="s">
        <v>8853</v>
      </c>
      <c r="D1582" s="391" t="s">
        <v>2232</v>
      </c>
    </row>
    <row r="1583" ht="15.75" customHeight="1">
      <c r="B1583" s="391" t="s">
        <v>8854</v>
      </c>
      <c r="C1583" s="391" t="s">
        <v>8853</v>
      </c>
      <c r="D1583" s="391" t="s">
        <v>2166</v>
      </c>
    </row>
    <row r="1584" ht="15.75" customHeight="1">
      <c r="B1584" s="391" t="s">
        <v>7271</v>
      </c>
      <c r="C1584" s="391" t="s">
        <v>8853</v>
      </c>
      <c r="D1584" s="391" t="s">
        <v>2232</v>
      </c>
    </row>
    <row r="1585" ht="15.75" customHeight="1">
      <c r="B1585" s="391" t="s">
        <v>6301</v>
      </c>
      <c r="C1585" s="391" t="s">
        <v>8855</v>
      </c>
      <c r="D1585" s="391" t="s">
        <v>2166</v>
      </c>
    </row>
    <row r="1586" ht="15.75" customHeight="1">
      <c r="B1586" s="391" t="s">
        <v>6303</v>
      </c>
      <c r="C1586" s="391" t="s">
        <v>8855</v>
      </c>
      <c r="D1586" s="391" t="s">
        <v>2195</v>
      </c>
    </row>
    <row r="1587" ht="15.75" customHeight="1">
      <c r="B1587" s="391" t="s">
        <v>6309</v>
      </c>
      <c r="C1587" s="391" t="s">
        <v>8855</v>
      </c>
      <c r="D1587" s="391" t="s">
        <v>2166</v>
      </c>
    </row>
    <row r="1588" ht="15.75" customHeight="1">
      <c r="B1588" s="391" t="s">
        <v>6858</v>
      </c>
      <c r="C1588" s="391" t="s">
        <v>8855</v>
      </c>
      <c r="D1588" s="391" t="s">
        <v>2166</v>
      </c>
    </row>
    <row r="1589" ht="15.75" customHeight="1">
      <c r="B1589" s="391" t="s">
        <v>7273</v>
      </c>
      <c r="C1589" s="391" t="s">
        <v>8856</v>
      </c>
      <c r="D1589" s="391" t="s">
        <v>2232</v>
      </c>
    </row>
    <row r="1590" ht="15.75" customHeight="1">
      <c r="B1590" s="391" t="s">
        <v>6275</v>
      </c>
      <c r="C1590" s="391" t="s">
        <v>8856</v>
      </c>
      <c r="D1590" s="391" t="s">
        <v>2166</v>
      </c>
    </row>
    <row r="1591" ht="15.75" customHeight="1">
      <c r="B1591" s="391" t="s">
        <v>6279</v>
      </c>
      <c r="C1591" s="391" t="s">
        <v>8857</v>
      </c>
      <c r="D1591" s="391" t="s">
        <v>2166</v>
      </c>
    </row>
    <row r="1592" ht="15.75" customHeight="1">
      <c r="B1592" s="391" t="s">
        <v>6281</v>
      </c>
      <c r="C1592" s="391" t="s">
        <v>8857</v>
      </c>
      <c r="D1592" s="391" t="s">
        <v>2166</v>
      </c>
    </row>
    <row r="1593" ht="15.75" customHeight="1">
      <c r="B1593" s="391" t="s">
        <v>6285</v>
      </c>
      <c r="C1593" s="391" t="s">
        <v>8857</v>
      </c>
      <c r="D1593" s="391" t="s">
        <v>2166</v>
      </c>
    </row>
    <row r="1594" ht="15.75" customHeight="1">
      <c r="B1594" s="391" t="s">
        <v>6350</v>
      </c>
      <c r="C1594" s="391" t="s">
        <v>8858</v>
      </c>
      <c r="D1594" s="391" t="s">
        <v>2166</v>
      </c>
    </row>
    <row r="1595" ht="15.75" customHeight="1">
      <c r="B1595" s="391" t="s">
        <v>6171</v>
      </c>
      <c r="C1595" s="391" t="s">
        <v>8859</v>
      </c>
      <c r="D1595" s="391" t="s">
        <v>2166</v>
      </c>
    </row>
    <row r="1596" ht="15.75" customHeight="1">
      <c r="B1596" s="391" t="s">
        <v>8860</v>
      </c>
      <c r="C1596" s="391" t="s">
        <v>8861</v>
      </c>
      <c r="D1596" s="391" t="s">
        <v>2195</v>
      </c>
    </row>
    <row r="1597" ht="15.75" customHeight="1">
      <c r="B1597" s="391" t="s">
        <v>8862</v>
      </c>
      <c r="C1597" s="391" t="s">
        <v>8863</v>
      </c>
      <c r="D1597" s="391" t="s">
        <v>2166</v>
      </c>
    </row>
    <row r="1598" ht="15.75" customHeight="1">
      <c r="B1598" s="391" t="s">
        <v>8864</v>
      </c>
      <c r="C1598" s="391" t="s">
        <v>8865</v>
      </c>
      <c r="D1598" s="391" t="s">
        <v>2195</v>
      </c>
    </row>
    <row r="1599" ht="15.75" customHeight="1">
      <c r="B1599" s="391" t="s">
        <v>6834</v>
      </c>
      <c r="C1599" s="391" t="s">
        <v>8865</v>
      </c>
      <c r="D1599" s="391" t="s">
        <v>2232</v>
      </c>
    </row>
    <row r="1600" ht="15.75" customHeight="1">
      <c r="B1600" s="391" t="s">
        <v>6836</v>
      </c>
      <c r="C1600" s="391" t="s">
        <v>8866</v>
      </c>
      <c r="D1600" s="391" t="s">
        <v>2195</v>
      </c>
    </row>
    <row r="1601" ht="15.75" customHeight="1">
      <c r="B1601" s="391" t="s">
        <v>6840</v>
      </c>
      <c r="C1601" s="391" t="s">
        <v>8866</v>
      </c>
      <c r="D1601" s="391" t="s">
        <v>2232</v>
      </c>
    </row>
    <row r="1602" ht="15.75" customHeight="1">
      <c r="B1602" s="391" t="s">
        <v>6842</v>
      </c>
      <c r="C1602" s="391" t="s">
        <v>8866</v>
      </c>
      <c r="D1602" s="391" t="s">
        <v>2232</v>
      </c>
    </row>
    <row r="1603" ht="15.75" customHeight="1">
      <c r="B1603" s="391" t="s">
        <v>6844</v>
      </c>
      <c r="C1603" s="391" t="s">
        <v>8866</v>
      </c>
      <c r="D1603" s="391" t="s">
        <v>2232</v>
      </c>
    </row>
    <row r="1604" ht="15.75" customHeight="1">
      <c r="B1604" s="391" t="s">
        <v>6846</v>
      </c>
      <c r="C1604" s="391" t="s">
        <v>8866</v>
      </c>
      <c r="D1604" s="391" t="s">
        <v>2232</v>
      </c>
    </row>
    <row r="1605" ht="15.75" customHeight="1">
      <c r="B1605" s="391" t="s">
        <v>6848</v>
      </c>
      <c r="C1605" s="391" t="s">
        <v>8866</v>
      </c>
      <c r="D1605" s="391" t="s">
        <v>2232</v>
      </c>
    </row>
    <row r="1606" ht="15.75" customHeight="1">
      <c r="B1606" s="391" t="s">
        <v>6850</v>
      </c>
      <c r="C1606" s="391" t="s">
        <v>8866</v>
      </c>
      <c r="D1606" s="391" t="s">
        <v>2232</v>
      </c>
    </row>
    <row r="1607" ht="15.75" customHeight="1">
      <c r="B1607" s="391" t="s">
        <v>6852</v>
      </c>
      <c r="C1607" s="391" t="s">
        <v>8866</v>
      </c>
      <c r="D1607" s="391" t="s">
        <v>2232</v>
      </c>
    </row>
    <row r="1608" ht="15.75" customHeight="1">
      <c r="B1608" s="391" t="s">
        <v>6796</v>
      </c>
      <c r="C1608" s="391" t="s">
        <v>8866</v>
      </c>
      <c r="D1608" s="391" t="s">
        <v>2166</v>
      </c>
    </row>
    <row r="1609" ht="15.75" customHeight="1">
      <c r="B1609" s="391" t="s">
        <v>6798</v>
      </c>
      <c r="C1609" s="391" t="s">
        <v>8866</v>
      </c>
      <c r="D1609" s="391" t="s">
        <v>2166</v>
      </c>
    </row>
    <row r="1610" ht="15.75" customHeight="1">
      <c r="B1610" s="391" t="s">
        <v>6801</v>
      </c>
      <c r="C1610" s="391" t="s">
        <v>8866</v>
      </c>
      <c r="D1610" s="391" t="s">
        <v>2195</v>
      </c>
    </row>
    <row r="1611" ht="15.75" customHeight="1">
      <c r="B1611" s="391" t="s">
        <v>6773</v>
      </c>
      <c r="C1611" s="391" t="s">
        <v>8867</v>
      </c>
      <c r="D1611" s="391" t="s">
        <v>2166</v>
      </c>
    </row>
    <row r="1612" ht="15.75" customHeight="1">
      <c r="B1612" s="391" t="s">
        <v>6786</v>
      </c>
      <c r="C1612" s="391" t="s">
        <v>8867</v>
      </c>
      <c r="D1612" s="391" t="s">
        <v>2166</v>
      </c>
    </row>
    <row r="1613" ht="15.75" customHeight="1">
      <c r="B1613" s="391" t="s">
        <v>6802</v>
      </c>
      <c r="C1613" s="391" t="s">
        <v>8867</v>
      </c>
      <c r="D1613" s="391" t="s">
        <v>2232</v>
      </c>
    </row>
    <row r="1614" ht="15.75" customHeight="1">
      <c r="B1614" s="391" t="s">
        <v>6806</v>
      </c>
      <c r="C1614" s="391" t="s">
        <v>8867</v>
      </c>
      <c r="D1614" s="391" t="s">
        <v>2166</v>
      </c>
    </row>
    <row r="1615" ht="15.75" customHeight="1">
      <c r="B1615" s="391" t="s">
        <v>6777</v>
      </c>
      <c r="C1615" s="391" t="s">
        <v>8868</v>
      </c>
      <c r="D1615" s="391" t="s">
        <v>2195</v>
      </c>
    </row>
    <row r="1616" ht="15.75" customHeight="1">
      <c r="B1616" s="391" t="s">
        <v>6779</v>
      </c>
      <c r="C1616" s="391" t="s">
        <v>8868</v>
      </c>
      <c r="D1616" s="391" t="s">
        <v>2166</v>
      </c>
    </row>
    <row r="1617" ht="15.75" customHeight="1">
      <c r="B1617" s="391" t="s">
        <v>6785</v>
      </c>
      <c r="C1617" s="391" t="s">
        <v>8868</v>
      </c>
      <c r="D1617" s="391" t="s">
        <v>2166</v>
      </c>
    </row>
    <row r="1618" ht="15.75" customHeight="1">
      <c r="B1618" s="391" t="s">
        <v>6828</v>
      </c>
      <c r="C1618" s="391" t="s">
        <v>8868</v>
      </c>
      <c r="D1618" s="391" t="s">
        <v>2166</v>
      </c>
    </row>
    <row r="1619" ht="15.75" customHeight="1">
      <c r="B1619" s="391" t="s">
        <v>6830</v>
      </c>
      <c r="C1619" s="391" t="s">
        <v>8868</v>
      </c>
      <c r="D1619" s="391" t="s">
        <v>2166</v>
      </c>
    </row>
    <row r="1620" ht="15.75" customHeight="1">
      <c r="B1620" s="391" t="s">
        <v>8869</v>
      </c>
      <c r="C1620" s="391" t="s">
        <v>8870</v>
      </c>
      <c r="D1620" s="391" t="s">
        <v>2166</v>
      </c>
    </row>
    <row r="1621" ht="15.75" customHeight="1">
      <c r="B1621" s="391" t="s">
        <v>6744</v>
      </c>
      <c r="C1621" s="391" t="s">
        <v>8871</v>
      </c>
      <c r="D1621" s="391" t="s">
        <v>2195</v>
      </c>
    </row>
    <row r="1622" ht="15.75" customHeight="1">
      <c r="B1622" s="391" t="s">
        <v>6746</v>
      </c>
      <c r="C1622" s="391" t="s">
        <v>8871</v>
      </c>
      <c r="D1622" s="391" t="s">
        <v>2166</v>
      </c>
    </row>
    <row r="1623" ht="15.75" customHeight="1">
      <c r="B1623" s="391" t="s">
        <v>6790</v>
      </c>
      <c r="C1623" s="391" t="s">
        <v>8872</v>
      </c>
      <c r="D1623" s="391" t="s">
        <v>2166</v>
      </c>
    </row>
    <row r="1624" ht="15.75" customHeight="1">
      <c r="B1624" s="391" t="s">
        <v>6437</v>
      </c>
      <c r="C1624" s="391" t="s">
        <v>8873</v>
      </c>
      <c r="D1624" s="391" t="s">
        <v>2195</v>
      </c>
    </row>
    <row r="1625" ht="15.75" customHeight="1">
      <c r="B1625" s="391" t="s">
        <v>8874</v>
      </c>
      <c r="C1625" s="391" t="s">
        <v>8873</v>
      </c>
      <c r="D1625" s="391" t="s">
        <v>2195</v>
      </c>
    </row>
    <row r="1626" ht="15.75" customHeight="1">
      <c r="B1626" s="391" t="s">
        <v>8875</v>
      </c>
      <c r="C1626" s="391" t="s">
        <v>8876</v>
      </c>
      <c r="D1626" s="391" t="s">
        <v>2232</v>
      </c>
    </row>
    <row r="1627" ht="15.75" customHeight="1">
      <c r="B1627" s="391" t="s">
        <v>8877</v>
      </c>
      <c r="C1627" s="391" t="s">
        <v>8876</v>
      </c>
      <c r="D1627" s="391" t="s">
        <v>2232</v>
      </c>
    </row>
    <row r="1628" ht="15.75" customHeight="1">
      <c r="B1628" s="391" t="s">
        <v>8878</v>
      </c>
      <c r="C1628" s="391" t="s">
        <v>8876</v>
      </c>
      <c r="D1628" s="391" t="s">
        <v>2232</v>
      </c>
    </row>
    <row r="1629" ht="15.75" customHeight="1">
      <c r="B1629" s="391" t="s">
        <v>8879</v>
      </c>
      <c r="C1629" s="391" t="s">
        <v>8876</v>
      </c>
      <c r="D1629" s="391" t="s">
        <v>2195</v>
      </c>
    </row>
    <row r="1630" ht="15.75" customHeight="1">
      <c r="B1630" s="391" t="s">
        <v>8880</v>
      </c>
      <c r="C1630" s="391" t="s">
        <v>8876</v>
      </c>
      <c r="D1630" s="391" t="s">
        <v>2232</v>
      </c>
    </row>
    <row r="1631" ht="15.75" customHeight="1">
      <c r="B1631" s="391" t="s">
        <v>8881</v>
      </c>
      <c r="C1631" s="391" t="s">
        <v>8882</v>
      </c>
      <c r="D1631" s="391" t="s">
        <v>2232</v>
      </c>
    </row>
    <row r="1632" ht="15.75" customHeight="1">
      <c r="B1632" s="391" t="s">
        <v>8883</v>
      </c>
      <c r="C1632" s="391" t="s">
        <v>8884</v>
      </c>
      <c r="D1632" s="391" t="s">
        <v>2195</v>
      </c>
    </row>
    <row r="1633" ht="15.75" customHeight="1">
      <c r="B1633" s="391" t="s">
        <v>6426</v>
      </c>
      <c r="C1633" s="391" t="s">
        <v>8884</v>
      </c>
      <c r="D1633" s="391" t="s">
        <v>2166</v>
      </c>
    </row>
    <row r="1634" ht="15.75" customHeight="1">
      <c r="B1634" s="391" t="s">
        <v>8885</v>
      </c>
      <c r="C1634" s="391" t="s">
        <v>8886</v>
      </c>
      <c r="D1634" s="391" t="s">
        <v>2195</v>
      </c>
    </row>
    <row r="1635" ht="15.75" customHeight="1">
      <c r="B1635" s="391" t="s">
        <v>8887</v>
      </c>
      <c r="C1635" s="391" t="s">
        <v>8888</v>
      </c>
      <c r="D1635" s="391" t="s">
        <v>2166</v>
      </c>
    </row>
    <row r="1636" ht="15.75" customHeight="1">
      <c r="B1636" s="391" t="s">
        <v>6599</v>
      </c>
      <c r="C1636" s="391" t="s">
        <v>8889</v>
      </c>
      <c r="D1636" s="391" t="s">
        <v>2166</v>
      </c>
    </row>
    <row r="1637" ht="15.75" customHeight="1">
      <c r="B1637" s="391" t="s">
        <v>6354</v>
      </c>
      <c r="C1637" s="391" t="s">
        <v>8890</v>
      </c>
      <c r="D1637" s="391" t="s">
        <v>2166</v>
      </c>
    </row>
    <row r="1638" ht="15.75" customHeight="1">
      <c r="B1638" s="391" t="s">
        <v>6715</v>
      </c>
      <c r="C1638" s="391" t="s">
        <v>8891</v>
      </c>
      <c r="D1638" s="391" t="s">
        <v>2166</v>
      </c>
    </row>
    <row r="1639" ht="15.75" customHeight="1">
      <c r="B1639" s="391" t="s">
        <v>6673</v>
      </c>
      <c r="C1639" s="391" t="s">
        <v>8892</v>
      </c>
      <c r="D1639" s="391" t="s">
        <v>2166</v>
      </c>
    </row>
    <row r="1640" ht="15.75" customHeight="1">
      <c r="B1640" s="391" t="s">
        <v>8893</v>
      </c>
      <c r="C1640" s="391" t="s">
        <v>8894</v>
      </c>
      <c r="D1640" s="391" t="s">
        <v>2195</v>
      </c>
    </row>
    <row r="1641" ht="15.75" customHeight="1">
      <c r="B1641" s="391" t="s">
        <v>8895</v>
      </c>
      <c r="C1641" s="391" t="s">
        <v>8896</v>
      </c>
      <c r="D1641" s="391" t="s">
        <v>2166</v>
      </c>
    </row>
    <row r="1642" ht="15.75" customHeight="1">
      <c r="B1642" s="391" t="s">
        <v>6316</v>
      </c>
      <c r="C1642" s="391" t="s">
        <v>8897</v>
      </c>
      <c r="D1642" s="391" t="s">
        <v>2166</v>
      </c>
    </row>
    <row r="1643" ht="15.75" customHeight="1">
      <c r="B1643" s="391" t="s">
        <v>6433</v>
      </c>
      <c r="C1643" s="391" t="s">
        <v>8898</v>
      </c>
      <c r="D1643" s="391" t="s">
        <v>2232</v>
      </c>
    </row>
    <row r="1644" ht="15.75" customHeight="1">
      <c r="B1644" s="391" t="s">
        <v>6750</v>
      </c>
      <c r="C1644" s="391" t="s">
        <v>8899</v>
      </c>
      <c r="D1644" s="391" t="s">
        <v>2166</v>
      </c>
    </row>
    <row r="1645" ht="15.75" customHeight="1">
      <c r="B1645" s="391" t="s">
        <v>6754</v>
      </c>
      <c r="C1645" s="391" t="s">
        <v>8899</v>
      </c>
      <c r="D1645" s="391" t="s">
        <v>2166</v>
      </c>
    </row>
    <row r="1646" ht="15.75" customHeight="1">
      <c r="B1646" s="391" t="s">
        <v>6767</v>
      </c>
      <c r="C1646" s="391" t="s">
        <v>8900</v>
      </c>
      <c r="D1646" s="391" t="s">
        <v>2232</v>
      </c>
    </row>
    <row r="1647" ht="15.75" customHeight="1">
      <c r="B1647" s="391" t="s">
        <v>6720</v>
      </c>
      <c r="C1647" s="391" t="s">
        <v>8901</v>
      </c>
      <c r="D1647" s="391" t="s">
        <v>2232</v>
      </c>
    </row>
    <row r="1648" ht="15.75" customHeight="1">
      <c r="B1648" s="391" t="s">
        <v>6722</v>
      </c>
      <c r="C1648" s="391" t="s">
        <v>8901</v>
      </c>
      <c r="D1648" s="391" t="s">
        <v>2166</v>
      </c>
    </row>
    <row r="1649" ht="15.75" customHeight="1">
      <c r="B1649" s="391" t="s">
        <v>6726</v>
      </c>
      <c r="C1649" s="391" t="s">
        <v>8901</v>
      </c>
      <c r="D1649" s="391" t="s">
        <v>2166</v>
      </c>
    </row>
    <row r="1650" ht="15.75" customHeight="1">
      <c r="B1650" s="391" t="s">
        <v>6730</v>
      </c>
      <c r="C1650" s="391" t="s">
        <v>8901</v>
      </c>
      <c r="D1650" s="391" t="s">
        <v>2166</v>
      </c>
    </row>
    <row r="1651" ht="15.75" customHeight="1">
      <c r="B1651" s="391" t="s">
        <v>6732</v>
      </c>
      <c r="C1651" s="391" t="s">
        <v>8901</v>
      </c>
      <c r="D1651" s="391" t="s">
        <v>2166</v>
      </c>
    </row>
    <row r="1652" ht="15.75" customHeight="1">
      <c r="B1652" s="391" t="s">
        <v>6734</v>
      </c>
      <c r="C1652" s="391" t="s">
        <v>8901</v>
      </c>
      <c r="D1652" s="391" t="s">
        <v>2166</v>
      </c>
    </row>
    <row r="1653" ht="15.75" customHeight="1">
      <c r="B1653" s="391" t="s">
        <v>6740</v>
      </c>
      <c r="C1653" s="391" t="s">
        <v>8901</v>
      </c>
      <c r="D1653" s="391" t="s">
        <v>2232</v>
      </c>
    </row>
    <row r="1654" ht="15.75" customHeight="1">
      <c r="B1654" s="391" t="s">
        <v>8902</v>
      </c>
      <c r="C1654" s="391" t="s">
        <v>8903</v>
      </c>
      <c r="D1654" s="391" t="s">
        <v>2195</v>
      </c>
    </row>
    <row r="1655" ht="15.75" customHeight="1">
      <c r="B1655" s="391" t="s">
        <v>8904</v>
      </c>
      <c r="C1655" s="391" t="s">
        <v>8905</v>
      </c>
      <c r="D1655" s="391" t="s">
        <v>2232</v>
      </c>
    </row>
    <row r="1656" ht="15.75" customHeight="1">
      <c r="B1656" s="391" t="s">
        <v>8906</v>
      </c>
      <c r="C1656" s="391" t="s">
        <v>8907</v>
      </c>
      <c r="D1656" s="391" t="s">
        <v>2195</v>
      </c>
    </row>
    <row r="1657" ht="15.75" customHeight="1">
      <c r="B1657" s="391" t="s">
        <v>6343</v>
      </c>
      <c r="C1657" s="391" t="s">
        <v>8908</v>
      </c>
      <c r="D1657" s="391" t="s">
        <v>2166</v>
      </c>
    </row>
    <row r="1658" ht="15.75" customHeight="1">
      <c r="B1658" s="391" t="s">
        <v>6345</v>
      </c>
      <c r="C1658" s="391" t="s">
        <v>8909</v>
      </c>
      <c r="D1658" s="391" t="s">
        <v>2166</v>
      </c>
    </row>
    <row r="1659" ht="15.75" customHeight="1">
      <c r="B1659" s="391" t="s">
        <v>8910</v>
      </c>
      <c r="C1659" s="391" t="s">
        <v>8911</v>
      </c>
      <c r="D1659" s="391" t="s">
        <v>2195</v>
      </c>
    </row>
    <row r="1660" ht="15.75" customHeight="1">
      <c r="B1660" s="391" t="s">
        <v>8912</v>
      </c>
      <c r="C1660" s="391" t="s">
        <v>8913</v>
      </c>
      <c r="D1660" s="391" t="s">
        <v>2166</v>
      </c>
    </row>
    <row r="1661" ht="15.75" customHeight="1">
      <c r="B1661" s="391" t="s">
        <v>6330</v>
      </c>
      <c r="C1661" s="391" t="s">
        <v>8914</v>
      </c>
      <c r="D1661" s="391" t="s">
        <v>2195</v>
      </c>
    </row>
    <row r="1662" ht="15.75" customHeight="1">
      <c r="B1662" s="391" t="s">
        <v>8915</v>
      </c>
      <c r="C1662" s="391" t="s">
        <v>8916</v>
      </c>
      <c r="D1662" s="391" t="s">
        <v>2232</v>
      </c>
    </row>
    <row r="1663" ht="15.75" customHeight="1">
      <c r="B1663" s="391" t="s">
        <v>8917</v>
      </c>
      <c r="C1663" s="391" t="s">
        <v>8918</v>
      </c>
      <c r="D1663" s="391" t="s">
        <v>2195</v>
      </c>
    </row>
    <row r="1664" ht="15.75" customHeight="1">
      <c r="B1664" s="391" t="s">
        <v>6393</v>
      </c>
      <c r="C1664" s="391" t="s">
        <v>8919</v>
      </c>
      <c r="D1664" s="391" t="s">
        <v>2195</v>
      </c>
    </row>
    <row r="1665" ht="15.75" customHeight="1">
      <c r="B1665" s="391" t="s">
        <v>8920</v>
      </c>
      <c r="C1665" s="391" t="s">
        <v>8921</v>
      </c>
      <c r="D1665" s="391" t="s">
        <v>2166</v>
      </c>
    </row>
    <row r="1666" ht="15.75" customHeight="1">
      <c r="B1666" s="391" t="s">
        <v>8922</v>
      </c>
      <c r="C1666" s="391" t="s">
        <v>8923</v>
      </c>
      <c r="D1666" s="391" t="s">
        <v>2195</v>
      </c>
    </row>
    <row r="1667" ht="15.75" customHeight="1">
      <c r="B1667" s="391" t="s">
        <v>6397</v>
      </c>
      <c r="C1667" s="391" t="s">
        <v>8924</v>
      </c>
      <c r="D1667" s="391" t="s">
        <v>2166</v>
      </c>
    </row>
    <row r="1668" ht="15.75" customHeight="1">
      <c r="B1668" s="391" t="s">
        <v>6377</v>
      </c>
      <c r="C1668" s="391" t="s">
        <v>8924</v>
      </c>
      <c r="D1668" s="391" t="s">
        <v>2166</v>
      </c>
    </row>
    <row r="1669" ht="15.75" customHeight="1">
      <c r="B1669" s="391" t="s">
        <v>8925</v>
      </c>
      <c r="C1669" s="391" t="s">
        <v>8926</v>
      </c>
      <c r="D1669" s="391" t="s">
        <v>2166</v>
      </c>
    </row>
    <row r="1670" ht="15.75" customHeight="1">
      <c r="B1670" s="391" t="s">
        <v>8927</v>
      </c>
      <c r="C1670" s="391" t="s">
        <v>8928</v>
      </c>
      <c r="D1670" s="391" t="s">
        <v>2232</v>
      </c>
    </row>
    <row r="1671" ht="15.75" customHeight="1">
      <c r="B1671" s="391" t="s">
        <v>8929</v>
      </c>
      <c r="C1671" s="391" t="s">
        <v>8930</v>
      </c>
      <c r="D1671" s="391" t="s">
        <v>2232</v>
      </c>
    </row>
    <row r="1672" ht="15.75" customHeight="1">
      <c r="B1672" s="391" t="s">
        <v>8931</v>
      </c>
      <c r="C1672" s="391" t="s">
        <v>8932</v>
      </c>
      <c r="D1672" s="391" t="s">
        <v>2195</v>
      </c>
    </row>
    <row r="1673" ht="15.75" customHeight="1">
      <c r="B1673" s="391" t="s">
        <v>4151</v>
      </c>
      <c r="C1673" s="391" t="s">
        <v>8933</v>
      </c>
      <c r="D1673" s="391" t="s">
        <v>2232</v>
      </c>
    </row>
    <row r="1674" ht="15.75" customHeight="1">
      <c r="B1674" s="391" t="s">
        <v>8934</v>
      </c>
      <c r="C1674" s="391" t="s">
        <v>8935</v>
      </c>
      <c r="D1674" s="391" t="s">
        <v>2195</v>
      </c>
    </row>
    <row r="1675" ht="15.75" customHeight="1">
      <c r="B1675" s="391" t="s">
        <v>8936</v>
      </c>
      <c r="C1675" s="391" t="s">
        <v>8937</v>
      </c>
      <c r="D1675" s="391" t="s">
        <v>2195</v>
      </c>
    </row>
    <row r="1676" ht="15.75" customHeight="1">
      <c r="B1676" s="391" t="s">
        <v>8938</v>
      </c>
      <c r="C1676" s="391" t="s">
        <v>8939</v>
      </c>
      <c r="D1676" s="391" t="s">
        <v>2232</v>
      </c>
    </row>
    <row r="1677" ht="15.75" customHeight="1">
      <c r="B1677" s="391" t="s">
        <v>8940</v>
      </c>
      <c r="C1677" s="391" t="s">
        <v>8939</v>
      </c>
      <c r="D1677" s="391" t="s">
        <v>2195</v>
      </c>
    </row>
    <row r="1678" ht="15.75" customHeight="1">
      <c r="B1678" s="391" t="s">
        <v>8941</v>
      </c>
      <c r="C1678" s="391" t="s">
        <v>8942</v>
      </c>
      <c r="D1678" s="391" t="s">
        <v>2195</v>
      </c>
    </row>
    <row r="1679" ht="15.75" customHeight="1">
      <c r="B1679" s="391" t="s">
        <v>8943</v>
      </c>
      <c r="C1679" s="391" t="s">
        <v>8942</v>
      </c>
      <c r="D1679" s="391" t="s">
        <v>2195</v>
      </c>
    </row>
    <row r="1680" ht="15.75" customHeight="1">
      <c r="B1680" s="391" t="s">
        <v>8944</v>
      </c>
      <c r="C1680" s="391" t="s">
        <v>8942</v>
      </c>
      <c r="D1680" s="391" t="s">
        <v>2195</v>
      </c>
    </row>
    <row r="1681" ht="15.75" customHeight="1">
      <c r="B1681" s="391" t="s">
        <v>8945</v>
      </c>
      <c r="C1681" s="391" t="s">
        <v>8942</v>
      </c>
      <c r="D1681" s="391" t="s">
        <v>2195</v>
      </c>
    </row>
    <row r="1682" ht="15.75" customHeight="1">
      <c r="B1682" s="391" t="s">
        <v>8946</v>
      </c>
      <c r="C1682" s="391" t="s">
        <v>8942</v>
      </c>
      <c r="D1682" s="391" t="s">
        <v>2195</v>
      </c>
    </row>
    <row r="1683" ht="15.75" customHeight="1">
      <c r="B1683" s="391" t="s">
        <v>8947</v>
      </c>
      <c r="C1683" s="391" t="s">
        <v>8948</v>
      </c>
      <c r="D1683" s="391" t="s">
        <v>2166</v>
      </c>
    </row>
    <row r="1684" ht="15.75" customHeight="1">
      <c r="B1684" s="391" t="s">
        <v>8949</v>
      </c>
      <c r="C1684" s="391" t="s">
        <v>8950</v>
      </c>
      <c r="D1684" s="391" t="s">
        <v>2232</v>
      </c>
    </row>
    <row r="1685" ht="15.75" customHeight="1">
      <c r="B1685" s="391" t="s">
        <v>946</v>
      </c>
      <c r="C1685" s="391" t="s">
        <v>8951</v>
      </c>
      <c r="D1685" s="391" t="s">
        <v>2195</v>
      </c>
    </row>
    <row r="1686" ht="15.75" customHeight="1">
      <c r="B1686" s="391" t="s">
        <v>952</v>
      </c>
      <c r="C1686" s="391" t="s">
        <v>8951</v>
      </c>
      <c r="D1686" s="391" t="s">
        <v>2232</v>
      </c>
    </row>
    <row r="1687" ht="15.75" customHeight="1">
      <c r="B1687" s="391" t="s">
        <v>284</v>
      </c>
      <c r="C1687" s="391" t="s">
        <v>8951</v>
      </c>
      <c r="D1687" s="391" t="s">
        <v>2166</v>
      </c>
    </row>
    <row r="1688" ht="15.75" customHeight="1">
      <c r="B1688" s="391" t="s">
        <v>286</v>
      </c>
      <c r="C1688" s="391" t="s">
        <v>8951</v>
      </c>
      <c r="D1688" s="391" t="s">
        <v>2166</v>
      </c>
    </row>
    <row r="1689" ht="15.75" customHeight="1">
      <c r="B1689" s="391" t="s">
        <v>725</v>
      </c>
      <c r="C1689" s="391" t="s">
        <v>8952</v>
      </c>
      <c r="D1689" s="391" t="s">
        <v>2166</v>
      </c>
    </row>
    <row r="1690" ht="15.75" customHeight="1">
      <c r="B1690" s="391" t="s">
        <v>994</v>
      </c>
      <c r="C1690" s="391" t="s">
        <v>8953</v>
      </c>
      <c r="D1690" s="391" t="s">
        <v>2232</v>
      </c>
    </row>
    <row r="1691" ht="15.75" customHeight="1">
      <c r="B1691" s="391" t="s">
        <v>8954</v>
      </c>
      <c r="C1691" s="391" t="s">
        <v>8955</v>
      </c>
      <c r="D1691" s="391" t="s">
        <v>2195</v>
      </c>
    </row>
    <row r="1692" ht="15.75" customHeight="1">
      <c r="B1692" s="391" t="s">
        <v>8956</v>
      </c>
      <c r="C1692" s="391" t="s">
        <v>8955</v>
      </c>
      <c r="D1692" s="391" t="s">
        <v>2232</v>
      </c>
    </row>
    <row r="1693" ht="15.75" customHeight="1">
      <c r="B1693" s="391" t="s">
        <v>1283</v>
      </c>
      <c r="C1693" s="391" t="s">
        <v>8957</v>
      </c>
      <c r="D1693" s="391" t="s">
        <v>2166</v>
      </c>
    </row>
    <row r="1694" ht="15.75" customHeight="1">
      <c r="B1694" s="391" t="s">
        <v>1631</v>
      </c>
      <c r="C1694" s="391" t="s">
        <v>8958</v>
      </c>
      <c r="D1694" s="391" t="s">
        <v>2232</v>
      </c>
    </row>
    <row r="1695" ht="15.75" customHeight="1">
      <c r="B1695" s="391" t="s">
        <v>1640</v>
      </c>
      <c r="C1695" s="391" t="s">
        <v>8958</v>
      </c>
      <c r="D1695" s="391" t="s">
        <v>2232</v>
      </c>
    </row>
    <row r="1696" ht="15.75" customHeight="1">
      <c r="B1696" s="391" t="s">
        <v>8959</v>
      </c>
      <c r="C1696" s="391" t="s">
        <v>8960</v>
      </c>
      <c r="D1696" s="391" t="s">
        <v>2166</v>
      </c>
    </row>
    <row r="1697" ht="15.75" customHeight="1">
      <c r="B1697" s="391" t="s">
        <v>1633</v>
      </c>
      <c r="C1697" s="391" t="s">
        <v>8961</v>
      </c>
      <c r="D1697" s="391" t="s">
        <v>2232</v>
      </c>
    </row>
    <row r="1698" ht="15.75" customHeight="1">
      <c r="B1698" s="391" t="s">
        <v>178</v>
      </c>
      <c r="C1698" s="391" t="s">
        <v>8961</v>
      </c>
      <c r="D1698" s="391" t="s">
        <v>2166</v>
      </c>
    </row>
    <row r="1699" ht="15.75" customHeight="1">
      <c r="B1699" s="391" t="s">
        <v>182</v>
      </c>
      <c r="C1699" s="391" t="s">
        <v>8961</v>
      </c>
      <c r="D1699" s="391" t="s">
        <v>2232</v>
      </c>
    </row>
    <row r="1700" ht="15.75" customHeight="1">
      <c r="B1700" s="391" t="s">
        <v>8962</v>
      </c>
      <c r="C1700" s="391" t="s">
        <v>8963</v>
      </c>
      <c r="D1700" s="391" t="s">
        <v>2232</v>
      </c>
    </row>
    <row r="1701" ht="15.75" customHeight="1">
      <c r="B1701" s="391" t="s">
        <v>939</v>
      </c>
      <c r="C1701" s="391" t="s">
        <v>8964</v>
      </c>
      <c r="D1701" s="391" t="s">
        <v>2232</v>
      </c>
    </row>
    <row r="1702" ht="15.75" customHeight="1">
      <c r="B1702" s="391" t="s">
        <v>479</v>
      </c>
      <c r="C1702" s="391" t="s">
        <v>8965</v>
      </c>
      <c r="D1702" s="391" t="s">
        <v>2232</v>
      </c>
    </row>
    <row r="1703" ht="15.75" customHeight="1">
      <c r="B1703" s="391" t="s">
        <v>8966</v>
      </c>
      <c r="C1703" s="391" t="s">
        <v>8967</v>
      </c>
      <c r="D1703" s="391" t="s">
        <v>2195</v>
      </c>
    </row>
    <row r="1704" ht="15.75" customHeight="1">
      <c r="B1704" s="391" t="s">
        <v>477</v>
      </c>
      <c r="C1704" s="391" t="s">
        <v>8967</v>
      </c>
      <c r="D1704" s="391" t="s">
        <v>2166</v>
      </c>
    </row>
    <row r="1705" ht="15.75" customHeight="1">
      <c r="B1705" s="391" t="s">
        <v>8968</v>
      </c>
      <c r="C1705" s="391" t="s">
        <v>8967</v>
      </c>
      <c r="D1705" s="391" t="s">
        <v>2232</v>
      </c>
    </row>
    <row r="1706" ht="15.75" customHeight="1">
      <c r="B1706" s="391" t="s">
        <v>924</v>
      </c>
      <c r="C1706" s="391" t="s">
        <v>8967</v>
      </c>
      <c r="D1706" s="391" t="s">
        <v>2232</v>
      </c>
    </row>
    <row r="1707" ht="15.75" customHeight="1">
      <c r="B1707" s="391" t="s">
        <v>926</v>
      </c>
      <c r="C1707" s="391" t="s">
        <v>8967</v>
      </c>
      <c r="D1707" s="391" t="s">
        <v>2232</v>
      </c>
    </row>
    <row r="1708" ht="15.75" customHeight="1">
      <c r="B1708" s="391" t="s">
        <v>467</v>
      </c>
      <c r="C1708" s="391" t="s">
        <v>8969</v>
      </c>
      <c r="D1708" s="391" t="s">
        <v>2166</v>
      </c>
    </row>
    <row r="1709" ht="15.75" customHeight="1">
      <c r="B1709" s="391" t="s">
        <v>473</v>
      </c>
      <c r="C1709" s="391" t="s">
        <v>8969</v>
      </c>
      <c r="D1709" s="391" t="s">
        <v>2166</v>
      </c>
    </row>
    <row r="1710" ht="15.75" customHeight="1">
      <c r="B1710" s="391" t="s">
        <v>511</v>
      </c>
      <c r="C1710" s="391" t="s">
        <v>8970</v>
      </c>
      <c r="D1710" s="391" t="s">
        <v>2166</v>
      </c>
    </row>
    <row r="1711" ht="15.75" customHeight="1">
      <c r="B1711" s="391" t="s">
        <v>8971</v>
      </c>
      <c r="C1711" s="391" t="s">
        <v>8970</v>
      </c>
      <c r="D1711" s="391" t="s">
        <v>2232</v>
      </c>
    </row>
    <row r="1712" ht="15.75" customHeight="1">
      <c r="B1712" s="391" t="s">
        <v>576</v>
      </c>
      <c r="C1712" s="391" t="s">
        <v>8970</v>
      </c>
      <c r="D1712" s="391" t="s">
        <v>2232</v>
      </c>
    </row>
    <row r="1713" ht="15.75" customHeight="1">
      <c r="B1713" s="391" t="s">
        <v>584</v>
      </c>
      <c r="C1713" s="391" t="s">
        <v>8970</v>
      </c>
      <c r="D1713" s="391" t="s">
        <v>2232</v>
      </c>
    </row>
    <row r="1714" ht="15.75" customHeight="1">
      <c r="B1714" s="391" t="s">
        <v>481</v>
      </c>
      <c r="C1714" s="391" t="s">
        <v>8972</v>
      </c>
      <c r="D1714" s="391" t="s">
        <v>2166</v>
      </c>
    </row>
    <row r="1715" ht="15.75" customHeight="1">
      <c r="B1715" s="391" t="s">
        <v>8973</v>
      </c>
      <c r="C1715" s="391" t="s">
        <v>8974</v>
      </c>
      <c r="D1715" s="391" t="s">
        <v>2232</v>
      </c>
    </row>
    <row r="1716" ht="15.75" customHeight="1">
      <c r="B1716" s="391" t="s">
        <v>1604</v>
      </c>
      <c r="C1716" s="391" t="s">
        <v>8975</v>
      </c>
      <c r="D1716" s="391" t="s">
        <v>2232</v>
      </c>
    </row>
    <row r="1717" ht="15.75" customHeight="1">
      <c r="B1717" s="391" t="s">
        <v>8976</v>
      </c>
      <c r="C1717" s="391" t="s">
        <v>8977</v>
      </c>
      <c r="D1717" s="391" t="s">
        <v>2195</v>
      </c>
    </row>
    <row r="1718" ht="15.75" customHeight="1">
      <c r="B1718" s="391" t="s">
        <v>8978</v>
      </c>
      <c r="C1718" s="391" t="s">
        <v>8977</v>
      </c>
      <c r="D1718" s="391" t="s">
        <v>2195</v>
      </c>
    </row>
    <row r="1719" ht="15.75" customHeight="1">
      <c r="B1719" s="391" t="s">
        <v>8979</v>
      </c>
      <c r="C1719" s="391" t="s">
        <v>8977</v>
      </c>
      <c r="D1719" s="391" t="s">
        <v>2195</v>
      </c>
    </row>
    <row r="1720" ht="15.75" customHeight="1">
      <c r="B1720" s="391" t="s">
        <v>8980</v>
      </c>
      <c r="C1720" s="391" t="s">
        <v>8977</v>
      </c>
      <c r="D1720" s="391" t="s">
        <v>2195</v>
      </c>
    </row>
    <row r="1721" ht="15.75" customHeight="1">
      <c r="B1721" s="391" t="s">
        <v>8981</v>
      </c>
      <c r="C1721" s="391" t="s">
        <v>8977</v>
      </c>
      <c r="D1721" s="391" t="s">
        <v>2195</v>
      </c>
    </row>
    <row r="1722" ht="15.75" customHeight="1">
      <c r="B1722" s="391" t="s">
        <v>8982</v>
      </c>
      <c r="C1722" s="391" t="s">
        <v>8977</v>
      </c>
      <c r="D1722" s="391" t="s">
        <v>2195</v>
      </c>
    </row>
    <row r="1723" ht="15.75" customHeight="1">
      <c r="B1723" s="391" t="s">
        <v>66</v>
      </c>
      <c r="C1723" s="391" t="s">
        <v>8977</v>
      </c>
      <c r="D1723" s="391" t="s">
        <v>2195</v>
      </c>
    </row>
    <row r="1724" ht="15.75" customHeight="1">
      <c r="B1724" s="391" t="s">
        <v>68</v>
      </c>
      <c r="C1724" s="391" t="s">
        <v>8977</v>
      </c>
      <c r="D1724" s="391" t="s">
        <v>2166</v>
      </c>
    </row>
    <row r="1725" ht="15.75" customHeight="1">
      <c r="B1725" s="391" t="s">
        <v>8983</v>
      </c>
      <c r="C1725" s="391" t="s">
        <v>8977</v>
      </c>
      <c r="D1725" s="391" t="s">
        <v>2195</v>
      </c>
    </row>
    <row r="1726" ht="15.75" customHeight="1">
      <c r="B1726" s="391" t="s">
        <v>8984</v>
      </c>
      <c r="C1726" s="391" t="s">
        <v>8977</v>
      </c>
      <c r="D1726" s="391" t="s">
        <v>2195</v>
      </c>
    </row>
    <row r="1727" ht="15.75" customHeight="1">
      <c r="B1727" s="391" t="s">
        <v>8985</v>
      </c>
      <c r="C1727" s="391" t="s">
        <v>8977</v>
      </c>
      <c r="D1727" s="391" t="s">
        <v>2195</v>
      </c>
    </row>
    <row r="1728" ht="15.75" customHeight="1">
      <c r="B1728" s="391" t="s">
        <v>8986</v>
      </c>
      <c r="C1728" s="391" t="s">
        <v>8977</v>
      </c>
      <c r="D1728" s="391" t="s">
        <v>2195</v>
      </c>
    </row>
    <row r="1729" ht="15.75" customHeight="1">
      <c r="B1729" s="391" t="s">
        <v>8987</v>
      </c>
      <c r="C1729" s="391" t="s">
        <v>8977</v>
      </c>
      <c r="D1729" s="391" t="s">
        <v>2195</v>
      </c>
    </row>
    <row r="1730" ht="15.75" customHeight="1">
      <c r="B1730" s="391" t="s">
        <v>8988</v>
      </c>
      <c r="C1730" s="391" t="s">
        <v>8989</v>
      </c>
      <c r="D1730" s="391" t="s">
        <v>2195</v>
      </c>
    </row>
    <row r="1731" ht="15.75" customHeight="1">
      <c r="B1731" s="391" t="s">
        <v>8990</v>
      </c>
      <c r="C1731" s="391" t="s">
        <v>8989</v>
      </c>
      <c r="D1731" s="391" t="s">
        <v>2195</v>
      </c>
    </row>
    <row r="1732" ht="15.75" customHeight="1">
      <c r="B1732" s="391" t="s">
        <v>8991</v>
      </c>
      <c r="C1732" s="391" t="s">
        <v>8989</v>
      </c>
      <c r="D1732" s="391" t="s">
        <v>2195</v>
      </c>
    </row>
    <row r="1733" ht="15.75" customHeight="1">
      <c r="B1733" s="391" t="s">
        <v>8992</v>
      </c>
      <c r="C1733" s="391" t="s">
        <v>8989</v>
      </c>
      <c r="D1733" s="391" t="s">
        <v>2195</v>
      </c>
    </row>
    <row r="1734" ht="15.75" customHeight="1">
      <c r="B1734" s="391" t="s">
        <v>8993</v>
      </c>
      <c r="C1734" s="391" t="s">
        <v>8989</v>
      </c>
      <c r="D1734" s="391" t="s">
        <v>2195</v>
      </c>
    </row>
    <row r="1735" ht="15.75" customHeight="1">
      <c r="B1735" s="391" t="s">
        <v>8994</v>
      </c>
      <c r="C1735" s="391" t="s">
        <v>8989</v>
      </c>
      <c r="D1735" s="391" t="s">
        <v>2195</v>
      </c>
    </row>
    <row r="1736" ht="15.75" customHeight="1">
      <c r="B1736" s="391" t="s">
        <v>8995</v>
      </c>
      <c r="C1736" s="391" t="s">
        <v>8989</v>
      </c>
      <c r="D1736" s="391" t="s">
        <v>2195</v>
      </c>
    </row>
    <row r="1737" ht="15.75" customHeight="1">
      <c r="B1737" s="391" t="s">
        <v>8996</v>
      </c>
      <c r="C1737" s="391" t="s">
        <v>8989</v>
      </c>
      <c r="D1737" s="391" t="s">
        <v>2195</v>
      </c>
    </row>
    <row r="1738" ht="15.75" customHeight="1">
      <c r="B1738" s="391" t="s">
        <v>8997</v>
      </c>
      <c r="C1738" s="391" t="s">
        <v>8989</v>
      </c>
      <c r="D1738" s="391" t="s">
        <v>2232</v>
      </c>
    </row>
    <row r="1739" ht="15.75" customHeight="1">
      <c r="B1739" s="391" t="s">
        <v>8998</v>
      </c>
      <c r="C1739" s="391" t="s">
        <v>8989</v>
      </c>
      <c r="D1739" s="391" t="s">
        <v>2195</v>
      </c>
    </row>
    <row r="1740" ht="15.75" customHeight="1">
      <c r="B1740" s="391" t="s">
        <v>32</v>
      </c>
      <c r="C1740" s="391" t="s">
        <v>8999</v>
      </c>
      <c r="D1740" s="391" t="s">
        <v>2166</v>
      </c>
    </row>
    <row r="1741" ht="15.75" customHeight="1">
      <c r="B1741" s="391" t="s">
        <v>9000</v>
      </c>
      <c r="C1741" s="391" t="s">
        <v>8999</v>
      </c>
      <c r="D1741" s="391" t="s">
        <v>2195</v>
      </c>
    </row>
    <row r="1742" ht="15.75" customHeight="1">
      <c r="B1742" s="391" t="s">
        <v>9001</v>
      </c>
      <c r="C1742" s="391" t="s">
        <v>8999</v>
      </c>
      <c r="D1742" s="391" t="s">
        <v>2195</v>
      </c>
    </row>
    <row r="1743" ht="15.75" customHeight="1">
      <c r="B1743" s="391" t="s">
        <v>9002</v>
      </c>
      <c r="C1743" s="391" t="s">
        <v>9003</v>
      </c>
      <c r="D1743" s="391" t="s">
        <v>2195</v>
      </c>
    </row>
    <row r="1744" ht="15.75" customHeight="1">
      <c r="B1744" s="391" t="s">
        <v>9004</v>
      </c>
      <c r="C1744" s="391" t="s">
        <v>9003</v>
      </c>
      <c r="D1744" s="391" t="s">
        <v>2195</v>
      </c>
    </row>
    <row r="1745" ht="15.75" customHeight="1">
      <c r="B1745" s="391" t="s">
        <v>9005</v>
      </c>
      <c r="C1745" s="391" t="s">
        <v>9006</v>
      </c>
      <c r="D1745" s="391" t="s">
        <v>2232</v>
      </c>
    </row>
    <row r="1746" ht="15.75" customHeight="1">
      <c r="B1746" s="391" t="s">
        <v>9007</v>
      </c>
      <c r="C1746" s="391" t="s">
        <v>9006</v>
      </c>
      <c r="D1746" s="391" t="s">
        <v>2166</v>
      </c>
    </row>
    <row r="1747" ht="15.75" customHeight="1">
      <c r="B1747" s="391" t="s">
        <v>9008</v>
      </c>
      <c r="C1747" s="391" t="s">
        <v>9006</v>
      </c>
      <c r="D1747" s="391" t="s">
        <v>2195</v>
      </c>
    </row>
    <row r="1748" ht="15.75" customHeight="1">
      <c r="B1748" s="391" t="s">
        <v>9009</v>
      </c>
      <c r="C1748" s="391" t="s">
        <v>9006</v>
      </c>
      <c r="D1748" s="391" t="s">
        <v>2195</v>
      </c>
    </row>
    <row r="1749" ht="15.75" customHeight="1">
      <c r="B1749" s="391" t="s">
        <v>9010</v>
      </c>
      <c r="C1749" s="391" t="s">
        <v>9011</v>
      </c>
      <c r="D1749" s="391" t="s">
        <v>2166</v>
      </c>
    </row>
    <row r="1750" ht="15.75" customHeight="1">
      <c r="B1750" s="391" t="s">
        <v>9012</v>
      </c>
      <c r="C1750" s="391" t="s">
        <v>9011</v>
      </c>
      <c r="D1750" s="391" t="s">
        <v>2166</v>
      </c>
    </row>
    <row r="1751" ht="15.75" customHeight="1">
      <c r="B1751" s="391" t="s">
        <v>9013</v>
      </c>
      <c r="C1751" s="391" t="s">
        <v>9014</v>
      </c>
      <c r="D1751" s="391" t="s">
        <v>2195</v>
      </c>
    </row>
    <row r="1752" ht="15.75" customHeight="1">
      <c r="B1752" s="391" t="s">
        <v>9015</v>
      </c>
      <c r="C1752" s="391" t="s">
        <v>9014</v>
      </c>
      <c r="D1752" s="391" t="s">
        <v>2195</v>
      </c>
    </row>
    <row r="1753" ht="15.75" customHeight="1">
      <c r="B1753" s="391" t="s">
        <v>9016</v>
      </c>
      <c r="C1753" s="391" t="s">
        <v>9014</v>
      </c>
      <c r="D1753" s="391" t="s">
        <v>2232</v>
      </c>
    </row>
    <row r="1754" ht="15.75" customHeight="1">
      <c r="B1754" s="391" t="s">
        <v>9017</v>
      </c>
      <c r="C1754" s="391" t="s">
        <v>9014</v>
      </c>
      <c r="D1754" s="391" t="s">
        <v>2166</v>
      </c>
    </row>
    <row r="1755" ht="15.75" customHeight="1">
      <c r="B1755" s="391" t="s">
        <v>9018</v>
      </c>
      <c r="C1755" s="391" t="s">
        <v>9014</v>
      </c>
      <c r="D1755" s="391" t="s">
        <v>2195</v>
      </c>
    </row>
    <row r="1756" ht="15.75" customHeight="1">
      <c r="B1756" s="391" t="s">
        <v>9019</v>
      </c>
      <c r="C1756" s="391" t="s">
        <v>9014</v>
      </c>
      <c r="D1756" s="391" t="s">
        <v>2232</v>
      </c>
    </row>
    <row r="1757" ht="15.75" customHeight="1">
      <c r="B1757" s="391" t="s">
        <v>9020</v>
      </c>
      <c r="C1757" s="391" t="s">
        <v>9014</v>
      </c>
      <c r="D1757" s="391" t="s">
        <v>2232</v>
      </c>
    </row>
    <row r="1758" ht="15.75" customHeight="1">
      <c r="B1758" s="391" t="s">
        <v>9021</v>
      </c>
      <c r="C1758" s="391" t="s">
        <v>9014</v>
      </c>
      <c r="D1758" s="391" t="s">
        <v>2195</v>
      </c>
    </row>
    <row r="1759" ht="15.75" customHeight="1">
      <c r="B1759" s="391" t="s">
        <v>9022</v>
      </c>
      <c r="C1759" s="391" t="s">
        <v>9014</v>
      </c>
      <c r="D1759" s="391" t="s">
        <v>2232</v>
      </c>
    </row>
    <row r="1760" ht="15.75" customHeight="1">
      <c r="B1760" s="391" t="s">
        <v>9023</v>
      </c>
      <c r="C1760" s="391" t="s">
        <v>9014</v>
      </c>
      <c r="D1760" s="391" t="s">
        <v>2195</v>
      </c>
    </row>
    <row r="1761" ht="15.75" customHeight="1">
      <c r="B1761" s="391" t="s">
        <v>9024</v>
      </c>
      <c r="C1761" s="391" t="s">
        <v>9014</v>
      </c>
      <c r="D1761" s="391" t="s">
        <v>2195</v>
      </c>
    </row>
    <row r="1762" ht="15.75" customHeight="1">
      <c r="B1762" s="391" t="s">
        <v>9025</v>
      </c>
      <c r="C1762" s="391" t="s">
        <v>9014</v>
      </c>
      <c r="D1762" s="391" t="s">
        <v>2195</v>
      </c>
    </row>
    <row r="1763" ht="15.75" customHeight="1">
      <c r="B1763" s="391" t="s">
        <v>9026</v>
      </c>
      <c r="C1763" s="391" t="s">
        <v>9014</v>
      </c>
      <c r="D1763" s="391" t="s">
        <v>2195</v>
      </c>
    </row>
    <row r="1764" ht="15.75" customHeight="1">
      <c r="B1764" s="391" t="s">
        <v>9027</v>
      </c>
      <c r="C1764" s="391" t="s">
        <v>9014</v>
      </c>
      <c r="D1764" s="391" t="s">
        <v>2195</v>
      </c>
    </row>
    <row r="1765" ht="15.75" customHeight="1">
      <c r="B1765" s="391" t="s">
        <v>9028</v>
      </c>
      <c r="C1765" s="391" t="s">
        <v>9014</v>
      </c>
      <c r="D1765" s="391" t="s">
        <v>2195</v>
      </c>
    </row>
    <row r="1766" ht="15.75" customHeight="1">
      <c r="B1766" s="391" t="s">
        <v>9029</v>
      </c>
      <c r="C1766" s="391" t="s">
        <v>9014</v>
      </c>
      <c r="D1766" s="391" t="s">
        <v>2195</v>
      </c>
    </row>
    <row r="1767" ht="15.75" customHeight="1">
      <c r="B1767" s="391" t="s">
        <v>9030</v>
      </c>
      <c r="C1767" s="391" t="s">
        <v>9014</v>
      </c>
      <c r="D1767" s="391" t="s">
        <v>2195</v>
      </c>
    </row>
    <row r="1768" ht="15.75" customHeight="1">
      <c r="B1768" s="391" t="s">
        <v>9031</v>
      </c>
      <c r="C1768" s="391" t="s">
        <v>9014</v>
      </c>
      <c r="D1768" s="391" t="s">
        <v>2195</v>
      </c>
    </row>
    <row r="1769" ht="15.75" customHeight="1">
      <c r="B1769" s="391" t="s">
        <v>9032</v>
      </c>
      <c r="C1769" s="391" t="s">
        <v>9014</v>
      </c>
      <c r="D1769" s="391" t="s">
        <v>2195</v>
      </c>
    </row>
    <row r="1770" ht="15.75" customHeight="1">
      <c r="B1770" s="391" t="s">
        <v>9033</v>
      </c>
      <c r="C1770" s="391" t="s">
        <v>9014</v>
      </c>
      <c r="D1770" s="391" t="s">
        <v>2195</v>
      </c>
    </row>
    <row r="1771" ht="15.75" customHeight="1">
      <c r="B1771" s="391" t="s">
        <v>9034</v>
      </c>
      <c r="C1771" s="391" t="s">
        <v>9014</v>
      </c>
      <c r="D1771" s="391" t="s">
        <v>2195</v>
      </c>
    </row>
    <row r="1772" ht="15.75" customHeight="1">
      <c r="B1772" s="391" t="s">
        <v>9035</v>
      </c>
      <c r="C1772" s="391" t="s">
        <v>9014</v>
      </c>
      <c r="D1772" s="391" t="s">
        <v>2195</v>
      </c>
    </row>
    <row r="1773" ht="15.75" customHeight="1">
      <c r="B1773" s="391" t="s">
        <v>9036</v>
      </c>
      <c r="C1773" s="391" t="s">
        <v>9037</v>
      </c>
      <c r="D1773" s="391" t="s">
        <v>2195</v>
      </c>
    </row>
    <row r="1774" ht="15.75" customHeight="1">
      <c r="B1774" s="391" t="s">
        <v>9038</v>
      </c>
      <c r="C1774" s="391" t="s">
        <v>9037</v>
      </c>
      <c r="D1774" s="391" t="s">
        <v>2195</v>
      </c>
    </row>
    <row r="1775" ht="15.75" customHeight="1">
      <c r="B1775" s="391" t="s">
        <v>7266</v>
      </c>
      <c r="C1775" s="391" t="s">
        <v>9037</v>
      </c>
      <c r="D1775" s="391" t="s">
        <v>2195</v>
      </c>
    </row>
    <row r="1776" ht="15.75" customHeight="1">
      <c r="B1776" s="391" t="s">
        <v>9039</v>
      </c>
      <c r="C1776" s="391" t="s">
        <v>9037</v>
      </c>
      <c r="D1776" s="391" t="s">
        <v>2195</v>
      </c>
    </row>
    <row r="1777" ht="15.75" customHeight="1">
      <c r="B1777" s="391" t="s">
        <v>9040</v>
      </c>
      <c r="C1777" s="391" t="s">
        <v>9037</v>
      </c>
      <c r="D1777" s="391" t="s">
        <v>2195</v>
      </c>
    </row>
    <row r="1778" ht="15.75" customHeight="1">
      <c r="B1778" s="391" t="s">
        <v>9041</v>
      </c>
      <c r="C1778" s="391" t="s">
        <v>9037</v>
      </c>
      <c r="D1778" s="391" t="s">
        <v>2195</v>
      </c>
    </row>
    <row r="1779" ht="15.75" customHeight="1">
      <c r="B1779" s="391" t="s">
        <v>9042</v>
      </c>
      <c r="C1779" s="391" t="s">
        <v>9037</v>
      </c>
      <c r="D1779" s="391" t="s">
        <v>2195</v>
      </c>
    </row>
    <row r="1780" ht="15.75" customHeight="1">
      <c r="B1780" s="391" t="s">
        <v>9043</v>
      </c>
      <c r="C1780" s="391" t="s">
        <v>9037</v>
      </c>
      <c r="D1780" s="391" t="s">
        <v>2195</v>
      </c>
    </row>
    <row r="1781" ht="15.75" customHeight="1">
      <c r="B1781" s="391" t="s">
        <v>9044</v>
      </c>
      <c r="C1781" s="391" t="s">
        <v>9037</v>
      </c>
      <c r="D1781" s="391" t="s">
        <v>2195</v>
      </c>
    </row>
    <row r="1782" ht="15.75" customHeight="1">
      <c r="B1782" s="391" t="s">
        <v>9045</v>
      </c>
      <c r="C1782" s="391" t="s">
        <v>9037</v>
      </c>
      <c r="D1782" s="391" t="s">
        <v>2195</v>
      </c>
    </row>
    <row r="1783" ht="15.75" customHeight="1">
      <c r="B1783" s="391" t="s">
        <v>9046</v>
      </c>
      <c r="C1783" s="391" t="s">
        <v>9037</v>
      </c>
      <c r="D1783" s="391" t="s">
        <v>2195</v>
      </c>
    </row>
    <row r="1784" ht="15.75" customHeight="1">
      <c r="B1784" s="391" t="s">
        <v>9047</v>
      </c>
      <c r="C1784" s="391" t="s">
        <v>9037</v>
      </c>
      <c r="D1784" s="391" t="s">
        <v>2195</v>
      </c>
    </row>
    <row r="1785" ht="15.75" customHeight="1">
      <c r="B1785" s="391" t="s">
        <v>9048</v>
      </c>
      <c r="C1785" s="391" t="s">
        <v>9037</v>
      </c>
      <c r="D1785" s="391" t="s">
        <v>2195</v>
      </c>
    </row>
    <row r="1786" ht="15.75" customHeight="1">
      <c r="B1786" s="391" t="s">
        <v>9049</v>
      </c>
      <c r="C1786" s="391" t="s">
        <v>9037</v>
      </c>
      <c r="D1786" s="391" t="s">
        <v>2195</v>
      </c>
    </row>
    <row r="1787" ht="15.75" customHeight="1">
      <c r="B1787" s="391" t="s">
        <v>9050</v>
      </c>
      <c r="C1787" s="391" t="s">
        <v>9037</v>
      </c>
      <c r="D1787" s="391" t="s">
        <v>2195</v>
      </c>
    </row>
    <row r="1788" ht="15.75" customHeight="1">
      <c r="B1788" s="391" t="s">
        <v>9051</v>
      </c>
      <c r="C1788" s="391" t="s">
        <v>9037</v>
      </c>
      <c r="D1788" s="391" t="s">
        <v>2195</v>
      </c>
    </row>
    <row r="1789" ht="15.75" customHeight="1">
      <c r="B1789" s="391" t="s">
        <v>9052</v>
      </c>
      <c r="C1789" s="391" t="s">
        <v>9053</v>
      </c>
      <c r="D1789" s="391" t="s">
        <v>2195</v>
      </c>
    </row>
    <row r="1790" ht="15.75" customHeight="1">
      <c r="B1790" s="391" t="s">
        <v>9054</v>
      </c>
      <c r="C1790" s="391" t="s">
        <v>9055</v>
      </c>
      <c r="D1790" s="391" t="s">
        <v>2195</v>
      </c>
    </row>
    <row r="1791" ht="15.75" customHeight="1">
      <c r="B1791" s="391" t="s">
        <v>9056</v>
      </c>
      <c r="C1791" s="391" t="s">
        <v>9057</v>
      </c>
      <c r="D1791" s="391" t="s">
        <v>2166</v>
      </c>
    </row>
    <row r="1792" ht="15.75" customHeight="1">
      <c r="B1792" s="391" t="s">
        <v>9058</v>
      </c>
      <c r="C1792" s="391" t="s">
        <v>9057</v>
      </c>
      <c r="D1792" s="391" t="s">
        <v>2166</v>
      </c>
    </row>
    <row r="1793" ht="15.75" customHeight="1">
      <c r="B1793" s="391" t="s">
        <v>9059</v>
      </c>
      <c r="C1793" s="391" t="s">
        <v>9057</v>
      </c>
      <c r="D1793" s="391" t="s">
        <v>2195</v>
      </c>
    </row>
    <row r="1794" ht="15.75" customHeight="1">
      <c r="B1794" s="391" t="s">
        <v>9060</v>
      </c>
      <c r="C1794" s="391" t="s">
        <v>9057</v>
      </c>
      <c r="D1794" s="391" t="s">
        <v>2195</v>
      </c>
    </row>
    <row r="1795" ht="15.75" customHeight="1">
      <c r="B1795" s="391" t="s">
        <v>9061</v>
      </c>
      <c r="C1795" s="391" t="s">
        <v>9057</v>
      </c>
      <c r="D1795" s="391" t="s">
        <v>2195</v>
      </c>
    </row>
    <row r="1796" ht="15.75" customHeight="1">
      <c r="B1796" s="391" t="s">
        <v>9062</v>
      </c>
      <c r="C1796" s="391" t="s">
        <v>9057</v>
      </c>
      <c r="D1796" s="391" t="s">
        <v>2195</v>
      </c>
    </row>
    <row r="1797" ht="15.75" customHeight="1">
      <c r="B1797" s="391" t="s">
        <v>9063</v>
      </c>
      <c r="C1797" s="391" t="s">
        <v>9057</v>
      </c>
      <c r="D1797" s="391" t="s">
        <v>2195</v>
      </c>
    </row>
    <row r="1798" ht="15.75" customHeight="1">
      <c r="B1798" s="391" t="s">
        <v>9064</v>
      </c>
      <c r="C1798" s="391" t="s">
        <v>9057</v>
      </c>
      <c r="D1798" s="391" t="s">
        <v>2195</v>
      </c>
    </row>
    <row r="1799" ht="15.75" customHeight="1">
      <c r="B1799" s="391" t="s">
        <v>9065</v>
      </c>
      <c r="C1799" s="391" t="s">
        <v>9066</v>
      </c>
      <c r="D1799" s="391" t="s">
        <v>2195</v>
      </c>
    </row>
    <row r="1800" ht="15.75" customHeight="1">
      <c r="B1800" s="391" t="s">
        <v>9067</v>
      </c>
      <c r="C1800" s="391" t="s">
        <v>9068</v>
      </c>
      <c r="D1800" s="391" t="s">
        <v>2195</v>
      </c>
    </row>
    <row r="1801" ht="15.75" customHeight="1">
      <c r="B1801" s="391" t="s">
        <v>60</v>
      </c>
      <c r="C1801" s="391" t="s">
        <v>9069</v>
      </c>
      <c r="D1801" s="391" t="s">
        <v>2166</v>
      </c>
    </row>
    <row r="1802" ht="15.75" customHeight="1">
      <c r="B1802" s="391" t="s">
        <v>62</v>
      </c>
      <c r="C1802" s="391" t="s">
        <v>9069</v>
      </c>
      <c r="D1802" s="391" t="s">
        <v>2195</v>
      </c>
    </row>
    <row r="1803" ht="15.75" customHeight="1">
      <c r="B1803" s="391" t="s">
        <v>82</v>
      </c>
      <c r="C1803" s="391" t="s">
        <v>9069</v>
      </c>
      <c r="D1803" s="391" t="s">
        <v>2195</v>
      </c>
    </row>
    <row r="1804" ht="15.75" customHeight="1">
      <c r="B1804" s="391" t="s">
        <v>9070</v>
      </c>
      <c r="C1804" s="391" t="s">
        <v>9069</v>
      </c>
      <c r="D1804" s="391" t="s">
        <v>2195</v>
      </c>
    </row>
    <row r="1805" ht="15.75" customHeight="1">
      <c r="B1805" s="391" t="s">
        <v>9071</v>
      </c>
      <c r="C1805" s="391" t="s">
        <v>9072</v>
      </c>
      <c r="D1805" s="391" t="s">
        <v>2195</v>
      </c>
    </row>
    <row r="1806" ht="15.75" customHeight="1">
      <c r="B1806" s="391" t="s">
        <v>9073</v>
      </c>
      <c r="C1806" s="391" t="s">
        <v>9072</v>
      </c>
      <c r="D1806" s="391" t="s">
        <v>2166</v>
      </c>
    </row>
    <row r="1807" ht="15.75" customHeight="1">
      <c r="B1807" s="391" t="s">
        <v>7264</v>
      </c>
      <c r="C1807" s="391" t="s">
        <v>9072</v>
      </c>
      <c r="D1807" s="391" t="s">
        <v>2166</v>
      </c>
    </row>
    <row r="1808" ht="15.75" customHeight="1">
      <c r="B1808" s="391" t="s">
        <v>9074</v>
      </c>
      <c r="C1808" s="391" t="s">
        <v>9075</v>
      </c>
      <c r="D1808" s="391" t="s">
        <v>2195</v>
      </c>
    </row>
    <row r="1809" ht="15.75" customHeight="1">
      <c r="B1809" s="391" t="s">
        <v>9076</v>
      </c>
      <c r="C1809" s="391" t="s">
        <v>9077</v>
      </c>
      <c r="D1809" s="391" t="s">
        <v>2195</v>
      </c>
    </row>
    <row r="1810" ht="15.75" customHeight="1">
      <c r="B1810" s="391" t="s">
        <v>9078</v>
      </c>
      <c r="C1810" s="391" t="s">
        <v>9077</v>
      </c>
      <c r="D1810" s="391" t="s">
        <v>2195</v>
      </c>
    </row>
    <row r="1811" ht="15.75" customHeight="1">
      <c r="B1811" s="391" t="s">
        <v>9079</v>
      </c>
      <c r="C1811" s="391" t="s">
        <v>9077</v>
      </c>
      <c r="D1811" s="391" t="s">
        <v>2195</v>
      </c>
    </row>
    <row r="1812" ht="15.75" customHeight="1">
      <c r="B1812" s="391" t="s">
        <v>36</v>
      </c>
      <c r="C1812" s="391" t="s">
        <v>9077</v>
      </c>
      <c r="D1812" s="391" t="s">
        <v>2166</v>
      </c>
    </row>
    <row r="1813" ht="15.75" customHeight="1">
      <c r="B1813" s="391" t="s">
        <v>56</v>
      </c>
      <c r="C1813" s="391" t="s">
        <v>9077</v>
      </c>
      <c r="D1813" s="391" t="s">
        <v>2166</v>
      </c>
    </row>
    <row r="1814" ht="15.75" customHeight="1">
      <c r="B1814" s="391" t="s">
        <v>9080</v>
      </c>
      <c r="C1814" s="391" t="s">
        <v>9077</v>
      </c>
      <c r="D1814" s="391" t="s">
        <v>2195</v>
      </c>
    </row>
    <row r="1815" ht="15.75" customHeight="1">
      <c r="B1815" s="391" t="s">
        <v>9081</v>
      </c>
      <c r="C1815" s="391" t="s">
        <v>9077</v>
      </c>
      <c r="D1815" s="391" t="s">
        <v>2195</v>
      </c>
    </row>
    <row r="1816" ht="15.75" customHeight="1">
      <c r="B1816" s="391" t="s">
        <v>9082</v>
      </c>
      <c r="C1816" s="391" t="s">
        <v>9077</v>
      </c>
      <c r="D1816" s="391" t="s">
        <v>2166</v>
      </c>
    </row>
    <row r="1817" ht="15.75" customHeight="1">
      <c r="B1817" s="391" t="s">
        <v>9083</v>
      </c>
      <c r="C1817" s="391" t="s">
        <v>9077</v>
      </c>
      <c r="D1817" s="391" t="s">
        <v>2195</v>
      </c>
    </row>
    <row r="1818" ht="15.75" customHeight="1">
      <c r="B1818" s="391" t="s">
        <v>9084</v>
      </c>
      <c r="C1818" s="391" t="s">
        <v>9077</v>
      </c>
      <c r="D1818" s="391" t="s">
        <v>2195</v>
      </c>
    </row>
    <row r="1819" ht="15.75" customHeight="1">
      <c r="B1819" s="391" t="s">
        <v>9085</v>
      </c>
      <c r="C1819" s="391" t="s">
        <v>9077</v>
      </c>
      <c r="D1819" s="391" t="s">
        <v>2195</v>
      </c>
    </row>
    <row r="1820" ht="15.75" customHeight="1">
      <c r="B1820" s="391" t="s">
        <v>9086</v>
      </c>
      <c r="C1820" s="391" t="s">
        <v>9077</v>
      </c>
      <c r="D1820" s="391" t="s">
        <v>2195</v>
      </c>
    </row>
    <row r="1821" ht="15.75" customHeight="1">
      <c r="B1821" s="391" t="s">
        <v>9087</v>
      </c>
      <c r="C1821" s="391" t="s">
        <v>9077</v>
      </c>
      <c r="D1821" s="391" t="s">
        <v>2195</v>
      </c>
    </row>
    <row r="1822" ht="15.75" customHeight="1">
      <c r="B1822" s="391" t="s">
        <v>9088</v>
      </c>
      <c r="C1822" s="391" t="s">
        <v>9077</v>
      </c>
      <c r="D1822" s="391" t="s">
        <v>2195</v>
      </c>
    </row>
    <row r="1823" ht="15.75" customHeight="1">
      <c r="B1823" s="391" t="s">
        <v>9089</v>
      </c>
      <c r="C1823" s="391" t="s">
        <v>9077</v>
      </c>
      <c r="D1823" s="391" t="s">
        <v>2195</v>
      </c>
    </row>
    <row r="1824" ht="15.75" customHeight="1">
      <c r="B1824" s="391" t="s">
        <v>9090</v>
      </c>
      <c r="C1824" s="391" t="s">
        <v>9077</v>
      </c>
      <c r="D1824" s="391" t="s">
        <v>2195</v>
      </c>
    </row>
    <row r="1825" ht="15.75" customHeight="1">
      <c r="B1825" s="391" t="s">
        <v>9091</v>
      </c>
      <c r="C1825" s="391" t="s">
        <v>9077</v>
      </c>
      <c r="D1825" s="391" t="s">
        <v>2195</v>
      </c>
    </row>
    <row r="1826" ht="15.75" customHeight="1">
      <c r="B1826" s="391" t="s">
        <v>9092</v>
      </c>
      <c r="C1826" s="391" t="s">
        <v>9077</v>
      </c>
      <c r="D1826" s="391" t="s">
        <v>2166</v>
      </c>
    </row>
    <row r="1827" ht="15.75" customHeight="1">
      <c r="B1827" s="391" t="s">
        <v>9093</v>
      </c>
      <c r="C1827" s="391" t="s">
        <v>9077</v>
      </c>
      <c r="D1827" s="391" t="s">
        <v>2232</v>
      </c>
    </row>
    <row r="1828" ht="15.75" customHeight="1">
      <c r="B1828" s="391" t="s">
        <v>9094</v>
      </c>
      <c r="C1828" s="391" t="s">
        <v>9077</v>
      </c>
      <c r="D1828" s="391" t="s">
        <v>2195</v>
      </c>
    </row>
    <row r="1829" ht="15.75" customHeight="1">
      <c r="B1829" s="391" t="s">
        <v>9095</v>
      </c>
      <c r="C1829" s="391" t="s">
        <v>9077</v>
      </c>
      <c r="D1829" s="391" t="s">
        <v>2166</v>
      </c>
    </row>
    <row r="1830" ht="15.75" customHeight="1">
      <c r="B1830" s="391" t="s">
        <v>9096</v>
      </c>
      <c r="C1830" s="391" t="s">
        <v>9077</v>
      </c>
      <c r="D1830" s="391" t="s">
        <v>2195</v>
      </c>
    </row>
    <row r="1831" ht="15.75" customHeight="1">
      <c r="B1831" s="391" t="s">
        <v>9097</v>
      </c>
      <c r="C1831" s="391" t="s">
        <v>9077</v>
      </c>
      <c r="D1831" s="391" t="s">
        <v>2166</v>
      </c>
    </row>
    <row r="1832" ht="15.75" customHeight="1">
      <c r="B1832" s="391" t="s">
        <v>9098</v>
      </c>
      <c r="C1832" s="391" t="s">
        <v>9077</v>
      </c>
      <c r="D1832" s="391" t="s">
        <v>2195</v>
      </c>
    </row>
    <row r="1833" ht="15.75" customHeight="1">
      <c r="B1833" s="391" t="s">
        <v>9099</v>
      </c>
      <c r="C1833" s="391" t="s">
        <v>9077</v>
      </c>
      <c r="D1833" s="391" t="s">
        <v>2166</v>
      </c>
    </row>
    <row r="1834" ht="15.75" customHeight="1">
      <c r="B1834" s="391" t="s">
        <v>9100</v>
      </c>
      <c r="C1834" s="391" t="s">
        <v>9077</v>
      </c>
      <c r="D1834" s="391" t="s">
        <v>2195</v>
      </c>
    </row>
    <row r="1835" ht="15.75" customHeight="1">
      <c r="B1835" s="391" t="s">
        <v>9101</v>
      </c>
      <c r="C1835" s="391" t="s">
        <v>9077</v>
      </c>
      <c r="D1835" s="391" t="s">
        <v>2166</v>
      </c>
    </row>
    <row r="1836" ht="15.75" customHeight="1">
      <c r="B1836" s="391" t="s">
        <v>9102</v>
      </c>
      <c r="C1836" s="391" t="s">
        <v>9077</v>
      </c>
      <c r="D1836" s="391" t="s">
        <v>2195</v>
      </c>
    </row>
    <row r="1837" ht="15.75" customHeight="1">
      <c r="B1837" s="391" t="s">
        <v>72</v>
      </c>
      <c r="C1837" s="391" t="s">
        <v>9077</v>
      </c>
      <c r="D1837" s="391" t="s">
        <v>2166</v>
      </c>
    </row>
    <row r="1838" ht="15.75" customHeight="1">
      <c r="B1838" s="391" t="s">
        <v>9103</v>
      </c>
      <c r="C1838" s="391" t="s">
        <v>9077</v>
      </c>
      <c r="D1838" s="391" t="s">
        <v>2195</v>
      </c>
    </row>
    <row r="1839" ht="15.75" customHeight="1">
      <c r="B1839" s="391" t="s">
        <v>9104</v>
      </c>
      <c r="C1839" s="391" t="s">
        <v>9077</v>
      </c>
      <c r="D1839" s="391" t="s">
        <v>2166</v>
      </c>
    </row>
    <row r="1840" ht="15.75" customHeight="1">
      <c r="B1840" s="391" t="s">
        <v>9105</v>
      </c>
      <c r="C1840" s="391" t="s">
        <v>9077</v>
      </c>
      <c r="D1840" s="391" t="s">
        <v>2195</v>
      </c>
    </row>
    <row r="1841" ht="15.75" customHeight="1">
      <c r="B1841" s="391" t="s">
        <v>9106</v>
      </c>
      <c r="C1841" s="391" t="s">
        <v>9077</v>
      </c>
      <c r="D1841" s="391" t="s">
        <v>2195</v>
      </c>
    </row>
    <row r="1842" ht="15.75" customHeight="1">
      <c r="B1842" s="391" t="s">
        <v>9107</v>
      </c>
      <c r="C1842" s="391" t="s">
        <v>9077</v>
      </c>
      <c r="D1842" s="391" t="s">
        <v>2195</v>
      </c>
    </row>
    <row r="1843" ht="15.75" customHeight="1">
      <c r="B1843" s="391" t="s">
        <v>9108</v>
      </c>
      <c r="C1843" s="391" t="s">
        <v>9077</v>
      </c>
      <c r="D1843" s="391" t="s">
        <v>2195</v>
      </c>
    </row>
    <row r="1844" ht="15.75" customHeight="1">
      <c r="B1844" s="391" t="s">
        <v>9109</v>
      </c>
      <c r="C1844" s="391" t="s">
        <v>9110</v>
      </c>
      <c r="D1844" s="391" t="s">
        <v>2195</v>
      </c>
    </row>
    <row r="1845" ht="15.75" customHeight="1">
      <c r="B1845" s="391" t="s">
        <v>40</v>
      </c>
      <c r="C1845" s="391" t="s">
        <v>9111</v>
      </c>
      <c r="D1845" s="391" t="s">
        <v>2166</v>
      </c>
    </row>
    <row r="1846" ht="15.75" customHeight="1">
      <c r="B1846" s="391" t="s">
        <v>48</v>
      </c>
      <c r="C1846" s="391" t="s">
        <v>9111</v>
      </c>
      <c r="D1846" s="391" t="s">
        <v>2166</v>
      </c>
    </row>
    <row r="1847" ht="15.75" customHeight="1">
      <c r="B1847" s="391" t="s">
        <v>52</v>
      </c>
      <c r="C1847" s="391" t="s">
        <v>9111</v>
      </c>
      <c r="D1847" s="391" t="s">
        <v>2166</v>
      </c>
    </row>
    <row r="1848" ht="15.75" customHeight="1">
      <c r="B1848" s="391" t="s">
        <v>9112</v>
      </c>
      <c r="C1848" s="391" t="s">
        <v>9111</v>
      </c>
      <c r="D1848" s="391" t="s">
        <v>2232</v>
      </c>
    </row>
    <row r="1849" ht="15.75" customHeight="1">
      <c r="B1849" s="391" t="s">
        <v>9113</v>
      </c>
      <c r="C1849" s="391" t="s">
        <v>9111</v>
      </c>
      <c r="D1849" s="391" t="s">
        <v>2195</v>
      </c>
    </row>
    <row r="1850" ht="15.75" customHeight="1">
      <c r="B1850" s="391" t="s">
        <v>9114</v>
      </c>
      <c r="C1850" s="391" t="s">
        <v>9111</v>
      </c>
      <c r="D1850" s="391" t="s">
        <v>2195</v>
      </c>
    </row>
    <row r="1851" ht="15.75" customHeight="1">
      <c r="B1851" s="391" t="s">
        <v>9115</v>
      </c>
      <c r="C1851" s="391" t="s">
        <v>9116</v>
      </c>
      <c r="D1851" s="391" t="s">
        <v>2232</v>
      </c>
    </row>
    <row r="1852" ht="15.75" customHeight="1">
      <c r="B1852" s="391" t="s">
        <v>9117</v>
      </c>
      <c r="C1852" s="391" t="s">
        <v>9118</v>
      </c>
      <c r="D1852" s="391" t="s">
        <v>2195</v>
      </c>
    </row>
    <row r="1853" ht="15.75" customHeight="1">
      <c r="B1853" s="391" t="s">
        <v>9119</v>
      </c>
      <c r="C1853" s="391" t="s">
        <v>9118</v>
      </c>
      <c r="D1853" s="391" t="s">
        <v>2195</v>
      </c>
    </row>
    <row r="1854" ht="15.75" customHeight="1">
      <c r="B1854" s="391" t="s">
        <v>9120</v>
      </c>
      <c r="C1854" s="391" t="s">
        <v>9118</v>
      </c>
      <c r="D1854" s="391" t="s">
        <v>2195</v>
      </c>
    </row>
    <row r="1855" ht="15.75" customHeight="1">
      <c r="B1855" s="391" t="s">
        <v>9121</v>
      </c>
      <c r="C1855" s="391" t="s">
        <v>9118</v>
      </c>
      <c r="D1855" s="391" t="s">
        <v>2195</v>
      </c>
    </row>
    <row r="1856" ht="15.75" customHeight="1">
      <c r="B1856" s="391" t="s">
        <v>9122</v>
      </c>
      <c r="C1856" s="391" t="s">
        <v>9118</v>
      </c>
      <c r="D1856" s="391" t="s">
        <v>2195</v>
      </c>
    </row>
    <row r="1857" ht="15.75" customHeight="1">
      <c r="B1857" s="391" t="s">
        <v>9123</v>
      </c>
      <c r="C1857" s="391" t="s">
        <v>9118</v>
      </c>
      <c r="D1857" s="391" t="s">
        <v>2195</v>
      </c>
    </row>
    <row r="1858" ht="15.75" customHeight="1">
      <c r="B1858" s="391" t="s">
        <v>1567</v>
      </c>
      <c r="C1858" s="391" t="s">
        <v>9124</v>
      </c>
      <c r="D1858" s="391" t="s">
        <v>2166</v>
      </c>
    </row>
    <row r="1859" ht="15.75" customHeight="1">
      <c r="B1859" s="391" t="s">
        <v>1569</v>
      </c>
      <c r="C1859" s="391" t="s">
        <v>9124</v>
      </c>
      <c r="D1859" s="391" t="s">
        <v>2232</v>
      </c>
    </row>
    <row r="1860" ht="15.75" customHeight="1">
      <c r="B1860" s="391" t="s">
        <v>1571</v>
      </c>
      <c r="C1860" s="391" t="s">
        <v>9124</v>
      </c>
      <c r="D1860" s="391" t="s">
        <v>2166</v>
      </c>
    </row>
    <row r="1861" ht="15.75" customHeight="1">
      <c r="B1861" s="391" t="s">
        <v>9125</v>
      </c>
      <c r="C1861" s="391" t="s">
        <v>9124</v>
      </c>
      <c r="D1861" s="391" t="s">
        <v>2232</v>
      </c>
    </row>
    <row r="1862" ht="15.75" customHeight="1">
      <c r="B1862" s="391" t="s">
        <v>9126</v>
      </c>
      <c r="C1862" s="391" t="s">
        <v>9124</v>
      </c>
      <c r="D1862" s="391" t="s">
        <v>2195</v>
      </c>
    </row>
    <row r="1863" ht="15.75" customHeight="1">
      <c r="B1863" s="391" t="s">
        <v>9127</v>
      </c>
      <c r="C1863" s="391" t="s">
        <v>9128</v>
      </c>
      <c r="D1863" s="391" t="s">
        <v>2232</v>
      </c>
    </row>
    <row r="1864" ht="15.75" customHeight="1">
      <c r="B1864" s="391" t="s">
        <v>9129</v>
      </c>
      <c r="C1864" s="391" t="s">
        <v>9128</v>
      </c>
      <c r="D1864" s="391" t="s">
        <v>2195</v>
      </c>
    </row>
    <row r="1865" ht="15.75" customHeight="1">
      <c r="B1865" s="391" t="s">
        <v>9130</v>
      </c>
      <c r="C1865" s="391" t="s">
        <v>9128</v>
      </c>
      <c r="D1865" s="391" t="s">
        <v>2195</v>
      </c>
    </row>
    <row r="1866" ht="15.75" customHeight="1">
      <c r="B1866" s="391" t="s">
        <v>9131</v>
      </c>
      <c r="C1866" s="391" t="s">
        <v>9128</v>
      </c>
      <c r="D1866" s="391" t="s">
        <v>2166</v>
      </c>
    </row>
    <row r="1867" ht="15.75" customHeight="1">
      <c r="B1867" s="391" t="s">
        <v>9132</v>
      </c>
      <c r="C1867" s="391" t="s">
        <v>9133</v>
      </c>
      <c r="D1867" s="391" t="s">
        <v>2166</v>
      </c>
    </row>
    <row r="1868" ht="15.75" customHeight="1">
      <c r="B1868" s="391" t="s">
        <v>9134</v>
      </c>
      <c r="C1868" s="391" t="s">
        <v>9133</v>
      </c>
      <c r="D1868" s="391" t="s">
        <v>2166</v>
      </c>
    </row>
    <row r="1869" ht="15.75" customHeight="1">
      <c r="B1869" s="391" t="s">
        <v>9135</v>
      </c>
      <c r="C1869" s="391" t="s">
        <v>9136</v>
      </c>
      <c r="D1869" s="391" t="s">
        <v>2166</v>
      </c>
    </row>
    <row r="1870" ht="15.75" customHeight="1">
      <c r="B1870" s="391" t="s">
        <v>9137</v>
      </c>
      <c r="C1870" s="391" t="s">
        <v>9136</v>
      </c>
      <c r="D1870" s="391" t="s">
        <v>2166</v>
      </c>
    </row>
    <row r="1871" ht="15.75" customHeight="1">
      <c r="B1871" s="391" t="s">
        <v>1325</v>
      </c>
      <c r="C1871" s="391" t="s">
        <v>9136</v>
      </c>
      <c r="D1871" s="391" t="s">
        <v>2232</v>
      </c>
    </row>
    <row r="1872" ht="15.75" customHeight="1">
      <c r="B1872" s="391" t="s">
        <v>291</v>
      </c>
      <c r="C1872" s="391" t="s">
        <v>9136</v>
      </c>
      <c r="D1872" s="391" t="s">
        <v>2166</v>
      </c>
    </row>
    <row r="1873" ht="15.75" customHeight="1">
      <c r="B1873" s="391" t="s">
        <v>9138</v>
      </c>
      <c r="C1873" s="391" t="s">
        <v>9136</v>
      </c>
      <c r="D1873" s="391" t="s">
        <v>2195</v>
      </c>
    </row>
    <row r="1874" ht="15.75" customHeight="1">
      <c r="B1874" s="391" t="s">
        <v>1646</v>
      </c>
      <c r="C1874" s="391" t="s">
        <v>9136</v>
      </c>
      <c r="D1874" s="391" t="s">
        <v>2166</v>
      </c>
    </row>
    <row r="1875" ht="15.75" customHeight="1">
      <c r="B1875" s="391" t="s">
        <v>1648</v>
      </c>
      <c r="C1875" s="391" t="s">
        <v>9136</v>
      </c>
      <c r="D1875" s="391" t="s">
        <v>2166</v>
      </c>
    </row>
    <row r="1876" ht="15.75" customHeight="1">
      <c r="B1876" s="391" t="s">
        <v>1650</v>
      </c>
      <c r="C1876" s="391" t="s">
        <v>9136</v>
      </c>
      <c r="D1876" s="391" t="s">
        <v>2166</v>
      </c>
    </row>
    <row r="1877" ht="15.75" customHeight="1">
      <c r="B1877" s="391" t="s">
        <v>9139</v>
      </c>
      <c r="C1877" s="391" t="s">
        <v>9136</v>
      </c>
      <c r="D1877" s="391" t="s">
        <v>2166</v>
      </c>
    </row>
    <row r="1878" ht="15.75" customHeight="1">
      <c r="B1878" s="391" t="s">
        <v>287</v>
      </c>
      <c r="C1878" s="391" t="s">
        <v>9140</v>
      </c>
      <c r="D1878" s="391" t="s">
        <v>2166</v>
      </c>
    </row>
    <row r="1879" ht="15.75" customHeight="1">
      <c r="B1879" s="391" t="s">
        <v>9141</v>
      </c>
      <c r="C1879" s="391" t="s">
        <v>9142</v>
      </c>
      <c r="D1879" s="391" t="s">
        <v>2232</v>
      </c>
    </row>
    <row r="1880" ht="15.75" customHeight="1">
      <c r="B1880" s="391" t="s">
        <v>1654</v>
      </c>
      <c r="C1880" s="391" t="s">
        <v>9143</v>
      </c>
      <c r="D1880" s="391" t="s">
        <v>2166</v>
      </c>
    </row>
    <row r="1881" ht="15.75" customHeight="1">
      <c r="B1881" s="391" t="s">
        <v>9144</v>
      </c>
      <c r="C1881" s="391" t="s">
        <v>9145</v>
      </c>
      <c r="D1881" s="391" t="s">
        <v>2166</v>
      </c>
    </row>
    <row r="1882" ht="15.75" customHeight="1">
      <c r="B1882" s="391" t="s">
        <v>9146</v>
      </c>
      <c r="C1882" s="391" t="s">
        <v>9145</v>
      </c>
      <c r="D1882" s="391" t="s">
        <v>2195</v>
      </c>
    </row>
    <row r="1883" ht="15.75" customHeight="1">
      <c r="B1883" s="391" t="s">
        <v>9147</v>
      </c>
      <c r="C1883" s="391" t="s">
        <v>9145</v>
      </c>
      <c r="D1883" s="391" t="s">
        <v>2195</v>
      </c>
    </row>
    <row r="1884" ht="15.75" customHeight="1">
      <c r="B1884" s="391" t="s">
        <v>9148</v>
      </c>
      <c r="C1884" s="391" t="s">
        <v>9149</v>
      </c>
      <c r="D1884" s="391" t="s">
        <v>2166</v>
      </c>
    </row>
    <row r="1885" ht="15.75" customHeight="1">
      <c r="B1885" s="391" t="s">
        <v>232</v>
      </c>
      <c r="C1885" s="391" t="s">
        <v>9150</v>
      </c>
      <c r="D1885" s="391" t="s">
        <v>2166</v>
      </c>
    </row>
    <row r="1886" ht="15.75" customHeight="1">
      <c r="B1886" s="391" t="s">
        <v>236</v>
      </c>
      <c r="C1886" s="391" t="s">
        <v>9150</v>
      </c>
      <c r="D1886" s="391" t="s">
        <v>2166</v>
      </c>
    </row>
    <row r="1887" ht="15.75" customHeight="1">
      <c r="B1887" s="391" t="s">
        <v>9151</v>
      </c>
      <c r="C1887" s="391" t="s">
        <v>9150</v>
      </c>
      <c r="D1887" s="391" t="s">
        <v>2232</v>
      </c>
    </row>
    <row r="1888" ht="15.75" customHeight="1">
      <c r="B1888" s="391" t="s">
        <v>261</v>
      </c>
      <c r="C1888" s="391" t="s">
        <v>9152</v>
      </c>
      <c r="D1888" s="391" t="s">
        <v>2166</v>
      </c>
    </row>
    <row r="1889" ht="15.75" customHeight="1">
      <c r="B1889" s="391" t="s">
        <v>488</v>
      </c>
      <c r="C1889" s="391" t="s">
        <v>9153</v>
      </c>
      <c r="D1889" s="391" t="s">
        <v>2195</v>
      </c>
    </row>
    <row r="1890" ht="15.75" customHeight="1">
      <c r="B1890" s="391" t="s">
        <v>9154</v>
      </c>
      <c r="C1890" s="391" t="s">
        <v>9153</v>
      </c>
      <c r="D1890" s="391" t="s">
        <v>2195</v>
      </c>
    </row>
    <row r="1891" ht="15.75" customHeight="1">
      <c r="B1891" s="391" t="s">
        <v>9155</v>
      </c>
      <c r="C1891" s="391" t="s">
        <v>9153</v>
      </c>
      <c r="D1891" s="391" t="s">
        <v>2195</v>
      </c>
    </row>
    <row r="1892" ht="15.75" customHeight="1">
      <c r="B1892" s="391" t="s">
        <v>9156</v>
      </c>
      <c r="C1892" s="391" t="s">
        <v>9153</v>
      </c>
      <c r="D1892" s="391" t="s">
        <v>2195</v>
      </c>
    </row>
    <row r="1893" ht="15.75" customHeight="1">
      <c r="B1893" s="391" t="s">
        <v>9157</v>
      </c>
      <c r="C1893" s="391" t="s">
        <v>9153</v>
      </c>
      <c r="D1893" s="391" t="s">
        <v>2232</v>
      </c>
    </row>
    <row r="1894" ht="15.75" customHeight="1">
      <c r="B1894" s="391" t="s">
        <v>9158</v>
      </c>
      <c r="C1894" s="391" t="s">
        <v>9153</v>
      </c>
      <c r="D1894" s="391" t="s">
        <v>2232</v>
      </c>
    </row>
    <row r="1895" ht="15.75" customHeight="1">
      <c r="B1895" s="391" t="s">
        <v>485</v>
      </c>
      <c r="C1895" s="391" t="s">
        <v>9159</v>
      </c>
      <c r="D1895" s="391" t="s">
        <v>2195</v>
      </c>
    </row>
    <row r="1896" ht="15.75" customHeight="1">
      <c r="B1896" s="391" t="s">
        <v>487</v>
      </c>
      <c r="C1896" s="391" t="s">
        <v>9160</v>
      </c>
      <c r="D1896" s="391" t="s">
        <v>2232</v>
      </c>
    </row>
    <row r="1897" ht="15.75" customHeight="1">
      <c r="B1897" s="391" t="s">
        <v>289</v>
      </c>
      <c r="C1897" s="391" t="s">
        <v>9161</v>
      </c>
      <c r="D1897" s="391" t="s">
        <v>2195</v>
      </c>
    </row>
    <row r="1898" ht="15.75" customHeight="1">
      <c r="B1898" s="391" t="s">
        <v>518</v>
      </c>
      <c r="C1898" s="391" t="s">
        <v>9162</v>
      </c>
      <c r="D1898" s="391" t="s">
        <v>2166</v>
      </c>
    </row>
    <row r="1899" ht="15.75" customHeight="1">
      <c r="B1899" s="391" t="s">
        <v>522</v>
      </c>
      <c r="C1899" s="391" t="s">
        <v>9162</v>
      </c>
      <c r="D1899" s="391" t="s">
        <v>2166</v>
      </c>
    </row>
    <row r="1900" ht="15.75" customHeight="1">
      <c r="B1900" s="391" t="s">
        <v>534</v>
      </c>
      <c r="C1900" s="391" t="s">
        <v>9162</v>
      </c>
      <c r="D1900" s="391" t="s">
        <v>2166</v>
      </c>
    </row>
    <row r="1901" ht="15.75" customHeight="1">
      <c r="B1901" s="391" t="s">
        <v>301</v>
      </c>
      <c r="C1901" s="391" t="s">
        <v>9162</v>
      </c>
      <c r="D1901" s="391" t="s">
        <v>2166</v>
      </c>
    </row>
    <row r="1902" ht="15.75" customHeight="1">
      <c r="B1902" s="391" t="s">
        <v>9163</v>
      </c>
      <c r="C1902" s="391" t="s">
        <v>9162</v>
      </c>
      <c r="D1902" s="391" t="s">
        <v>2232</v>
      </c>
    </row>
    <row r="1903" ht="15.75" customHeight="1">
      <c r="B1903" s="391" t="s">
        <v>9164</v>
      </c>
      <c r="C1903" s="391" t="s">
        <v>9162</v>
      </c>
      <c r="D1903" s="391" t="s">
        <v>2166</v>
      </c>
    </row>
    <row r="1904" ht="15.75" customHeight="1">
      <c r="B1904" s="391" t="s">
        <v>9165</v>
      </c>
      <c r="C1904" s="391" t="s">
        <v>9162</v>
      </c>
      <c r="D1904" s="391" t="s">
        <v>2232</v>
      </c>
    </row>
    <row r="1905" ht="15.75" customHeight="1">
      <c r="B1905" s="391" t="s">
        <v>9166</v>
      </c>
      <c r="C1905" s="391" t="s">
        <v>9162</v>
      </c>
      <c r="D1905" s="391" t="s">
        <v>2232</v>
      </c>
    </row>
    <row r="1906" ht="15.75" customHeight="1">
      <c r="B1906" s="391" t="s">
        <v>9167</v>
      </c>
      <c r="C1906" s="391" t="s">
        <v>9162</v>
      </c>
      <c r="D1906" s="391" t="s">
        <v>2232</v>
      </c>
    </row>
    <row r="1907" ht="15.75" customHeight="1">
      <c r="B1907" s="391" t="s">
        <v>9168</v>
      </c>
      <c r="C1907" s="391" t="s">
        <v>9169</v>
      </c>
      <c r="D1907" s="391" t="s">
        <v>2166</v>
      </c>
    </row>
    <row r="1908" ht="15.75" customHeight="1">
      <c r="B1908" s="391" t="s">
        <v>9170</v>
      </c>
      <c r="C1908" s="391" t="s">
        <v>9171</v>
      </c>
      <c r="D1908" s="391" t="s">
        <v>2232</v>
      </c>
    </row>
    <row r="1909" ht="15.75" customHeight="1">
      <c r="B1909" s="391" t="s">
        <v>9172</v>
      </c>
      <c r="C1909" s="391" t="s">
        <v>9173</v>
      </c>
      <c r="D1909" s="391" t="s">
        <v>2232</v>
      </c>
    </row>
    <row r="1910" ht="15.75" customHeight="1">
      <c r="B1910" s="391" t="s">
        <v>9174</v>
      </c>
      <c r="C1910" s="391" t="s">
        <v>9175</v>
      </c>
      <c r="D1910" s="391" t="s">
        <v>2232</v>
      </c>
    </row>
    <row r="1911" ht="15.75" customHeight="1">
      <c r="B1911" s="391" t="s">
        <v>588</v>
      </c>
      <c r="C1911" s="391" t="s">
        <v>9176</v>
      </c>
      <c r="D1911" s="391" t="s">
        <v>2166</v>
      </c>
    </row>
    <row r="1912" ht="15.75" customHeight="1">
      <c r="B1912" s="391" t="s">
        <v>9177</v>
      </c>
      <c r="C1912" s="391" t="s">
        <v>9178</v>
      </c>
      <c r="D1912" s="391" t="s">
        <v>2232</v>
      </c>
    </row>
    <row r="1913" ht="15.75" customHeight="1">
      <c r="B1913" s="391" t="s">
        <v>9179</v>
      </c>
      <c r="C1913" s="391" t="s">
        <v>9180</v>
      </c>
      <c r="D1913" s="391" t="s">
        <v>2166</v>
      </c>
    </row>
    <row r="1914" ht="15.75" customHeight="1">
      <c r="B1914" s="391" t="s">
        <v>9181</v>
      </c>
      <c r="C1914" s="391" t="s">
        <v>9180</v>
      </c>
      <c r="D1914" s="391" t="s">
        <v>2166</v>
      </c>
    </row>
    <row r="1915" ht="15.75" customHeight="1">
      <c r="B1915" s="391" t="s">
        <v>526</v>
      </c>
      <c r="C1915" s="391" t="s">
        <v>9182</v>
      </c>
      <c r="D1915" s="391" t="s">
        <v>2166</v>
      </c>
    </row>
    <row r="1916" ht="15.75" customHeight="1">
      <c r="B1916" s="391" t="s">
        <v>542</v>
      </c>
      <c r="C1916" s="391" t="s">
        <v>9182</v>
      </c>
      <c r="D1916" s="391" t="s">
        <v>2166</v>
      </c>
    </row>
    <row r="1917" ht="15.75" customHeight="1">
      <c r="B1917" s="391" t="s">
        <v>9183</v>
      </c>
      <c r="C1917" s="391" t="s">
        <v>9182</v>
      </c>
      <c r="D1917" s="391" t="s">
        <v>2195</v>
      </c>
    </row>
    <row r="1918" ht="15.75" customHeight="1">
      <c r="B1918" s="391" t="s">
        <v>9184</v>
      </c>
      <c r="C1918" s="391" t="s">
        <v>9182</v>
      </c>
      <c r="D1918" s="391" t="s">
        <v>2166</v>
      </c>
    </row>
    <row r="1919" ht="15.75" customHeight="1">
      <c r="B1919" s="391" t="s">
        <v>9185</v>
      </c>
      <c r="C1919" s="391" t="s">
        <v>9182</v>
      </c>
      <c r="D1919" s="391" t="s">
        <v>2195</v>
      </c>
    </row>
    <row r="1920" ht="15.75" customHeight="1">
      <c r="B1920" s="391" t="s">
        <v>9186</v>
      </c>
      <c r="C1920" s="391" t="s">
        <v>9187</v>
      </c>
      <c r="D1920" s="391" t="s">
        <v>2195</v>
      </c>
    </row>
    <row r="1921" ht="15.75" customHeight="1">
      <c r="B1921" s="391" t="s">
        <v>1553</v>
      </c>
      <c r="C1921" s="391" t="s">
        <v>9188</v>
      </c>
      <c r="D1921" s="391" t="s">
        <v>2195</v>
      </c>
    </row>
    <row r="1922" ht="15.75" customHeight="1">
      <c r="B1922" s="391" t="s">
        <v>9189</v>
      </c>
      <c r="C1922" s="391" t="s">
        <v>9188</v>
      </c>
      <c r="D1922" s="391" t="s">
        <v>2232</v>
      </c>
    </row>
    <row r="1923" ht="15.75" customHeight="1">
      <c r="B1923" s="391" t="s">
        <v>1437</v>
      </c>
      <c r="C1923" s="391" t="s">
        <v>9190</v>
      </c>
      <c r="D1923" s="391" t="s">
        <v>2166</v>
      </c>
    </row>
    <row r="1924" ht="15.75" customHeight="1">
      <c r="B1924" s="391" t="s">
        <v>1439</v>
      </c>
      <c r="C1924" s="391" t="s">
        <v>9190</v>
      </c>
      <c r="D1924" s="391" t="s">
        <v>2166</v>
      </c>
    </row>
    <row r="1925" ht="15.75" customHeight="1">
      <c r="B1925" s="391" t="s">
        <v>1423</v>
      </c>
      <c r="C1925" s="391" t="s">
        <v>9191</v>
      </c>
      <c r="D1925" s="391" t="s">
        <v>2166</v>
      </c>
    </row>
    <row r="1926" ht="15.75" customHeight="1">
      <c r="B1926" s="391" t="s">
        <v>1427</v>
      </c>
      <c r="C1926" s="391" t="s">
        <v>9191</v>
      </c>
      <c r="D1926" s="391" t="s">
        <v>2166</v>
      </c>
    </row>
    <row r="1927" ht="15.75" customHeight="1">
      <c r="B1927" s="391" t="s">
        <v>9192</v>
      </c>
      <c r="C1927" s="391" t="s">
        <v>9191</v>
      </c>
      <c r="D1927" s="391" t="s">
        <v>2166</v>
      </c>
    </row>
    <row r="1928" ht="15.75" customHeight="1">
      <c r="B1928" s="391" t="s">
        <v>1431</v>
      </c>
      <c r="C1928" s="391" t="s">
        <v>9193</v>
      </c>
      <c r="D1928" s="391" t="s">
        <v>2166</v>
      </c>
    </row>
    <row r="1929" ht="15.75" customHeight="1">
      <c r="B1929" s="391" t="s">
        <v>1433</v>
      </c>
      <c r="C1929" s="391" t="s">
        <v>9194</v>
      </c>
      <c r="D1929" s="391" t="s">
        <v>2195</v>
      </c>
    </row>
    <row r="1930" ht="15.75" customHeight="1">
      <c r="B1930" s="391" t="s">
        <v>1435</v>
      </c>
      <c r="C1930" s="391" t="s">
        <v>9195</v>
      </c>
      <c r="D1930" s="391" t="s">
        <v>2166</v>
      </c>
    </row>
    <row r="1931" ht="15.75" customHeight="1">
      <c r="B1931" s="391" t="s">
        <v>1436</v>
      </c>
      <c r="C1931" s="391" t="s">
        <v>9196</v>
      </c>
      <c r="D1931" s="391" t="s">
        <v>2166</v>
      </c>
    </row>
    <row r="1932" ht="15.75" customHeight="1">
      <c r="B1932" s="391" t="s">
        <v>9197</v>
      </c>
      <c r="C1932" s="391" t="s">
        <v>9198</v>
      </c>
      <c r="D1932" s="391" t="s">
        <v>2232</v>
      </c>
    </row>
    <row r="1933" ht="15.75" customHeight="1">
      <c r="B1933" s="391" t="s">
        <v>9199</v>
      </c>
      <c r="C1933" s="391" t="s">
        <v>9198</v>
      </c>
      <c r="D1933" s="391" t="s">
        <v>2195</v>
      </c>
    </row>
    <row r="1934" ht="15.75" customHeight="1">
      <c r="B1934" s="391" t="s">
        <v>9200</v>
      </c>
      <c r="C1934" s="391" t="s">
        <v>9201</v>
      </c>
      <c r="D1934" s="391" t="s">
        <v>2166</v>
      </c>
    </row>
    <row r="1935" ht="15.75" customHeight="1">
      <c r="B1935" s="391" t="s">
        <v>9202</v>
      </c>
      <c r="C1935" s="391" t="s">
        <v>9203</v>
      </c>
      <c r="D1935" s="391" t="s">
        <v>2166</v>
      </c>
    </row>
    <row r="1936" ht="15.75" customHeight="1">
      <c r="B1936" s="391" t="s">
        <v>9204</v>
      </c>
      <c r="C1936" s="391" t="s">
        <v>9205</v>
      </c>
      <c r="D1936" s="391" t="s">
        <v>2166</v>
      </c>
    </row>
    <row r="1937" ht="15.75" customHeight="1">
      <c r="B1937" s="391" t="s">
        <v>798</v>
      </c>
      <c r="C1937" s="391" t="s">
        <v>9206</v>
      </c>
      <c r="D1937" s="391" t="s">
        <v>2166</v>
      </c>
    </row>
    <row r="1938" ht="15.75" customHeight="1">
      <c r="B1938" s="391" t="s">
        <v>9207</v>
      </c>
      <c r="C1938" s="391" t="s">
        <v>9208</v>
      </c>
      <c r="D1938" s="391" t="s">
        <v>2232</v>
      </c>
    </row>
    <row r="1939" ht="15.75" customHeight="1">
      <c r="B1939" s="391" t="s">
        <v>1643</v>
      </c>
      <c r="C1939" s="391" t="s">
        <v>9209</v>
      </c>
      <c r="D1939" s="391" t="s">
        <v>2195</v>
      </c>
    </row>
    <row r="1940" ht="15.75" customHeight="1">
      <c r="B1940" s="391" t="s">
        <v>793</v>
      </c>
      <c r="C1940" s="391" t="s">
        <v>9210</v>
      </c>
      <c r="D1940" s="391" t="s">
        <v>2232</v>
      </c>
    </row>
    <row r="1941" ht="15.75" customHeight="1">
      <c r="B1941" s="391" t="s">
        <v>800</v>
      </c>
      <c r="C1941" s="391" t="s">
        <v>9211</v>
      </c>
      <c r="D1941" s="391" t="s">
        <v>2166</v>
      </c>
    </row>
    <row r="1942" ht="15.75" customHeight="1">
      <c r="B1942" s="391" t="s">
        <v>950</v>
      </c>
      <c r="C1942" s="391" t="s">
        <v>9212</v>
      </c>
      <c r="D1942" s="391" t="s">
        <v>2232</v>
      </c>
    </row>
    <row r="1943" ht="15.75" customHeight="1">
      <c r="B1943" s="391" t="s">
        <v>184</v>
      </c>
      <c r="C1943" s="391" t="s">
        <v>9213</v>
      </c>
      <c r="D1943" s="391" t="s">
        <v>2195</v>
      </c>
    </row>
    <row r="1944" ht="15.75" customHeight="1">
      <c r="B1944" s="391" t="s">
        <v>9214</v>
      </c>
      <c r="C1944" s="391" t="s">
        <v>9215</v>
      </c>
      <c r="D1944" s="391" t="s">
        <v>2166</v>
      </c>
    </row>
    <row r="1945" ht="15.75" customHeight="1">
      <c r="B1945" s="391" t="s">
        <v>1289</v>
      </c>
      <c r="C1945" s="391" t="s">
        <v>9216</v>
      </c>
      <c r="D1945" s="391" t="s">
        <v>2166</v>
      </c>
    </row>
    <row r="1946" ht="15.75" customHeight="1">
      <c r="B1946" s="391" t="s">
        <v>1287</v>
      </c>
      <c r="C1946" s="391" t="s">
        <v>9217</v>
      </c>
      <c r="D1946" s="391" t="s">
        <v>2195</v>
      </c>
    </row>
    <row r="1947" ht="15.75" customHeight="1">
      <c r="B1947" s="391" t="s">
        <v>1159</v>
      </c>
      <c r="C1947" s="391" t="s">
        <v>9218</v>
      </c>
      <c r="D1947" s="391" t="s">
        <v>2166</v>
      </c>
    </row>
    <row r="1948" ht="15.75" customHeight="1">
      <c r="B1948" s="391" t="s">
        <v>1161</v>
      </c>
      <c r="C1948" s="391" t="s">
        <v>9218</v>
      </c>
      <c r="D1948" s="391" t="s">
        <v>2166</v>
      </c>
    </row>
    <row r="1949" ht="15.75" customHeight="1">
      <c r="B1949" s="391" t="s">
        <v>1163</v>
      </c>
      <c r="C1949" s="391" t="s">
        <v>9218</v>
      </c>
      <c r="D1949" s="391" t="s">
        <v>2166</v>
      </c>
    </row>
    <row r="1950" ht="15.75" customHeight="1">
      <c r="B1950" s="391" t="s">
        <v>490</v>
      </c>
      <c r="C1950" s="391" t="s">
        <v>9219</v>
      </c>
      <c r="D1950" s="391" t="s">
        <v>2232</v>
      </c>
    </row>
    <row r="1951" ht="15.75" customHeight="1">
      <c r="B1951" s="391" t="s">
        <v>502</v>
      </c>
      <c r="C1951" s="391" t="s">
        <v>9219</v>
      </c>
      <c r="D1951" s="391" t="s">
        <v>2166</v>
      </c>
    </row>
    <row r="1952" ht="15.75" customHeight="1">
      <c r="B1952" s="391" t="s">
        <v>9220</v>
      </c>
      <c r="C1952" s="391" t="s">
        <v>9219</v>
      </c>
      <c r="D1952" s="391" t="s">
        <v>2195</v>
      </c>
    </row>
    <row r="1953" ht="15.75" customHeight="1">
      <c r="B1953" s="391" t="s">
        <v>9221</v>
      </c>
      <c r="C1953" s="391" t="s">
        <v>9219</v>
      </c>
      <c r="D1953" s="391" t="s">
        <v>2195</v>
      </c>
    </row>
    <row r="1954" ht="15.75" customHeight="1">
      <c r="B1954" s="391" t="s">
        <v>494</v>
      </c>
      <c r="C1954" s="391" t="s">
        <v>9219</v>
      </c>
      <c r="D1954" s="391" t="s">
        <v>2232</v>
      </c>
    </row>
    <row r="1955" ht="15.75" customHeight="1">
      <c r="B1955" s="391" t="s">
        <v>9222</v>
      </c>
      <c r="C1955" s="391" t="s">
        <v>9223</v>
      </c>
      <c r="D1955" s="391" t="s">
        <v>2195</v>
      </c>
    </row>
    <row r="1956" ht="15.75" customHeight="1">
      <c r="B1956" s="391" t="s">
        <v>1483</v>
      </c>
      <c r="C1956" s="391" t="s">
        <v>9224</v>
      </c>
      <c r="D1956" s="391" t="s">
        <v>2232</v>
      </c>
    </row>
    <row r="1957" ht="15.75" customHeight="1">
      <c r="B1957" s="391" t="s">
        <v>1493</v>
      </c>
      <c r="C1957" s="391" t="s">
        <v>9224</v>
      </c>
      <c r="D1957" s="391" t="s">
        <v>2166</v>
      </c>
    </row>
    <row r="1958" ht="15.75" customHeight="1">
      <c r="B1958" s="391" t="s">
        <v>188</v>
      </c>
      <c r="C1958" s="391" t="s">
        <v>9224</v>
      </c>
      <c r="D1958" s="391" t="s">
        <v>2166</v>
      </c>
    </row>
    <row r="1959" ht="15.75" customHeight="1">
      <c r="B1959" s="391" t="s">
        <v>1495</v>
      </c>
      <c r="C1959" s="391" t="s">
        <v>9225</v>
      </c>
      <c r="D1959" s="391" t="s">
        <v>2195</v>
      </c>
    </row>
    <row r="1960" ht="15.75" customHeight="1">
      <c r="B1960" s="391" t="s">
        <v>1497</v>
      </c>
      <c r="C1960" s="391" t="s">
        <v>9226</v>
      </c>
      <c r="D1960" s="391" t="s">
        <v>2195</v>
      </c>
    </row>
    <row r="1961" ht="15.75" customHeight="1">
      <c r="B1961" s="391" t="s">
        <v>9227</v>
      </c>
      <c r="C1961" s="391" t="s">
        <v>9228</v>
      </c>
      <c r="D1961" s="391" t="s">
        <v>2166</v>
      </c>
    </row>
    <row r="1962" ht="15.75" customHeight="1">
      <c r="B1962" s="391" t="s">
        <v>9229</v>
      </c>
      <c r="C1962" s="391" t="s">
        <v>9230</v>
      </c>
      <c r="D1962" s="391" t="s">
        <v>2232</v>
      </c>
    </row>
    <row r="1963" ht="15.75" customHeight="1">
      <c r="B1963" s="391" t="s">
        <v>888</v>
      </c>
      <c r="C1963" s="391" t="s">
        <v>9231</v>
      </c>
      <c r="D1963" s="391" t="s">
        <v>2166</v>
      </c>
    </row>
    <row r="1964" ht="15.75" customHeight="1">
      <c r="B1964" s="391" t="s">
        <v>471</v>
      </c>
      <c r="C1964" s="391" t="s">
        <v>9232</v>
      </c>
      <c r="D1964" s="391" t="s">
        <v>2166</v>
      </c>
    </row>
    <row r="1965" ht="15.75" customHeight="1">
      <c r="B1965" s="391" t="s">
        <v>9233</v>
      </c>
      <c r="C1965" s="391" t="s">
        <v>9234</v>
      </c>
      <c r="D1965" s="391" t="s">
        <v>2195</v>
      </c>
    </row>
    <row r="1966" ht="15.75" customHeight="1">
      <c r="B1966" s="391" t="s">
        <v>9235</v>
      </c>
      <c r="C1966" s="391" t="s">
        <v>9236</v>
      </c>
      <c r="D1966" s="391" t="s">
        <v>2195</v>
      </c>
    </row>
    <row r="1967" ht="15.75" customHeight="1">
      <c r="B1967" s="391" t="s">
        <v>1448</v>
      </c>
      <c r="C1967" s="391" t="s">
        <v>9236</v>
      </c>
      <c r="D1967" s="391" t="s">
        <v>2232</v>
      </c>
    </row>
    <row r="1968" ht="15.75" customHeight="1">
      <c r="B1968" s="391" t="s">
        <v>9237</v>
      </c>
      <c r="C1968" s="391" t="s">
        <v>9238</v>
      </c>
      <c r="D1968" s="391" t="s">
        <v>2195</v>
      </c>
    </row>
    <row r="1969" ht="15.75" customHeight="1">
      <c r="B1969" s="391" t="s">
        <v>267</v>
      </c>
      <c r="C1969" s="391" t="s">
        <v>9239</v>
      </c>
      <c r="D1969" s="391" t="s">
        <v>2166</v>
      </c>
    </row>
    <row r="1970" ht="15.75" customHeight="1">
      <c r="B1970" s="391" t="s">
        <v>2570</v>
      </c>
      <c r="C1970" s="391" t="s">
        <v>9240</v>
      </c>
      <c r="D1970" s="391" t="s">
        <v>2232</v>
      </c>
    </row>
    <row r="1971" ht="15.75" customHeight="1">
      <c r="B1971" s="391" t="s">
        <v>9241</v>
      </c>
      <c r="C1971" s="391" t="s">
        <v>9242</v>
      </c>
      <c r="D1971" s="391" t="s">
        <v>2195</v>
      </c>
    </row>
    <row r="1972" ht="15.75" customHeight="1">
      <c r="B1972" s="391" t="s">
        <v>9243</v>
      </c>
      <c r="C1972" s="391" t="s">
        <v>9244</v>
      </c>
      <c r="D1972" s="391" t="s">
        <v>2195</v>
      </c>
    </row>
    <row r="1973" ht="15.75" customHeight="1">
      <c r="B1973" s="391" t="s">
        <v>9245</v>
      </c>
      <c r="C1973" s="391" t="s">
        <v>9246</v>
      </c>
      <c r="D1973" s="391" t="s">
        <v>2195</v>
      </c>
    </row>
    <row r="1974" ht="15.75" customHeight="1">
      <c r="B1974" s="391" t="s">
        <v>9247</v>
      </c>
      <c r="C1974" s="391" t="s">
        <v>9248</v>
      </c>
      <c r="D1974" s="391" t="s">
        <v>2195</v>
      </c>
    </row>
    <row r="1975" ht="15.75" customHeight="1">
      <c r="B1975" s="391" t="s">
        <v>2544</v>
      </c>
      <c r="C1975" s="391" t="s">
        <v>9249</v>
      </c>
      <c r="D1975" s="391" t="s">
        <v>2232</v>
      </c>
    </row>
    <row r="1976" ht="15.75" customHeight="1">
      <c r="B1976" s="391" t="s">
        <v>9250</v>
      </c>
      <c r="C1976" s="391" t="s">
        <v>9251</v>
      </c>
      <c r="D1976" s="391" t="s">
        <v>2166</v>
      </c>
    </row>
    <row r="1977" ht="15.75" customHeight="1">
      <c r="B1977" s="391" t="s">
        <v>9252</v>
      </c>
      <c r="C1977" s="391" t="s">
        <v>9251</v>
      </c>
      <c r="D1977" s="391" t="s">
        <v>2166</v>
      </c>
    </row>
    <row r="1978" ht="15.75" customHeight="1">
      <c r="B1978" s="391" t="s">
        <v>9253</v>
      </c>
      <c r="C1978" s="391" t="s">
        <v>9254</v>
      </c>
      <c r="D1978" s="391" t="s">
        <v>2166</v>
      </c>
    </row>
    <row r="1979" ht="15.75" customHeight="1">
      <c r="B1979" s="391" t="s">
        <v>840</v>
      </c>
      <c r="C1979" s="391" t="s">
        <v>9255</v>
      </c>
      <c r="D1979" s="391" t="s">
        <v>2166</v>
      </c>
    </row>
    <row r="1980" ht="15.75" customHeight="1">
      <c r="B1980" s="391" t="s">
        <v>1065</v>
      </c>
      <c r="C1980" s="391" t="s">
        <v>9256</v>
      </c>
      <c r="D1980" s="391" t="s">
        <v>2232</v>
      </c>
    </row>
    <row r="1981" ht="15.75" customHeight="1">
      <c r="B1981" s="391" t="s">
        <v>9257</v>
      </c>
      <c r="C1981" s="391" t="s">
        <v>9258</v>
      </c>
      <c r="D1981" s="391" t="s">
        <v>2195</v>
      </c>
    </row>
    <row r="1982" ht="15.75" customHeight="1">
      <c r="B1982" s="391" t="s">
        <v>963</v>
      </c>
      <c r="C1982" s="391" t="s">
        <v>9259</v>
      </c>
      <c r="D1982" s="391" t="s">
        <v>2195</v>
      </c>
    </row>
    <row r="1983" ht="15.75" customHeight="1">
      <c r="B1983" s="391" t="s">
        <v>9260</v>
      </c>
      <c r="C1983" s="391" t="s">
        <v>9259</v>
      </c>
      <c r="D1983" s="391" t="s">
        <v>2166</v>
      </c>
    </row>
    <row r="1984" ht="15.75" customHeight="1">
      <c r="B1984" s="391" t="s">
        <v>9261</v>
      </c>
      <c r="C1984" s="391" t="s">
        <v>9259</v>
      </c>
      <c r="D1984" s="391" t="s">
        <v>2232</v>
      </c>
    </row>
    <row r="1985" ht="15.75" customHeight="1">
      <c r="B1985" s="391" t="s">
        <v>982</v>
      </c>
      <c r="C1985" s="391" t="s">
        <v>9262</v>
      </c>
      <c r="D1985" s="391" t="s">
        <v>2195</v>
      </c>
    </row>
    <row r="1986" ht="15.75" customHeight="1">
      <c r="B1986" s="391" t="s">
        <v>988</v>
      </c>
      <c r="C1986" s="391" t="s">
        <v>9262</v>
      </c>
      <c r="D1986" s="391" t="s">
        <v>2195</v>
      </c>
    </row>
    <row r="1987" ht="15.75" customHeight="1">
      <c r="B1987" s="391" t="s">
        <v>990</v>
      </c>
      <c r="C1987" s="391" t="s">
        <v>9262</v>
      </c>
      <c r="D1987" s="391" t="s">
        <v>2195</v>
      </c>
    </row>
    <row r="1988" ht="15.75" customHeight="1">
      <c r="B1988" s="391" t="s">
        <v>95</v>
      </c>
      <c r="C1988" s="391" t="s">
        <v>9263</v>
      </c>
      <c r="D1988" s="391" t="s">
        <v>2166</v>
      </c>
    </row>
    <row r="1989" ht="15.75" customHeight="1">
      <c r="B1989" s="391" t="s">
        <v>97</v>
      </c>
      <c r="C1989" s="391" t="s">
        <v>9263</v>
      </c>
      <c r="D1989" s="391" t="s">
        <v>2166</v>
      </c>
    </row>
    <row r="1990" ht="15.75" customHeight="1">
      <c r="B1990" s="391" t="s">
        <v>124</v>
      </c>
      <c r="C1990" s="391" t="s">
        <v>9263</v>
      </c>
      <c r="D1990" s="391" t="s">
        <v>2166</v>
      </c>
    </row>
    <row r="1991" ht="15.75" customHeight="1">
      <c r="B1991" s="391" t="s">
        <v>126</v>
      </c>
      <c r="C1991" s="391" t="s">
        <v>9263</v>
      </c>
      <c r="D1991" s="391" t="s">
        <v>2166</v>
      </c>
    </row>
    <row r="1992" ht="15.75" customHeight="1">
      <c r="B1992" s="391" t="s">
        <v>9264</v>
      </c>
      <c r="C1992" s="391" t="s">
        <v>9263</v>
      </c>
      <c r="D1992" s="391" t="s">
        <v>2195</v>
      </c>
    </row>
    <row r="1993" ht="15.75" customHeight="1">
      <c r="B1993" s="391" t="s">
        <v>1515</v>
      </c>
      <c r="C1993" s="391" t="s">
        <v>9265</v>
      </c>
      <c r="D1993" s="391" t="s">
        <v>2166</v>
      </c>
    </row>
    <row r="1994" ht="15.75" customHeight="1">
      <c r="B1994" s="391" t="s">
        <v>1519</v>
      </c>
      <c r="C1994" s="391" t="s">
        <v>9265</v>
      </c>
      <c r="D1994" s="391" t="s">
        <v>2166</v>
      </c>
    </row>
    <row r="1995" ht="15.75" customHeight="1">
      <c r="B1995" s="391" t="s">
        <v>105</v>
      </c>
      <c r="C1995" s="391" t="s">
        <v>9266</v>
      </c>
      <c r="D1995" s="391" t="s">
        <v>2195</v>
      </c>
    </row>
    <row r="1996" ht="15.75" customHeight="1">
      <c r="B1996" s="391" t="s">
        <v>149</v>
      </c>
      <c r="C1996" s="391" t="s">
        <v>9267</v>
      </c>
      <c r="D1996" s="391" t="s">
        <v>2166</v>
      </c>
    </row>
    <row r="1997" ht="15.75" customHeight="1">
      <c r="B1997" s="391" t="s">
        <v>157</v>
      </c>
      <c r="C1997" s="391" t="s">
        <v>9267</v>
      </c>
      <c r="D1997" s="391" t="s">
        <v>2232</v>
      </c>
    </row>
    <row r="1998" ht="15.75" customHeight="1">
      <c r="B1998" s="391" t="s">
        <v>1419</v>
      </c>
      <c r="C1998" s="391" t="s">
        <v>9267</v>
      </c>
      <c r="D1998" s="391" t="s">
        <v>2195</v>
      </c>
    </row>
    <row r="1999" ht="15.75" customHeight="1">
      <c r="B1999" s="391" t="s">
        <v>9268</v>
      </c>
      <c r="C1999" s="391" t="s">
        <v>9269</v>
      </c>
      <c r="D1999" s="391" t="s">
        <v>2195</v>
      </c>
    </row>
    <row r="2000" ht="15.75" customHeight="1">
      <c r="B2000" s="391" t="s">
        <v>9270</v>
      </c>
      <c r="C2000" s="391" t="s">
        <v>9269</v>
      </c>
      <c r="D2000" s="391" t="s">
        <v>2195</v>
      </c>
    </row>
    <row r="2001" ht="15.75" customHeight="1">
      <c r="B2001" s="391" t="s">
        <v>895</v>
      </c>
      <c r="C2001" s="391" t="s">
        <v>9269</v>
      </c>
      <c r="D2001" s="391" t="s">
        <v>2232</v>
      </c>
    </row>
    <row r="2002" ht="15.75" customHeight="1">
      <c r="B2002" s="391" t="s">
        <v>899</v>
      </c>
      <c r="C2002" s="391" t="s">
        <v>9269</v>
      </c>
      <c r="D2002" s="391" t="s">
        <v>2166</v>
      </c>
    </row>
    <row r="2003" ht="15.75" customHeight="1">
      <c r="B2003" s="391" t="s">
        <v>849</v>
      </c>
      <c r="C2003" s="391" t="s">
        <v>9269</v>
      </c>
      <c r="D2003" s="391" t="s">
        <v>2232</v>
      </c>
    </row>
    <row r="2004" ht="15.75" customHeight="1">
      <c r="B2004" s="391" t="s">
        <v>855</v>
      </c>
      <c r="C2004" s="391" t="s">
        <v>9269</v>
      </c>
      <c r="D2004" s="391" t="s">
        <v>2166</v>
      </c>
    </row>
    <row r="2005" ht="15.75" customHeight="1">
      <c r="B2005" s="391" t="s">
        <v>99</v>
      </c>
      <c r="C2005" s="391" t="s">
        <v>9271</v>
      </c>
      <c r="D2005" s="391" t="s">
        <v>2166</v>
      </c>
    </row>
    <row r="2006" ht="15.75" customHeight="1">
      <c r="B2006" s="391" t="s">
        <v>103</v>
      </c>
      <c r="C2006" s="391" t="s">
        <v>9271</v>
      </c>
      <c r="D2006" s="391" t="s">
        <v>2166</v>
      </c>
    </row>
    <row r="2007" ht="15.75" customHeight="1">
      <c r="B2007" s="391" t="s">
        <v>128</v>
      </c>
      <c r="C2007" s="391" t="s">
        <v>9271</v>
      </c>
      <c r="D2007" s="391" t="s">
        <v>2166</v>
      </c>
    </row>
    <row r="2008" ht="15.75" customHeight="1">
      <c r="B2008" s="391" t="s">
        <v>9272</v>
      </c>
      <c r="C2008" s="391" t="s">
        <v>9271</v>
      </c>
      <c r="D2008" s="391" t="s">
        <v>2195</v>
      </c>
    </row>
    <row r="2009" ht="15.75" customHeight="1">
      <c r="B2009" s="391" t="s">
        <v>116</v>
      </c>
      <c r="C2009" s="391" t="s">
        <v>9273</v>
      </c>
      <c r="D2009" s="391" t="s">
        <v>2166</v>
      </c>
    </row>
    <row r="2010" ht="15.75" customHeight="1">
      <c r="B2010" s="391" t="s">
        <v>1112</v>
      </c>
      <c r="C2010" s="391" t="s">
        <v>9274</v>
      </c>
      <c r="D2010" s="391" t="s">
        <v>2166</v>
      </c>
    </row>
    <row r="2011" ht="15.75" customHeight="1">
      <c r="B2011" s="391" t="s">
        <v>1116</v>
      </c>
      <c r="C2011" s="391" t="s">
        <v>9274</v>
      </c>
      <c r="D2011" s="391" t="s">
        <v>2166</v>
      </c>
    </row>
    <row r="2012" ht="15.75" customHeight="1">
      <c r="B2012" s="391" t="s">
        <v>1122</v>
      </c>
      <c r="C2012" s="391" t="s">
        <v>9274</v>
      </c>
      <c r="D2012" s="391" t="s">
        <v>2195</v>
      </c>
    </row>
    <row r="2013" ht="15.75" customHeight="1">
      <c r="B2013" s="391" t="s">
        <v>802</v>
      </c>
      <c r="C2013" s="391" t="s">
        <v>9274</v>
      </c>
      <c r="D2013" s="391" t="s">
        <v>2232</v>
      </c>
    </row>
    <row r="2014" ht="15.75" customHeight="1">
      <c r="B2014" s="391" t="s">
        <v>806</v>
      </c>
      <c r="C2014" s="391" t="s">
        <v>9274</v>
      </c>
      <c r="D2014" s="391" t="s">
        <v>2195</v>
      </c>
    </row>
    <row r="2015" ht="15.75" customHeight="1">
      <c r="B2015" s="391" t="s">
        <v>814</v>
      </c>
      <c r="C2015" s="391" t="s">
        <v>9274</v>
      </c>
      <c r="D2015" s="391" t="s">
        <v>2166</v>
      </c>
    </row>
    <row r="2016" ht="15.75" customHeight="1">
      <c r="B2016" s="391" t="s">
        <v>1452</v>
      </c>
      <c r="C2016" s="391" t="s">
        <v>9275</v>
      </c>
      <c r="D2016" s="391" t="s">
        <v>2232</v>
      </c>
    </row>
    <row r="2017" ht="15.75" customHeight="1">
      <c r="B2017" s="391" t="s">
        <v>1462</v>
      </c>
      <c r="C2017" s="391" t="s">
        <v>9275</v>
      </c>
      <c r="D2017" s="391" t="s">
        <v>2166</v>
      </c>
    </row>
    <row r="2018" ht="15.75" customHeight="1">
      <c r="B2018" s="391" t="s">
        <v>1464</v>
      </c>
      <c r="C2018" s="391" t="s">
        <v>9275</v>
      </c>
      <c r="D2018" s="391" t="s">
        <v>2232</v>
      </c>
    </row>
    <row r="2019" ht="15.75" customHeight="1">
      <c r="B2019" s="391" t="s">
        <v>9276</v>
      </c>
      <c r="C2019" s="391" t="s">
        <v>9275</v>
      </c>
      <c r="D2019" s="391" t="s">
        <v>2166</v>
      </c>
    </row>
    <row r="2020" ht="15.75" customHeight="1">
      <c r="B2020" s="391" t="s">
        <v>9277</v>
      </c>
      <c r="C2020" s="391" t="s">
        <v>9275</v>
      </c>
      <c r="D2020" s="391" t="s">
        <v>2232</v>
      </c>
    </row>
    <row r="2021" ht="15.75" customHeight="1">
      <c r="B2021" s="391" t="s">
        <v>9278</v>
      </c>
      <c r="C2021" s="391" t="s">
        <v>9275</v>
      </c>
      <c r="D2021" s="391" t="s">
        <v>2166</v>
      </c>
    </row>
    <row r="2022" ht="15.75" customHeight="1">
      <c r="B2022" s="391" t="s">
        <v>829</v>
      </c>
      <c r="C2022" s="391" t="s">
        <v>9275</v>
      </c>
      <c r="D2022" s="391" t="s">
        <v>2232</v>
      </c>
    </row>
    <row r="2023" ht="15.75" customHeight="1">
      <c r="B2023" s="391" t="s">
        <v>831</v>
      </c>
      <c r="C2023" s="391" t="s">
        <v>9275</v>
      </c>
      <c r="D2023" s="391" t="s">
        <v>2232</v>
      </c>
    </row>
    <row r="2024" ht="15.75" customHeight="1">
      <c r="B2024" s="391" t="s">
        <v>835</v>
      </c>
      <c r="C2024" s="391" t="s">
        <v>9275</v>
      </c>
      <c r="D2024" s="391" t="s">
        <v>2166</v>
      </c>
    </row>
    <row r="2025" ht="15.75" customHeight="1">
      <c r="B2025" s="391" t="s">
        <v>9279</v>
      </c>
      <c r="C2025" s="391" t="s">
        <v>9275</v>
      </c>
      <c r="D2025" s="391" t="s">
        <v>2232</v>
      </c>
    </row>
    <row r="2026" ht="15.75" customHeight="1">
      <c r="B2026" s="391" t="s">
        <v>9280</v>
      </c>
      <c r="C2026" s="391" t="s">
        <v>9281</v>
      </c>
      <c r="D2026" s="391" t="s">
        <v>2195</v>
      </c>
    </row>
    <row r="2027" ht="15.75" customHeight="1">
      <c r="B2027" s="391" t="s">
        <v>9282</v>
      </c>
      <c r="C2027" s="391" t="s">
        <v>9281</v>
      </c>
      <c r="D2027" s="391" t="s">
        <v>2195</v>
      </c>
    </row>
    <row r="2028" ht="15.75" customHeight="1">
      <c r="B2028" s="391" t="s">
        <v>160</v>
      </c>
      <c r="C2028" s="391" t="s">
        <v>9283</v>
      </c>
      <c r="D2028" s="391" t="s">
        <v>2166</v>
      </c>
    </row>
    <row r="2029" ht="15.75" customHeight="1">
      <c r="B2029" s="391" t="s">
        <v>164</v>
      </c>
      <c r="C2029" s="391" t="s">
        <v>9283</v>
      </c>
      <c r="D2029" s="391" t="s">
        <v>2195</v>
      </c>
    </row>
    <row r="2030" ht="15.75" customHeight="1">
      <c r="B2030" s="391" t="s">
        <v>168</v>
      </c>
      <c r="C2030" s="391" t="s">
        <v>9283</v>
      </c>
      <c r="D2030" s="391" t="s">
        <v>2232</v>
      </c>
    </row>
    <row r="2031" ht="15.75" customHeight="1">
      <c r="B2031" s="391" t="s">
        <v>9284</v>
      </c>
      <c r="C2031" s="391" t="s">
        <v>9285</v>
      </c>
      <c r="D2031" s="391" t="s">
        <v>2195</v>
      </c>
    </row>
    <row r="2032" ht="15.75" customHeight="1">
      <c r="B2032" s="391" t="s">
        <v>107</v>
      </c>
      <c r="C2032" s="391" t="s">
        <v>9285</v>
      </c>
      <c r="D2032" s="391" t="s">
        <v>2166</v>
      </c>
    </row>
    <row r="2033" ht="15.75" customHeight="1">
      <c r="B2033" s="391" t="s">
        <v>108</v>
      </c>
      <c r="C2033" s="391" t="s">
        <v>9285</v>
      </c>
      <c r="D2033" s="391" t="s">
        <v>2166</v>
      </c>
    </row>
    <row r="2034" ht="15.75" customHeight="1">
      <c r="B2034" s="391" t="s">
        <v>110</v>
      </c>
      <c r="C2034" s="391" t="s">
        <v>9285</v>
      </c>
      <c r="D2034" s="391" t="s">
        <v>2232</v>
      </c>
    </row>
    <row r="2035" ht="15.75" customHeight="1">
      <c r="B2035" s="391" t="s">
        <v>114</v>
      </c>
      <c r="C2035" s="391" t="s">
        <v>9285</v>
      </c>
      <c r="D2035" s="391" t="s">
        <v>2195</v>
      </c>
    </row>
    <row r="2036" ht="15.75" customHeight="1">
      <c r="B2036" s="391" t="s">
        <v>122</v>
      </c>
      <c r="C2036" s="391" t="s">
        <v>9286</v>
      </c>
      <c r="D2036" s="391" t="s">
        <v>2232</v>
      </c>
    </row>
    <row r="2037" ht="15.75" customHeight="1">
      <c r="B2037" s="391" t="s">
        <v>136</v>
      </c>
      <c r="C2037" s="391" t="s">
        <v>9286</v>
      </c>
      <c r="D2037" s="391" t="s">
        <v>2195</v>
      </c>
    </row>
    <row r="2038" ht="15.75" customHeight="1">
      <c r="B2038" s="391" t="s">
        <v>138</v>
      </c>
      <c r="C2038" s="391" t="s">
        <v>9286</v>
      </c>
      <c r="D2038" s="391" t="s">
        <v>2166</v>
      </c>
    </row>
    <row r="2039" ht="15.75" customHeight="1">
      <c r="B2039" s="391" t="s">
        <v>141</v>
      </c>
      <c r="C2039" s="391" t="s">
        <v>9286</v>
      </c>
      <c r="D2039" s="391" t="s">
        <v>2195</v>
      </c>
    </row>
    <row r="2040" ht="15.75" customHeight="1">
      <c r="B2040" s="391" t="s">
        <v>87</v>
      </c>
      <c r="C2040" s="391" t="s">
        <v>9285</v>
      </c>
      <c r="D2040" s="391" t="s">
        <v>2166</v>
      </c>
    </row>
    <row r="2041" ht="15.75" customHeight="1">
      <c r="B2041" s="391" t="s">
        <v>1167</v>
      </c>
      <c r="C2041" s="391" t="s">
        <v>9287</v>
      </c>
      <c r="D2041" s="391" t="s">
        <v>2166</v>
      </c>
    </row>
    <row r="2042" ht="15.75" customHeight="1">
      <c r="B2042" s="391" t="s">
        <v>1169</v>
      </c>
      <c r="C2042" s="391" t="s">
        <v>9287</v>
      </c>
      <c r="D2042" s="391" t="s">
        <v>2166</v>
      </c>
    </row>
    <row r="2043" ht="15.75" customHeight="1">
      <c r="B2043" s="391" t="s">
        <v>9288</v>
      </c>
      <c r="C2043" s="391" t="s">
        <v>9287</v>
      </c>
      <c r="D2043" s="391" t="s">
        <v>2166</v>
      </c>
    </row>
    <row r="2044" ht="15.75" customHeight="1">
      <c r="B2044" s="391" t="s">
        <v>1171</v>
      </c>
      <c r="C2044" s="391" t="s">
        <v>9287</v>
      </c>
      <c r="D2044" s="391" t="s">
        <v>2166</v>
      </c>
    </row>
    <row r="2045" ht="15.75" customHeight="1">
      <c r="B2045" s="391" t="s">
        <v>1177</v>
      </c>
      <c r="C2045" s="391" t="s">
        <v>9287</v>
      </c>
      <c r="D2045" s="391" t="s">
        <v>2195</v>
      </c>
    </row>
    <row r="2046" ht="15.75" customHeight="1">
      <c r="B2046" s="391" t="s">
        <v>1181</v>
      </c>
      <c r="C2046" s="391" t="s">
        <v>9287</v>
      </c>
      <c r="D2046" s="391" t="s">
        <v>2166</v>
      </c>
    </row>
    <row r="2047" ht="15.75" customHeight="1">
      <c r="B2047" s="391" t="s">
        <v>1183</v>
      </c>
      <c r="C2047" s="391" t="s">
        <v>9287</v>
      </c>
      <c r="D2047" s="391" t="s">
        <v>2166</v>
      </c>
    </row>
    <row r="2048" ht="15.75" customHeight="1">
      <c r="B2048" s="391" t="s">
        <v>1191</v>
      </c>
      <c r="C2048" s="391" t="s">
        <v>9287</v>
      </c>
      <c r="D2048" s="391" t="s">
        <v>2195</v>
      </c>
    </row>
    <row r="2049" ht="15.75" customHeight="1">
      <c r="B2049" s="391" t="s">
        <v>1193</v>
      </c>
      <c r="C2049" s="391" t="s">
        <v>9287</v>
      </c>
      <c r="D2049" s="391" t="s">
        <v>2232</v>
      </c>
    </row>
    <row r="2050" ht="15.75" customHeight="1">
      <c r="B2050" s="391" t="s">
        <v>1197</v>
      </c>
      <c r="C2050" s="391" t="s">
        <v>9287</v>
      </c>
      <c r="D2050" s="391" t="s">
        <v>2195</v>
      </c>
    </row>
    <row r="2051" ht="15.75" customHeight="1">
      <c r="B2051" s="391" t="s">
        <v>1199</v>
      </c>
      <c r="C2051" s="391" t="s">
        <v>9287</v>
      </c>
      <c r="D2051" s="391" t="s">
        <v>2166</v>
      </c>
    </row>
    <row r="2052" ht="15.75" customHeight="1">
      <c r="B2052" s="391" t="s">
        <v>1221</v>
      </c>
      <c r="C2052" s="391" t="s">
        <v>9287</v>
      </c>
      <c r="D2052" s="391" t="s">
        <v>2195</v>
      </c>
    </row>
    <row r="2053" ht="15.75" customHeight="1">
      <c r="B2053" s="391" t="s">
        <v>1237</v>
      </c>
      <c r="C2053" s="391" t="s">
        <v>9287</v>
      </c>
      <c r="D2053" s="391" t="s">
        <v>2166</v>
      </c>
    </row>
    <row r="2054" ht="15.75" customHeight="1">
      <c r="B2054" s="391" t="s">
        <v>9289</v>
      </c>
      <c r="C2054" s="391" t="s">
        <v>9287</v>
      </c>
      <c r="D2054" s="391" t="s">
        <v>2166</v>
      </c>
    </row>
    <row r="2055" ht="15.75" customHeight="1">
      <c r="B2055" s="391" t="s">
        <v>9290</v>
      </c>
      <c r="C2055" s="391" t="s">
        <v>9287</v>
      </c>
      <c r="D2055" s="391" t="s">
        <v>2166</v>
      </c>
    </row>
    <row r="2056" ht="15.75" customHeight="1">
      <c r="B2056" s="391" t="s">
        <v>9291</v>
      </c>
      <c r="C2056" s="391" t="s">
        <v>9287</v>
      </c>
      <c r="D2056" s="391" t="s">
        <v>2166</v>
      </c>
    </row>
    <row r="2057" ht="15.75" customHeight="1">
      <c r="B2057" s="391" t="s">
        <v>9292</v>
      </c>
      <c r="C2057" s="391" t="s">
        <v>9293</v>
      </c>
      <c r="D2057" s="391" t="s">
        <v>2195</v>
      </c>
    </row>
    <row r="2058" ht="15.75" customHeight="1">
      <c r="B2058" s="391" t="s">
        <v>9294</v>
      </c>
      <c r="C2058" s="391" t="s">
        <v>9295</v>
      </c>
      <c r="D2058" s="391" t="s">
        <v>2232</v>
      </c>
    </row>
    <row r="2059" ht="15.75" customHeight="1">
      <c r="B2059" s="391" t="s">
        <v>1348</v>
      </c>
      <c r="C2059" s="391" t="s">
        <v>9296</v>
      </c>
      <c r="D2059" s="391" t="s">
        <v>2195</v>
      </c>
    </row>
    <row r="2060" ht="15.75" customHeight="1">
      <c r="B2060" s="391" t="s">
        <v>1365</v>
      </c>
      <c r="C2060" s="391" t="s">
        <v>9296</v>
      </c>
      <c r="D2060" s="391" t="s">
        <v>2195</v>
      </c>
    </row>
    <row r="2061" ht="15.75" customHeight="1">
      <c r="B2061" s="391" t="s">
        <v>9297</v>
      </c>
      <c r="C2061" s="391" t="s">
        <v>9296</v>
      </c>
      <c r="D2061" s="391" t="s">
        <v>2166</v>
      </c>
    </row>
    <row r="2062" ht="15.75" customHeight="1">
      <c r="B2062" s="391" t="s">
        <v>9298</v>
      </c>
      <c r="C2062" s="391" t="s">
        <v>9299</v>
      </c>
      <c r="D2062" s="391" t="s">
        <v>2195</v>
      </c>
    </row>
    <row r="2063" ht="15.75" customHeight="1">
      <c r="B2063" s="391" t="s">
        <v>9300</v>
      </c>
      <c r="C2063" s="391" t="s">
        <v>9301</v>
      </c>
      <c r="D2063" s="391" t="s">
        <v>2195</v>
      </c>
    </row>
    <row r="2064" ht="15.75" customHeight="1">
      <c r="B2064" s="391" t="s">
        <v>1369</v>
      </c>
      <c r="C2064" s="391" t="s">
        <v>9301</v>
      </c>
      <c r="D2064" s="391" t="s">
        <v>2232</v>
      </c>
    </row>
    <row r="2065" ht="15.75" customHeight="1">
      <c r="B2065" s="391" t="s">
        <v>1371</v>
      </c>
      <c r="C2065" s="391" t="s">
        <v>9301</v>
      </c>
      <c r="D2065" s="391" t="s">
        <v>2232</v>
      </c>
    </row>
    <row r="2066" ht="15.75" customHeight="1">
      <c r="B2066" s="391" t="s">
        <v>1397</v>
      </c>
      <c r="C2066" s="391" t="s">
        <v>9301</v>
      </c>
      <c r="D2066" s="391" t="s">
        <v>2232</v>
      </c>
    </row>
    <row r="2067" ht="15.75" customHeight="1">
      <c r="B2067" s="391" t="s">
        <v>1351</v>
      </c>
      <c r="C2067" s="391" t="s">
        <v>9302</v>
      </c>
      <c r="D2067" s="391" t="s">
        <v>2232</v>
      </c>
    </row>
    <row r="2068" ht="15.75" customHeight="1">
      <c r="B2068" s="391" t="s">
        <v>9303</v>
      </c>
      <c r="C2068" s="391" t="s">
        <v>9304</v>
      </c>
      <c r="D2068" s="391" t="s">
        <v>2195</v>
      </c>
    </row>
    <row r="2069" ht="15.75" customHeight="1">
      <c r="B2069" s="391" t="s">
        <v>1399</v>
      </c>
      <c r="C2069" s="391" t="s">
        <v>9305</v>
      </c>
      <c r="D2069" s="391" t="s">
        <v>2166</v>
      </c>
    </row>
    <row r="2070" ht="15.75" customHeight="1">
      <c r="B2070" s="391" t="s">
        <v>9306</v>
      </c>
      <c r="C2070" s="391" t="s">
        <v>9307</v>
      </c>
      <c r="D2070" s="391" t="s">
        <v>2195</v>
      </c>
    </row>
    <row r="2071" ht="15.75" customHeight="1">
      <c r="B2071" s="391" t="s">
        <v>9308</v>
      </c>
      <c r="C2071" s="391" t="s">
        <v>9307</v>
      </c>
      <c r="D2071" s="391" t="s">
        <v>2195</v>
      </c>
    </row>
    <row r="2072" ht="15.75" customHeight="1">
      <c r="B2072" s="391" t="s">
        <v>1446</v>
      </c>
      <c r="C2072" s="391" t="s">
        <v>9309</v>
      </c>
      <c r="D2072" s="391" t="s">
        <v>2195</v>
      </c>
    </row>
    <row r="2073" ht="15.75" customHeight="1">
      <c r="B2073" s="391" t="s">
        <v>1450</v>
      </c>
      <c r="C2073" s="391" t="s">
        <v>9309</v>
      </c>
      <c r="D2073" s="391" t="s">
        <v>2232</v>
      </c>
    </row>
    <row r="2074" ht="15.75" customHeight="1">
      <c r="B2074" s="391" t="s">
        <v>9310</v>
      </c>
      <c r="C2074" s="391" t="s">
        <v>9309</v>
      </c>
      <c r="D2074" s="391" t="s">
        <v>2195</v>
      </c>
    </row>
    <row r="2075" ht="15.75" customHeight="1">
      <c r="B2075" s="391" t="s">
        <v>9311</v>
      </c>
      <c r="C2075" s="391" t="s">
        <v>9309</v>
      </c>
      <c r="D2075" s="391" t="s">
        <v>2232</v>
      </c>
    </row>
    <row r="2076" ht="15.75" customHeight="1">
      <c r="B2076" s="391" t="s">
        <v>9312</v>
      </c>
      <c r="C2076" s="391" t="s">
        <v>9309</v>
      </c>
      <c r="D2076" s="391" t="s">
        <v>2195</v>
      </c>
    </row>
    <row r="2077" ht="15.75" customHeight="1">
      <c r="B2077" s="391" t="s">
        <v>9313</v>
      </c>
      <c r="C2077" s="391" t="s">
        <v>9309</v>
      </c>
      <c r="D2077" s="391" t="s">
        <v>2195</v>
      </c>
    </row>
    <row r="2078" ht="15.75" customHeight="1">
      <c r="B2078" s="391" t="s">
        <v>9314</v>
      </c>
      <c r="C2078" s="391" t="s">
        <v>9309</v>
      </c>
      <c r="D2078" s="391" t="s">
        <v>2195</v>
      </c>
    </row>
    <row r="2079" ht="15.75" customHeight="1">
      <c r="B2079" s="391" t="s">
        <v>325</v>
      </c>
      <c r="C2079" s="391" t="s">
        <v>9309</v>
      </c>
      <c r="D2079" s="391" t="s">
        <v>2195</v>
      </c>
    </row>
    <row r="2080" ht="15.75" customHeight="1">
      <c r="B2080" s="391" t="s">
        <v>9315</v>
      </c>
      <c r="C2080" s="391" t="s">
        <v>9309</v>
      </c>
      <c r="D2080" s="391" t="s">
        <v>2195</v>
      </c>
    </row>
    <row r="2081" ht="15.75" customHeight="1">
      <c r="B2081" s="391" t="s">
        <v>355</v>
      </c>
      <c r="C2081" s="391" t="s">
        <v>9309</v>
      </c>
      <c r="D2081" s="391" t="s">
        <v>2195</v>
      </c>
    </row>
    <row r="2082" ht="15.75" customHeight="1">
      <c r="B2082" s="391" t="s">
        <v>356</v>
      </c>
      <c r="C2082" s="391" t="s">
        <v>9309</v>
      </c>
      <c r="D2082" s="391" t="s">
        <v>2195</v>
      </c>
    </row>
    <row r="2083" ht="15.75" customHeight="1">
      <c r="B2083" s="391" t="s">
        <v>360</v>
      </c>
      <c r="C2083" s="391" t="s">
        <v>9309</v>
      </c>
      <c r="D2083" s="391" t="s">
        <v>2195</v>
      </c>
    </row>
    <row r="2084" ht="15.75" customHeight="1">
      <c r="B2084" s="391" t="s">
        <v>9316</v>
      </c>
      <c r="C2084" s="391" t="s">
        <v>9309</v>
      </c>
      <c r="D2084" s="391" t="s">
        <v>2195</v>
      </c>
    </row>
    <row r="2085" ht="15.75" customHeight="1">
      <c r="B2085" s="391" t="s">
        <v>9317</v>
      </c>
      <c r="C2085" s="391" t="s">
        <v>9309</v>
      </c>
      <c r="D2085" s="391" t="s">
        <v>2195</v>
      </c>
    </row>
    <row r="2086" ht="15.75" customHeight="1">
      <c r="B2086" s="391" t="s">
        <v>9318</v>
      </c>
      <c r="C2086" s="391" t="s">
        <v>9309</v>
      </c>
      <c r="D2086" s="391" t="s">
        <v>2195</v>
      </c>
    </row>
    <row r="2087" ht="15.75" customHeight="1">
      <c r="B2087" s="391" t="s">
        <v>9319</v>
      </c>
      <c r="C2087" s="391" t="s">
        <v>9309</v>
      </c>
      <c r="D2087" s="391" t="s">
        <v>2195</v>
      </c>
    </row>
    <row r="2088" ht="15.75" customHeight="1">
      <c r="B2088" s="391" t="s">
        <v>9320</v>
      </c>
      <c r="C2088" s="391" t="s">
        <v>9309</v>
      </c>
      <c r="D2088" s="391" t="s">
        <v>2195</v>
      </c>
    </row>
    <row r="2089" ht="15.75" customHeight="1">
      <c r="B2089" s="391" t="s">
        <v>9321</v>
      </c>
      <c r="C2089" s="391" t="s">
        <v>9309</v>
      </c>
      <c r="D2089" s="391" t="s">
        <v>2195</v>
      </c>
    </row>
    <row r="2090" ht="15.75" customHeight="1">
      <c r="B2090" s="391" t="s">
        <v>647</v>
      </c>
      <c r="C2090" s="391" t="s">
        <v>9309</v>
      </c>
      <c r="D2090" s="391" t="s">
        <v>2166</v>
      </c>
    </row>
    <row r="2091" ht="15.75" customHeight="1">
      <c r="B2091" s="391" t="s">
        <v>597</v>
      </c>
      <c r="C2091" s="391" t="s">
        <v>9309</v>
      </c>
      <c r="D2091" s="391" t="s">
        <v>2195</v>
      </c>
    </row>
    <row r="2092" ht="15.75" customHeight="1">
      <c r="B2092" s="391" t="s">
        <v>611</v>
      </c>
      <c r="C2092" s="391" t="s">
        <v>9309</v>
      </c>
      <c r="D2092" s="391" t="s">
        <v>2195</v>
      </c>
    </row>
    <row r="2093" ht="15.75" customHeight="1">
      <c r="B2093" s="391" t="s">
        <v>615</v>
      </c>
      <c r="C2093" s="391" t="s">
        <v>9309</v>
      </c>
      <c r="D2093" s="391" t="s">
        <v>2232</v>
      </c>
    </row>
    <row r="2094" ht="15.75" customHeight="1">
      <c r="B2094" s="391" t="s">
        <v>617</v>
      </c>
      <c r="C2094" s="391" t="s">
        <v>9309</v>
      </c>
      <c r="D2094" s="391" t="s">
        <v>2195</v>
      </c>
    </row>
    <row r="2095" ht="15.75" customHeight="1">
      <c r="B2095" s="391" t="s">
        <v>621</v>
      </c>
      <c r="C2095" s="391" t="s">
        <v>9309</v>
      </c>
      <c r="D2095" s="391" t="s">
        <v>2166</v>
      </c>
    </row>
    <row r="2096" ht="15.75" customHeight="1">
      <c r="B2096" s="391" t="s">
        <v>625</v>
      </c>
      <c r="C2096" s="391" t="s">
        <v>9309</v>
      </c>
      <c r="D2096" s="391" t="s">
        <v>2195</v>
      </c>
    </row>
    <row r="2097" ht="15.75" customHeight="1">
      <c r="B2097" s="391" t="s">
        <v>626</v>
      </c>
      <c r="C2097" s="391" t="s">
        <v>9309</v>
      </c>
      <c r="D2097" s="391" t="s">
        <v>2195</v>
      </c>
    </row>
    <row r="2098" ht="15.75" customHeight="1">
      <c r="B2098" s="391" t="s">
        <v>704</v>
      </c>
      <c r="C2098" s="391" t="s">
        <v>9309</v>
      </c>
      <c r="D2098" s="391" t="s">
        <v>2166</v>
      </c>
    </row>
    <row r="2099" ht="15.75" customHeight="1">
      <c r="B2099" s="391" t="s">
        <v>706</v>
      </c>
      <c r="C2099" s="391" t="s">
        <v>9309</v>
      </c>
      <c r="D2099" s="391" t="s">
        <v>2166</v>
      </c>
    </row>
    <row r="2100" ht="15.75" customHeight="1">
      <c r="B2100" s="391" t="s">
        <v>9322</v>
      </c>
      <c r="C2100" s="391" t="s">
        <v>9309</v>
      </c>
      <c r="D2100" s="391" t="s">
        <v>2195</v>
      </c>
    </row>
    <row r="2101" ht="15.75" customHeight="1">
      <c r="B2101" s="391" t="s">
        <v>9323</v>
      </c>
      <c r="C2101" s="391" t="s">
        <v>9309</v>
      </c>
      <c r="D2101" s="391" t="s">
        <v>2195</v>
      </c>
    </row>
    <row r="2102" ht="15.75" customHeight="1">
      <c r="B2102" s="391" t="s">
        <v>628</v>
      </c>
      <c r="C2102" s="391" t="s">
        <v>9324</v>
      </c>
      <c r="D2102" s="391" t="s">
        <v>2195</v>
      </c>
    </row>
    <row r="2103" ht="15.75" customHeight="1">
      <c r="B2103" s="391" t="s">
        <v>9325</v>
      </c>
      <c r="C2103" s="391" t="s">
        <v>9326</v>
      </c>
      <c r="D2103" s="391" t="s">
        <v>2195</v>
      </c>
    </row>
    <row r="2104" ht="15.75" customHeight="1">
      <c r="B2104" s="391" t="s">
        <v>9327</v>
      </c>
      <c r="C2104" s="391" t="s">
        <v>9326</v>
      </c>
      <c r="D2104" s="391" t="s">
        <v>2195</v>
      </c>
    </row>
    <row r="2105" ht="15.75" customHeight="1">
      <c r="B2105" s="391" t="s">
        <v>9328</v>
      </c>
      <c r="C2105" s="391" t="s">
        <v>9326</v>
      </c>
      <c r="D2105" s="391" t="s">
        <v>2195</v>
      </c>
    </row>
    <row r="2106" ht="15.75" customHeight="1">
      <c r="B2106" s="391" t="s">
        <v>9329</v>
      </c>
      <c r="C2106" s="391" t="s">
        <v>9326</v>
      </c>
      <c r="D2106" s="391" t="s">
        <v>2195</v>
      </c>
    </row>
    <row r="2107" ht="15.75" customHeight="1">
      <c r="B2107" s="391" t="s">
        <v>9330</v>
      </c>
      <c r="C2107" s="391" t="s">
        <v>9326</v>
      </c>
      <c r="D2107" s="391" t="s">
        <v>2166</v>
      </c>
    </row>
    <row r="2108" ht="15.75" customHeight="1">
      <c r="B2108" s="391" t="s">
        <v>9331</v>
      </c>
      <c r="C2108" s="391" t="s">
        <v>9326</v>
      </c>
      <c r="D2108" s="391" t="s">
        <v>2166</v>
      </c>
    </row>
    <row r="2109" ht="15.75" customHeight="1">
      <c r="B2109" s="391" t="s">
        <v>9332</v>
      </c>
      <c r="C2109" s="391" t="s">
        <v>9326</v>
      </c>
      <c r="D2109" s="391" t="s">
        <v>2166</v>
      </c>
    </row>
    <row r="2110" ht="15.75" customHeight="1">
      <c r="B2110" s="391" t="s">
        <v>9333</v>
      </c>
      <c r="C2110" s="391" t="s">
        <v>9334</v>
      </c>
      <c r="D2110" s="391" t="s">
        <v>2166</v>
      </c>
    </row>
    <row r="2111" ht="15.75" customHeight="1">
      <c r="B2111" s="391" t="s">
        <v>9335</v>
      </c>
      <c r="C2111" s="391" t="s">
        <v>9334</v>
      </c>
      <c r="D2111" s="391" t="s">
        <v>2195</v>
      </c>
    </row>
    <row r="2112" ht="15.75" customHeight="1">
      <c r="B2112" s="391" t="s">
        <v>9336</v>
      </c>
      <c r="C2112" s="391" t="s">
        <v>9334</v>
      </c>
      <c r="D2112" s="391" t="s">
        <v>2195</v>
      </c>
    </row>
    <row r="2113" ht="15.75" customHeight="1">
      <c r="B2113" s="391" t="s">
        <v>9337</v>
      </c>
      <c r="C2113" s="391" t="s">
        <v>9334</v>
      </c>
      <c r="D2113" s="391" t="s">
        <v>2195</v>
      </c>
    </row>
    <row r="2114" ht="15.75" customHeight="1">
      <c r="B2114" s="391" t="s">
        <v>9338</v>
      </c>
      <c r="C2114" s="391" t="s">
        <v>9334</v>
      </c>
      <c r="D2114" s="391" t="s">
        <v>2195</v>
      </c>
    </row>
    <row r="2115" ht="15.75" customHeight="1">
      <c r="B2115" s="391" t="s">
        <v>422</v>
      </c>
      <c r="C2115" s="391" t="s">
        <v>9334</v>
      </c>
      <c r="D2115" s="391" t="s">
        <v>2195</v>
      </c>
    </row>
    <row r="2116" ht="15.75" customHeight="1">
      <c r="B2116" s="391" t="s">
        <v>9339</v>
      </c>
      <c r="C2116" s="391" t="s">
        <v>9334</v>
      </c>
      <c r="D2116" s="391" t="s">
        <v>2195</v>
      </c>
    </row>
    <row r="2117" ht="15.75" customHeight="1">
      <c r="B2117" s="391" t="s">
        <v>423</v>
      </c>
      <c r="C2117" s="391" t="s">
        <v>9334</v>
      </c>
      <c r="D2117" s="391" t="s">
        <v>2195</v>
      </c>
    </row>
    <row r="2118" ht="15.75" customHeight="1">
      <c r="B2118" s="391" t="s">
        <v>9340</v>
      </c>
      <c r="C2118" s="391" t="s">
        <v>9341</v>
      </c>
      <c r="D2118" s="391" t="s">
        <v>2195</v>
      </c>
    </row>
    <row r="2119" ht="15.75" customHeight="1">
      <c r="B2119" s="391" t="s">
        <v>9342</v>
      </c>
      <c r="C2119" s="391" t="s">
        <v>9341</v>
      </c>
      <c r="D2119" s="391" t="s">
        <v>2195</v>
      </c>
    </row>
    <row r="2120" ht="15.75" customHeight="1">
      <c r="B2120" s="391" t="s">
        <v>9343</v>
      </c>
      <c r="C2120" s="391" t="s">
        <v>9341</v>
      </c>
      <c r="D2120" s="391" t="s">
        <v>2195</v>
      </c>
    </row>
    <row r="2121" ht="15.75" customHeight="1">
      <c r="B2121" s="391" t="s">
        <v>9344</v>
      </c>
      <c r="C2121" s="391" t="s">
        <v>9341</v>
      </c>
      <c r="D2121" s="391" t="s">
        <v>2195</v>
      </c>
    </row>
    <row r="2122" ht="15.75" customHeight="1">
      <c r="B2122" s="391" t="s">
        <v>265</v>
      </c>
      <c r="C2122" s="391" t="s">
        <v>9345</v>
      </c>
      <c r="D2122" s="391" t="s">
        <v>2166</v>
      </c>
    </row>
    <row r="2123" ht="15.75" customHeight="1">
      <c r="B2123" s="391" t="s">
        <v>386</v>
      </c>
      <c r="C2123" s="391" t="s">
        <v>9346</v>
      </c>
      <c r="D2123" s="391" t="s">
        <v>2195</v>
      </c>
    </row>
    <row r="2124" ht="15.75" customHeight="1">
      <c r="B2124" s="391" t="s">
        <v>402</v>
      </c>
      <c r="C2124" s="391" t="s">
        <v>9347</v>
      </c>
      <c r="D2124" s="391" t="s">
        <v>2195</v>
      </c>
    </row>
    <row r="2125" ht="15.75" customHeight="1">
      <c r="B2125" s="391" t="s">
        <v>404</v>
      </c>
      <c r="C2125" s="391" t="s">
        <v>9348</v>
      </c>
      <c r="D2125" s="391" t="s">
        <v>2166</v>
      </c>
    </row>
    <row r="2126" ht="15.75" customHeight="1">
      <c r="B2126" s="391" t="s">
        <v>608</v>
      </c>
      <c r="C2126" s="391" t="s">
        <v>9349</v>
      </c>
      <c r="D2126" s="391" t="s">
        <v>2166</v>
      </c>
    </row>
    <row r="2127" ht="15.75" customHeight="1">
      <c r="B2127" s="391" t="s">
        <v>353</v>
      </c>
      <c r="C2127" s="391" t="s">
        <v>9350</v>
      </c>
      <c r="D2127" s="391" t="s">
        <v>2195</v>
      </c>
    </row>
    <row r="2128" ht="15.75" customHeight="1">
      <c r="B2128" s="391" t="s">
        <v>9351</v>
      </c>
      <c r="C2128" s="391" t="s">
        <v>9352</v>
      </c>
      <c r="D2128" s="391" t="s">
        <v>2195</v>
      </c>
    </row>
    <row r="2129" ht="15.75" customHeight="1">
      <c r="B2129" s="391" t="s">
        <v>610</v>
      </c>
      <c r="C2129" s="391" t="s">
        <v>9353</v>
      </c>
      <c r="D2129" s="391" t="s">
        <v>2195</v>
      </c>
    </row>
    <row r="2130" ht="15.75" customHeight="1">
      <c r="B2130" s="391" t="s">
        <v>380</v>
      </c>
      <c r="C2130" s="391" t="s">
        <v>9354</v>
      </c>
      <c r="D2130" s="391" t="s">
        <v>2232</v>
      </c>
    </row>
    <row r="2131" ht="15.75" customHeight="1">
      <c r="B2131" s="391" t="s">
        <v>9355</v>
      </c>
      <c r="C2131" s="391" t="s">
        <v>9356</v>
      </c>
      <c r="D2131" s="391" t="s">
        <v>2232</v>
      </c>
    </row>
    <row r="2132" ht="15.75" customHeight="1">
      <c r="B2132" s="391" t="s">
        <v>211</v>
      </c>
      <c r="C2132" s="391" t="s">
        <v>9357</v>
      </c>
      <c r="D2132" s="391" t="s">
        <v>2166</v>
      </c>
    </row>
    <row r="2133" ht="15.75" customHeight="1">
      <c r="B2133" s="391" t="s">
        <v>383</v>
      </c>
      <c r="C2133" s="391" t="s">
        <v>9358</v>
      </c>
      <c r="D2133" s="391" t="s">
        <v>2195</v>
      </c>
    </row>
    <row r="2134" ht="15.75" customHeight="1">
      <c r="B2134" s="391" t="s">
        <v>385</v>
      </c>
      <c r="C2134" s="391" t="s">
        <v>9359</v>
      </c>
      <c r="D2134" s="391" t="s">
        <v>2195</v>
      </c>
    </row>
    <row r="2135" ht="15.75" customHeight="1">
      <c r="B2135" s="391" t="s">
        <v>390</v>
      </c>
      <c r="C2135" s="391" t="s">
        <v>9360</v>
      </c>
      <c r="D2135" s="391" t="s">
        <v>2166</v>
      </c>
    </row>
    <row r="2136" ht="15.75" customHeight="1">
      <c r="B2136" s="391" t="s">
        <v>396</v>
      </c>
      <c r="C2136" s="391" t="s">
        <v>9361</v>
      </c>
      <c r="D2136" s="391" t="s">
        <v>2195</v>
      </c>
    </row>
    <row r="2137" ht="15.75" customHeight="1">
      <c r="B2137" s="391" t="s">
        <v>394</v>
      </c>
      <c r="C2137" s="391" t="s">
        <v>9362</v>
      </c>
      <c r="D2137" s="391" t="s">
        <v>2166</v>
      </c>
    </row>
    <row r="2138" ht="15.75" customHeight="1">
      <c r="B2138" s="391" t="s">
        <v>9363</v>
      </c>
      <c r="C2138" s="391" t="s">
        <v>9364</v>
      </c>
      <c r="D2138" s="391" t="s">
        <v>2195</v>
      </c>
    </row>
    <row r="2139" ht="15.75" customHeight="1">
      <c r="B2139" s="391" t="s">
        <v>9365</v>
      </c>
      <c r="C2139" s="391" t="s">
        <v>9364</v>
      </c>
      <c r="D2139" s="391" t="s">
        <v>2195</v>
      </c>
    </row>
    <row r="2140" ht="15.75" customHeight="1">
      <c r="B2140" s="391" t="s">
        <v>9366</v>
      </c>
      <c r="C2140" s="391" t="s">
        <v>9364</v>
      </c>
      <c r="D2140" s="391" t="s">
        <v>2195</v>
      </c>
    </row>
    <row r="2141" ht="15.75" customHeight="1">
      <c r="B2141" s="391" t="s">
        <v>9367</v>
      </c>
      <c r="C2141" s="391" t="s">
        <v>9364</v>
      </c>
      <c r="D2141" s="391" t="s">
        <v>2195</v>
      </c>
    </row>
    <row r="2142" ht="15.75" customHeight="1">
      <c r="B2142" s="391" t="s">
        <v>9368</v>
      </c>
      <c r="C2142" s="391" t="s">
        <v>9364</v>
      </c>
      <c r="D2142" s="391" t="s">
        <v>2195</v>
      </c>
    </row>
    <row r="2143" ht="15.75" customHeight="1">
      <c r="B2143" s="391" t="s">
        <v>9369</v>
      </c>
      <c r="C2143" s="391" t="s">
        <v>9364</v>
      </c>
      <c r="D2143" s="391" t="s">
        <v>2195</v>
      </c>
    </row>
    <row r="2144" ht="15.75" customHeight="1">
      <c r="B2144" s="391" t="s">
        <v>9370</v>
      </c>
      <c r="C2144" s="391" t="s">
        <v>9364</v>
      </c>
      <c r="D2144" s="391" t="s">
        <v>2195</v>
      </c>
    </row>
    <row r="2145" ht="15.75" customHeight="1">
      <c r="B2145" s="391" t="s">
        <v>9371</v>
      </c>
      <c r="C2145" s="391" t="s">
        <v>9364</v>
      </c>
      <c r="D2145" s="391" t="s">
        <v>2195</v>
      </c>
    </row>
    <row r="2146" ht="15.75" customHeight="1">
      <c r="B2146" s="391" t="s">
        <v>9372</v>
      </c>
      <c r="C2146" s="391" t="s">
        <v>9364</v>
      </c>
      <c r="D2146" s="391" t="s">
        <v>2195</v>
      </c>
    </row>
    <row r="2147" ht="15.75" customHeight="1">
      <c r="B2147" s="391" t="s">
        <v>595</v>
      </c>
      <c r="C2147" s="391" t="s">
        <v>9373</v>
      </c>
      <c r="D2147" s="391" t="s">
        <v>2195</v>
      </c>
    </row>
    <row r="2148" ht="15.75" customHeight="1">
      <c r="B2148" s="391" t="s">
        <v>601</v>
      </c>
      <c r="C2148" s="391" t="s">
        <v>9374</v>
      </c>
      <c r="D2148" s="391" t="s">
        <v>2195</v>
      </c>
    </row>
    <row r="2149" ht="15.75" customHeight="1">
      <c r="B2149" s="391" t="s">
        <v>365</v>
      </c>
      <c r="C2149" s="391" t="s">
        <v>9375</v>
      </c>
      <c r="D2149" s="391" t="s">
        <v>2195</v>
      </c>
    </row>
    <row r="2150" ht="15.75" customHeight="1">
      <c r="B2150" s="391" t="s">
        <v>376</v>
      </c>
      <c r="C2150" s="391" t="s">
        <v>9376</v>
      </c>
      <c r="D2150" s="391" t="s">
        <v>2166</v>
      </c>
    </row>
    <row r="2151" ht="15.75" customHeight="1">
      <c r="B2151" s="391" t="s">
        <v>603</v>
      </c>
      <c r="C2151" s="391" t="s">
        <v>9377</v>
      </c>
      <c r="D2151" s="391" t="s">
        <v>2195</v>
      </c>
    </row>
    <row r="2152" ht="15.75" customHeight="1">
      <c r="B2152" s="391" t="s">
        <v>327</v>
      </c>
      <c r="C2152" s="391" t="s">
        <v>9378</v>
      </c>
      <c r="D2152" s="391" t="s">
        <v>2195</v>
      </c>
    </row>
    <row r="2153" ht="15.75" customHeight="1">
      <c r="B2153" s="391" t="s">
        <v>9379</v>
      </c>
      <c r="C2153" s="391" t="s">
        <v>9380</v>
      </c>
      <c r="D2153" s="391" t="s">
        <v>2195</v>
      </c>
    </row>
    <row r="2154" ht="15.75" customHeight="1">
      <c r="B2154" s="391" t="s">
        <v>9381</v>
      </c>
      <c r="C2154" s="391" t="s">
        <v>9382</v>
      </c>
      <c r="D2154" s="391" t="s">
        <v>2195</v>
      </c>
    </row>
    <row r="2155" ht="15.75" customHeight="1">
      <c r="B2155" s="391" t="s">
        <v>9383</v>
      </c>
      <c r="C2155" s="391" t="s">
        <v>9384</v>
      </c>
      <c r="D2155" s="391" t="s">
        <v>2195</v>
      </c>
    </row>
    <row r="2156" ht="15.75" customHeight="1">
      <c r="B2156" s="391" t="s">
        <v>207</v>
      </c>
      <c r="C2156" s="391" t="s">
        <v>9385</v>
      </c>
      <c r="D2156" s="391" t="s">
        <v>2166</v>
      </c>
    </row>
    <row r="2157" ht="15.75" customHeight="1">
      <c r="B2157" s="391" t="s">
        <v>225</v>
      </c>
      <c r="C2157" s="391" t="s">
        <v>9386</v>
      </c>
      <c r="D2157" s="391" t="s">
        <v>2195</v>
      </c>
    </row>
    <row r="2158" ht="15.75" customHeight="1">
      <c r="B2158" s="391" t="s">
        <v>245</v>
      </c>
      <c r="C2158" s="391" t="s">
        <v>9387</v>
      </c>
      <c r="D2158" s="391" t="s">
        <v>2166</v>
      </c>
    </row>
    <row r="2159" ht="15.75" customHeight="1">
      <c r="B2159" s="391" t="s">
        <v>592</v>
      </c>
      <c r="C2159" s="391" t="s">
        <v>9388</v>
      </c>
      <c r="D2159" s="391" t="s">
        <v>2195</v>
      </c>
    </row>
    <row r="2160" ht="15.75" customHeight="1">
      <c r="B2160" s="391" t="s">
        <v>598</v>
      </c>
      <c r="C2160" s="391" t="s">
        <v>9389</v>
      </c>
      <c r="D2160" s="391" t="s">
        <v>2232</v>
      </c>
    </row>
    <row r="2161" ht="15.75" customHeight="1">
      <c r="B2161" s="391" t="s">
        <v>241</v>
      </c>
      <c r="C2161" s="391" t="s">
        <v>9390</v>
      </c>
      <c r="D2161" s="391" t="s">
        <v>2166</v>
      </c>
    </row>
    <row r="2162" ht="15.75" customHeight="1">
      <c r="B2162" s="391" t="s">
        <v>253</v>
      </c>
      <c r="C2162" s="391" t="s">
        <v>9391</v>
      </c>
      <c r="D2162" s="391" t="s">
        <v>2166</v>
      </c>
    </row>
    <row r="2163" ht="15.75" customHeight="1">
      <c r="B2163" s="391" t="s">
        <v>367</v>
      </c>
      <c r="C2163" s="391" t="s">
        <v>9392</v>
      </c>
      <c r="D2163" s="391" t="s">
        <v>2195</v>
      </c>
    </row>
    <row r="2164" ht="15.75" customHeight="1">
      <c r="B2164" s="391" t="s">
        <v>9393</v>
      </c>
      <c r="C2164" s="391" t="s">
        <v>9392</v>
      </c>
      <c r="D2164" s="391" t="s">
        <v>2195</v>
      </c>
    </row>
    <row r="2165" ht="15.75" customHeight="1">
      <c r="B2165" s="391" t="s">
        <v>371</v>
      </c>
      <c r="C2165" s="391" t="s">
        <v>9392</v>
      </c>
      <c r="D2165" s="391" t="s">
        <v>2195</v>
      </c>
    </row>
    <row r="2166" ht="15.75" customHeight="1">
      <c r="B2166" s="391" t="s">
        <v>9394</v>
      </c>
      <c r="C2166" s="391" t="s">
        <v>9392</v>
      </c>
      <c r="D2166" s="391" t="s">
        <v>2195</v>
      </c>
    </row>
    <row r="2167" ht="15.75" customHeight="1">
      <c r="B2167" s="391" t="s">
        <v>9395</v>
      </c>
      <c r="C2167" s="391" t="s">
        <v>9392</v>
      </c>
      <c r="D2167" s="391" t="s">
        <v>2195</v>
      </c>
    </row>
    <row r="2168" ht="15.75" customHeight="1">
      <c r="B2168" s="391" t="s">
        <v>9396</v>
      </c>
      <c r="C2168" s="391" t="s">
        <v>9392</v>
      </c>
      <c r="D2168" s="391" t="s">
        <v>2195</v>
      </c>
    </row>
    <row r="2169" ht="15.75" customHeight="1">
      <c r="B2169" s="391" t="s">
        <v>9397</v>
      </c>
      <c r="C2169" s="391" t="s">
        <v>9392</v>
      </c>
      <c r="D2169" s="391" t="s">
        <v>2195</v>
      </c>
    </row>
    <row r="2170" ht="15.75" customHeight="1">
      <c r="B2170" s="391" t="s">
        <v>9398</v>
      </c>
      <c r="C2170" s="391" t="s">
        <v>9392</v>
      </c>
      <c r="D2170" s="391" t="s">
        <v>2195</v>
      </c>
    </row>
    <row r="2171" ht="15.75" customHeight="1">
      <c r="B2171" s="391" t="s">
        <v>9399</v>
      </c>
      <c r="C2171" s="391" t="s">
        <v>9392</v>
      </c>
      <c r="D2171" s="391" t="s">
        <v>2195</v>
      </c>
    </row>
    <row r="2172" ht="15.75" customHeight="1">
      <c r="B2172" s="391" t="s">
        <v>9400</v>
      </c>
      <c r="C2172" s="391" t="s">
        <v>9392</v>
      </c>
      <c r="D2172" s="391" t="s">
        <v>2195</v>
      </c>
    </row>
    <row r="2173" ht="15.75" customHeight="1">
      <c r="B2173" s="391" t="s">
        <v>9401</v>
      </c>
      <c r="C2173" s="391" t="s">
        <v>9392</v>
      </c>
      <c r="D2173" s="391" t="s">
        <v>2195</v>
      </c>
    </row>
    <row r="2174" ht="15.75" customHeight="1">
      <c r="B2174" s="391" t="s">
        <v>9402</v>
      </c>
      <c r="C2174" s="391" t="s">
        <v>9392</v>
      </c>
      <c r="D2174" s="391" t="s">
        <v>2195</v>
      </c>
    </row>
    <row r="2175" ht="15.75" customHeight="1">
      <c r="B2175" s="391" t="s">
        <v>9403</v>
      </c>
      <c r="C2175" s="391" t="s">
        <v>9392</v>
      </c>
      <c r="D2175" s="391" t="s">
        <v>2195</v>
      </c>
    </row>
    <row r="2176" ht="15.75" customHeight="1">
      <c r="B2176" s="391" t="s">
        <v>651</v>
      </c>
      <c r="C2176" s="391" t="s">
        <v>9392</v>
      </c>
      <c r="D2176" s="391" t="s">
        <v>2232</v>
      </c>
    </row>
    <row r="2177" ht="15.75" customHeight="1">
      <c r="B2177" s="391" t="s">
        <v>655</v>
      </c>
      <c r="C2177" s="391" t="s">
        <v>9392</v>
      </c>
      <c r="D2177" s="391" t="s">
        <v>2232</v>
      </c>
    </row>
    <row r="2178" ht="15.75" customHeight="1">
      <c r="B2178" s="391" t="s">
        <v>675</v>
      </c>
      <c r="C2178" s="391" t="s">
        <v>9392</v>
      </c>
      <c r="D2178" s="391" t="s">
        <v>2232</v>
      </c>
    </row>
    <row r="2179" ht="15.75" customHeight="1">
      <c r="B2179" s="391" t="s">
        <v>657</v>
      </c>
      <c r="C2179" s="391" t="s">
        <v>9392</v>
      </c>
      <c r="D2179" s="391" t="s">
        <v>2166</v>
      </c>
    </row>
    <row r="2180" ht="15.75" customHeight="1">
      <c r="B2180" s="391" t="s">
        <v>661</v>
      </c>
      <c r="C2180" s="391" t="s">
        <v>9392</v>
      </c>
      <c r="D2180" s="391" t="s">
        <v>2232</v>
      </c>
    </row>
    <row r="2181" ht="15.75" customHeight="1">
      <c r="B2181" s="391" t="s">
        <v>667</v>
      </c>
      <c r="C2181" s="391" t="s">
        <v>9392</v>
      </c>
      <c r="D2181" s="391" t="s">
        <v>2166</v>
      </c>
    </row>
    <row r="2182" ht="15.75" customHeight="1">
      <c r="B2182" s="391" t="s">
        <v>669</v>
      </c>
      <c r="C2182" s="391" t="s">
        <v>9392</v>
      </c>
      <c r="D2182" s="391" t="s">
        <v>2232</v>
      </c>
    </row>
    <row r="2183" ht="15.75" customHeight="1">
      <c r="B2183" s="391" t="s">
        <v>671</v>
      </c>
      <c r="C2183" s="391" t="s">
        <v>9392</v>
      </c>
      <c r="D2183" s="391" t="s">
        <v>2166</v>
      </c>
    </row>
    <row r="2184" ht="15.75" customHeight="1">
      <c r="B2184" s="391" t="s">
        <v>673</v>
      </c>
      <c r="C2184" s="391" t="s">
        <v>9392</v>
      </c>
      <c r="D2184" s="391" t="s">
        <v>2195</v>
      </c>
    </row>
    <row r="2185" ht="15.75" customHeight="1">
      <c r="B2185" s="391" t="s">
        <v>9404</v>
      </c>
      <c r="C2185" s="391" t="s">
        <v>9392</v>
      </c>
      <c r="D2185" s="391" t="s">
        <v>2232</v>
      </c>
    </row>
    <row r="2186" ht="15.75" customHeight="1">
      <c r="B2186" s="391" t="s">
        <v>229</v>
      </c>
      <c r="C2186" s="391" t="s">
        <v>9405</v>
      </c>
      <c r="D2186" s="391" t="s">
        <v>2195</v>
      </c>
    </row>
    <row r="2187" ht="15.75" customHeight="1">
      <c r="B2187" s="391" t="s">
        <v>1114</v>
      </c>
      <c r="C2187" s="391" t="s">
        <v>9406</v>
      </c>
      <c r="D2187" s="391" t="s">
        <v>2166</v>
      </c>
    </row>
    <row r="2188" ht="15.75" customHeight="1">
      <c r="B2188" s="391" t="s">
        <v>1118</v>
      </c>
      <c r="C2188" s="391" t="s">
        <v>9406</v>
      </c>
      <c r="D2188" s="391" t="s">
        <v>2166</v>
      </c>
    </row>
    <row r="2189" ht="15.75" customHeight="1">
      <c r="B2189" s="391" t="s">
        <v>112</v>
      </c>
      <c r="C2189" s="391" t="s">
        <v>9407</v>
      </c>
      <c r="D2189" s="391" t="s">
        <v>2195</v>
      </c>
    </row>
    <row r="2190" ht="15.75" customHeight="1">
      <c r="B2190" s="391" t="s">
        <v>139</v>
      </c>
      <c r="C2190" s="391" t="s">
        <v>9408</v>
      </c>
      <c r="D2190" s="391" t="s">
        <v>2195</v>
      </c>
    </row>
    <row r="2191" ht="15.75" customHeight="1">
      <c r="B2191" s="391" t="s">
        <v>9409</v>
      </c>
      <c r="C2191" s="391" t="s">
        <v>9410</v>
      </c>
      <c r="D2191" s="391" t="s">
        <v>2232</v>
      </c>
    </row>
    <row r="2192" ht="15.75" customHeight="1">
      <c r="B2192" s="391" t="s">
        <v>1126</v>
      </c>
      <c r="C2192" s="391" t="s">
        <v>9411</v>
      </c>
      <c r="D2192" s="391" t="s">
        <v>2195</v>
      </c>
    </row>
    <row r="2193" ht="15.75" customHeight="1">
      <c r="B2193" s="391" t="s">
        <v>130</v>
      </c>
      <c r="C2193" s="391" t="s">
        <v>9412</v>
      </c>
      <c r="D2193" s="391" t="s">
        <v>2232</v>
      </c>
    </row>
    <row r="2194" ht="15.75" customHeight="1">
      <c r="B2194" s="391" t="s">
        <v>134</v>
      </c>
      <c r="C2194" s="391" t="s">
        <v>9412</v>
      </c>
      <c r="D2194" s="391" t="s">
        <v>2166</v>
      </c>
    </row>
    <row r="2195" ht="15.75" customHeight="1">
      <c r="B2195" s="391" t="s">
        <v>1130</v>
      </c>
      <c r="C2195" s="391" t="s">
        <v>9413</v>
      </c>
      <c r="D2195" s="391" t="s">
        <v>2232</v>
      </c>
    </row>
    <row r="2196" ht="15.75" customHeight="1">
      <c r="B2196" s="391" t="s">
        <v>9414</v>
      </c>
      <c r="C2196" s="391" t="s">
        <v>9413</v>
      </c>
      <c r="D2196" s="391" t="s">
        <v>2195</v>
      </c>
    </row>
    <row r="2197" ht="15.75" customHeight="1">
      <c r="B2197" s="391" t="s">
        <v>9415</v>
      </c>
      <c r="C2197" s="391" t="s">
        <v>9416</v>
      </c>
      <c r="D2197" s="391" t="s">
        <v>2232</v>
      </c>
    </row>
    <row r="2198" ht="15.75" customHeight="1">
      <c r="B2198" s="391" t="s">
        <v>9417</v>
      </c>
      <c r="C2198" s="391" t="s">
        <v>9416</v>
      </c>
      <c r="D2198" s="391" t="s">
        <v>2232</v>
      </c>
    </row>
    <row r="2199" ht="15.75" customHeight="1">
      <c r="B2199" s="391" t="s">
        <v>9418</v>
      </c>
      <c r="C2199" s="391" t="s">
        <v>9419</v>
      </c>
      <c r="D2199" s="391" t="s">
        <v>2232</v>
      </c>
    </row>
    <row r="2200" ht="15.75" customHeight="1">
      <c r="B2200" s="391" t="s">
        <v>9420</v>
      </c>
      <c r="C2200" s="391" t="s">
        <v>9421</v>
      </c>
      <c r="D2200" s="391" t="s">
        <v>2195</v>
      </c>
    </row>
    <row r="2201" ht="15.75" customHeight="1">
      <c r="B2201" s="391" t="s">
        <v>9422</v>
      </c>
      <c r="C2201" s="391" t="s">
        <v>9423</v>
      </c>
      <c r="D2201" s="391" t="s">
        <v>2195</v>
      </c>
    </row>
    <row r="2202" ht="15.75" customHeight="1">
      <c r="B2202" s="391" t="s">
        <v>956</v>
      </c>
      <c r="C2202" s="391" t="s">
        <v>9424</v>
      </c>
      <c r="D2202" s="391" t="s">
        <v>2166</v>
      </c>
    </row>
    <row r="2203" ht="15.75" customHeight="1">
      <c r="B2203" s="391" t="s">
        <v>9425</v>
      </c>
      <c r="C2203" s="391" t="s">
        <v>9424</v>
      </c>
      <c r="D2203" s="391" t="s">
        <v>2166</v>
      </c>
    </row>
    <row r="2204" ht="15.75" customHeight="1">
      <c r="B2204" s="391" t="s">
        <v>9426</v>
      </c>
      <c r="C2204" s="391" t="s">
        <v>9424</v>
      </c>
      <c r="D2204" s="391" t="s">
        <v>2195</v>
      </c>
    </row>
    <row r="2205" ht="15.75" customHeight="1">
      <c r="B2205" s="391" t="s">
        <v>9427</v>
      </c>
      <c r="C2205" s="391" t="s">
        <v>9428</v>
      </c>
      <c r="D2205" s="391" t="s">
        <v>2232</v>
      </c>
    </row>
    <row r="2206" ht="15.75" customHeight="1">
      <c r="B2206" s="391" t="s">
        <v>9429</v>
      </c>
      <c r="C2206" s="391" t="s">
        <v>9428</v>
      </c>
      <c r="D2206" s="391" t="s">
        <v>2166</v>
      </c>
    </row>
    <row r="2207" ht="15.75" customHeight="1">
      <c r="B2207" s="391" t="s">
        <v>9430</v>
      </c>
      <c r="C2207" s="391" t="s">
        <v>9431</v>
      </c>
      <c r="D2207" s="391" t="s">
        <v>2166</v>
      </c>
    </row>
    <row r="2208" ht="15.75" customHeight="1">
      <c r="B2208" s="391" t="s">
        <v>1658</v>
      </c>
      <c r="C2208" s="391" t="s">
        <v>9431</v>
      </c>
      <c r="D2208" s="391" t="s">
        <v>2166</v>
      </c>
    </row>
    <row r="2209" ht="15.75" customHeight="1">
      <c r="B2209" s="391" t="s">
        <v>1660</v>
      </c>
      <c r="C2209" s="391" t="s">
        <v>9431</v>
      </c>
      <c r="D2209" s="391" t="s">
        <v>2166</v>
      </c>
    </row>
    <row r="2210" ht="15.75" customHeight="1">
      <c r="B2210" s="391" t="s">
        <v>1037</v>
      </c>
      <c r="C2210" s="391" t="s">
        <v>9432</v>
      </c>
      <c r="D2210" s="391" t="s">
        <v>2166</v>
      </c>
    </row>
    <row r="2211" ht="15.75" customHeight="1">
      <c r="B2211" s="391" t="s">
        <v>1039</v>
      </c>
      <c r="C2211" s="391" t="s">
        <v>9432</v>
      </c>
      <c r="D2211" s="391" t="s">
        <v>2195</v>
      </c>
    </row>
    <row r="2212" ht="15.75" customHeight="1">
      <c r="B2212" s="391" t="s">
        <v>1045</v>
      </c>
      <c r="C2212" s="391" t="s">
        <v>9432</v>
      </c>
      <c r="D2212" s="391" t="s">
        <v>2195</v>
      </c>
    </row>
    <row r="2213" ht="15.75" customHeight="1">
      <c r="B2213" s="391" t="s">
        <v>9433</v>
      </c>
      <c r="C2213" s="391" t="s">
        <v>9432</v>
      </c>
      <c r="D2213" s="391" t="s">
        <v>2232</v>
      </c>
    </row>
    <row r="2214" ht="15.75" customHeight="1">
      <c r="B2214" s="391" t="s">
        <v>9434</v>
      </c>
      <c r="C2214" s="391" t="s">
        <v>9435</v>
      </c>
      <c r="D2214" s="391" t="s">
        <v>2166</v>
      </c>
    </row>
    <row r="2215" ht="15.75" customHeight="1">
      <c r="B2215" s="391" t="s">
        <v>9436</v>
      </c>
      <c r="C2215" s="391" t="s">
        <v>9437</v>
      </c>
      <c r="D2215" s="391" t="s">
        <v>2195</v>
      </c>
    </row>
    <row r="2216" ht="15.75" customHeight="1">
      <c r="B2216" s="391" t="s">
        <v>9438</v>
      </c>
      <c r="C2216" s="391" t="s">
        <v>9439</v>
      </c>
      <c r="D2216" s="391" t="s">
        <v>2195</v>
      </c>
    </row>
    <row r="2217" ht="15.75" customHeight="1">
      <c r="B2217" s="391" t="s">
        <v>9440</v>
      </c>
      <c r="C2217" s="391" t="s">
        <v>9441</v>
      </c>
      <c r="D2217" s="391" t="s">
        <v>2195</v>
      </c>
    </row>
    <row r="2218" ht="15.75" customHeight="1">
      <c r="B2218" s="391" t="s">
        <v>9442</v>
      </c>
      <c r="C2218" s="391" t="s">
        <v>9443</v>
      </c>
      <c r="D2218" s="391" t="s">
        <v>2232</v>
      </c>
    </row>
    <row r="2219" ht="15.75" customHeight="1">
      <c r="B2219" s="391" t="s">
        <v>9444</v>
      </c>
      <c r="C2219" s="391" t="s">
        <v>9443</v>
      </c>
      <c r="D2219" s="391" t="s">
        <v>2166</v>
      </c>
    </row>
    <row r="2220" ht="15.75" customHeight="1">
      <c r="B2220" s="391" t="s">
        <v>9445</v>
      </c>
      <c r="C2220" s="391" t="s">
        <v>9446</v>
      </c>
      <c r="D2220" s="391" t="s">
        <v>2232</v>
      </c>
    </row>
    <row r="2221" ht="15.75" customHeight="1">
      <c r="B2221" s="391" t="s">
        <v>9447</v>
      </c>
      <c r="C2221" s="391" t="s">
        <v>9448</v>
      </c>
      <c r="D2221" s="391" t="s">
        <v>2166</v>
      </c>
    </row>
    <row r="2222" ht="15.75" customHeight="1">
      <c r="B2222" s="391" t="s">
        <v>9449</v>
      </c>
      <c r="C2222" s="391" t="s">
        <v>9450</v>
      </c>
      <c r="D2222" s="391" t="s">
        <v>2166</v>
      </c>
    </row>
    <row r="2223" ht="15.75" customHeight="1">
      <c r="B2223" s="391" t="s">
        <v>9451</v>
      </c>
      <c r="C2223" s="391" t="s">
        <v>9452</v>
      </c>
      <c r="D2223" s="391" t="s">
        <v>2166</v>
      </c>
    </row>
    <row r="2224" ht="15.75" customHeight="1">
      <c r="B2224" s="391" t="s">
        <v>9453</v>
      </c>
      <c r="C2224" s="391" t="s">
        <v>9454</v>
      </c>
      <c r="D2224" s="391" t="s">
        <v>2166</v>
      </c>
    </row>
    <row r="2225" ht="15.75" customHeight="1">
      <c r="B2225" s="391" t="s">
        <v>9455</v>
      </c>
      <c r="C2225" s="391" t="s">
        <v>9456</v>
      </c>
      <c r="D2225" s="391" t="s">
        <v>2195</v>
      </c>
    </row>
    <row r="2226" ht="15.75" customHeight="1">
      <c r="B2226" s="391" t="s">
        <v>1091</v>
      </c>
      <c r="C2226" s="391" t="s">
        <v>9457</v>
      </c>
      <c r="D2226" s="391" t="s">
        <v>2166</v>
      </c>
    </row>
    <row r="2227" ht="15.75" customHeight="1">
      <c r="B2227" s="391" t="s">
        <v>9458</v>
      </c>
      <c r="C2227" s="391" t="s">
        <v>9457</v>
      </c>
      <c r="D2227" s="391" t="s">
        <v>2195</v>
      </c>
    </row>
    <row r="2228" ht="15.75" customHeight="1">
      <c r="B2228" s="391" t="s">
        <v>9459</v>
      </c>
      <c r="C2228" s="391" t="s">
        <v>9457</v>
      </c>
      <c r="D2228" s="391" t="s">
        <v>2195</v>
      </c>
    </row>
    <row r="2229" ht="15.75" customHeight="1">
      <c r="B2229" s="391" t="s">
        <v>9460</v>
      </c>
      <c r="C2229" s="391" t="s">
        <v>9461</v>
      </c>
      <c r="D2229" s="391" t="s">
        <v>2195</v>
      </c>
    </row>
    <row r="2230" ht="15.75" customHeight="1">
      <c r="B2230" s="391" t="s">
        <v>9462</v>
      </c>
      <c r="C2230" s="391" t="s">
        <v>9463</v>
      </c>
      <c r="D2230" s="391" t="s">
        <v>2166</v>
      </c>
    </row>
    <row r="2231" ht="15.75" customHeight="1">
      <c r="B2231" s="391" t="s">
        <v>9464</v>
      </c>
      <c r="C2231" s="391" t="s">
        <v>9463</v>
      </c>
      <c r="D2231" s="391" t="s">
        <v>2195</v>
      </c>
    </row>
    <row r="2232" ht="15.75" customHeight="1">
      <c r="B2232" s="391" t="s">
        <v>9465</v>
      </c>
      <c r="C2232" s="391" t="s">
        <v>9463</v>
      </c>
      <c r="D2232" s="391" t="s">
        <v>2232</v>
      </c>
    </row>
    <row r="2233" ht="15.75" customHeight="1">
      <c r="B2233" s="391" t="s">
        <v>9466</v>
      </c>
      <c r="C2233" s="391" t="s">
        <v>9467</v>
      </c>
      <c r="D2233" s="391" t="s">
        <v>2232</v>
      </c>
    </row>
    <row r="2234" ht="15.75" customHeight="1">
      <c r="B2234" s="391" t="s">
        <v>632</v>
      </c>
      <c r="C2234" s="391" t="s">
        <v>9468</v>
      </c>
      <c r="D2234" s="391" t="s">
        <v>2166</v>
      </c>
    </row>
    <row r="2235" ht="15.75" customHeight="1">
      <c r="B2235" s="391" t="s">
        <v>238</v>
      </c>
      <c r="C2235" s="391" t="s">
        <v>9469</v>
      </c>
      <c r="D2235" s="391" t="s">
        <v>2195</v>
      </c>
    </row>
    <row r="2236" ht="15.75" customHeight="1">
      <c r="B2236" s="391" t="s">
        <v>9470</v>
      </c>
      <c r="C2236" s="391" t="s">
        <v>9471</v>
      </c>
      <c r="D2236" s="391" t="s">
        <v>2232</v>
      </c>
    </row>
    <row r="2237" ht="15.75" customHeight="1">
      <c r="B2237" s="391" t="s">
        <v>9472</v>
      </c>
      <c r="C2237" s="391" t="s">
        <v>9473</v>
      </c>
      <c r="D2237" s="391" t="s">
        <v>2195</v>
      </c>
    </row>
    <row r="2238" ht="15.75" customHeight="1">
      <c r="B2238" s="391" t="s">
        <v>9474</v>
      </c>
      <c r="C2238" s="391" t="s">
        <v>9475</v>
      </c>
      <c r="D2238" s="391" t="s">
        <v>2195</v>
      </c>
    </row>
    <row r="2239" ht="15.75" customHeight="1">
      <c r="B2239" s="391" t="s">
        <v>9476</v>
      </c>
      <c r="C2239" s="391" t="s">
        <v>9477</v>
      </c>
      <c r="D2239" s="391" t="s">
        <v>2166</v>
      </c>
    </row>
    <row r="2240" ht="15.75" customHeight="1">
      <c r="B2240" s="391" t="s">
        <v>9478</v>
      </c>
      <c r="C2240" s="391" t="s">
        <v>9479</v>
      </c>
      <c r="D2240" s="391" t="s">
        <v>2195</v>
      </c>
    </row>
    <row r="2241" ht="15.75" customHeight="1">
      <c r="B2241" s="391" t="s">
        <v>9480</v>
      </c>
      <c r="C2241" s="391" t="s">
        <v>9481</v>
      </c>
      <c r="D2241" s="391" t="s">
        <v>2232</v>
      </c>
    </row>
    <row r="2242" ht="15.75" customHeight="1">
      <c r="B2242" s="391" t="s">
        <v>9482</v>
      </c>
      <c r="C2242" s="391" t="s">
        <v>9481</v>
      </c>
      <c r="D2242" s="391" t="s">
        <v>2232</v>
      </c>
    </row>
    <row r="2243" ht="15.75" customHeight="1">
      <c r="B2243" s="391" t="s">
        <v>9483</v>
      </c>
      <c r="C2243" s="391" t="s">
        <v>9481</v>
      </c>
      <c r="D2243" s="391" t="s">
        <v>2195</v>
      </c>
    </row>
    <row r="2244" ht="15.75" customHeight="1">
      <c r="B2244" s="391" t="s">
        <v>9484</v>
      </c>
      <c r="C2244" s="391" t="s">
        <v>9481</v>
      </c>
      <c r="D2244" s="391" t="s">
        <v>2195</v>
      </c>
    </row>
    <row r="2245" ht="15.75" customHeight="1">
      <c r="B2245" s="391" t="s">
        <v>432</v>
      </c>
      <c r="C2245" s="391" t="s">
        <v>9485</v>
      </c>
      <c r="D2245" s="391" t="s">
        <v>2195</v>
      </c>
    </row>
    <row r="2246" ht="15.75" customHeight="1">
      <c r="B2246" s="391" t="s">
        <v>9486</v>
      </c>
      <c r="C2246" s="391" t="s">
        <v>9487</v>
      </c>
      <c r="D2246" s="391" t="s">
        <v>2195</v>
      </c>
    </row>
    <row r="2247" ht="15.75" customHeight="1">
      <c r="B2247" s="391" t="s">
        <v>9488</v>
      </c>
      <c r="C2247" s="391" t="s">
        <v>9487</v>
      </c>
      <c r="D2247" s="391" t="s">
        <v>2195</v>
      </c>
    </row>
    <row r="2248" ht="15.75" customHeight="1">
      <c r="B2248" s="391" t="s">
        <v>445</v>
      </c>
      <c r="C2248" s="391" t="s">
        <v>9487</v>
      </c>
      <c r="D2248" s="391" t="s">
        <v>2195</v>
      </c>
    </row>
    <row r="2249" ht="15.75" customHeight="1">
      <c r="B2249" s="391" t="s">
        <v>9489</v>
      </c>
      <c r="C2249" s="391" t="s">
        <v>9487</v>
      </c>
      <c r="D2249" s="391" t="s">
        <v>2195</v>
      </c>
    </row>
    <row r="2250" ht="15.75" customHeight="1">
      <c r="B2250" s="391" t="s">
        <v>9490</v>
      </c>
      <c r="C2250" s="391" t="s">
        <v>9487</v>
      </c>
      <c r="D2250" s="391" t="s">
        <v>2195</v>
      </c>
    </row>
    <row r="2251" ht="15.75" customHeight="1">
      <c r="B2251" s="391" t="s">
        <v>905</v>
      </c>
      <c r="C2251" s="391" t="s">
        <v>9487</v>
      </c>
      <c r="D2251" s="391" t="s">
        <v>2166</v>
      </c>
    </row>
    <row r="2252" ht="15.75" customHeight="1">
      <c r="B2252" s="391" t="s">
        <v>907</v>
      </c>
      <c r="C2252" s="391" t="s">
        <v>9487</v>
      </c>
      <c r="D2252" s="391" t="s">
        <v>2166</v>
      </c>
    </row>
    <row r="2253" ht="15.75" customHeight="1">
      <c r="B2253" s="391" t="s">
        <v>911</v>
      </c>
      <c r="C2253" s="391" t="s">
        <v>9487</v>
      </c>
      <c r="D2253" s="391" t="s">
        <v>2232</v>
      </c>
    </row>
    <row r="2254" ht="15.75" customHeight="1">
      <c r="B2254" s="391" t="s">
        <v>920</v>
      </c>
      <c r="C2254" s="391" t="s">
        <v>9487</v>
      </c>
      <c r="D2254" s="391" t="s">
        <v>2232</v>
      </c>
    </row>
    <row r="2255" ht="15.75" customHeight="1">
      <c r="B2255" s="391" t="s">
        <v>913</v>
      </c>
      <c r="C2255" s="391" t="s">
        <v>9487</v>
      </c>
      <c r="D2255" s="391" t="s">
        <v>2166</v>
      </c>
    </row>
    <row r="2256" ht="15.75" customHeight="1">
      <c r="B2256" s="391" t="s">
        <v>444</v>
      </c>
      <c r="C2256" s="391" t="s">
        <v>9491</v>
      </c>
      <c r="D2256" s="391" t="s">
        <v>2195</v>
      </c>
    </row>
    <row r="2257" ht="15.75" customHeight="1">
      <c r="B2257" s="391" t="s">
        <v>447</v>
      </c>
      <c r="C2257" s="391" t="s">
        <v>9492</v>
      </c>
      <c r="D2257" s="391" t="s">
        <v>2195</v>
      </c>
    </row>
    <row r="2258" ht="15.75" customHeight="1">
      <c r="B2258" s="391" t="s">
        <v>460</v>
      </c>
      <c r="C2258" s="391" t="s">
        <v>9493</v>
      </c>
      <c r="D2258" s="391" t="s">
        <v>2195</v>
      </c>
    </row>
    <row r="2259" ht="15.75" customHeight="1">
      <c r="B2259" s="391" t="s">
        <v>462</v>
      </c>
      <c r="C2259" s="391" t="s">
        <v>9494</v>
      </c>
      <c r="D2259" s="391" t="s">
        <v>2195</v>
      </c>
    </row>
    <row r="2260" ht="15.75" customHeight="1">
      <c r="B2260" s="391" t="s">
        <v>9495</v>
      </c>
      <c r="C2260" s="391" t="s">
        <v>9496</v>
      </c>
      <c r="D2260" s="391" t="s">
        <v>2232</v>
      </c>
    </row>
    <row r="2261" ht="15.75" customHeight="1">
      <c r="B2261" s="391" t="s">
        <v>9497</v>
      </c>
      <c r="C2261" s="391" t="s">
        <v>9498</v>
      </c>
      <c r="D2261" s="391" t="s">
        <v>2232</v>
      </c>
    </row>
    <row r="2262" ht="15.75" customHeight="1">
      <c r="B2262" s="391" t="s">
        <v>9499</v>
      </c>
      <c r="C2262" s="391" t="s">
        <v>9500</v>
      </c>
      <c r="D2262" s="391" t="s">
        <v>2195</v>
      </c>
    </row>
    <row r="2263" ht="15.75" customHeight="1">
      <c r="B2263" s="391" t="s">
        <v>9501</v>
      </c>
      <c r="C2263" s="391" t="s">
        <v>9500</v>
      </c>
      <c r="D2263" s="391" t="s">
        <v>2195</v>
      </c>
    </row>
    <row r="2264" ht="15.75" customHeight="1">
      <c r="B2264" s="391" t="s">
        <v>9502</v>
      </c>
      <c r="C2264" s="391" t="s">
        <v>9500</v>
      </c>
      <c r="D2264" s="391" t="s">
        <v>2195</v>
      </c>
    </row>
    <row r="2265" ht="15.75" customHeight="1">
      <c r="B2265" s="391" t="s">
        <v>9503</v>
      </c>
      <c r="C2265" s="391" t="s">
        <v>9500</v>
      </c>
      <c r="D2265" s="391" t="s">
        <v>2195</v>
      </c>
    </row>
    <row r="2266" ht="15.75" customHeight="1">
      <c r="B2266" s="391" t="s">
        <v>9504</v>
      </c>
      <c r="C2266" s="391" t="s">
        <v>9500</v>
      </c>
      <c r="D2266" s="391" t="s">
        <v>2195</v>
      </c>
    </row>
    <row r="2267" ht="15.75" customHeight="1">
      <c r="B2267" s="391" t="s">
        <v>9505</v>
      </c>
      <c r="C2267" s="391" t="s">
        <v>9500</v>
      </c>
      <c r="D2267" s="391" t="s">
        <v>2195</v>
      </c>
    </row>
    <row r="2268" ht="15.75" customHeight="1">
      <c r="B2268" s="391" t="s">
        <v>9506</v>
      </c>
      <c r="C2268" s="391" t="s">
        <v>9500</v>
      </c>
      <c r="D2268" s="391" t="s">
        <v>2195</v>
      </c>
    </row>
    <row r="2269" ht="15.75" customHeight="1">
      <c r="B2269" s="391" t="s">
        <v>773</v>
      </c>
      <c r="C2269" s="391" t="s">
        <v>9507</v>
      </c>
      <c r="D2269" s="391" t="s">
        <v>2232</v>
      </c>
    </row>
    <row r="2270" ht="15.75" customHeight="1">
      <c r="B2270" s="391" t="s">
        <v>9508</v>
      </c>
      <c r="C2270" s="391" t="s">
        <v>9507</v>
      </c>
      <c r="D2270" s="391" t="s">
        <v>2195</v>
      </c>
    </row>
    <row r="2271" ht="15.75" customHeight="1">
      <c r="B2271" s="391" t="s">
        <v>9509</v>
      </c>
      <c r="C2271" s="391" t="s">
        <v>9507</v>
      </c>
      <c r="D2271" s="391" t="s">
        <v>2195</v>
      </c>
    </row>
    <row r="2272" ht="15.75" customHeight="1">
      <c r="B2272" s="391" t="s">
        <v>9510</v>
      </c>
      <c r="C2272" s="391" t="s">
        <v>9507</v>
      </c>
      <c r="D2272" s="391" t="s">
        <v>2195</v>
      </c>
    </row>
    <row r="2273" ht="15.75" customHeight="1">
      <c r="B2273" s="391" t="s">
        <v>9511</v>
      </c>
      <c r="C2273" s="391" t="s">
        <v>9507</v>
      </c>
      <c r="D2273" s="391" t="s">
        <v>2195</v>
      </c>
    </row>
    <row r="2274" ht="15.75" customHeight="1">
      <c r="B2274" s="391" t="s">
        <v>9512</v>
      </c>
      <c r="C2274" s="391" t="s">
        <v>9507</v>
      </c>
      <c r="D2274" s="391" t="s">
        <v>2166</v>
      </c>
    </row>
    <row r="2275" ht="15.75" customHeight="1">
      <c r="B2275" s="391" t="s">
        <v>9513</v>
      </c>
      <c r="C2275" s="391" t="s">
        <v>9507</v>
      </c>
      <c r="D2275" s="391" t="s">
        <v>2166</v>
      </c>
    </row>
    <row r="2276" ht="15.75" customHeight="1">
      <c r="B2276" s="391" t="s">
        <v>9514</v>
      </c>
      <c r="C2276" s="391" t="s">
        <v>9507</v>
      </c>
      <c r="D2276" s="391" t="s">
        <v>2232</v>
      </c>
    </row>
    <row r="2277" ht="15.75" customHeight="1">
      <c r="B2277" s="391" t="s">
        <v>1609</v>
      </c>
      <c r="C2277" s="391" t="s">
        <v>9507</v>
      </c>
      <c r="D2277" s="391" t="s">
        <v>2166</v>
      </c>
    </row>
    <row r="2278" ht="15.75" customHeight="1">
      <c r="B2278" s="391" t="s">
        <v>1613</v>
      </c>
      <c r="C2278" s="391" t="s">
        <v>9507</v>
      </c>
      <c r="D2278" s="391" t="s">
        <v>2166</v>
      </c>
    </row>
    <row r="2279" ht="15.75" customHeight="1">
      <c r="B2279" s="391" t="s">
        <v>9515</v>
      </c>
      <c r="C2279" s="391" t="s">
        <v>9507</v>
      </c>
      <c r="D2279" s="391" t="s">
        <v>2195</v>
      </c>
    </row>
    <row r="2280" ht="15.75" customHeight="1">
      <c r="B2280" s="391" t="s">
        <v>9516</v>
      </c>
      <c r="C2280" s="391" t="s">
        <v>9507</v>
      </c>
      <c r="D2280" s="391" t="s">
        <v>2195</v>
      </c>
    </row>
    <row r="2281" ht="15.75" customHeight="1">
      <c r="B2281" s="391" t="s">
        <v>9517</v>
      </c>
      <c r="C2281" s="391" t="s">
        <v>9507</v>
      </c>
      <c r="D2281" s="391" t="s">
        <v>2195</v>
      </c>
    </row>
    <row r="2282" ht="15.75" customHeight="1">
      <c r="B2282" s="391" t="s">
        <v>9518</v>
      </c>
      <c r="C2282" s="391" t="s">
        <v>9507</v>
      </c>
      <c r="D2282" s="391" t="s">
        <v>2195</v>
      </c>
    </row>
    <row r="2283" ht="15.75" customHeight="1">
      <c r="B2283" s="391" t="s">
        <v>9519</v>
      </c>
      <c r="C2283" s="391" t="s">
        <v>9507</v>
      </c>
      <c r="D2283" s="391" t="s">
        <v>2195</v>
      </c>
    </row>
    <row r="2284" ht="15.75" customHeight="1">
      <c r="B2284" s="391" t="s">
        <v>763</v>
      </c>
      <c r="C2284" s="391" t="s">
        <v>9507</v>
      </c>
      <c r="D2284" s="391" t="s">
        <v>2195</v>
      </c>
    </row>
    <row r="2285" ht="15.75" customHeight="1">
      <c r="B2285" s="391" t="s">
        <v>91</v>
      </c>
      <c r="C2285" s="391" t="s">
        <v>9520</v>
      </c>
      <c r="D2285" s="391" t="s">
        <v>2195</v>
      </c>
    </row>
    <row r="2286" ht="15.75" customHeight="1">
      <c r="B2286" s="391" t="s">
        <v>663</v>
      </c>
      <c r="C2286" s="391" t="s">
        <v>9521</v>
      </c>
      <c r="D2286" s="391" t="s">
        <v>2232</v>
      </c>
    </row>
    <row r="2287" ht="15.75" customHeight="1">
      <c r="B2287" s="391" t="s">
        <v>1592</v>
      </c>
      <c r="C2287" s="391" t="s">
        <v>9522</v>
      </c>
      <c r="D2287" s="391" t="s">
        <v>2232</v>
      </c>
    </row>
    <row r="2288" ht="15.75" customHeight="1">
      <c r="B2288" s="391" t="s">
        <v>9523</v>
      </c>
      <c r="C2288" s="391" t="s">
        <v>9524</v>
      </c>
      <c r="D2288" s="391" t="s">
        <v>2166</v>
      </c>
    </row>
    <row r="2289" ht="15.75" customHeight="1">
      <c r="B2289" s="391" t="s">
        <v>9525</v>
      </c>
      <c r="C2289" s="391" t="s">
        <v>9524</v>
      </c>
      <c r="D2289" s="391" t="s">
        <v>2166</v>
      </c>
    </row>
    <row r="2290" ht="15.75" customHeight="1">
      <c r="B2290" s="391" t="s">
        <v>9526</v>
      </c>
      <c r="C2290" s="391" t="s">
        <v>9524</v>
      </c>
      <c r="D2290" s="391" t="s">
        <v>2195</v>
      </c>
    </row>
    <row r="2291" ht="15.75" customHeight="1">
      <c r="B2291" s="391" t="s">
        <v>9527</v>
      </c>
      <c r="C2291" s="391" t="s">
        <v>9524</v>
      </c>
      <c r="D2291" s="391" t="s">
        <v>2195</v>
      </c>
    </row>
    <row r="2292" ht="15.75" customHeight="1">
      <c r="B2292" s="391" t="s">
        <v>9528</v>
      </c>
      <c r="C2292" s="391" t="s">
        <v>9529</v>
      </c>
      <c r="D2292" s="391" t="s">
        <v>2195</v>
      </c>
    </row>
    <row r="2293" ht="15.75" customHeight="1">
      <c r="B2293" s="391" t="s">
        <v>9530</v>
      </c>
      <c r="C2293" s="391" t="s">
        <v>9529</v>
      </c>
      <c r="D2293" s="391" t="s">
        <v>2195</v>
      </c>
    </row>
    <row r="2294" ht="15.75" customHeight="1">
      <c r="B2294" s="391" t="s">
        <v>9531</v>
      </c>
      <c r="C2294" s="391" t="s">
        <v>9529</v>
      </c>
      <c r="D2294" s="391" t="s">
        <v>2195</v>
      </c>
    </row>
    <row r="2295" ht="15.75" customHeight="1">
      <c r="B2295" s="391" t="s">
        <v>9532</v>
      </c>
      <c r="C2295" s="391" t="s">
        <v>9529</v>
      </c>
      <c r="D2295" s="391" t="s">
        <v>2195</v>
      </c>
    </row>
    <row r="2296" ht="15.75" customHeight="1">
      <c r="B2296" s="391" t="s">
        <v>9533</v>
      </c>
      <c r="C2296" s="391" t="s">
        <v>9529</v>
      </c>
      <c r="D2296" s="391" t="s">
        <v>2195</v>
      </c>
    </row>
    <row r="2297" ht="15.75" customHeight="1">
      <c r="B2297" s="391" t="s">
        <v>9534</v>
      </c>
      <c r="C2297" s="391" t="s">
        <v>9529</v>
      </c>
      <c r="D2297" s="391" t="s">
        <v>2195</v>
      </c>
    </row>
    <row r="2298" ht="15.75" customHeight="1">
      <c r="B2298" s="391" t="s">
        <v>9535</v>
      </c>
      <c r="C2298" s="391" t="s">
        <v>9529</v>
      </c>
      <c r="D2298" s="391" t="s">
        <v>2195</v>
      </c>
    </row>
    <row r="2299" ht="15.75" customHeight="1">
      <c r="B2299" s="391" t="s">
        <v>9536</v>
      </c>
      <c r="C2299" s="391" t="s">
        <v>9529</v>
      </c>
      <c r="D2299" s="391" t="s">
        <v>2195</v>
      </c>
    </row>
    <row r="2300" ht="15.75" customHeight="1">
      <c r="B2300" s="391" t="s">
        <v>9537</v>
      </c>
      <c r="C2300" s="391" t="s">
        <v>9529</v>
      </c>
      <c r="D2300" s="391" t="s">
        <v>2195</v>
      </c>
    </row>
    <row r="2301" ht="15.75" customHeight="1">
      <c r="B2301" s="391" t="s">
        <v>454</v>
      </c>
      <c r="C2301" s="391" t="s">
        <v>9538</v>
      </c>
      <c r="D2301" s="391" t="s">
        <v>2166</v>
      </c>
    </row>
    <row r="2302" ht="15.75" customHeight="1">
      <c r="B2302" s="391" t="s">
        <v>458</v>
      </c>
      <c r="C2302" s="391" t="s">
        <v>9539</v>
      </c>
      <c r="D2302" s="391" t="s">
        <v>2195</v>
      </c>
    </row>
    <row r="2303" ht="15.75" customHeight="1">
      <c r="B2303" s="391" t="s">
        <v>451</v>
      </c>
      <c r="C2303" s="391" t="s">
        <v>9540</v>
      </c>
      <c r="D2303" s="391" t="s">
        <v>2166</v>
      </c>
    </row>
    <row r="2304" ht="15.75" customHeight="1">
      <c r="B2304" s="391" t="s">
        <v>453</v>
      </c>
      <c r="C2304" s="391" t="s">
        <v>9541</v>
      </c>
      <c r="D2304" s="391" t="s">
        <v>2195</v>
      </c>
    </row>
    <row r="2305" ht="15.75" customHeight="1">
      <c r="B2305" s="391" t="s">
        <v>9542</v>
      </c>
      <c r="C2305" s="391" t="s">
        <v>9543</v>
      </c>
      <c r="D2305" s="391" t="s">
        <v>2195</v>
      </c>
    </row>
    <row r="2306" ht="15.75" customHeight="1">
      <c r="B2306" s="391" t="s">
        <v>9544</v>
      </c>
      <c r="C2306" s="391" t="s">
        <v>9545</v>
      </c>
      <c r="D2306" s="391" t="s">
        <v>2195</v>
      </c>
    </row>
    <row r="2307" ht="15.75" customHeight="1">
      <c r="B2307" s="391" t="s">
        <v>507</v>
      </c>
      <c r="C2307" s="391" t="s">
        <v>9546</v>
      </c>
      <c r="D2307" s="391" t="s">
        <v>2166</v>
      </c>
    </row>
    <row r="2308" ht="15.75" customHeight="1">
      <c r="B2308" s="391" t="s">
        <v>9547</v>
      </c>
      <c r="C2308" s="391" t="s">
        <v>9546</v>
      </c>
      <c r="D2308" s="391" t="s">
        <v>2166</v>
      </c>
    </row>
    <row r="2309" ht="15.75" customHeight="1">
      <c r="B2309" s="391" t="s">
        <v>221</v>
      </c>
      <c r="C2309" s="391" t="s">
        <v>9546</v>
      </c>
      <c r="D2309" s="391" t="s">
        <v>2166</v>
      </c>
    </row>
    <row r="2310" ht="15.75" customHeight="1">
      <c r="B2310" s="391" t="s">
        <v>213</v>
      </c>
      <c r="C2310" s="391" t="s">
        <v>9546</v>
      </c>
      <c r="D2310" s="391" t="s">
        <v>2195</v>
      </c>
    </row>
    <row r="2311" ht="15.75" customHeight="1">
      <c r="B2311" s="391" t="s">
        <v>215</v>
      </c>
      <c r="C2311" s="391" t="s">
        <v>9546</v>
      </c>
      <c r="D2311" s="391" t="s">
        <v>2195</v>
      </c>
    </row>
    <row r="2312" ht="15.75" customHeight="1">
      <c r="B2312" s="391" t="s">
        <v>304</v>
      </c>
      <c r="C2312" s="391" t="s">
        <v>9546</v>
      </c>
      <c r="D2312" s="391" t="s">
        <v>2166</v>
      </c>
    </row>
    <row r="2313" ht="15.75" customHeight="1">
      <c r="B2313" s="391" t="s">
        <v>310</v>
      </c>
      <c r="C2313" s="391" t="s">
        <v>9546</v>
      </c>
      <c r="D2313" s="391" t="s">
        <v>2166</v>
      </c>
    </row>
    <row r="2314" ht="15.75" customHeight="1">
      <c r="B2314" s="391" t="s">
        <v>306</v>
      </c>
      <c r="C2314" s="391" t="s">
        <v>9546</v>
      </c>
      <c r="D2314" s="391" t="s">
        <v>2166</v>
      </c>
    </row>
    <row r="2315" ht="15.75" customHeight="1">
      <c r="B2315" s="391" t="s">
        <v>217</v>
      </c>
      <c r="C2315" s="391" t="s">
        <v>9548</v>
      </c>
      <c r="D2315" s="391" t="s">
        <v>2232</v>
      </c>
    </row>
    <row r="2316" ht="15.75" customHeight="1">
      <c r="B2316" s="391" t="s">
        <v>9549</v>
      </c>
      <c r="C2316" s="391" t="s">
        <v>9550</v>
      </c>
      <c r="D2316" s="391" t="s">
        <v>2195</v>
      </c>
    </row>
    <row r="2317" ht="15.75" customHeight="1">
      <c r="B2317" s="391" t="s">
        <v>9551</v>
      </c>
      <c r="C2317" s="391" t="s">
        <v>9552</v>
      </c>
      <c r="D2317" s="391" t="s">
        <v>2195</v>
      </c>
    </row>
    <row r="2318" ht="15.75" customHeight="1">
      <c r="B2318" s="391" t="s">
        <v>9553</v>
      </c>
      <c r="C2318" s="391" t="s">
        <v>9552</v>
      </c>
      <c r="D2318" s="391" t="s">
        <v>2195</v>
      </c>
    </row>
    <row r="2319" ht="15.75" customHeight="1">
      <c r="B2319" s="391" t="s">
        <v>9554</v>
      </c>
      <c r="C2319" s="391" t="s">
        <v>9552</v>
      </c>
      <c r="D2319" s="391" t="s">
        <v>2195</v>
      </c>
    </row>
    <row r="2320" ht="15.75" customHeight="1">
      <c r="B2320" s="391" t="s">
        <v>742</v>
      </c>
      <c r="C2320" s="391" t="s">
        <v>9552</v>
      </c>
      <c r="D2320" s="391" t="s">
        <v>2232</v>
      </c>
    </row>
    <row r="2321" ht="15.75" customHeight="1">
      <c r="B2321" s="391" t="s">
        <v>746</v>
      </c>
      <c r="C2321" s="391" t="s">
        <v>9552</v>
      </c>
      <c r="D2321" s="391" t="s">
        <v>2232</v>
      </c>
    </row>
    <row r="2322" ht="15.75" customHeight="1">
      <c r="B2322" s="391" t="s">
        <v>350</v>
      </c>
      <c r="C2322" s="391" t="s">
        <v>9555</v>
      </c>
      <c r="D2322" s="391" t="s">
        <v>2195</v>
      </c>
    </row>
    <row r="2323" ht="15.75" customHeight="1">
      <c r="B2323" s="391" t="s">
        <v>352</v>
      </c>
      <c r="C2323" s="391" t="s">
        <v>9556</v>
      </c>
      <c r="D2323" s="391" t="s">
        <v>2195</v>
      </c>
    </row>
    <row r="2324" ht="15.75" customHeight="1">
      <c r="B2324" s="391" t="s">
        <v>172</v>
      </c>
      <c r="C2324" s="391" t="s">
        <v>9557</v>
      </c>
      <c r="D2324" s="391" t="s">
        <v>2166</v>
      </c>
    </row>
    <row r="2325" ht="15.75" customHeight="1">
      <c r="B2325" s="391" t="s">
        <v>1053</v>
      </c>
      <c r="C2325" s="391" t="s">
        <v>9558</v>
      </c>
      <c r="D2325" s="391" t="s">
        <v>2195</v>
      </c>
    </row>
    <row r="2326" ht="15.75" customHeight="1">
      <c r="B2326" s="391" t="s">
        <v>1291</v>
      </c>
      <c r="C2326" s="391" t="s">
        <v>9558</v>
      </c>
      <c r="D2326" s="391" t="s">
        <v>2166</v>
      </c>
    </row>
    <row r="2327" ht="15.75" customHeight="1">
      <c r="B2327" s="391" t="s">
        <v>192</v>
      </c>
      <c r="C2327" s="391" t="s">
        <v>9558</v>
      </c>
      <c r="D2327" s="391" t="s">
        <v>2166</v>
      </c>
    </row>
    <row r="2328" ht="15.75" customHeight="1">
      <c r="B2328" s="391" t="s">
        <v>9559</v>
      </c>
      <c r="C2328" s="391" t="s">
        <v>9558</v>
      </c>
      <c r="D2328" s="391" t="s">
        <v>2232</v>
      </c>
    </row>
    <row r="2329" ht="15.75" customHeight="1">
      <c r="B2329" s="391" t="s">
        <v>9560</v>
      </c>
      <c r="C2329" s="391" t="s">
        <v>9558</v>
      </c>
      <c r="D2329" s="391" t="s">
        <v>2232</v>
      </c>
    </row>
    <row r="2330" ht="15.75" customHeight="1">
      <c r="B2330" s="391" t="s">
        <v>9561</v>
      </c>
      <c r="C2330" s="391" t="s">
        <v>9562</v>
      </c>
      <c r="D2330" s="391" t="s">
        <v>2195</v>
      </c>
    </row>
    <row r="2331" ht="15.75" customHeight="1">
      <c r="B2331" s="391" t="s">
        <v>504</v>
      </c>
      <c r="C2331" s="391" t="s">
        <v>9563</v>
      </c>
      <c r="D2331" s="391" t="s">
        <v>2195</v>
      </c>
    </row>
    <row r="2332" ht="15.75" customHeight="1">
      <c r="B2332" s="391" t="s">
        <v>9564</v>
      </c>
      <c r="C2332" s="391" t="s">
        <v>9565</v>
      </c>
      <c r="D2332" s="391" t="s">
        <v>2195</v>
      </c>
    </row>
    <row r="2333" ht="15.75" customHeight="1">
      <c r="B2333" s="391" t="s">
        <v>496</v>
      </c>
      <c r="C2333" s="391" t="s">
        <v>9566</v>
      </c>
      <c r="D2333" s="391" t="s">
        <v>2232</v>
      </c>
    </row>
    <row r="2334" ht="15.75" customHeight="1">
      <c r="B2334" s="391" t="s">
        <v>498</v>
      </c>
      <c r="C2334" s="391" t="s">
        <v>9566</v>
      </c>
      <c r="D2334" s="391" t="s">
        <v>2166</v>
      </c>
    </row>
    <row r="2335" ht="15.75" customHeight="1">
      <c r="B2335" s="391" t="s">
        <v>500</v>
      </c>
      <c r="C2335" s="391" t="s">
        <v>9566</v>
      </c>
      <c r="D2335" s="391" t="s">
        <v>2232</v>
      </c>
    </row>
    <row r="2336" ht="15.75" customHeight="1">
      <c r="B2336" s="391" t="s">
        <v>709</v>
      </c>
      <c r="C2336" s="391" t="s">
        <v>9567</v>
      </c>
      <c r="D2336" s="391" t="s">
        <v>2232</v>
      </c>
    </row>
    <row r="2337" ht="15.75" customHeight="1">
      <c r="B2337" s="391" t="s">
        <v>9568</v>
      </c>
      <c r="C2337" s="391" t="s">
        <v>9569</v>
      </c>
      <c r="D2337" s="391" t="s">
        <v>2166</v>
      </c>
    </row>
    <row r="2338" ht="15.75" customHeight="1">
      <c r="B2338" s="391" t="s">
        <v>1059</v>
      </c>
      <c r="C2338" s="391" t="s">
        <v>9570</v>
      </c>
      <c r="D2338" s="391" t="s">
        <v>2232</v>
      </c>
    </row>
    <row r="2339" ht="15.75" customHeight="1">
      <c r="B2339" s="391" t="s">
        <v>1598</v>
      </c>
      <c r="C2339" s="391" t="s">
        <v>9571</v>
      </c>
      <c r="D2339" s="391" t="s">
        <v>2232</v>
      </c>
    </row>
    <row r="2340" ht="15.75" customHeight="1">
      <c r="B2340" s="391" t="s">
        <v>9572</v>
      </c>
      <c r="C2340" s="391" t="s">
        <v>9573</v>
      </c>
      <c r="D2340" s="391" t="s">
        <v>2195</v>
      </c>
    </row>
    <row r="2341" ht="15.75" customHeight="1">
      <c r="B2341" s="391" t="s">
        <v>9574</v>
      </c>
      <c r="C2341" s="391" t="s">
        <v>9575</v>
      </c>
      <c r="D2341" s="391" t="s">
        <v>2195</v>
      </c>
    </row>
    <row r="2342" ht="15.75" customHeight="1">
      <c r="B2342" s="391" t="s">
        <v>9576</v>
      </c>
      <c r="C2342" s="391" t="s">
        <v>9577</v>
      </c>
      <c r="D2342" s="391" t="s">
        <v>2195</v>
      </c>
    </row>
    <row r="2343" ht="15.75" customHeight="1">
      <c r="B2343" s="391" t="s">
        <v>406</v>
      </c>
      <c r="C2343" s="391" t="s">
        <v>9578</v>
      </c>
      <c r="D2343" s="391" t="s">
        <v>2195</v>
      </c>
    </row>
    <row r="2344" ht="15.75" customHeight="1">
      <c r="B2344" s="391" t="s">
        <v>9579</v>
      </c>
      <c r="C2344" s="391" t="s">
        <v>9580</v>
      </c>
      <c r="D2344" s="391" t="s">
        <v>2195</v>
      </c>
    </row>
    <row r="2345" ht="15.75" customHeight="1">
      <c r="B2345" s="391" t="s">
        <v>9581</v>
      </c>
      <c r="C2345" s="391" t="s">
        <v>9580</v>
      </c>
      <c r="D2345" s="391" t="s">
        <v>2195</v>
      </c>
    </row>
    <row r="2346" ht="15.75" customHeight="1">
      <c r="B2346" s="391" t="s">
        <v>9582</v>
      </c>
      <c r="C2346" s="391" t="s">
        <v>9580</v>
      </c>
      <c r="D2346" s="391" t="s">
        <v>2195</v>
      </c>
    </row>
    <row r="2347" ht="15.75" customHeight="1">
      <c r="B2347" s="391" t="s">
        <v>9583</v>
      </c>
      <c r="C2347" s="391" t="s">
        <v>9580</v>
      </c>
      <c r="D2347" s="391" t="s">
        <v>2195</v>
      </c>
    </row>
    <row r="2348" ht="15.75" customHeight="1">
      <c r="B2348" s="391" t="s">
        <v>9584</v>
      </c>
      <c r="C2348" s="391" t="s">
        <v>9580</v>
      </c>
      <c r="D2348" s="391" t="s">
        <v>2195</v>
      </c>
    </row>
    <row r="2349" ht="15.75" customHeight="1">
      <c r="B2349" s="391" t="s">
        <v>9585</v>
      </c>
      <c r="C2349" s="391" t="s">
        <v>9580</v>
      </c>
      <c r="D2349" s="391" t="s">
        <v>2195</v>
      </c>
    </row>
    <row r="2350" ht="15.75" customHeight="1">
      <c r="B2350" s="391" t="s">
        <v>9586</v>
      </c>
      <c r="C2350" s="391" t="s">
        <v>9587</v>
      </c>
      <c r="D2350" s="391" t="s">
        <v>2195</v>
      </c>
    </row>
    <row r="2351" ht="15.75" customHeight="1">
      <c r="B2351" s="391" t="s">
        <v>408</v>
      </c>
      <c r="C2351" s="391" t="s">
        <v>9587</v>
      </c>
      <c r="D2351" s="391" t="s">
        <v>2166</v>
      </c>
    </row>
    <row r="2352" ht="15.75" customHeight="1">
      <c r="B2352" s="391" t="s">
        <v>9588</v>
      </c>
      <c r="C2352" s="391" t="s">
        <v>9587</v>
      </c>
      <c r="D2352" s="391" t="s">
        <v>2195</v>
      </c>
    </row>
    <row r="2353" ht="15.75" customHeight="1">
      <c r="B2353" s="391" t="s">
        <v>9589</v>
      </c>
      <c r="C2353" s="391" t="s">
        <v>9587</v>
      </c>
      <c r="D2353" s="391" t="s">
        <v>2195</v>
      </c>
    </row>
    <row r="2354" ht="15.75" customHeight="1">
      <c r="B2354" s="391" t="s">
        <v>416</v>
      </c>
      <c r="C2354" s="391" t="s">
        <v>9587</v>
      </c>
      <c r="D2354" s="391" t="s">
        <v>2232</v>
      </c>
    </row>
    <row r="2355" ht="15.75" customHeight="1">
      <c r="B2355" s="391" t="s">
        <v>9590</v>
      </c>
      <c r="C2355" s="391" t="s">
        <v>9587</v>
      </c>
      <c r="D2355" s="391" t="s">
        <v>2232</v>
      </c>
    </row>
    <row r="2356" ht="15.75" customHeight="1">
      <c r="B2356" s="391" t="s">
        <v>417</v>
      </c>
      <c r="C2356" s="391" t="s">
        <v>9587</v>
      </c>
      <c r="D2356" s="391" t="s">
        <v>2195</v>
      </c>
    </row>
    <row r="2357" ht="15.75" customHeight="1">
      <c r="B2357" s="391" t="s">
        <v>9591</v>
      </c>
      <c r="C2357" s="391" t="s">
        <v>9587</v>
      </c>
      <c r="D2357" s="391" t="s">
        <v>2195</v>
      </c>
    </row>
    <row r="2358" ht="15.75" customHeight="1">
      <c r="B2358" s="391" t="s">
        <v>9592</v>
      </c>
      <c r="C2358" s="391" t="s">
        <v>9587</v>
      </c>
      <c r="D2358" s="391" t="s">
        <v>2195</v>
      </c>
    </row>
    <row r="2359" ht="15.75" customHeight="1">
      <c r="B2359" s="391" t="s">
        <v>9593</v>
      </c>
      <c r="C2359" s="391" t="s">
        <v>9587</v>
      </c>
      <c r="D2359" s="391" t="s">
        <v>2195</v>
      </c>
    </row>
    <row r="2360" ht="15.75" customHeight="1">
      <c r="B2360" s="391" t="s">
        <v>426</v>
      </c>
      <c r="C2360" s="391" t="s">
        <v>9587</v>
      </c>
      <c r="D2360" s="391" t="s">
        <v>2195</v>
      </c>
    </row>
    <row r="2361" ht="15.75" customHeight="1">
      <c r="B2361" s="391" t="s">
        <v>9594</v>
      </c>
      <c r="C2361" s="391" t="s">
        <v>9587</v>
      </c>
      <c r="D2361" s="391" t="s">
        <v>2232</v>
      </c>
    </row>
    <row r="2362" ht="15.75" customHeight="1">
      <c r="B2362" s="391" t="s">
        <v>9595</v>
      </c>
      <c r="C2362" s="391" t="s">
        <v>9587</v>
      </c>
      <c r="D2362" s="391" t="s">
        <v>2195</v>
      </c>
    </row>
    <row r="2363" ht="15.75" customHeight="1">
      <c r="B2363" s="391" t="s">
        <v>414</v>
      </c>
      <c r="C2363" s="391" t="s">
        <v>9596</v>
      </c>
      <c r="D2363" s="391" t="s">
        <v>2195</v>
      </c>
    </row>
    <row r="2364" ht="15.75" customHeight="1">
      <c r="B2364" s="391" t="s">
        <v>419</v>
      </c>
      <c r="C2364" s="391" t="s">
        <v>9597</v>
      </c>
      <c r="D2364" s="391" t="s">
        <v>2195</v>
      </c>
    </row>
    <row r="2365" ht="15.75" customHeight="1">
      <c r="B2365" s="391" t="s">
        <v>767</v>
      </c>
      <c r="C2365" s="391" t="s">
        <v>9598</v>
      </c>
      <c r="D2365" s="391" t="s">
        <v>2232</v>
      </c>
    </row>
    <row r="2366" ht="15.75" customHeight="1">
      <c r="B2366" s="391" t="s">
        <v>1621</v>
      </c>
      <c r="C2366" s="391" t="s">
        <v>9598</v>
      </c>
      <c r="D2366" s="391" t="s">
        <v>2166</v>
      </c>
    </row>
    <row r="2367" ht="15.75" customHeight="1">
      <c r="B2367" s="391" t="s">
        <v>9599</v>
      </c>
      <c r="C2367" s="391" t="s">
        <v>9598</v>
      </c>
      <c r="D2367" s="391" t="s">
        <v>2166</v>
      </c>
    </row>
    <row r="2368" ht="15.75" customHeight="1">
      <c r="B2368" s="391" t="s">
        <v>9600</v>
      </c>
      <c r="C2368" s="391" t="s">
        <v>9598</v>
      </c>
      <c r="D2368" s="391" t="s">
        <v>2195</v>
      </c>
    </row>
    <row r="2369" ht="15.75" customHeight="1">
      <c r="B2369" s="391" t="s">
        <v>9601</v>
      </c>
      <c r="C2369" s="391" t="s">
        <v>9598</v>
      </c>
      <c r="D2369" s="391" t="s">
        <v>2232</v>
      </c>
    </row>
    <row r="2370" ht="15.75" customHeight="1">
      <c r="B2370" s="391" t="s">
        <v>9602</v>
      </c>
      <c r="C2370" s="391" t="s">
        <v>9598</v>
      </c>
      <c r="D2370" s="391" t="s">
        <v>2195</v>
      </c>
    </row>
    <row r="2371" ht="15.75" customHeight="1">
      <c r="B2371" s="391" t="s">
        <v>9603</v>
      </c>
      <c r="C2371" s="391" t="s">
        <v>9598</v>
      </c>
      <c r="D2371" s="391" t="s">
        <v>2232</v>
      </c>
    </row>
    <row r="2372" ht="15.75" customHeight="1">
      <c r="B2372" s="391" t="s">
        <v>9604</v>
      </c>
      <c r="C2372" s="391" t="s">
        <v>9598</v>
      </c>
      <c r="D2372" s="391" t="s">
        <v>2232</v>
      </c>
    </row>
    <row r="2373" ht="15.75" customHeight="1">
      <c r="B2373" s="391" t="s">
        <v>9605</v>
      </c>
      <c r="C2373" s="391" t="s">
        <v>9598</v>
      </c>
      <c r="D2373" s="391" t="s">
        <v>2195</v>
      </c>
    </row>
    <row r="2374" ht="15.75" customHeight="1">
      <c r="B2374" s="391" t="s">
        <v>9606</v>
      </c>
      <c r="C2374" s="391" t="s">
        <v>9598</v>
      </c>
      <c r="D2374" s="391" t="s">
        <v>2195</v>
      </c>
    </row>
    <row r="2375" ht="15.75" customHeight="1">
      <c r="B2375" s="391" t="s">
        <v>9607</v>
      </c>
      <c r="C2375" s="391" t="s">
        <v>9598</v>
      </c>
      <c r="D2375" s="391" t="s">
        <v>2166</v>
      </c>
    </row>
    <row r="2376" ht="15.75" customHeight="1">
      <c r="B2376" s="391" t="s">
        <v>9608</v>
      </c>
      <c r="C2376" s="391" t="s">
        <v>9598</v>
      </c>
      <c r="D2376" s="391" t="s">
        <v>2195</v>
      </c>
    </row>
    <row r="2377" ht="15.75" customHeight="1">
      <c r="B2377" s="391" t="s">
        <v>9609</v>
      </c>
      <c r="C2377" s="391" t="s">
        <v>9598</v>
      </c>
      <c r="D2377" s="391" t="s">
        <v>2195</v>
      </c>
    </row>
    <row r="2378" ht="15.75" customHeight="1">
      <c r="B2378" s="391" t="s">
        <v>771</v>
      </c>
      <c r="C2378" s="391" t="s">
        <v>9598</v>
      </c>
      <c r="D2378" s="391" t="s">
        <v>2195</v>
      </c>
    </row>
    <row r="2379" ht="15.75" customHeight="1">
      <c r="B2379" s="391" t="s">
        <v>1617</v>
      </c>
      <c r="C2379" s="391" t="s">
        <v>9598</v>
      </c>
      <c r="D2379" s="391" t="s">
        <v>2166</v>
      </c>
    </row>
    <row r="2380" ht="15.75" customHeight="1">
      <c r="B2380" s="391" t="s">
        <v>9610</v>
      </c>
      <c r="C2380" s="391" t="s">
        <v>9598</v>
      </c>
      <c r="D2380" s="391" t="s">
        <v>2232</v>
      </c>
    </row>
    <row r="2381" ht="15.75" customHeight="1">
      <c r="B2381" s="391" t="s">
        <v>9611</v>
      </c>
      <c r="C2381" s="391" t="s">
        <v>9598</v>
      </c>
      <c r="D2381" s="391" t="s">
        <v>2195</v>
      </c>
    </row>
    <row r="2382" ht="15.75" customHeight="1">
      <c r="B2382" s="391" t="s">
        <v>9612</v>
      </c>
      <c r="C2382" s="391" t="s">
        <v>9598</v>
      </c>
      <c r="D2382" s="391" t="s">
        <v>2195</v>
      </c>
    </row>
    <row r="2383" ht="15.75" customHeight="1">
      <c r="B2383" s="391" t="s">
        <v>9613</v>
      </c>
      <c r="C2383" s="391" t="s">
        <v>9598</v>
      </c>
      <c r="D2383" s="391" t="s">
        <v>2195</v>
      </c>
    </row>
    <row r="2384" ht="15.75" customHeight="1">
      <c r="B2384" s="391" t="s">
        <v>424</v>
      </c>
      <c r="C2384" s="391" t="s">
        <v>9598</v>
      </c>
      <c r="D2384" s="391" t="s">
        <v>2195</v>
      </c>
    </row>
    <row r="2385" ht="15.75" customHeight="1">
      <c r="B2385" s="391" t="s">
        <v>9614</v>
      </c>
      <c r="C2385" s="391" t="s">
        <v>9598</v>
      </c>
      <c r="D2385" s="391" t="s">
        <v>2195</v>
      </c>
    </row>
    <row r="2386" ht="15.75" customHeight="1">
      <c r="B2386" s="391" t="s">
        <v>751</v>
      </c>
      <c r="C2386" s="391" t="s">
        <v>9598</v>
      </c>
      <c r="D2386" s="391" t="s">
        <v>2232</v>
      </c>
    </row>
    <row r="2387" ht="15.75" customHeight="1">
      <c r="B2387" s="391" t="s">
        <v>9615</v>
      </c>
      <c r="C2387" s="391" t="s">
        <v>9598</v>
      </c>
      <c r="D2387" s="391" t="s">
        <v>2195</v>
      </c>
    </row>
    <row r="2388" ht="15.75" customHeight="1">
      <c r="B2388" s="391" t="s">
        <v>1318</v>
      </c>
      <c r="C2388" s="391" t="s">
        <v>9598</v>
      </c>
      <c r="D2388" s="391" t="s">
        <v>2166</v>
      </c>
    </row>
    <row r="2389" ht="15.75" customHeight="1">
      <c r="B2389" s="391" t="s">
        <v>9616</v>
      </c>
      <c r="C2389" s="391" t="s">
        <v>9598</v>
      </c>
      <c r="D2389" s="391" t="s">
        <v>2195</v>
      </c>
    </row>
    <row r="2390" ht="15.75" customHeight="1">
      <c r="B2390" s="391" t="s">
        <v>9617</v>
      </c>
      <c r="C2390" s="391" t="s">
        <v>9598</v>
      </c>
      <c r="D2390" s="391" t="s">
        <v>2195</v>
      </c>
    </row>
    <row r="2391" ht="15.75" customHeight="1">
      <c r="B2391" s="391" t="s">
        <v>9618</v>
      </c>
      <c r="C2391" s="391" t="s">
        <v>9598</v>
      </c>
      <c r="D2391" s="391" t="s">
        <v>2232</v>
      </c>
    </row>
    <row r="2392" ht="15.75" customHeight="1">
      <c r="B2392" s="391" t="s">
        <v>9619</v>
      </c>
      <c r="C2392" s="391" t="s">
        <v>9598</v>
      </c>
      <c r="D2392" s="391" t="s">
        <v>2232</v>
      </c>
    </row>
    <row r="2393" ht="15.75" customHeight="1">
      <c r="B2393" s="391" t="s">
        <v>465</v>
      </c>
      <c r="C2393" s="391" t="s">
        <v>9598</v>
      </c>
      <c r="D2393" s="391" t="s">
        <v>2232</v>
      </c>
    </row>
    <row r="2394" ht="15.75" customHeight="1">
      <c r="B2394" s="391" t="s">
        <v>9620</v>
      </c>
      <c r="C2394" s="391" t="s">
        <v>9598</v>
      </c>
      <c r="D2394" s="391" t="s">
        <v>2195</v>
      </c>
    </row>
    <row r="2395" ht="15.75" customHeight="1">
      <c r="B2395" s="391" t="s">
        <v>9621</v>
      </c>
      <c r="C2395" s="391" t="s">
        <v>9598</v>
      </c>
      <c r="D2395" s="391" t="s">
        <v>2232</v>
      </c>
    </row>
    <row r="2396" ht="15.75" customHeight="1">
      <c r="B2396" s="391" t="s">
        <v>9622</v>
      </c>
      <c r="C2396" s="391" t="s">
        <v>9623</v>
      </c>
      <c r="D2396" s="391" t="s">
        <v>2195</v>
      </c>
    </row>
    <row r="2397" ht="15.75" customHeight="1">
      <c r="B2397" s="391" t="s">
        <v>9624</v>
      </c>
      <c r="C2397" s="391" t="s">
        <v>9625</v>
      </c>
      <c r="D2397" s="391" t="s">
        <v>2195</v>
      </c>
    </row>
    <row r="2398" ht="15.75" customHeight="1">
      <c r="B2398" s="391" t="s">
        <v>9626</v>
      </c>
      <c r="C2398" s="391" t="s">
        <v>9625</v>
      </c>
      <c r="D2398" s="391" t="s">
        <v>2195</v>
      </c>
    </row>
    <row r="2399" ht="15.75" customHeight="1">
      <c r="B2399" s="391" t="s">
        <v>9627</v>
      </c>
      <c r="C2399" s="391" t="s">
        <v>9628</v>
      </c>
      <c r="D2399" s="391" t="s">
        <v>2195</v>
      </c>
    </row>
    <row r="2400" ht="15.75" customHeight="1">
      <c r="B2400" s="391" t="s">
        <v>9629</v>
      </c>
      <c r="C2400" s="391" t="s">
        <v>9628</v>
      </c>
      <c r="D2400" s="391" t="s">
        <v>2232</v>
      </c>
    </row>
    <row r="2401" ht="15.75" customHeight="1">
      <c r="B2401" s="391" t="s">
        <v>719</v>
      </c>
      <c r="C2401" s="391" t="s">
        <v>9630</v>
      </c>
      <c r="D2401" s="391" t="s">
        <v>2195</v>
      </c>
    </row>
    <row r="2402" ht="15.75" customHeight="1">
      <c r="B2402" s="391" t="s">
        <v>723</v>
      </c>
      <c r="C2402" s="391" t="s">
        <v>9631</v>
      </c>
      <c r="D2402" s="391" t="s">
        <v>2232</v>
      </c>
    </row>
    <row r="2403" ht="15.75" customHeight="1">
      <c r="B2403" s="391" t="s">
        <v>9632</v>
      </c>
      <c r="C2403" s="391" t="s">
        <v>9633</v>
      </c>
      <c r="D2403" s="391" t="s">
        <v>2166</v>
      </c>
    </row>
    <row r="2404" ht="15.75" customHeight="1">
      <c r="B2404" s="391" t="s">
        <v>1077</v>
      </c>
      <c r="C2404" s="391" t="s">
        <v>9634</v>
      </c>
      <c r="D2404" s="391" t="s">
        <v>2232</v>
      </c>
    </row>
    <row r="2405" ht="15.75" customHeight="1">
      <c r="B2405" s="391" t="s">
        <v>1081</v>
      </c>
      <c r="C2405" s="391" t="s">
        <v>9634</v>
      </c>
      <c r="D2405" s="391" t="s">
        <v>2166</v>
      </c>
    </row>
    <row r="2406" ht="15.75" customHeight="1">
      <c r="B2406" s="391" t="s">
        <v>1095</v>
      </c>
      <c r="C2406" s="391" t="s">
        <v>9634</v>
      </c>
      <c r="D2406" s="391" t="s">
        <v>2195</v>
      </c>
    </row>
    <row r="2407" ht="15.75" customHeight="1">
      <c r="B2407" s="391" t="s">
        <v>1087</v>
      </c>
      <c r="C2407" s="391" t="s">
        <v>9635</v>
      </c>
      <c r="D2407" s="391" t="s">
        <v>2232</v>
      </c>
    </row>
    <row r="2408" ht="15.75" customHeight="1">
      <c r="B2408" s="391" t="s">
        <v>901</v>
      </c>
      <c r="C2408" s="391" t="s">
        <v>9636</v>
      </c>
      <c r="D2408" s="391" t="s">
        <v>2232</v>
      </c>
    </row>
    <row r="2409" ht="15.75" customHeight="1">
      <c r="B2409" s="391" t="s">
        <v>903</v>
      </c>
      <c r="C2409" s="391" t="s">
        <v>9636</v>
      </c>
      <c r="D2409" s="391" t="s">
        <v>2166</v>
      </c>
    </row>
    <row r="2410" ht="15.75" customHeight="1">
      <c r="B2410" s="391" t="s">
        <v>9637</v>
      </c>
      <c r="C2410" s="391" t="s">
        <v>9638</v>
      </c>
      <c r="D2410" s="391" t="s">
        <v>2166</v>
      </c>
    </row>
    <row r="2411" ht="15.75" customHeight="1">
      <c r="B2411" s="391" t="s">
        <v>9639</v>
      </c>
      <c r="C2411" s="391" t="s">
        <v>9640</v>
      </c>
      <c r="D2411" s="391" t="s">
        <v>2195</v>
      </c>
    </row>
    <row r="2412" ht="15.75" customHeight="1">
      <c r="B2412" s="391" t="s">
        <v>9641</v>
      </c>
      <c r="C2412" s="391" t="s">
        <v>9640</v>
      </c>
      <c r="D2412" s="391" t="s">
        <v>2195</v>
      </c>
    </row>
    <row r="2413" ht="15.75" customHeight="1">
      <c r="B2413" s="391" t="s">
        <v>9642</v>
      </c>
      <c r="C2413" s="391" t="s">
        <v>9643</v>
      </c>
      <c r="D2413" s="391" t="s">
        <v>2195</v>
      </c>
    </row>
    <row r="2414" ht="15.75" customHeight="1">
      <c r="B2414" s="391" t="s">
        <v>9644</v>
      </c>
      <c r="C2414" s="391" t="s">
        <v>9644</v>
      </c>
      <c r="D2414" s="391" t="s">
        <v>2195</v>
      </c>
    </row>
    <row r="2415" ht="15.75" customHeight="1">
      <c r="B2415" s="391" t="s">
        <v>9645</v>
      </c>
      <c r="C2415" s="391" t="s">
        <v>9646</v>
      </c>
      <c r="D2415" s="391" t="s">
        <v>2195</v>
      </c>
    </row>
    <row r="2416" ht="15.75" customHeight="1">
      <c r="B2416" s="391" t="s">
        <v>9647</v>
      </c>
      <c r="C2416" s="391" t="s">
        <v>9648</v>
      </c>
      <c r="D2416" s="391" t="s">
        <v>2195</v>
      </c>
    </row>
    <row r="2417" ht="15.75" customHeight="1">
      <c r="B2417" s="391" t="s">
        <v>9649</v>
      </c>
      <c r="C2417" s="391" t="s">
        <v>9650</v>
      </c>
      <c r="D2417" s="391" t="s">
        <v>2232</v>
      </c>
    </row>
    <row r="2418" ht="15.75" customHeight="1">
      <c r="B2418" s="391" t="s">
        <v>9651</v>
      </c>
      <c r="C2418" s="391" t="s">
        <v>9652</v>
      </c>
      <c r="D2418" s="391" t="s">
        <v>2195</v>
      </c>
    </row>
    <row r="2419" ht="15.75" customHeight="1">
      <c r="B2419" s="391" t="s">
        <v>9653</v>
      </c>
      <c r="C2419" s="391" t="s">
        <v>9654</v>
      </c>
      <c r="D2419" s="391" t="s">
        <v>2195</v>
      </c>
    </row>
    <row r="2420" ht="15.75" customHeight="1">
      <c r="B2420" s="391" t="s">
        <v>9655</v>
      </c>
      <c r="C2420" s="391" t="s">
        <v>9656</v>
      </c>
      <c r="D2420" s="391" t="s">
        <v>2195</v>
      </c>
    </row>
    <row r="2421" ht="15.75" customHeight="1">
      <c r="B2421" s="391" t="s">
        <v>9657</v>
      </c>
      <c r="C2421" s="391" t="s">
        <v>9658</v>
      </c>
      <c r="D2421" s="391" t="s">
        <v>2195</v>
      </c>
    </row>
    <row r="2422" ht="15.75" customHeight="1">
      <c r="B2422" s="391" t="s">
        <v>9659</v>
      </c>
      <c r="C2422" s="391" t="s">
        <v>9660</v>
      </c>
      <c r="D2422" s="391" t="s">
        <v>2195</v>
      </c>
    </row>
    <row r="2423" ht="15.75" customHeight="1">
      <c r="B2423" s="391" t="s">
        <v>9661</v>
      </c>
      <c r="C2423" s="391" t="s">
        <v>9660</v>
      </c>
      <c r="D2423" s="391" t="s">
        <v>2195</v>
      </c>
    </row>
    <row r="2424" ht="15.75" customHeight="1">
      <c r="B2424" s="391" t="s">
        <v>9662</v>
      </c>
      <c r="C2424" s="391" t="s">
        <v>9663</v>
      </c>
      <c r="D2424" s="391" t="s">
        <v>2232</v>
      </c>
    </row>
    <row r="2425" ht="15.75" customHeight="1">
      <c r="B2425" s="391" t="s">
        <v>9664</v>
      </c>
      <c r="C2425" s="391" t="s">
        <v>9665</v>
      </c>
      <c r="D2425" s="391" t="s">
        <v>2195</v>
      </c>
    </row>
    <row r="2426" ht="15.75" customHeight="1">
      <c r="B2426" s="391" t="s">
        <v>9666</v>
      </c>
      <c r="C2426" s="391" t="s">
        <v>9667</v>
      </c>
      <c r="D2426" s="391" t="s">
        <v>2195</v>
      </c>
    </row>
    <row r="2427" ht="15.75" customHeight="1">
      <c r="B2427" s="391" t="s">
        <v>9668</v>
      </c>
      <c r="C2427" s="391" t="s">
        <v>9669</v>
      </c>
      <c r="D2427" s="391" t="s">
        <v>2195</v>
      </c>
    </row>
    <row r="2428" ht="15.75" customHeight="1">
      <c r="B2428" s="391" t="s">
        <v>9670</v>
      </c>
      <c r="C2428" s="391" t="s">
        <v>9671</v>
      </c>
      <c r="D2428" s="391" t="s">
        <v>2195</v>
      </c>
    </row>
    <row r="2429" ht="15.75" customHeight="1">
      <c r="B2429" s="391" t="s">
        <v>9672</v>
      </c>
      <c r="C2429" s="391" t="s">
        <v>9673</v>
      </c>
      <c r="D2429" s="391" t="s">
        <v>2195</v>
      </c>
    </row>
    <row r="2430" ht="15.75" customHeight="1">
      <c r="B2430" s="391" t="s">
        <v>9674</v>
      </c>
      <c r="C2430" s="391" t="s">
        <v>9675</v>
      </c>
      <c r="D2430" s="391" t="s">
        <v>2195</v>
      </c>
    </row>
    <row r="2431" ht="15.75" customHeight="1">
      <c r="B2431" s="391" t="s">
        <v>9676</v>
      </c>
      <c r="C2431" s="391" t="s">
        <v>9677</v>
      </c>
      <c r="D2431" s="391" t="s">
        <v>2232</v>
      </c>
    </row>
    <row r="2432" ht="15.75" customHeight="1">
      <c r="B2432" s="391" t="s">
        <v>9678</v>
      </c>
      <c r="C2432" s="391" t="s">
        <v>9679</v>
      </c>
      <c r="D2432" s="391" t="s">
        <v>2195</v>
      </c>
    </row>
    <row r="2433" ht="15.75" customHeight="1">
      <c r="B2433" s="391" t="s">
        <v>9680</v>
      </c>
      <c r="C2433" s="391" t="s">
        <v>9681</v>
      </c>
      <c r="D2433" s="391" t="s">
        <v>2195</v>
      </c>
    </row>
    <row r="2434" ht="15.75" customHeight="1">
      <c r="B2434" s="391" t="s">
        <v>9682</v>
      </c>
      <c r="C2434" s="391" t="s">
        <v>9681</v>
      </c>
      <c r="D2434" s="391" t="s">
        <v>2195</v>
      </c>
    </row>
    <row r="2435" ht="15.75" customHeight="1">
      <c r="B2435" s="391" t="s">
        <v>9683</v>
      </c>
      <c r="C2435" s="391" t="s">
        <v>9684</v>
      </c>
      <c r="D2435" s="391" t="s">
        <v>2195</v>
      </c>
    </row>
    <row r="2436" ht="15.75" customHeight="1">
      <c r="B2436" s="391" t="s">
        <v>9685</v>
      </c>
      <c r="C2436" s="391" t="s">
        <v>9686</v>
      </c>
      <c r="D2436" s="391" t="s">
        <v>2195</v>
      </c>
    </row>
    <row r="2437" ht="15.75" customHeight="1">
      <c r="B2437" s="391" t="s">
        <v>9687</v>
      </c>
      <c r="C2437" s="391" t="s">
        <v>9688</v>
      </c>
      <c r="D2437" s="391" t="s">
        <v>2195</v>
      </c>
    </row>
    <row r="2438" ht="15.75" customHeight="1">
      <c r="B2438" s="391" t="s">
        <v>9689</v>
      </c>
      <c r="C2438" s="391" t="s">
        <v>9690</v>
      </c>
      <c r="D2438" s="391" t="s">
        <v>2195</v>
      </c>
    </row>
    <row r="2439" ht="15.75" customHeight="1">
      <c r="B2439" s="391" t="s">
        <v>9691</v>
      </c>
      <c r="C2439" s="391" t="s">
        <v>9692</v>
      </c>
      <c r="D2439" s="391" t="s">
        <v>2195</v>
      </c>
    </row>
    <row r="2440" ht="15.75" customHeight="1">
      <c r="B2440" s="391" t="s">
        <v>9693</v>
      </c>
      <c r="C2440" s="391" t="s">
        <v>9694</v>
      </c>
      <c r="D2440" s="391" t="s">
        <v>2232</v>
      </c>
    </row>
    <row r="2441" ht="15.75" customHeight="1">
      <c r="B2441" s="391" t="s">
        <v>9695</v>
      </c>
      <c r="C2441" s="391" t="s">
        <v>9694</v>
      </c>
      <c r="D2441" s="391" t="s">
        <v>2232</v>
      </c>
    </row>
    <row r="2442" ht="15.75" customHeight="1">
      <c r="B2442" s="391" t="s">
        <v>9696</v>
      </c>
      <c r="C2442" s="391" t="s">
        <v>9694</v>
      </c>
      <c r="D2442" s="391" t="s">
        <v>2232</v>
      </c>
    </row>
    <row r="2443" ht="15.75" customHeight="1">
      <c r="B2443" s="391" t="s">
        <v>9697</v>
      </c>
      <c r="C2443" s="391" t="s">
        <v>9698</v>
      </c>
      <c r="D2443" s="391" t="s">
        <v>2232</v>
      </c>
    </row>
    <row r="2444" ht="15.75" customHeight="1">
      <c r="B2444" s="391" t="s">
        <v>9699</v>
      </c>
      <c r="C2444" s="391" t="s">
        <v>9700</v>
      </c>
      <c r="D2444" s="391" t="s">
        <v>2195</v>
      </c>
    </row>
    <row r="2445" ht="15.75" customHeight="1">
      <c r="B2445" s="391" t="s">
        <v>9701</v>
      </c>
      <c r="C2445" s="391" t="s">
        <v>9702</v>
      </c>
      <c r="D2445" s="391" t="s">
        <v>2195</v>
      </c>
    </row>
    <row r="2446" ht="15.75" customHeight="1">
      <c r="B2446" s="391" t="s">
        <v>9703</v>
      </c>
      <c r="C2446" s="391" t="s">
        <v>9704</v>
      </c>
      <c r="D2446" s="391" t="s">
        <v>2232</v>
      </c>
    </row>
    <row r="2447" ht="15.75" customHeight="1">
      <c r="B2447" s="391" t="s">
        <v>6913</v>
      </c>
      <c r="C2447" s="391" t="s">
        <v>9705</v>
      </c>
      <c r="D2447" s="391" t="s">
        <v>2232</v>
      </c>
    </row>
    <row r="2448" ht="15.75" customHeight="1">
      <c r="B2448" s="391" t="s">
        <v>9706</v>
      </c>
      <c r="C2448" s="391" t="s">
        <v>9707</v>
      </c>
      <c r="D2448" s="391" t="s">
        <v>2195</v>
      </c>
    </row>
    <row r="2449" ht="15.75" customHeight="1">
      <c r="B2449" s="391" t="s">
        <v>9708</v>
      </c>
      <c r="C2449" s="391" t="s">
        <v>9709</v>
      </c>
      <c r="D2449" s="391" t="s">
        <v>2195</v>
      </c>
    </row>
    <row r="2450" ht="15.75" customHeight="1">
      <c r="B2450" s="391" t="s">
        <v>9710</v>
      </c>
      <c r="C2450" s="391" t="s">
        <v>9711</v>
      </c>
      <c r="D2450" s="391" t="s">
        <v>2195</v>
      </c>
    </row>
    <row r="2451" ht="15.75" customHeight="1">
      <c r="B2451" s="391" t="s">
        <v>9712</v>
      </c>
      <c r="C2451" s="391" t="s">
        <v>9713</v>
      </c>
      <c r="D2451" s="391" t="s">
        <v>2195</v>
      </c>
    </row>
    <row r="2452" ht="15.75" customHeight="1">
      <c r="B2452" s="391" t="s">
        <v>9714</v>
      </c>
      <c r="C2452" s="391" t="s">
        <v>9715</v>
      </c>
      <c r="D2452" s="391" t="s">
        <v>2195</v>
      </c>
    </row>
    <row r="2453" ht="15.75" customHeight="1">
      <c r="B2453" s="391" t="s">
        <v>4232</v>
      </c>
      <c r="C2453" s="391" t="s">
        <v>9716</v>
      </c>
      <c r="D2453" s="391" t="s">
        <v>2232</v>
      </c>
    </row>
    <row r="2454" ht="15.75" customHeight="1">
      <c r="B2454" s="391" t="s">
        <v>4228</v>
      </c>
      <c r="C2454" s="391" t="s">
        <v>9716</v>
      </c>
      <c r="D2454" s="391" t="s">
        <v>2232</v>
      </c>
    </row>
    <row r="2455" ht="15.75" customHeight="1">
      <c r="B2455" s="391" t="s">
        <v>4147</v>
      </c>
      <c r="C2455" s="391" t="s">
        <v>9717</v>
      </c>
      <c r="D2455" s="391" t="s">
        <v>2195</v>
      </c>
    </row>
    <row r="2456" ht="15.75" customHeight="1">
      <c r="B2456" s="391" t="s">
        <v>4143</v>
      </c>
      <c r="C2456" s="391" t="s">
        <v>9717</v>
      </c>
      <c r="D2456" s="391" t="s">
        <v>2166</v>
      </c>
    </row>
    <row r="2457" ht="15.75" customHeight="1">
      <c r="B2457" s="391" t="s">
        <v>9718</v>
      </c>
      <c r="C2457" s="391" t="s">
        <v>9719</v>
      </c>
      <c r="D2457" s="391" t="s">
        <v>2195</v>
      </c>
    </row>
    <row r="2458" ht="15.75" customHeight="1">
      <c r="B2458" s="391" t="s">
        <v>9720</v>
      </c>
      <c r="C2458" s="391" t="s">
        <v>9719</v>
      </c>
      <c r="D2458" s="391" t="s">
        <v>2195</v>
      </c>
    </row>
    <row r="2459" ht="15.75" customHeight="1">
      <c r="B2459" s="391" t="s">
        <v>9721</v>
      </c>
      <c r="C2459" s="391" t="s">
        <v>9719</v>
      </c>
      <c r="D2459" s="391" t="s">
        <v>2195</v>
      </c>
    </row>
    <row r="2460" ht="15.75" customHeight="1">
      <c r="B2460" s="391" t="s">
        <v>4211</v>
      </c>
      <c r="C2460" s="391" t="s">
        <v>9722</v>
      </c>
      <c r="D2460" s="391" t="s">
        <v>2232</v>
      </c>
    </row>
    <row r="2461" ht="15.75" customHeight="1">
      <c r="B2461" s="391" t="s">
        <v>4215</v>
      </c>
      <c r="C2461" s="391" t="s">
        <v>9723</v>
      </c>
      <c r="D2461" s="391" t="s">
        <v>2166</v>
      </c>
    </row>
    <row r="2462" ht="15.75" customHeight="1">
      <c r="B2462" s="391" t="s">
        <v>4219</v>
      </c>
      <c r="C2462" s="391" t="s">
        <v>9723</v>
      </c>
      <c r="D2462" s="391" t="s">
        <v>2166</v>
      </c>
    </row>
    <row r="2463" ht="15.75" customHeight="1">
      <c r="B2463" s="391" t="s">
        <v>9724</v>
      </c>
      <c r="C2463" s="391" t="s">
        <v>9725</v>
      </c>
      <c r="D2463" s="391" t="s">
        <v>2232</v>
      </c>
    </row>
    <row r="2464" ht="15.75" customHeight="1">
      <c r="B2464" s="391" t="s">
        <v>9726</v>
      </c>
      <c r="C2464" s="391" t="s">
        <v>9727</v>
      </c>
      <c r="D2464" s="391" t="s">
        <v>2232</v>
      </c>
    </row>
    <row r="2465" ht="15.75" customHeight="1">
      <c r="B2465" s="391" t="s">
        <v>9728</v>
      </c>
      <c r="C2465" s="391" t="s">
        <v>9729</v>
      </c>
      <c r="D2465" s="391" t="s">
        <v>2232</v>
      </c>
    </row>
    <row r="2466" ht="15.75" customHeight="1">
      <c r="B2466" s="391" t="s">
        <v>4154</v>
      </c>
      <c r="C2466" s="391" t="s">
        <v>9730</v>
      </c>
      <c r="D2466" s="391" t="s">
        <v>2195</v>
      </c>
    </row>
    <row r="2467" ht="15.75" customHeight="1">
      <c r="B2467" s="391" t="s">
        <v>9731</v>
      </c>
      <c r="C2467" s="391" t="s">
        <v>9732</v>
      </c>
      <c r="D2467" s="391" t="s">
        <v>2195</v>
      </c>
    </row>
    <row r="2468" ht="15.75" customHeight="1">
      <c r="B2468" s="391" t="s">
        <v>9733</v>
      </c>
      <c r="C2468" s="391" t="s">
        <v>9732</v>
      </c>
      <c r="D2468" s="391" t="s">
        <v>2195</v>
      </c>
    </row>
    <row r="2469" ht="15.75" customHeight="1">
      <c r="B2469" s="391" t="s">
        <v>9734</v>
      </c>
      <c r="C2469" s="391" t="s">
        <v>9732</v>
      </c>
      <c r="D2469" s="391" t="s">
        <v>2195</v>
      </c>
    </row>
    <row r="2470" ht="15.75" customHeight="1">
      <c r="B2470" s="391" t="s">
        <v>9735</v>
      </c>
      <c r="C2470" s="391" t="s">
        <v>9732</v>
      </c>
      <c r="D2470" s="391" t="s">
        <v>2195</v>
      </c>
    </row>
    <row r="2471" ht="15.75" customHeight="1">
      <c r="B2471" s="391" t="s">
        <v>9736</v>
      </c>
      <c r="C2471" s="391" t="s">
        <v>9732</v>
      </c>
      <c r="D2471" s="391" t="s">
        <v>2195</v>
      </c>
    </row>
    <row r="2472" ht="15.75" customHeight="1">
      <c r="B2472" s="391" t="s">
        <v>9737</v>
      </c>
      <c r="C2472" s="391" t="s">
        <v>9738</v>
      </c>
      <c r="D2472" s="391" t="s">
        <v>2195</v>
      </c>
    </row>
    <row r="2473" ht="15.75" customHeight="1">
      <c r="B2473" s="391" t="s">
        <v>9739</v>
      </c>
      <c r="C2473" s="391" t="s">
        <v>9738</v>
      </c>
      <c r="D2473" s="391" t="s">
        <v>2232</v>
      </c>
    </row>
    <row r="2474" ht="15.75" customHeight="1">
      <c r="B2474" s="391" t="s">
        <v>9740</v>
      </c>
      <c r="C2474" s="391" t="s">
        <v>9738</v>
      </c>
      <c r="D2474" s="391" t="s">
        <v>2232</v>
      </c>
    </row>
    <row r="2475" ht="15.75" customHeight="1">
      <c r="B2475" s="391" t="s">
        <v>9741</v>
      </c>
      <c r="C2475" s="391" t="s">
        <v>9742</v>
      </c>
      <c r="D2475" s="391" t="s">
        <v>2232</v>
      </c>
    </row>
    <row r="2476" ht="15.75" customHeight="1">
      <c r="B2476" s="391" t="s">
        <v>4170</v>
      </c>
      <c r="C2476" s="391" t="s">
        <v>9743</v>
      </c>
      <c r="D2476" s="391" t="s">
        <v>2232</v>
      </c>
    </row>
    <row r="2477" ht="15.75" customHeight="1">
      <c r="B2477" s="391" t="s">
        <v>9744</v>
      </c>
      <c r="C2477" s="391" t="s">
        <v>9743</v>
      </c>
      <c r="D2477" s="391" t="s">
        <v>2195</v>
      </c>
    </row>
    <row r="2478" ht="15.75" customHeight="1">
      <c r="B2478" s="391" t="s">
        <v>9745</v>
      </c>
      <c r="C2478" s="391" t="s">
        <v>9746</v>
      </c>
      <c r="D2478" s="391" t="s">
        <v>2232</v>
      </c>
    </row>
    <row r="2479" ht="15.75" customHeight="1">
      <c r="B2479" s="391" t="s">
        <v>4130</v>
      </c>
      <c r="C2479" s="391" t="s">
        <v>9747</v>
      </c>
      <c r="D2479" s="391" t="s">
        <v>2166</v>
      </c>
    </row>
    <row r="2480" ht="15.75" customHeight="1">
      <c r="B2480" s="391" t="s">
        <v>4117</v>
      </c>
      <c r="C2480" s="391" t="s">
        <v>9748</v>
      </c>
      <c r="D2480" s="391" t="s">
        <v>2166</v>
      </c>
    </row>
    <row r="2481" ht="15.75" customHeight="1">
      <c r="B2481" s="391" t="s">
        <v>4134</v>
      </c>
      <c r="C2481" s="391" t="s">
        <v>9749</v>
      </c>
      <c r="D2481" s="391" t="s">
        <v>2166</v>
      </c>
    </row>
    <row r="2482" ht="15.75" customHeight="1">
      <c r="B2482" s="391" t="s">
        <v>4126</v>
      </c>
      <c r="C2482" s="391" t="s">
        <v>9750</v>
      </c>
      <c r="D2482" s="391" t="s">
        <v>2166</v>
      </c>
    </row>
    <row r="2483" ht="15.75" customHeight="1">
      <c r="B2483" s="391" t="s">
        <v>9751</v>
      </c>
      <c r="C2483" s="391" t="s">
        <v>9752</v>
      </c>
      <c r="D2483" s="391" t="s">
        <v>2195</v>
      </c>
    </row>
    <row r="2484" ht="15.75" customHeight="1">
      <c r="B2484" s="391" t="s">
        <v>4138</v>
      </c>
      <c r="C2484" s="391" t="s">
        <v>9753</v>
      </c>
      <c r="D2484" s="391" t="s">
        <v>2232</v>
      </c>
    </row>
    <row r="2485" ht="15.75" customHeight="1">
      <c r="B2485" s="391" t="s">
        <v>9754</v>
      </c>
      <c r="C2485" s="391" t="s">
        <v>9755</v>
      </c>
      <c r="D2485" s="391" t="s">
        <v>2195</v>
      </c>
    </row>
    <row r="2486" ht="15.75" customHeight="1">
      <c r="B2486" s="391" t="s">
        <v>4221</v>
      </c>
      <c r="C2486" s="391" t="s">
        <v>9755</v>
      </c>
      <c r="D2486" s="391" t="s">
        <v>2166</v>
      </c>
    </row>
    <row r="2487" ht="15.75" customHeight="1">
      <c r="B2487" s="391" t="s">
        <v>4225</v>
      </c>
      <c r="C2487" s="391" t="s">
        <v>9755</v>
      </c>
      <c r="D2487" s="391" t="s">
        <v>2166</v>
      </c>
    </row>
    <row r="2488" ht="15.75" customHeight="1">
      <c r="B2488" s="391" t="s">
        <v>9756</v>
      </c>
      <c r="C2488" s="391" t="s">
        <v>9757</v>
      </c>
      <c r="D2488" s="391" t="s">
        <v>2232</v>
      </c>
    </row>
    <row r="2489" ht="15.75" customHeight="1">
      <c r="B2489" s="391" t="s">
        <v>4162</v>
      </c>
      <c r="C2489" s="391" t="s">
        <v>9758</v>
      </c>
      <c r="D2489" s="391" t="s">
        <v>2195</v>
      </c>
    </row>
    <row r="2490" ht="15.75" customHeight="1">
      <c r="B2490" s="391" t="s">
        <v>4166</v>
      </c>
      <c r="C2490" s="391" t="s">
        <v>9759</v>
      </c>
      <c r="D2490" s="391" t="s">
        <v>2232</v>
      </c>
    </row>
    <row r="2491" ht="15.75" customHeight="1">
      <c r="B2491" s="391" t="s">
        <v>9760</v>
      </c>
      <c r="C2491" s="391" t="s">
        <v>9761</v>
      </c>
      <c r="D2491" s="391" t="s">
        <v>2195</v>
      </c>
    </row>
    <row r="2492" ht="15.75" customHeight="1">
      <c r="B2492" s="391" t="s">
        <v>9762</v>
      </c>
      <c r="C2492" s="391" t="s">
        <v>9763</v>
      </c>
      <c r="D2492" s="391" t="s">
        <v>2195</v>
      </c>
    </row>
    <row r="2493" ht="15.75" customHeight="1">
      <c r="B2493" s="391" t="s">
        <v>9764</v>
      </c>
      <c r="C2493" s="391" t="s">
        <v>9765</v>
      </c>
      <c r="D2493" s="391" t="s">
        <v>2232</v>
      </c>
    </row>
    <row r="2494" ht="15.75" customHeight="1">
      <c r="B2494" s="391" t="s">
        <v>9766</v>
      </c>
      <c r="C2494" s="391" t="s">
        <v>9767</v>
      </c>
      <c r="D2494" s="391" t="s">
        <v>2232</v>
      </c>
    </row>
    <row r="2495" ht="15.75" customHeight="1">
      <c r="B2495" s="391" t="s">
        <v>4103</v>
      </c>
      <c r="C2495" s="391" t="s">
        <v>9768</v>
      </c>
      <c r="D2495" s="391" t="s">
        <v>2166</v>
      </c>
    </row>
    <row r="2496" ht="15.75" customHeight="1">
      <c r="B2496" s="391" t="s">
        <v>4107</v>
      </c>
      <c r="C2496" s="391" t="s">
        <v>9768</v>
      </c>
      <c r="D2496" s="391" t="s">
        <v>2166</v>
      </c>
    </row>
    <row r="2497" ht="15.75" customHeight="1">
      <c r="B2497" s="391" t="s">
        <v>4111</v>
      </c>
      <c r="C2497" s="391" t="s">
        <v>9768</v>
      </c>
      <c r="D2497" s="391" t="s">
        <v>2166</v>
      </c>
    </row>
    <row r="2498" ht="15.75" customHeight="1">
      <c r="B2498" s="391" t="s">
        <v>4114</v>
      </c>
      <c r="C2498" s="391" t="s">
        <v>9768</v>
      </c>
      <c r="D2498" s="391" t="s">
        <v>2166</v>
      </c>
    </row>
    <row r="2499" ht="15.75" customHeight="1">
      <c r="B2499" s="391" t="s">
        <v>9769</v>
      </c>
      <c r="C2499" s="391" t="s">
        <v>9768</v>
      </c>
      <c r="D2499" s="391" t="s">
        <v>2195</v>
      </c>
    </row>
    <row r="2500" ht="15.75" customHeight="1">
      <c r="B2500" s="391" t="s">
        <v>9770</v>
      </c>
      <c r="C2500" s="391" t="s">
        <v>9771</v>
      </c>
      <c r="D2500" s="391" t="s">
        <v>2195</v>
      </c>
    </row>
    <row r="2501" ht="15.75" customHeight="1">
      <c r="B2501" s="391" t="s">
        <v>9772</v>
      </c>
      <c r="C2501" s="391" t="s">
        <v>9773</v>
      </c>
      <c r="D2501" s="391" t="s">
        <v>2195</v>
      </c>
    </row>
    <row r="2502" ht="15.75" customHeight="1">
      <c r="B2502" s="391" t="s">
        <v>9774</v>
      </c>
      <c r="C2502" s="391" t="s">
        <v>9775</v>
      </c>
      <c r="D2502" s="391" t="s">
        <v>2195</v>
      </c>
    </row>
    <row r="2503" ht="15.75" customHeight="1">
      <c r="B2503" s="391" t="s">
        <v>4206</v>
      </c>
      <c r="C2503" s="391" t="s">
        <v>9776</v>
      </c>
      <c r="D2503" s="391" t="s">
        <v>2166</v>
      </c>
    </row>
    <row r="2504" ht="15.75" customHeight="1">
      <c r="B2504" s="391" t="s">
        <v>4210</v>
      </c>
      <c r="C2504" s="391" t="s">
        <v>9777</v>
      </c>
      <c r="D2504" s="391" t="s">
        <v>2166</v>
      </c>
    </row>
    <row r="2505" ht="15.75" customHeight="1">
      <c r="B2505" s="391" t="s">
        <v>9778</v>
      </c>
      <c r="C2505" s="391" t="s">
        <v>9777</v>
      </c>
      <c r="D2505" s="391" t="s">
        <v>2232</v>
      </c>
    </row>
    <row r="2506" ht="15.75" customHeight="1">
      <c r="B2506" s="391" t="s">
        <v>9779</v>
      </c>
      <c r="C2506" s="391" t="s">
        <v>9780</v>
      </c>
      <c r="D2506" s="391" t="s">
        <v>2232</v>
      </c>
    </row>
    <row r="2507" ht="15.75" customHeight="1">
      <c r="B2507" s="391" t="s">
        <v>4122</v>
      </c>
      <c r="C2507" s="391" t="s">
        <v>9781</v>
      </c>
      <c r="D2507" s="391" t="s">
        <v>2166</v>
      </c>
    </row>
    <row r="2508" ht="15.75" customHeight="1">
      <c r="B2508" s="391" t="s">
        <v>9782</v>
      </c>
      <c r="C2508" s="391" t="s">
        <v>9783</v>
      </c>
      <c r="D2508" s="391" t="s">
        <v>2195</v>
      </c>
    </row>
    <row r="2509" ht="15.75" customHeight="1">
      <c r="B2509" s="391" t="s">
        <v>9784</v>
      </c>
      <c r="C2509" s="391" t="s">
        <v>9783</v>
      </c>
      <c r="D2509" s="391" t="s">
        <v>2195</v>
      </c>
    </row>
    <row r="2510" ht="15.75" customHeight="1">
      <c r="B2510" s="391" t="s">
        <v>9785</v>
      </c>
      <c r="C2510" s="391" t="s">
        <v>9786</v>
      </c>
      <c r="D2510" s="391" t="s">
        <v>2232</v>
      </c>
    </row>
    <row r="2511" ht="15.75" customHeight="1">
      <c r="B2511" s="391" t="s">
        <v>9787</v>
      </c>
      <c r="C2511" s="391" t="s">
        <v>9788</v>
      </c>
      <c r="D2511" s="391" t="s">
        <v>2166</v>
      </c>
    </row>
    <row r="2512" ht="15.75" customHeight="1">
      <c r="B2512" s="391" t="s">
        <v>9789</v>
      </c>
      <c r="C2512" s="391" t="s">
        <v>9790</v>
      </c>
      <c r="D2512" s="391" t="s">
        <v>2195</v>
      </c>
    </row>
    <row r="2513" ht="15.75" customHeight="1">
      <c r="B2513" s="391" t="s">
        <v>9791</v>
      </c>
      <c r="C2513" s="391" t="s">
        <v>9790</v>
      </c>
      <c r="D2513" s="391" t="s">
        <v>2195</v>
      </c>
    </row>
    <row r="2514" ht="15.75" customHeight="1">
      <c r="B2514" s="391" t="s">
        <v>9792</v>
      </c>
      <c r="C2514" s="391" t="s">
        <v>9793</v>
      </c>
      <c r="D2514" s="391" t="s">
        <v>2195</v>
      </c>
    </row>
    <row r="2515" ht="15.75" customHeight="1">
      <c r="B2515" s="391" t="s">
        <v>9794</v>
      </c>
      <c r="C2515" s="391" t="s">
        <v>9795</v>
      </c>
      <c r="D2515" s="391" t="s">
        <v>2195</v>
      </c>
    </row>
    <row r="2516" ht="15.75" customHeight="1">
      <c r="B2516" s="391" t="s">
        <v>9796</v>
      </c>
      <c r="C2516" s="391" t="s">
        <v>9795</v>
      </c>
      <c r="D2516" s="391" t="s">
        <v>2232</v>
      </c>
    </row>
    <row r="2517" ht="15.75" customHeight="1">
      <c r="B2517" s="391" t="s">
        <v>4181</v>
      </c>
      <c r="C2517" s="391" t="s">
        <v>9795</v>
      </c>
      <c r="D2517" s="391" t="s">
        <v>2166</v>
      </c>
    </row>
    <row r="2518" ht="15.75" customHeight="1">
      <c r="B2518" s="391" t="s">
        <v>4185</v>
      </c>
      <c r="C2518" s="391" t="s">
        <v>9795</v>
      </c>
      <c r="D2518" s="391" t="s">
        <v>2166</v>
      </c>
    </row>
    <row r="2519" ht="15.75" customHeight="1">
      <c r="B2519" s="391" t="s">
        <v>9797</v>
      </c>
      <c r="C2519" s="391" t="s">
        <v>9795</v>
      </c>
      <c r="D2519" s="391" t="s">
        <v>2195</v>
      </c>
    </row>
    <row r="2520" ht="15.75" customHeight="1">
      <c r="B2520" s="391" t="s">
        <v>4189</v>
      </c>
      <c r="C2520" s="391" t="s">
        <v>9795</v>
      </c>
      <c r="D2520" s="391" t="s">
        <v>2166</v>
      </c>
    </row>
    <row r="2521" ht="15.75" customHeight="1">
      <c r="B2521" s="391" t="s">
        <v>9798</v>
      </c>
      <c r="C2521" s="391" t="s">
        <v>9795</v>
      </c>
      <c r="D2521" s="391" t="s">
        <v>2232</v>
      </c>
    </row>
    <row r="2522" ht="15.75" customHeight="1">
      <c r="B2522" s="391" t="s">
        <v>9799</v>
      </c>
      <c r="C2522" s="391" t="s">
        <v>9795</v>
      </c>
      <c r="D2522" s="391" t="s">
        <v>2195</v>
      </c>
    </row>
    <row r="2523" ht="15.75" customHeight="1">
      <c r="B2523" s="391" t="s">
        <v>9800</v>
      </c>
      <c r="C2523" s="391" t="s">
        <v>9801</v>
      </c>
      <c r="D2523" s="391" t="s">
        <v>2232</v>
      </c>
    </row>
    <row r="2524" ht="15.75" customHeight="1">
      <c r="B2524" s="391" t="s">
        <v>9802</v>
      </c>
      <c r="C2524" s="391" t="s">
        <v>9803</v>
      </c>
      <c r="D2524" s="391" t="s">
        <v>2195</v>
      </c>
    </row>
    <row r="2525" ht="15.75" customHeight="1">
      <c r="B2525" s="391" t="s">
        <v>9804</v>
      </c>
      <c r="C2525" s="391" t="s">
        <v>9805</v>
      </c>
      <c r="D2525" s="391" t="s">
        <v>2195</v>
      </c>
    </row>
    <row r="2526" ht="15.75" customHeight="1">
      <c r="B2526" s="391" t="s">
        <v>4197</v>
      </c>
      <c r="C2526" s="391" t="s">
        <v>9805</v>
      </c>
      <c r="D2526" s="391" t="s">
        <v>2166</v>
      </c>
    </row>
    <row r="2527" ht="15.75" customHeight="1">
      <c r="B2527" s="391" t="s">
        <v>4174</v>
      </c>
      <c r="C2527" s="391" t="s">
        <v>9806</v>
      </c>
      <c r="D2527" s="391" t="s">
        <v>2166</v>
      </c>
    </row>
    <row r="2528" ht="15.75" customHeight="1">
      <c r="B2528" s="391" t="s">
        <v>4178</v>
      </c>
      <c r="C2528" s="391" t="s">
        <v>9806</v>
      </c>
      <c r="D2528" s="391" t="s">
        <v>2166</v>
      </c>
    </row>
    <row r="2529" ht="15.75" customHeight="1">
      <c r="B2529" s="391" t="s">
        <v>4193</v>
      </c>
      <c r="C2529" s="391" t="s">
        <v>9807</v>
      </c>
      <c r="D2529" s="391" t="s">
        <v>2232</v>
      </c>
    </row>
    <row r="2530" ht="15.75" customHeight="1">
      <c r="B2530" s="391" t="s">
        <v>4158</v>
      </c>
      <c r="C2530" s="391" t="s">
        <v>9808</v>
      </c>
      <c r="D2530" s="391" t="s">
        <v>2232</v>
      </c>
    </row>
    <row r="2531" ht="15.75" customHeight="1">
      <c r="B2531" s="391" t="s">
        <v>4202</v>
      </c>
      <c r="C2531" s="391" t="s">
        <v>9808</v>
      </c>
      <c r="D2531" s="391" t="s">
        <v>2232</v>
      </c>
    </row>
    <row r="2532" ht="15.75" customHeight="1">
      <c r="B2532" s="391" t="s">
        <v>9809</v>
      </c>
      <c r="C2532" s="391" t="s">
        <v>9808</v>
      </c>
      <c r="D2532" s="391" t="s">
        <v>2195</v>
      </c>
    </row>
    <row r="2533" ht="15.75" customHeight="1">
      <c r="B2533" s="391" t="s">
        <v>9810</v>
      </c>
      <c r="C2533" s="391" t="s">
        <v>9808</v>
      </c>
      <c r="D2533" s="391" t="s">
        <v>2232</v>
      </c>
    </row>
    <row r="2534" ht="15.75" customHeight="1">
      <c r="B2534" s="391" t="s">
        <v>9811</v>
      </c>
      <c r="C2534" s="391" t="s">
        <v>9812</v>
      </c>
      <c r="D2534" s="391" t="s">
        <v>2232</v>
      </c>
    </row>
    <row r="2535" ht="15.75" customHeight="1">
      <c r="B2535" s="391" t="s">
        <v>9813</v>
      </c>
      <c r="C2535" s="391" t="s">
        <v>9814</v>
      </c>
      <c r="D2535" s="391" t="s">
        <v>2195</v>
      </c>
    </row>
    <row r="2536" ht="15.75" customHeight="1">
      <c r="B2536" s="391">
        <v>6800574.0</v>
      </c>
      <c r="C2536" s="391" t="s">
        <v>9815</v>
      </c>
      <c r="D2536" s="391" t="s">
        <v>2195</v>
      </c>
    </row>
    <row r="2537" ht="15.75" customHeight="1">
      <c r="B2537" s="391">
        <v>9800866.0</v>
      </c>
      <c r="C2537" s="391" t="s">
        <v>9815</v>
      </c>
      <c r="D2537" s="391" t="s">
        <v>2195</v>
      </c>
    </row>
    <row r="2538" ht="15.75" customHeight="1">
      <c r="B2538" s="391" t="s">
        <v>9816</v>
      </c>
      <c r="C2538" s="391" t="s">
        <v>9817</v>
      </c>
      <c r="D2538" s="391" t="s">
        <v>2195</v>
      </c>
    </row>
    <row r="2539" ht="15.75" customHeight="1">
      <c r="B2539" s="391" t="s">
        <v>9818</v>
      </c>
      <c r="C2539" s="391" t="s">
        <v>9817</v>
      </c>
      <c r="D2539" s="391" t="s">
        <v>2195</v>
      </c>
    </row>
    <row r="2540" ht="15.75" customHeight="1">
      <c r="B2540" s="391" t="s">
        <v>9819</v>
      </c>
      <c r="C2540" s="391" t="s">
        <v>9817</v>
      </c>
      <c r="D2540" s="391" t="s">
        <v>2195</v>
      </c>
    </row>
    <row r="2541" ht="15.75" customHeight="1">
      <c r="B2541" s="391" t="s">
        <v>9820</v>
      </c>
      <c r="C2541" s="391" t="s">
        <v>9817</v>
      </c>
      <c r="D2541" s="391" t="s">
        <v>2195</v>
      </c>
    </row>
    <row r="2542" ht="15.75" customHeight="1">
      <c r="B2542" s="391" t="s">
        <v>9821</v>
      </c>
      <c r="C2542" s="391" t="s">
        <v>9822</v>
      </c>
      <c r="D2542" s="391" t="s">
        <v>2232</v>
      </c>
    </row>
    <row r="2543" ht="15.75" customHeight="1">
      <c r="B2543" s="391" t="s">
        <v>9823</v>
      </c>
      <c r="C2543" s="391" t="s">
        <v>9824</v>
      </c>
      <c r="D2543" s="391" t="s">
        <v>2232</v>
      </c>
    </row>
    <row r="2544" ht="15.75" customHeight="1">
      <c r="B2544" s="391" t="s">
        <v>9825</v>
      </c>
      <c r="C2544" s="391" t="s">
        <v>9826</v>
      </c>
      <c r="D2544" s="391" t="s">
        <v>2232</v>
      </c>
    </row>
    <row r="2545" ht="15.75" customHeight="1">
      <c r="B2545" s="391" t="s">
        <v>9827</v>
      </c>
      <c r="C2545" s="391" t="s">
        <v>9828</v>
      </c>
      <c r="D2545" s="391" t="s">
        <v>2232</v>
      </c>
    </row>
    <row r="2546" ht="15.75" customHeight="1">
      <c r="B2546" s="391" t="s">
        <v>9829</v>
      </c>
      <c r="C2546" s="391" t="s">
        <v>9830</v>
      </c>
      <c r="D2546" s="391" t="s">
        <v>2232</v>
      </c>
    </row>
    <row r="2547" ht="15.75" customHeight="1">
      <c r="B2547" s="391" t="s">
        <v>9831</v>
      </c>
      <c r="C2547" s="391" t="s">
        <v>9832</v>
      </c>
      <c r="D2547" s="391" t="s">
        <v>2232</v>
      </c>
    </row>
    <row r="2548" ht="15.75" customHeight="1">
      <c r="B2548" s="391" t="s">
        <v>9833</v>
      </c>
      <c r="C2548" s="391" t="s">
        <v>9832</v>
      </c>
      <c r="D2548" s="391" t="s">
        <v>2232</v>
      </c>
    </row>
    <row r="2549" ht="15.75" customHeight="1">
      <c r="B2549" s="391" t="s">
        <v>9834</v>
      </c>
      <c r="C2549" s="391" t="s">
        <v>9832</v>
      </c>
      <c r="D2549" s="391" t="s">
        <v>2232</v>
      </c>
    </row>
    <row r="2550" ht="15.75" customHeight="1">
      <c r="B2550" s="391" t="s">
        <v>9835</v>
      </c>
      <c r="C2550" s="391" t="s">
        <v>9832</v>
      </c>
      <c r="D2550" s="391" t="s">
        <v>2232</v>
      </c>
    </row>
    <row r="2551" ht="15.75" customHeight="1">
      <c r="B2551" s="391" t="s">
        <v>9836</v>
      </c>
      <c r="C2551" s="391" t="s">
        <v>9832</v>
      </c>
      <c r="D2551" s="391" t="s">
        <v>2232</v>
      </c>
    </row>
    <row r="2552" ht="15.75" customHeight="1">
      <c r="B2552" s="391" t="s">
        <v>9837</v>
      </c>
      <c r="C2552" s="391" t="s">
        <v>9838</v>
      </c>
      <c r="D2552" s="391" t="s">
        <v>2195</v>
      </c>
    </row>
    <row r="2553" ht="15.75" customHeight="1">
      <c r="B2553" s="391" t="s">
        <v>9839</v>
      </c>
      <c r="C2553" s="391" t="s">
        <v>9838</v>
      </c>
      <c r="D2553" s="391" t="s">
        <v>2195</v>
      </c>
    </row>
    <row r="2554" ht="15.75" customHeight="1">
      <c r="B2554" s="391" t="s">
        <v>9840</v>
      </c>
      <c r="C2554" s="391" t="s">
        <v>9841</v>
      </c>
      <c r="D2554" s="391" t="s">
        <v>2195</v>
      </c>
    </row>
    <row r="2555" ht="15.75" customHeight="1">
      <c r="B2555" s="391" t="s">
        <v>3431</v>
      </c>
      <c r="C2555" s="391" t="s">
        <v>9841</v>
      </c>
      <c r="D2555" s="391" t="s">
        <v>2195</v>
      </c>
    </row>
    <row r="2556" ht="15.75" customHeight="1">
      <c r="B2556" s="391" t="s">
        <v>3472</v>
      </c>
      <c r="C2556" s="391" t="s">
        <v>9841</v>
      </c>
      <c r="D2556" s="391" t="s">
        <v>2195</v>
      </c>
    </row>
    <row r="2557" ht="15.75" customHeight="1">
      <c r="B2557" s="391" t="s">
        <v>9842</v>
      </c>
      <c r="C2557" s="391" t="s">
        <v>9843</v>
      </c>
      <c r="D2557" s="391" t="s">
        <v>2195</v>
      </c>
    </row>
    <row r="2558" ht="15.75" customHeight="1">
      <c r="B2558" s="391" t="s">
        <v>3433</v>
      </c>
      <c r="C2558" s="391" t="s">
        <v>9843</v>
      </c>
      <c r="D2558" s="391" t="s">
        <v>2195</v>
      </c>
    </row>
    <row r="2559" ht="15.75" customHeight="1">
      <c r="B2559" s="391" t="s">
        <v>3478</v>
      </c>
      <c r="C2559" s="391" t="s">
        <v>9844</v>
      </c>
      <c r="D2559" s="391" t="s">
        <v>2232</v>
      </c>
    </row>
    <row r="2560" ht="15.75" customHeight="1">
      <c r="B2560" s="391" t="s">
        <v>3490</v>
      </c>
      <c r="C2560" s="391" t="s">
        <v>9844</v>
      </c>
      <c r="D2560" s="391" t="s">
        <v>2195</v>
      </c>
    </row>
    <row r="2561" ht="15.75" customHeight="1">
      <c r="B2561" s="391" t="s">
        <v>3482</v>
      </c>
      <c r="C2561" s="391" t="s">
        <v>9844</v>
      </c>
      <c r="D2561" s="391" t="s">
        <v>2195</v>
      </c>
    </row>
    <row r="2562" ht="15.75" customHeight="1">
      <c r="B2562" s="391" t="s">
        <v>3492</v>
      </c>
      <c r="C2562" s="391" t="s">
        <v>9844</v>
      </c>
      <c r="D2562" s="391" t="s">
        <v>2166</v>
      </c>
    </row>
    <row r="2563" ht="15.75" customHeight="1">
      <c r="B2563" s="391" t="s">
        <v>3486</v>
      </c>
      <c r="C2563" s="391" t="s">
        <v>9844</v>
      </c>
      <c r="D2563" s="391" t="s">
        <v>2195</v>
      </c>
    </row>
    <row r="2564" ht="15.75" customHeight="1">
      <c r="B2564" s="391" t="s">
        <v>3495</v>
      </c>
      <c r="C2564" s="391" t="s">
        <v>9844</v>
      </c>
      <c r="D2564" s="391" t="s">
        <v>2232</v>
      </c>
    </row>
    <row r="2565" ht="15.75" customHeight="1">
      <c r="B2565" s="391" t="s">
        <v>3499</v>
      </c>
      <c r="C2565" s="391" t="s">
        <v>9844</v>
      </c>
      <c r="D2565" s="391" t="s">
        <v>2232</v>
      </c>
    </row>
    <row r="2566" ht="15.75" customHeight="1">
      <c r="B2566" s="391" t="s">
        <v>3503</v>
      </c>
      <c r="C2566" s="391" t="s">
        <v>9844</v>
      </c>
      <c r="D2566" s="391" t="s">
        <v>2195</v>
      </c>
    </row>
    <row r="2567" ht="15.75" customHeight="1">
      <c r="B2567" s="391" t="s">
        <v>3507</v>
      </c>
      <c r="C2567" s="391" t="s">
        <v>9844</v>
      </c>
      <c r="D2567" s="391" t="s">
        <v>2195</v>
      </c>
    </row>
    <row r="2568" ht="15.75" customHeight="1">
      <c r="B2568" s="391" t="s">
        <v>9845</v>
      </c>
      <c r="C2568" s="391" t="s">
        <v>9846</v>
      </c>
      <c r="D2568" s="391" t="s">
        <v>2195</v>
      </c>
    </row>
    <row r="2569" ht="15.75" customHeight="1">
      <c r="B2569" s="391" t="s">
        <v>3465</v>
      </c>
      <c r="C2569" s="391" t="s">
        <v>9846</v>
      </c>
      <c r="D2569" s="391" t="s">
        <v>2195</v>
      </c>
    </row>
    <row r="2570" ht="15.75" customHeight="1">
      <c r="B2570" s="391" t="s">
        <v>9847</v>
      </c>
      <c r="C2570" s="391" t="s">
        <v>9848</v>
      </c>
      <c r="D2570" s="391" t="s">
        <v>2195</v>
      </c>
    </row>
    <row r="2571" ht="15.75" customHeight="1">
      <c r="B2571" s="391" t="s">
        <v>3476</v>
      </c>
      <c r="C2571" s="391" t="s">
        <v>9848</v>
      </c>
      <c r="D2571" s="391" t="s">
        <v>2195</v>
      </c>
    </row>
    <row r="2572" ht="15.75" customHeight="1">
      <c r="B2572" s="391" t="s">
        <v>9849</v>
      </c>
      <c r="C2572" s="391" t="s">
        <v>9850</v>
      </c>
      <c r="D2572" s="391" t="s">
        <v>2195</v>
      </c>
    </row>
    <row r="2573" ht="15.75" customHeight="1">
      <c r="B2573" s="391" t="s">
        <v>3335</v>
      </c>
      <c r="C2573" s="391" t="s">
        <v>9851</v>
      </c>
      <c r="D2573" s="391" t="s">
        <v>2232</v>
      </c>
    </row>
    <row r="2574" ht="15.75" customHeight="1">
      <c r="B2574" s="391" t="s">
        <v>3331</v>
      </c>
      <c r="C2574" s="391" t="s">
        <v>9851</v>
      </c>
      <c r="D2574" s="391" t="s">
        <v>2232</v>
      </c>
    </row>
    <row r="2575" ht="15.75" customHeight="1">
      <c r="B2575" s="391" t="s">
        <v>3295</v>
      </c>
      <c r="C2575" s="391" t="s">
        <v>9851</v>
      </c>
      <c r="D2575" s="391" t="s">
        <v>2232</v>
      </c>
    </row>
    <row r="2576" ht="15.75" customHeight="1">
      <c r="B2576" s="391" t="s">
        <v>3307</v>
      </c>
      <c r="C2576" s="391" t="s">
        <v>9851</v>
      </c>
      <c r="D2576" s="391" t="s">
        <v>2232</v>
      </c>
    </row>
    <row r="2577" ht="15.75" customHeight="1">
      <c r="B2577" s="391" t="s">
        <v>3311</v>
      </c>
      <c r="C2577" s="391" t="s">
        <v>9851</v>
      </c>
      <c r="D2577" s="391" t="s">
        <v>2232</v>
      </c>
    </row>
    <row r="2578" ht="15.75" customHeight="1">
      <c r="B2578" s="391" t="s">
        <v>3315</v>
      </c>
      <c r="C2578" s="391" t="s">
        <v>9851</v>
      </c>
      <c r="D2578" s="391" t="s">
        <v>2232</v>
      </c>
    </row>
    <row r="2579" ht="15.75" customHeight="1">
      <c r="B2579" s="391" t="s">
        <v>3299</v>
      </c>
      <c r="C2579" s="391" t="s">
        <v>9851</v>
      </c>
      <c r="D2579" s="391" t="s">
        <v>2232</v>
      </c>
    </row>
    <row r="2580" ht="15.75" customHeight="1">
      <c r="B2580" s="391" t="s">
        <v>3382</v>
      </c>
      <c r="C2580" s="391" t="s">
        <v>9852</v>
      </c>
      <c r="D2580" s="391" t="s">
        <v>2195</v>
      </c>
    </row>
    <row r="2581" ht="15.75" customHeight="1">
      <c r="B2581" s="391" t="s">
        <v>3368</v>
      </c>
      <c r="C2581" s="391" t="s">
        <v>9852</v>
      </c>
      <c r="D2581" s="391" t="s">
        <v>2232</v>
      </c>
    </row>
    <row r="2582" ht="15.75" customHeight="1">
      <c r="B2582" s="391" t="s">
        <v>3380</v>
      </c>
      <c r="C2582" s="391" t="s">
        <v>9852</v>
      </c>
      <c r="D2582" s="391" t="s">
        <v>2195</v>
      </c>
    </row>
    <row r="2583" ht="15.75" customHeight="1">
      <c r="B2583" s="391" t="s">
        <v>3372</v>
      </c>
      <c r="C2583" s="391" t="s">
        <v>9852</v>
      </c>
      <c r="D2583" s="391" t="s">
        <v>2232</v>
      </c>
    </row>
    <row r="2584" ht="15.75" customHeight="1">
      <c r="B2584" s="391" t="s">
        <v>3427</v>
      </c>
      <c r="C2584" s="391" t="s">
        <v>9853</v>
      </c>
      <c r="D2584" s="391" t="s">
        <v>2195</v>
      </c>
    </row>
    <row r="2585" ht="15.75" customHeight="1">
      <c r="B2585" s="391" t="s">
        <v>3474</v>
      </c>
      <c r="C2585" s="391" t="s">
        <v>9853</v>
      </c>
      <c r="D2585" s="391" t="s">
        <v>2195</v>
      </c>
    </row>
    <row r="2586" ht="15.75" customHeight="1">
      <c r="B2586" s="391" t="s">
        <v>9854</v>
      </c>
      <c r="C2586" s="391" t="s">
        <v>9853</v>
      </c>
      <c r="D2586" s="391" t="s">
        <v>2195</v>
      </c>
    </row>
    <row r="2587" ht="15.75" customHeight="1">
      <c r="B2587" s="391" t="s">
        <v>9855</v>
      </c>
      <c r="C2587" s="391" t="s">
        <v>9853</v>
      </c>
      <c r="D2587" s="391" t="s">
        <v>2195</v>
      </c>
    </row>
    <row r="2588" ht="15.75" customHeight="1">
      <c r="B2588" s="391" t="s">
        <v>9856</v>
      </c>
      <c r="C2588" s="391" t="s">
        <v>9853</v>
      </c>
      <c r="D2588" s="391" t="s">
        <v>2195</v>
      </c>
    </row>
    <row r="2589" ht="15.75" customHeight="1">
      <c r="B2589" s="391" t="s">
        <v>9857</v>
      </c>
      <c r="C2589" s="391" t="s">
        <v>9853</v>
      </c>
      <c r="D2589" s="391" t="s">
        <v>2195</v>
      </c>
    </row>
    <row r="2590" ht="15.75" customHeight="1">
      <c r="B2590" s="391" t="s">
        <v>9858</v>
      </c>
      <c r="C2590" s="391" t="s">
        <v>9853</v>
      </c>
      <c r="D2590" s="391" t="s">
        <v>2195</v>
      </c>
    </row>
    <row r="2591" ht="15.75" customHeight="1">
      <c r="B2591" s="391" t="s">
        <v>9859</v>
      </c>
      <c r="C2591" s="391" t="s">
        <v>9853</v>
      </c>
      <c r="D2591" s="391" t="s">
        <v>2195</v>
      </c>
    </row>
    <row r="2592" ht="15.75" customHeight="1">
      <c r="B2592" s="391" t="s">
        <v>9860</v>
      </c>
      <c r="C2592" s="391" t="s">
        <v>9853</v>
      </c>
      <c r="D2592" s="391" t="s">
        <v>2232</v>
      </c>
    </row>
    <row r="2593" ht="15.75" customHeight="1">
      <c r="B2593" s="391" t="s">
        <v>9861</v>
      </c>
      <c r="C2593" s="391" t="s">
        <v>9853</v>
      </c>
      <c r="D2593" s="391" t="s">
        <v>2195</v>
      </c>
    </row>
    <row r="2594" ht="15.75" customHeight="1">
      <c r="B2594" s="391" t="s">
        <v>3512</v>
      </c>
      <c r="C2594" s="391" t="s">
        <v>9853</v>
      </c>
      <c r="D2594" s="391" t="s">
        <v>2195</v>
      </c>
    </row>
    <row r="2595" ht="15.75" customHeight="1">
      <c r="B2595" s="391" t="s">
        <v>3510</v>
      </c>
      <c r="C2595" s="391" t="s">
        <v>9853</v>
      </c>
      <c r="D2595" s="391" t="s">
        <v>2195</v>
      </c>
    </row>
    <row r="2596" ht="15.75" customHeight="1">
      <c r="B2596" s="391" t="s">
        <v>9862</v>
      </c>
      <c r="C2596" s="391" t="s">
        <v>9853</v>
      </c>
      <c r="D2596" s="391" t="s">
        <v>2195</v>
      </c>
    </row>
    <row r="2597" ht="15.75" customHeight="1">
      <c r="B2597" s="391" t="s">
        <v>9863</v>
      </c>
      <c r="C2597" s="391" t="s">
        <v>9853</v>
      </c>
      <c r="D2597" s="391" t="s">
        <v>2195</v>
      </c>
    </row>
    <row r="2598" ht="15.75" customHeight="1">
      <c r="B2598" s="391" t="s">
        <v>9864</v>
      </c>
      <c r="C2598" s="391" t="s">
        <v>9865</v>
      </c>
      <c r="D2598" s="391" t="s">
        <v>2195</v>
      </c>
    </row>
    <row r="2599" ht="15.75" customHeight="1">
      <c r="B2599" s="391" t="s">
        <v>9866</v>
      </c>
      <c r="C2599" s="391" t="s">
        <v>9865</v>
      </c>
      <c r="D2599" s="391" t="s">
        <v>2195</v>
      </c>
    </row>
    <row r="2600" ht="15.75" customHeight="1">
      <c r="B2600" s="391" t="s">
        <v>9867</v>
      </c>
      <c r="C2600" s="391" t="s">
        <v>9868</v>
      </c>
      <c r="D2600" s="391" t="s">
        <v>2232</v>
      </c>
    </row>
    <row r="2601" ht="15.75" customHeight="1">
      <c r="B2601" s="391" t="s">
        <v>9869</v>
      </c>
      <c r="C2601" s="391" t="s">
        <v>9868</v>
      </c>
      <c r="D2601" s="391" t="s">
        <v>2195</v>
      </c>
    </row>
    <row r="2602" ht="15.75" customHeight="1">
      <c r="B2602" s="391" t="s">
        <v>3537</v>
      </c>
      <c r="C2602" s="391" t="s">
        <v>9870</v>
      </c>
      <c r="D2602" s="391" t="s">
        <v>2232</v>
      </c>
    </row>
    <row r="2603" ht="15.75" customHeight="1">
      <c r="B2603" s="391" t="s">
        <v>3541</v>
      </c>
      <c r="C2603" s="391" t="s">
        <v>9871</v>
      </c>
      <c r="D2603" s="391" t="s">
        <v>2195</v>
      </c>
    </row>
    <row r="2604" ht="15.75" customHeight="1">
      <c r="B2604" s="391">
        <v>6176.0</v>
      </c>
      <c r="C2604" s="391" t="s">
        <v>9871</v>
      </c>
      <c r="D2604" s="391" t="s">
        <v>2232</v>
      </c>
    </row>
    <row r="2605" ht="15.75" customHeight="1">
      <c r="B2605" s="391" t="s">
        <v>3543</v>
      </c>
      <c r="C2605" s="391" t="s">
        <v>9871</v>
      </c>
      <c r="D2605" s="391" t="s">
        <v>2232</v>
      </c>
    </row>
    <row r="2606" ht="15.75" customHeight="1">
      <c r="B2606" s="391" t="s">
        <v>3397</v>
      </c>
      <c r="C2606" s="391" t="s">
        <v>9871</v>
      </c>
      <c r="D2606" s="391" t="s">
        <v>2232</v>
      </c>
    </row>
    <row r="2607" ht="15.75" customHeight="1">
      <c r="B2607" s="391" t="s">
        <v>3399</v>
      </c>
      <c r="C2607" s="391" t="s">
        <v>9871</v>
      </c>
      <c r="D2607" s="391" t="s">
        <v>2232</v>
      </c>
    </row>
    <row r="2608" ht="15.75" customHeight="1">
      <c r="B2608" s="391" t="s">
        <v>9872</v>
      </c>
      <c r="C2608" s="391" t="s">
        <v>9871</v>
      </c>
      <c r="D2608" s="391" t="s">
        <v>2195</v>
      </c>
    </row>
    <row r="2609" ht="15.75" customHeight="1">
      <c r="B2609" s="391" t="s">
        <v>9873</v>
      </c>
      <c r="C2609" s="391" t="s">
        <v>9871</v>
      </c>
      <c r="D2609" s="391" t="s">
        <v>2195</v>
      </c>
    </row>
    <row r="2610" ht="15.75" customHeight="1">
      <c r="B2610" s="391" t="s">
        <v>9874</v>
      </c>
      <c r="C2610" s="391" t="s">
        <v>9871</v>
      </c>
      <c r="D2610" s="391" t="s">
        <v>2195</v>
      </c>
    </row>
    <row r="2611" ht="15.75" customHeight="1">
      <c r="B2611" s="391" t="s">
        <v>9875</v>
      </c>
      <c r="C2611" s="391" t="s">
        <v>9871</v>
      </c>
      <c r="D2611" s="391" t="s">
        <v>2195</v>
      </c>
    </row>
    <row r="2612" ht="15.75" customHeight="1">
      <c r="B2612" s="391" t="s">
        <v>9876</v>
      </c>
      <c r="C2612" s="391" t="s">
        <v>9871</v>
      </c>
      <c r="D2612" s="391" t="s">
        <v>2195</v>
      </c>
    </row>
    <row r="2613" ht="15.75" customHeight="1">
      <c r="B2613" s="391" t="s">
        <v>9877</v>
      </c>
      <c r="C2613" s="391" t="s">
        <v>9871</v>
      </c>
      <c r="D2613" s="391" t="s">
        <v>2195</v>
      </c>
    </row>
    <row r="2614" ht="15.75" customHeight="1">
      <c r="B2614" s="391" t="s">
        <v>3404</v>
      </c>
      <c r="C2614" s="391" t="s">
        <v>9871</v>
      </c>
      <c r="D2614" s="391" t="s">
        <v>2232</v>
      </c>
    </row>
    <row r="2615" ht="15.75" customHeight="1">
      <c r="B2615" s="391" t="s">
        <v>3408</v>
      </c>
      <c r="C2615" s="391" t="s">
        <v>9871</v>
      </c>
      <c r="D2615" s="391" t="s">
        <v>2232</v>
      </c>
    </row>
    <row r="2616" ht="15.75" customHeight="1">
      <c r="B2616" s="391" t="s">
        <v>3390</v>
      </c>
      <c r="C2616" s="391" t="s">
        <v>9871</v>
      </c>
      <c r="D2616" s="391" t="s">
        <v>2232</v>
      </c>
    </row>
    <row r="2617" ht="15.75" customHeight="1">
      <c r="B2617" s="391" t="s">
        <v>3393</v>
      </c>
      <c r="C2617" s="391" t="s">
        <v>9871</v>
      </c>
      <c r="D2617" s="391" t="s">
        <v>2232</v>
      </c>
    </row>
    <row r="2618" ht="15.75" customHeight="1">
      <c r="B2618" s="391" t="s">
        <v>3422</v>
      </c>
      <c r="C2618" s="391" t="s">
        <v>9871</v>
      </c>
      <c r="D2618" s="391" t="s">
        <v>2232</v>
      </c>
    </row>
    <row r="2619" ht="15.75" customHeight="1">
      <c r="B2619" s="391" t="s">
        <v>3463</v>
      </c>
      <c r="C2619" s="391" t="s">
        <v>9871</v>
      </c>
      <c r="D2619" s="391" t="s">
        <v>2195</v>
      </c>
    </row>
    <row r="2620" ht="15.75" customHeight="1">
      <c r="B2620" s="391" t="s">
        <v>3435</v>
      </c>
      <c r="C2620" s="391" t="s">
        <v>9871</v>
      </c>
      <c r="D2620" s="391" t="s">
        <v>2195</v>
      </c>
    </row>
    <row r="2621" ht="15.75" customHeight="1">
      <c r="B2621" s="391" t="s">
        <v>3439</v>
      </c>
      <c r="C2621" s="391" t="s">
        <v>9871</v>
      </c>
      <c r="D2621" s="391" t="s">
        <v>2195</v>
      </c>
    </row>
    <row r="2622" ht="15.75" customHeight="1">
      <c r="B2622" s="391" t="s">
        <v>3410</v>
      </c>
      <c r="C2622" s="391" t="s">
        <v>9871</v>
      </c>
      <c r="D2622" s="391" t="s">
        <v>2232</v>
      </c>
    </row>
    <row r="2623" ht="15.75" customHeight="1">
      <c r="B2623" s="391" t="s">
        <v>3443</v>
      </c>
      <c r="C2623" s="391" t="s">
        <v>9871</v>
      </c>
      <c r="D2623" s="391" t="s">
        <v>2195</v>
      </c>
    </row>
    <row r="2624" ht="15.75" customHeight="1">
      <c r="B2624" s="391" t="s">
        <v>3447</v>
      </c>
      <c r="C2624" s="391" t="s">
        <v>9871</v>
      </c>
      <c r="D2624" s="391" t="s">
        <v>2195</v>
      </c>
    </row>
    <row r="2625" ht="15.75" customHeight="1">
      <c r="B2625" s="391" t="s">
        <v>3414</v>
      </c>
      <c r="C2625" s="391" t="s">
        <v>9871</v>
      </c>
      <c r="D2625" s="391" t="s">
        <v>2195</v>
      </c>
    </row>
    <row r="2626" ht="15.75" customHeight="1">
      <c r="B2626" s="391" t="s">
        <v>3451</v>
      </c>
      <c r="C2626" s="391" t="s">
        <v>9871</v>
      </c>
      <c r="D2626" s="391" t="s">
        <v>2195</v>
      </c>
    </row>
    <row r="2627" ht="15.75" customHeight="1">
      <c r="B2627" s="391" t="s">
        <v>3455</v>
      </c>
      <c r="C2627" s="391" t="s">
        <v>9871</v>
      </c>
      <c r="D2627" s="391" t="s">
        <v>2195</v>
      </c>
    </row>
    <row r="2628" ht="15.75" customHeight="1">
      <c r="B2628" s="391" t="s">
        <v>3418</v>
      </c>
      <c r="C2628" s="391" t="s">
        <v>9871</v>
      </c>
      <c r="D2628" s="391" t="s">
        <v>2232</v>
      </c>
    </row>
    <row r="2629" ht="15.75" customHeight="1">
      <c r="B2629" s="391" t="s">
        <v>3459</v>
      </c>
      <c r="C2629" s="391" t="s">
        <v>9871</v>
      </c>
      <c r="D2629" s="391" t="s">
        <v>2195</v>
      </c>
    </row>
    <row r="2630" ht="15.75" customHeight="1">
      <c r="B2630" s="391" t="s">
        <v>9878</v>
      </c>
      <c r="C2630" s="391" t="s">
        <v>9871</v>
      </c>
      <c r="D2630" s="391" t="s">
        <v>2195</v>
      </c>
    </row>
    <row r="2631" ht="15.75" customHeight="1">
      <c r="B2631" s="391" t="s">
        <v>3346</v>
      </c>
      <c r="C2631" s="391" t="s">
        <v>9871</v>
      </c>
      <c r="D2631" s="391" t="s">
        <v>2195</v>
      </c>
    </row>
    <row r="2632" ht="15.75" customHeight="1">
      <c r="B2632" s="391" t="s">
        <v>3352</v>
      </c>
      <c r="C2632" s="391" t="s">
        <v>9871</v>
      </c>
      <c r="D2632" s="391" t="s">
        <v>2195</v>
      </c>
    </row>
    <row r="2633" ht="15.75" customHeight="1">
      <c r="B2633" s="391" t="s">
        <v>3356</v>
      </c>
      <c r="C2633" s="391" t="s">
        <v>9871</v>
      </c>
      <c r="D2633" s="391" t="s">
        <v>2195</v>
      </c>
    </row>
    <row r="2634" ht="15.75" customHeight="1">
      <c r="B2634" s="391" t="s">
        <v>3366</v>
      </c>
      <c r="C2634" s="391" t="s">
        <v>9871</v>
      </c>
      <c r="D2634" s="391" t="s">
        <v>2232</v>
      </c>
    </row>
    <row r="2635" ht="15.75" customHeight="1">
      <c r="B2635" s="391" t="s">
        <v>3358</v>
      </c>
      <c r="C2635" s="391" t="s">
        <v>9871</v>
      </c>
      <c r="D2635" s="391" t="s">
        <v>2195</v>
      </c>
    </row>
    <row r="2636" ht="15.75" customHeight="1">
      <c r="B2636" s="391" t="s">
        <v>3360</v>
      </c>
      <c r="C2636" s="391" t="s">
        <v>9871</v>
      </c>
      <c r="D2636" s="391" t="s">
        <v>2195</v>
      </c>
    </row>
    <row r="2637" ht="15.75" customHeight="1">
      <c r="B2637" s="391" t="s">
        <v>3362</v>
      </c>
      <c r="C2637" s="391" t="s">
        <v>9871</v>
      </c>
      <c r="D2637" s="391" t="s">
        <v>2195</v>
      </c>
    </row>
    <row r="2638" ht="15.75" customHeight="1">
      <c r="B2638" s="391" t="s">
        <v>3364</v>
      </c>
      <c r="C2638" s="391" t="s">
        <v>9871</v>
      </c>
      <c r="D2638" s="391" t="s">
        <v>2195</v>
      </c>
    </row>
    <row r="2639" ht="15.75" customHeight="1">
      <c r="B2639" s="391" t="s">
        <v>3344</v>
      </c>
      <c r="C2639" s="391" t="s">
        <v>9871</v>
      </c>
      <c r="D2639" s="391" t="s">
        <v>2195</v>
      </c>
    </row>
    <row r="2640" ht="15.75" customHeight="1">
      <c r="B2640" s="391" t="s">
        <v>3539</v>
      </c>
      <c r="C2640" s="391" t="s">
        <v>9871</v>
      </c>
      <c r="D2640" s="391" t="s">
        <v>2232</v>
      </c>
    </row>
    <row r="2641" ht="15.75" customHeight="1">
      <c r="B2641" s="391" t="s">
        <v>3469</v>
      </c>
      <c r="C2641" s="391" t="s">
        <v>9871</v>
      </c>
      <c r="D2641" s="391" t="s">
        <v>2232</v>
      </c>
    </row>
    <row r="2642" ht="15.75" customHeight="1">
      <c r="B2642" s="391" t="s">
        <v>9879</v>
      </c>
      <c r="C2642" s="391" t="s">
        <v>9880</v>
      </c>
      <c r="D2642" s="391" t="s">
        <v>2232</v>
      </c>
    </row>
    <row r="2643" ht="15.75" customHeight="1">
      <c r="B2643" s="391" t="s">
        <v>2741</v>
      </c>
      <c r="C2643" s="391" t="s">
        <v>9881</v>
      </c>
      <c r="D2643" s="391" t="s">
        <v>2166</v>
      </c>
    </row>
    <row r="2644" ht="15.75" customHeight="1">
      <c r="B2644" s="391" t="s">
        <v>2736</v>
      </c>
      <c r="C2644" s="391" t="s">
        <v>9882</v>
      </c>
      <c r="D2644" s="391" t="s">
        <v>2166</v>
      </c>
    </row>
    <row r="2645" ht="15.75" customHeight="1">
      <c r="B2645" s="391" t="s">
        <v>9883</v>
      </c>
      <c r="C2645" s="391" t="s">
        <v>9884</v>
      </c>
      <c r="D2645" s="391" t="s">
        <v>2232</v>
      </c>
    </row>
    <row r="2646" ht="15.75" customHeight="1">
      <c r="B2646" s="391" t="s">
        <v>2727</v>
      </c>
      <c r="C2646" s="391" t="s">
        <v>9885</v>
      </c>
      <c r="D2646" s="391" t="s">
        <v>2166</v>
      </c>
    </row>
    <row r="2647" ht="15.75" customHeight="1">
      <c r="B2647" s="391" t="s">
        <v>2723</v>
      </c>
      <c r="C2647" s="391" t="s">
        <v>9885</v>
      </c>
      <c r="D2647" s="391" t="s">
        <v>2166</v>
      </c>
    </row>
    <row r="2648" ht="15.75" customHeight="1">
      <c r="B2648" s="391" t="s">
        <v>2731</v>
      </c>
      <c r="C2648" s="391" t="s">
        <v>9885</v>
      </c>
      <c r="D2648" s="391" t="s">
        <v>2166</v>
      </c>
    </row>
    <row r="2649" ht="15.75" customHeight="1">
      <c r="B2649" s="391" t="s">
        <v>2705</v>
      </c>
      <c r="C2649" s="391" t="s">
        <v>9886</v>
      </c>
      <c r="D2649" s="391" t="s">
        <v>2232</v>
      </c>
    </row>
    <row r="2650" ht="15.75" customHeight="1">
      <c r="B2650" s="391" t="s">
        <v>2701</v>
      </c>
      <c r="C2650" s="391" t="s">
        <v>9886</v>
      </c>
      <c r="D2650" s="391" t="s">
        <v>2166</v>
      </c>
    </row>
    <row r="2651" ht="15.75" customHeight="1">
      <c r="B2651" s="391" t="s">
        <v>2697</v>
      </c>
      <c r="C2651" s="391" t="s">
        <v>9887</v>
      </c>
      <c r="D2651" s="391" t="s">
        <v>2166</v>
      </c>
    </row>
    <row r="2652" ht="15.75" customHeight="1">
      <c r="B2652" s="391" t="s">
        <v>2718</v>
      </c>
      <c r="C2652" s="391" t="s">
        <v>9888</v>
      </c>
      <c r="D2652" s="391" t="s">
        <v>2166</v>
      </c>
    </row>
    <row r="2653" ht="15.75" customHeight="1">
      <c r="B2653" s="391" t="s">
        <v>2714</v>
      </c>
      <c r="C2653" s="391" t="s">
        <v>9888</v>
      </c>
      <c r="D2653" s="391" t="s">
        <v>2166</v>
      </c>
    </row>
    <row r="2654" ht="15.75" customHeight="1">
      <c r="B2654" s="391" t="s">
        <v>2710</v>
      </c>
      <c r="C2654" s="391" t="s">
        <v>9888</v>
      </c>
      <c r="D2654" s="391" t="s">
        <v>2166</v>
      </c>
    </row>
    <row r="2655" ht="15.75" customHeight="1">
      <c r="B2655" s="391" t="s">
        <v>9889</v>
      </c>
      <c r="C2655" s="391" t="s">
        <v>9888</v>
      </c>
      <c r="D2655" s="391" t="s">
        <v>2232</v>
      </c>
    </row>
    <row r="2656" ht="15.75" customHeight="1">
      <c r="B2656" s="391" t="s">
        <v>9890</v>
      </c>
      <c r="C2656" s="391" t="s">
        <v>9891</v>
      </c>
      <c r="D2656" s="391" t="s">
        <v>2195</v>
      </c>
    </row>
    <row r="2657" ht="15.75" customHeight="1">
      <c r="B2657" s="391" t="s">
        <v>9284</v>
      </c>
      <c r="C2657" s="391" t="s">
        <v>9285</v>
      </c>
      <c r="D2657" s="391" t="s">
        <v>9892</v>
      </c>
    </row>
    <row r="2658" ht="15.75" customHeight="1">
      <c r="B2658" s="391" t="s">
        <v>4370</v>
      </c>
      <c r="C2658" s="391" t="s">
        <v>8201</v>
      </c>
      <c r="D2658" s="391" t="s">
        <v>9892</v>
      </c>
    </row>
    <row r="2659" ht="15.75" customHeight="1">
      <c r="B2659" s="391" t="s">
        <v>4374</v>
      </c>
      <c r="C2659" s="391" t="s">
        <v>8201</v>
      </c>
      <c r="D2659" s="391" t="s">
        <v>9892</v>
      </c>
    </row>
    <row r="2660" ht="15.75" customHeight="1">
      <c r="B2660" s="391" t="s">
        <v>8202</v>
      </c>
      <c r="C2660" s="391" t="s">
        <v>8201</v>
      </c>
      <c r="D2660" s="391" t="s">
        <v>2166</v>
      </c>
    </row>
    <row r="2661" ht="15.75" customHeight="1">
      <c r="B2661" s="391" t="s">
        <v>2148</v>
      </c>
      <c r="C2661" s="391" t="s">
        <v>8142</v>
      </c>
      <c r="D2661" s="391" t="s">
        <v>2232</v>
      </c>
    </row>
    <row r="2662" ht="15.75" customHeight="1">
      <c r="B2662" s="391" t="s">
        <v>6110</v>
      </c>
      <c r="C2662" s="391" t="s">
        <v>8781</v>
      </c>
      <c r="D2662" s="391" t="s">
        <v>9892</v>
      </c>
    </row>
    <row r="2663" ht="15.75" customHeight="1">
      <c r="B2663" s="391" t="s">
        <v>7409</v>
      </c>
      <c r="C2663" s="391" t="s">
        <v>7410</v>
      </c>
      <c r="D2663" s="391" t="s">
        <v>9892</v>
      </c>
    </row>
    <row r="2664" ht="15.75" customHeight="1">
      <c r="B2664" s="391" t="s">
        <v>4095</v>
      </c>
      <c r="C2664" s="391" t="s">
        <v>8314</v>
      </c>
      <c r="D2664" s="391" t="s">
        <v>2232</v>
      </c>
    </row>
    <row r="2665" ht="15.75" customHeight="1">
      <c r="B2665" s="391" t="s">
        <v>7973</v>
      </c>
      <c r="C2665" s="391" t="s">
        <v>7974</v>
      </c>
      <c r="D2665" s="391" t="s">
        <v>2166</v>
      </c>
    </row>
    <row r="2666" ht="15.75" customHeight="1">
      <c r="B2666" s="391" t="s">
        <v>3541</v>
      </c>
      <c r="C2666" s="391" t="s">
        <v>9871</v>
      </c>
      <c r="D2666" s="391" t="s">
        <v>9892</v>
      </c>
    </row>
    <row r="2667" ht="15.75" customHeight="1">
      <c r="B2667" s="391" t="s">
        <v>9680</v>
      </c>
      <c r="C2667" s="391" t="s">
        <v>9681</v>
      </c>
      <c r="D2667" s="391" t="s">
        <v>9892</v>
      </c>
    </row>
    <row r="2668" ht="15.75" customHeight="1">
      <c r="B2668" s="391" t="s">
        <v>9664</v>
      </c>
      <c r="C2668" s="391" t="s">
        <v>9665</v>
      </c>
      <c r="D2668" s="391" t="s">
        <v>9892</v>
      </c>
    </row>
    <row r="2669" ht="15.75" customHeight="1">
      <c r="B2669" s="391" t="s">
        <v>9691</v>
      </c>
      <c r="C2669" s="391" t="s">
        <v>9692</v>
      </c>
      <c r="D2669" s="391" t="s">
        <v>9892</v>
      </c>
    </row>
    <row r="2670" ht="15.75" customHeight="1">
      <c r="B2670" s="391" t="s">
        <v>9689</v>
      </c>
      <c r="C2670" s="391" t="s">
        <v>9690</v>
      </c>
      <c r="D2670" s="391" t="s">
        <v>9892</v>
      </c>
    </row>
    <row r="2671" ht="15.75" customHeight="1">
      <c r="B2671" s="391" t="s">
        <v>9666</v>
      </c>
      <c r="C2671" s="391" t="s">
        <v>9667</v>
      </c>
      <c r="D2671" s="391" t="s">
        <v>9892</v>
      </c>
    </row>
    <row r="2672" ht="15.75" customHeight="1">
      <c r="B2672" s="391">
        <v>5078166.0</v>
      </c>
      <c r="C2672" s="391" t="s">
        <v>8156</v>
      </c>
      <c r="D2672" s="391" t="s">
        <v>9892</v>
      </c>
    </row>
    <row r="2673" ht="15.75" customHeight="1">
      <c r="B2673" s="391" t="s">
        <v>9683</v>
      </c>
      <c r="C2673" s="391" t="s">
        <v>9684</v>
      </c>
      <c r="D2673" s="391" t="s">
        <v>9892</v>
      </c>
    </row>
    <row r="2674" ht="15.75" customHeight="1">
      <c r="B2674" s="391" t="s">
        <v>4610</v>
      </c>
      <c r="C2674" s="391" t="s">
        <v>8216</v>
      </c>
      <c r="D2674" s="391" t="s">
        <v>2232</v>
      </c>
    </row>
    <row r="2675" ht="15.75" customHeight="1">
      <c r="B2675" s="391">
        <v>602.0</v>
      </c>
      <c r="C2675" s="391" t="s">
        <v>7430</v>
      </c>
      <c r="D2675" s="391" t="s">
        <v>9892</v>
      </c>
    </row>
    <row r="2676" ht="15.75" customHeight="1">
      <c r="B2676" s="391">
        <v>606.0</v>
      </c>
      <c r="C2676" s="391" t="s">
        <v>7430</v>
      </c>
      <c r="D2676" s="391" t="s">
        <v>9892</v>
      </c>
    </row>
    <row r="2677" ht="15.75" customHeight="1">
      <c r="B2677" s="391">
        <v>6176.0</v>
      </c>
      <c r="C2677" s="391" t="s">
        <v>9871</v>
      </c>
      <c r="D2677" s="391" t="s">
        <v>2232</v>
      </c>
    </row>
    <row r="2678" ht="15.75" customHeight="1">
      <c r="B2678" s="391">
        <v>6800574.0</v>
      </c>
      <c r="C2678" s="391" t="s">
        <v>9815</v>
      </c>
      <c r="D2678" s="391" t="s">
        <v>9892</v>
      </c>
    </row>
    <row r="2679" ht="15.75" customHeight="1">
      <c r="B2679" s="391">
        <v>703.0</v>
      </c>
      <c r="C2679" s="391" t="s">
        <v>7429</v>
      </c>
      <c r="D2679" s="391" t="s">
        <v>2166</v>
      </c>
    </row>
    <row r="2680" ht="15.75" customHeight="1">
      <c r="B2680" s="391" t="s">
        <v>3543</v>
      </c>
      <c r="C2680" s="391" t="s">
        <v>9871</v>
      </c>
      <c r="D2680" s="391" t="s">
        <v>2232</v>
      </c>
    </row>
    <row r="2681" ht="15.75" customHeight="1">
      <c r="B2681" s="391" t="s">
        <v>3921</v>
      </c>
      <c r="C2681" s="391" t="s">
        <v>8348</v>
      </c>
      <c r="D2681" s="391" t="s">
        <v>9892</v>
      </c>
    </row>
    <row r="2682" ht="15.75" customHeight="1">
      <c r="B2682" s="391">
        <v>8124.0</v>
      </c>
      <c r="C2682" s="391" t="s">
        <v>8221</v>
      </c>
      <c r="D2682" s="391" t="s">
        <v>2232</v>
      </c>
    </row>
    <row r="2683" ht="15.75" customHeight="1">
      <c r="B2683" s="391">
        <v>8128.0</v>
      </c>
      <c r="C2683" s="391" t="s">
        <v>8221</v>
      </c>
      <c r="D2683" s="391" t="s">
        <v>9892</v>
      </c>
    </row>
    <row r="2684" ht="15.75" customHeight="1">
      <c r="B2684" s="391" t="s">
        <v>8765</v>
      </c>
      <c r="C2684" s="391" t="s">
        <v>8766</v>
      </c>
      <c r="D2684" s="391" t="s">
        <v>2166</v>
      </c>
    </row>
    <row r="2685" ht="15.75" customHeight="1">
      <c r="B2685" s="391" t="s">
        <v>3696</v>
      </c>
      <c r="C2685" s="391" t="s">
        <v>8297</v>
      </c>
      <c r="D2685" s="391" t="s">
        <v>2166</v>
      </c>
    </row>
    <row r="2686" ht="15.75" customHeight="1">
      <c r="B2686" s="391" t="s">
        <v>3701</v>
      </c>
      <c r="C2686" s="391" t="s">
        <v>8344</v>
      </c>
      <c r="D2686" s="391" t="s">
        <v>2166</v>
      </c>
    </row>
    <row r="2687" ht="15.75" customHeight="1">
      <c r="B2687" s="391" t="s">
        <v>3691</v>
      </c>
      <c r="C2687" s="391" t="s">
        <v>8309</v>
      </c>
      <c r="D2687" s="391" t="s">
        <v>2166</v>
      </c>
    </row>
    <row r="2688" ht="15.75" customHeight="1">
      <c r="B2688" s="391" t="s">
        <v>3703</v>
      </c>
      <c r="C2688" s="391" t="s">
        <v>8344</v>
      </c>
      <c r="D2688" s="391" t="s">
        <v>2166</v>
      </c>
    </row>
    <row r="2689" ht="15.75" customHeight="1">
      <c r="B2689" s="391" t="s">
        <v>4016</v>
      </c>
      <c r="C2689" s="391" t="s">
        <v>8310</v>
      </c>
      <c r="D2689" s="391" t="s">
        <v>2166</v>
      </c>
    </row>
    <row r="2690" ht="15.75" customHeight="1">
      <c r="B2690" s="391">
        <v>9800866.0</v>
      </c>
      <c r="C2690" s="391" t="s">
        <v>9815</v>
      </c>
      <c r="D2690" s="391" t="s">
        <v>9892</v>
      </c>
    </row>
    <row r="2691" ht="15.75" customHeight="1">
      <c r="B2691" s="391" t="s">
        <v>8767</v>
      </c>
      <c r="C2691" s="391" t="s">
        <v>8766</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