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Lista!$A$7:$J$2659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79" i="1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E1748"/>
  <c r="E649"/>
  <c r="J649" s="1"/>
  <c r="E850"/>
  <c r="J850" s="1"/>
  <c r="E843"/>
  <c r="E839"/>
  <c r="J839" s="1"/>
  <c r="E847"/>
  <c r="J847" s="1"/>
  <c r="E849"/>
  <c r="J849" s="1"/>
  <c r="E848"/>
  <c r="E842"/>
  <c r="J842" s="1"/>
  <c r="E838"/>
  <c r="J838" s="1"/>
  <c r="E837"/>
  <c r="J837" s="1"/>
  <c r="E840"/>
  <c r="E841"/>
  <c r="J841" s="1"/>
  <c r="E1901"/>
  <c r="E1900"/>
  <c r="E1570"/>
  <c r="E1804"/>
  <c r="E1749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E173"/>
  <c r="E155"/>
  <c r="E177"/>
  <c r="E175"/>
  <c r="E1834"/>
  <c r="E1738"/>
  <c r="J1738" s="1"/>
  <c r="E1736"/>
  <c r="E1600"/>
  <c r="E1613"/>
  <c r="E1612"/>
  <c r="E1236"/>
  <c r="E827"/>
  <c r="E826"/>
  <c r="J826" s="1"/>
  <c r="E824"/>
  <c r="J824" s="1"/>
  <c r="E768"/>
  <c r="J768" s="1"/>
  <c r="E765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E385"/>
  <c r="E331"/>
  <c r="J331" s="1"/>
  <c r="E330"/>
  <c r="J330" s="1"/>
  <c r="E506"/>
  <c r="E428"/>
  <c r="J428" s="1"/>
  <c r="E427"/>
  <c r="J427" s="1"/>
  <c r="E425"/>
  <c r="E420"/>
  <c r="E389"/>
  <c r="J389" s="1"/>
  <c r="E356"/>
  <c r="E1678"/>
  <c r="E2148"/>
  <c r="E1864"/>
  <c r="E1747"/>
  <c r="E1637"/>
  <c r="E1581"/>
  <c r="E1580"/>
  <c r="E1579"/>
  <c r="E1602"/>
  <c r="E2594"/>
  <c r="E2139"/>
  <c r="E2149"/>
  <c r="E1018"/>
  <c r="E881"/>
  <c r="E2450"/>
  <c r="E2452"/>
  <c r="E2453"/>
  <c r="E2456"/>
  <c r="E2454"/>
  <c r="E2451"/>
  <c r="E2220"/>
  <c r="E645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497"/>
  <c r="E2500"/>
  <c r="E2498"/>
  <c r="E2495"/>
  <c r="E2499"/>
  <c r="E2496"/>
  <c r="E2486"/>
  <c r="E2490"/>
  <c r="E2488"/>
  <c r="E2484"/>
  <c r="E2489"/>
  <c r="E2485"/>
  <c r="E2491"/>
  <c r="E2494"/>
  <c r="E2492"/>
  <c r="E2483"/>
  <c r="E2493"/>
  <c r="E2487"/>
  <c r="E2577"/>
  <c r="E2576"/>
  <c r="E2575"/>
  <c r="E2573"/>
  <c r="E2572"/>
  <c r="E2570"/>
  <c r="E2569"/>
  <c r="E2568"/>
  <c r="E2567"/>
  <c r="E2566"/>
  <c r="E2582"/>
  <c r="E2424"/>
  <c r="E538"/>
  <c r="J538" s="1"/>
  <c r="E580"/>
  <c r="J580" s="1"/>
  <c r="E2587"/>
  <c r="E2579"/>
  <c r="E2561"/>
  <c r="E2560"/>
  <c r="E2514"/>
  <c r="E2513"/>
  <c r="E2512"/>
  <c r="E2478"/>
  <c r="E2475"/>
  <c r="E2444"/>
  <c r="E2434"/>
  <c r="E2431"/>
  <c r="E2428"/>
  <c r="E2427"/>
  <c r="E2423"/>
  <c r="E2422"/>
  <c r="E2421"/>
  <c r="E2420"/>
  <c r="E2404"/>
  <c r="E2375"/>
  <c r="E2371"/>
  <c r="E2370"/>
  <c r="E2369"/>
  <c r="E2368"/>
  <c r="E2367"/>
  <c r="E2364"/>
  <c r="E2358"/>
  <c r="E2354"/>
  <c r="E2325"/>
  <c r="E2309"/>
  <c r="E2266"/>
  <c r="E2246"/>
  <c r="E2243"/>
  <c r="E2240"/>
  <c r="E2238"/>
  <c r="E2229"/>
  <c r="E2225"/>
  <c r="E588"/>
  <c r="E587"/>
  <c r="J587" s="1"/>
  <c r="E586"/>
  <c r="J586" s="1"/>
  <c r="E583"/>
  <c r="E558"/>
  <c r="E557"/>
  <c r="J557" s="1"/>
  <c r="E555"/>
  <c r="E554"/>
  <c r="J554" s="1"/>
  <c r="E548"/>
  <c r="E546"/>
  <c r="J546" s="1"/>
  <c r="E8"/>
  <c r="J8" s="1"/>
  <c r="E1544"/>
  <c r="E1566"/>
  <c r="E1894"/>
  <c r="E1690"/>
  <c r="E1838"/>
  <c r="E1837"/>
  <c r="E1601"/>
  <c r="E1494"/>
  <c r="E1493"/>
  <c r="E1492"/>
  <c r="E1491"/>
  <c r="E1490"/>
  <c r="E1489"/>
  <c r="E1828"/>
  <c r="E1827"/>
  <c r="E1826"/>
  <c r="E1825"/>
  <c r="E1824"/>
  <c r="E1784"/>
  <c r="J1784" s="1"/>
  <c r="E2259"/>
  <c r="E1889"/>
  <c r="E1527"/>
  <c r="E1785"/>
  <c r="E1597"/>
  <c r="E1553"/>
  <c r="E1500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E161"/>
  <c r="J161" s="1"/>
  <c r="E1484"/>
  <c r="E1483"/>
  <c r="E1792"/>
  <c r="E1796"/>
  <c r="E1803"/>
  <c r="E1846"/>
  <c r="E1799"/>
  <c r="E1798"/>
  <c r="J1798" s="1"/>
  <c r="E1898"/>
  <c r="E1897"/>
  <c r="E1693"/>
  <c r="E1741"/>
  <c r="E1802"/>
  <c r="E1866"/>
  <c r="E109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E116"/>
  <c r="J116" s="1"/>
  <c r="E1251"/>
  <c r="E1200"/>
  <c r="E1127"/>
  <c r="E993"/>
  <c r="J993" s="1"/>
  <c r="E908"/>
  <c r="J908" s="1"/>
  <c r="E2530"/>
  <c r="E2380"/>
  <c r="E2339"/>
  <c r="E1328"/>
  <c r="E192"/>
  <c r="J192" s="1"/>
  <c r="E1984"/>
  <c r="E2455"/>
  <c r="E654"/>
  <c r="E527"/>
  <c r="J527" s="1"/>
  <c r="E377"/>
  <c r="E494"/>
  <c r="E495"/>
  <c r="E2145"/>
  <c r="E2155"/>
  <c r="E2151"/>
  <c r="E2152"/>
  <c r="E2162"/>
  <c r="E2161"/>
  <c r="J2161" s="1"/>
  <c r="E2160"/>
  <c r="E2158"/>
  <c r="J2158" s="1"/>
  <c r="E2163"/>
  <c r="E2159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J364" s="1"/>
  <c r="E2318"/>
  <c r="E379"/>
  <c r="E395"/>
  <c r="E392"/>
  <c r="J392" s="1"/>
  <c r="E426"/>
  <c r="J426" s="1"/>
  <c r="E424"/>
  <c r="E381"/>
  <c r="E366"/>
  <c r="E100"/>
  <c r="J100" s="1"/>
  <c r="E71"/>
  <c r="E1781"/>
  <c r="E1859"/>
  <c r="J1859" s="1"/>
  <c r="E1530"/>
  <c r="E1715"/>
  <c r="E1333"/>
  <c r="E2449"/>
  <c r="E1331"/>
  <c r="E1302"/>
  <c r="E195"/>
  <c r="J195" s="1"/>
  <c r="E190"/>
  <c r="J190" s="1"/>
  <c r="E158"/>
  <c r="J158" s="1"/>
  <c r="E1120"/>
  <c r="E1063"/>
  <c r="E996"/>
  <c r="J996" s="1"/>
  <c r="E982"/>
  <c r="J982" s="1"/>
  <c r="E2087"/>
  <c r="E1342"/>
  <c r="E972"/>
  <c r="J972" s="1"/>
  <c r="E2651"/>
  <c r="E2635"/>
  <c r="E2628"/>
  <c r="E2531"/>
  <c r="E2260"/>
  <c r="E203"/>
  <c r="E165"/>
  <c r="J165" s="1"/>
  <c r="E1334"/>
  <c r="E1195"/>
  <c r="E960"/>
  <c r="E1029"/>
  <c r="J1029" s="1"/>
  <c r="E980"/>
  <c r="E979"/>
  <c r="J979" s="1"/>
  <c r="E1174"/>
  <c r="E1172"/>
  <c r="E1170"/>
  <c r="E1192"/>
  <c r="E1191"/>
  <c r="E1190"/>
  <c r="E1823"/>
  <c r="J2162"/>
  <c r="E1703"/>
  <c r="E1704"/>
  <c r="J1704" s="1"/>
  <c r="E1681"/>
  <c r="E1761"/>
  <c r="E1833"/>
  <c r="E1888"/>
  <c r="E1619"/>
  <c r="E1621"/>
  <c r="E647"/>
  <c r="E683"/>
  <c r="J683" s="1"/>
  <c r="J2152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3"/>
  <c r="E2395"/>
  <c r="E2418"/>
  <c r="E2417"/>
  <c r="E2415"/>
  <c r="E2413"/>
  <c r="E2414"/>
  <c r="E2411"/>
  <c r="E2586"/>
  <c r="E2408"/>
  <c r="E2403"/>
  <c r="E2401"/>
  <c r="E2400"/>
  <c r="E2398"/>
  <c r="E2397"/>
  <c r="E2571"/>
  <c r="E553"/>
  <c r="J553" s="1"/>
  <c r="E541"/>
  <c r="E2559"/>
  <c r="E2430"/>
  <c r="E2249"/>
  <c r="E2574"/>
  <c r="E2585"/>
  <c r="E2584"/>
  <c r="E2583"/>
  <c r="E2406"/>
  <c r="E2558"/>
  <c r="E2557"/>
  <c r="E2480"/>
  <c r="E2439"/>
  <c r="E2440"/>
  <c r="E2437"/>
  <c r="E2432"/>
  <c r="E2429"/>
  <c r="E2372"/>
  <c r="E2316"/>
  <c r="E2315"/>
  <c r="E2311"/>
  <c r="E2310"/>
  <c r="E2307"/>
  <c r="E2306"/>
  <c r="E2302"/>
  <c r="E2301"/>
  <c r="E2273"/>
  <c r="E2242"/>
  <c r="E2245"/>
  <c r="E2244"/>
  <c r="E2241"/>
  <c r="E2239"/>
  <c r="E2233"/>
  <c r="E2236"/>
  <c r="E2235"/>
  <c r="E2234"/>
  <c r="E2507"/>
  <c r="E2502"/>
  <c r="E2482"/>
  <c r="E2460"/>
  <c r="E2459"/>
  <c r="E2458"/>
  <c r="E2256"/>
  <c r="E2223"/>
  <c r="E2350"/>
  <c r="E2360"/>
  <c r="E2365"/>
  <c r="E2373"/>
  <c r="E2374"/>
  <c r="E2384"/>
  <c r="E2387"/>
  <c r="E2565"/>
  <c r="E2563"/>
  <c r="E2562"/>
  <c r="E2564"/>
  <c r="E2508"/>
  <c r="E2581"/>
  <c r="E2580"/>
  <c r="E2578"/>
  <c r="E2515"/>
  <c r="E2509"/>
  <c r="E2438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1"/>
  <c r="E660"/>
  <c r="J660" s="1"/>
  <c r="E1540"/>
  <c r="E1531"/>
  <c r="E1670"/>
  <c r="E1855"/>
  <c r="J1855" s="1"/>
  <c r="E1512"/>
  <c r="E532"/>
  <c r="E2211"/>
  <c r="E311"/>
  <c r="E302"/>
  <c r="E549"/>
  <c r="E2511"/>
  <c r="E2457"/>
  <c r="E2448"/>
  <c r="E2351"/>
  <c r="E2345"/>
  <c r="E2343"/>
  <c r="E2341"/>
  <c r="E2337"/>
  <c r="E2327"/>
  <c r="E2324"/>
  <c r="E2277"/>
  <c r="E2275"/>
  <c r="E2267"/>
  <c r="E2257"/>
  <c r="E2237"/>
  <c r="E2231"/>
  <c r="E2230"/>
  <c r="E1895"/>
  <c r="E1478"/>
  <c r="E1779"/>
  <c r="E1777"/>
  <c r="E1610"/>
  <c r="E1609"/>
  <c r="E1532"/>
  <c r="E1764"/>
  <c r="J1764" s="1"/>
  <c r="E1820"/>
  <c r="E1683"/>
  <c r="J1683" s="1"/>
  <c r="E533"/>
  <c r="E1377"/>
  <c r="E1376"/>
  <c r="E1375"/>
  <c r="E1374"/>
  <c r="E1373"/>
  <c r="E2501"/>
  <c r="E2462"/>
  <c r="E2436"/>
  <c r="E2349"/>
  <c r="E2342"/>
  <c r="E2338"/>
  <c r="E2319"/>
  <c r="E2317"/>
  <c r="E2298"/>
  <c r="E2297"/>
  <c r="E2290"/>
  <c r="E2287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3"/>
  <c r="E1765"/>
  <c r="E1577"/>
  <c r="E1605"/>
  <c r="E1604"/>
  <c r="E1538"/>
  <c r="E1536"/>
  <c r="E1474"/>
  <c r="E1470"/>
  <c r="E1774"/>
  <c r="E1852"/>
  <c r="E1829"/>
  <c r="E1813"/>
  <c r="E1584"/>
  <c r="E1849"/>
  <c r="E974"/>
  <c r="J974" s="1"/>
  <c r="E1211"/>
  <c r="E123"/>
  <c r="E124"/>
  <c r="E171"/>
  <c r="J171" s="1"/>
  <c r="E146"/>
  <c r="E144"/>
  <c r="J144" s="1"/>
  <c r="E147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35"/>
  <c r="E1537"/>
  <c r="E1548"/>
  <c r="E1547"/>
  <c r="E1546"/>
  <c r="E1594"/>
  <c r="E1599"/>
  <c r="E1762"/>
  <c r="E1608"/>
  <c r="E1607"/>
  <c r="E423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2"/>
  <c r="E663"/>
  <c r="J663" s="1"/>
  <c r="E458"/>
  <c r="J458" s="1"/>
  <c r="E884"/>
  <c r="E882"/>
  <c r="E887"/>
  <c r="J887" s="1"/>
  <c r="E450"/>
  <c r="J450" s="1"/>
  <c r="E461"/>
  <c r="E462"/>
  <c r="J462" s="1"/>
  <c r="E626"/>
  <c r="J626" s="1"/>
  <c r="E618"/>
  <c r="J618" s="1"/>
  <c r="E868"/>
  <c r="E1819"/>
  <c r="E1876"/>
  <c r="E1927"/>
  <c r="J1927" s="1"/>
  <c r="E1615"/>
  <c r="E1716"/>
  <c r="J1716" s="1"/>
  <c r="E1836"/>
  <c r="E1788"/>
  <c r="J2450" s="1"/>
  <c r="E1388"/>
  <c r="E1408"/>
  <c r="E1407"/>
  <c r="E1401"/>
  <c r="E1399"/>
  <c r="E1389"/>
  <c r="E2433"/>
  <c r="E634"/>
  <c r="J634" s="1"/>
  <c r="E628"/>
  <c r="E438"/>
  <c r="J438" s="1"/>
  <c r="E441"/>
  <c r="E981"/>
  <c r="J981" s="1"/>
  <c r="E1092"/>
  <c r="J1894"/>
  <c r="E1010"/>
  <c r="E1249"/>
  <c r="E969"/>
  <c r="E997"/>
  <c r="J997" s="1"/>
  <c r="E927"/>
  <c r="E1210"/>
  <c r="E1209"/>
  <c r="E1783"/>
  <c r="E1920"/>
  <c r="E1816"/>
  <c r="E1818"/>
  <c r="E1817"/>
  <c r="E1618"/>
  <c r="E1926"/>
  <c r="J1926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77"/>
  <c r="E2504"/>
  <c r="E2443"/>
  <c r="E2280"/>
  <c r="E498"/>
  <c r="E466"/>
  <c r="E493"/>
  <c r="E492"/>
  <c r="E745"/>
  <c r="E733"/>
  <c r="J733" s="1"/>
  <c r="E760"/>
  <c r="J760" s="1"/>
  <c r="E469"/>
  <c r="J469" s="1"/>
  <c r="E472"/>
  <c r="E470"/>
  <c r="J470" s="1"/>
  <c r="E784"/>
  <c r="E474"/>
  <c r="J474" s="1"/>
  <c r="E781"/>
  <c r="E782"/>
  <c r="J782" s="1"/>
  <c r="E465"/>
  <c r="E614"/>
  <c r="E391"/>
  <c r="J391" s="1"/>
  <c r="E390"/>
  <c r="E408"/>
  <c r="J408" s="1"/>
  <c r="E418"/>
  <c r="E359"/>
  <c r="J359" s="1"/>
  <c r="E396"/>
  <c r="J1846"/>
  <c r="E365"/>
  <c r="E525"/>
  <c r="E762"/>
  <c r="E761"/>
  <c r="J761" s="1"/>
  <c r="E780"/>
  <c r="E777"/>
  <c r="J777" s="1"/>
  <c r="E787"/>
  <c r="E785"/>
  <c r="E1691"/>
  <c r="E1821"/>
  <c r="E1516"/>
  <c r="E1517"/>
  <c r="E1840"/>
  <c r="E1830"/>
  <c r="E1882"/>
  <c r="E1522"/>
  <c r="E1735"/>
  <c r="E1734"/>
  <c r="E1576"/>
  <c r="E1049"/>
  <c r="E1084"/>
  <c r="E962"/>
  <c r="J962" s="1"/>
  <c r="E948"/>
  <c r="E941"/>
  <c r="J941" s="1"/>
  <c r="E926"/>
  <c r="E1515"/>
  <c r="E1916"/>
  <c r="J1916" s="1"/>
  <c r="E1875"/>
  <c r="E1524"/>
  <c r="E1523"/>
  <c r="E1521"/>
  <c r="E1519"/>
  <c r="E1518"/>
  <c r="E1896"/>
  <c r="E1575"/>
  <c r="E1603"/>
  <c r="E873"/>
  <c r="E859"/>
  <c r="J859" s="1"/>
  <c r="E617"/>
  <c r="E646"/>
  <c r="J646" s="1"/>
  <c r="E684"/>
  <c r="E685"/>
  <c r="E476"/>
  <c r="E459"/>
  <c r="J459" s="1"/>
  <c r="E453"/>
  <c r="E452"/>
  <c r="J452" s="1"/>
  <c r="E454"/>
  <c r="J454" s="1"/>
  <c r="E619"/>
  <c r="J619" s="1"/>
  <c r="E622"/>
  <c r="E1918"/>
  <c r="E1848"/>
  <c r="E1578"/>
  <c r="E1541"/>
  <c r="E1745"/>
  <c r="E1533"/>
  <c r="E1379"/>
  <c r="E1385"/>
  <c r="E1380"/>
  <c r="E1687"/>
  <c r="E1709"/>
  <c r="E1499"/>
  <c r="E1593"/>
  <c r="E1589"/>
  <c r="E1883"/>
  <c r="E1616"/>
  <c r="E1844"/>
  <c r="E1322"/>
  <c r="E967"/>
  <c r="J967" s="1"/>
  <c r="E2080"/>
  <c r="E1556"/>
  <c r="E1885"/>
  <c r="J1885" s="1"/>
  <c r="E1688"/>
  <c r="E633"/>
  <c r="J633" s="1"/>
  <c r="E630"/>
  <c r="J630" s="1"/>
  <c r="E627"/>
  <c r="E351"/>
  <c r="J351" s="1"/>
  <c r="E333"/>
  <c r="E340"/>
  <c r="E352"/>
  <c r="J352" s="1"/>
  <c r="E339"/>
  <c r="E338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45"/>
  <c r="E696"/>
  <c r="J696" s="1"/>
  <c r="E695"/>
  <c r="E2386"/>
  <c r="E664"/>
  <c r="J664" s="1"/>
  <c r="E668"/>
  <c r="J668" s="1"/>
  <c r="E2407"/>
  <c r="E2258"/>
  <c r="E2308"/>
  <c r="E2410"/>
  <c r="E2224"/>
  <c r="E2469"/>
  <c r="E2468"/>
  <c r="E2467"/>
  <c r="E2232"/>
  <c r="E2254"/>
  <c r="E2268"/>
  <c r="E2284"/>
  <c r="E2333"/>
  <c r="E2357"/>
  <c r="E589"/>
  <c r="J589" s="1"/>
  <c r="E1782"/>
  <c r="J2444" s="1"/>
  <c r="E1780"/>
  <c r="E1778"/>
  <c r="E1871"/>
  <c r="J1871" s="1"/>
  <c r="E1854"/>
  <c r="J1854" s="1"/>
  <c r="E1857"/>
  <c r="J1857" s="1"/>
  <c r="E1786"/>
  <c r="E1462"/>
  <c r="E1732"/>
  <c r="E1731"/>
  <c r="J1715"/>
  <c r="E1590"/>
  <c r="E1773"/>
  <c r="E1772"/>
  <c r="E1713"/>
  <c r="E1482"/>
  <c r="E1794"/>
  <c r="J2456" s="1"/>
  <c r="E1879"/>
  <c r="E1915"/>
  <c r="E1861"/>
  <c r="E1925"/>
  <c r="J1925" s="1"/>
  <c r="E1378"/>
  <c r="E1383"/>
  <c r="E1382"/>
  <c r="E1384"/>
  <c r="E1393"/>
  <c r="E1394"/>
  <c r="E1396"/>
  <c r="E1395"/>
  <c r="E1386"/>
  <c r="E1381"/>
  <c r="E1415"/>
  <c r="E1392"/>
  <c r="J1693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E91"/>
  <c r="J91" s="1"/>
  <c r="E90"/>
  <c r="E70"/>
  <c r="J70" s="1"/>
  <c r="E69"/>
  <c r="E1445"/>
  <c r="E1442"/>
  <c r="E1441"/>
  <c r="E1440"/>
  <c r="E1439"/>
  <c r="E1431"/>
  <c r="E1430"/>
  <c r="E1453"/>
  <c r="E1510"/>
  <c r="E1545"/>
  <c r="E1625"/>
  <c r="E1787"/>
  <c r="E1543"/>
  <c r="E1606"/>
  <c r="E2506"/>
  <c r="E866"/>
  <c r="J866" s="1"/>
  <c r="E877"/>
  <c r="J877" s="1"/>
  <c r="E2212"/>
  <c r="E2503"/>
  <c r="E2329"/>
  <c r="E2265"/>
  <c r="E2264"/>
  <c r="J2264" s="1"/>
  <c r="E2228"/>
  <c r="E2226"/>
  <c r="E2227"/>
  <c r="E2326"/>
  <c r="E863"/>
  <c r="J863" s="1"/>
  <c r="E1700"/>
  <c r="E1569"/>
  <c r="E1568"/>
  <c r="E1660"/>
  <c r="E560"/>
  <c r="E562"/>
  <c r="J562" s="1"/>
  <c r="E561"/>
  <c r="E572"/>
  <c r="J572" s="1"/>
  <c r="E574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E612"/>
  <c r="J612" s="1"/>
  <c r="E611"/>
  <c r="J611" s="1"/>
  <c r="E1486"/>
  <c r="E1801"/>
  <c r="E1485"/>
  <c r="E1800"/>
  <c r="E1480"/>
  <c r="E1795"/>
  <c r="E1481"/>
  <c r="E1793"/>
  <c r="E1479"/>
  <c r="E1791"/>
  <c r="E1555"/>
  <c r="E1596"/>
  <c r="E1842"/>
  <c r="E1841"/>
  <c r="E1652"/>
  <c r="E1649"/>
  <c r="E2194"/>
  <c r="E2195"/>
  <c r="E2192"/>
  <c r="E1591"/>
  <c r="E1520"/>
  <c r="E1273"/>
  <c r="E1196"/>
  <c r="E937"/>
  <c r="J937" s="1"/>
  <c r="E282"/>
  <c r="E1768"/>
  <c r="E1899"/>
  <c r="E1928"/>
  <c r="E1726"/>
  <c r="J1726" s="1"/>
  <c r="E307"/>
  <c r="J1570" s="1"/>
  <c r="E301"/>
  <c r="J1569" s="1"/>
  <c r="E309"/>
  <c r="J1568" s="1"/>
  <c r="E300"/>
  <c r="E596"/>
  <c r="J1566" s="1"/>
  <c r="E593"/>
  <c r="E582"/>
  <c r="J582" s="1"/>
  <c r="E519"/>
  <c r="E535"/>
  <c r="E534"/>
  <c r="J534" s="1"/>
  <c r="E400"/>
  <c r="J400" s="1"/>
  <c r="E402"/>
  <c r="J402" s="1"/>
  <c r="E2591"/>
  <c r="E2589"/>
  <c r="E2590"/>
  <c r="E2592"/>
  <c r="E2588"/>
  <c r="E1623"/>
  <c r="E1552"/>
  <c r="J1552" s="1"/>
  <c r="E1648"/>
  <c r="E1810"/>
  <c r="E1809"/>
  <c r="E1617"/>
  <c r="E1710"/>
  <c r="E1622"/>
  <c r="E1776"/>
  <c r="E1245"/>
  <c r="E1244"/>
  <c r="E1242"/>
  <c r="E957"/>
  <c r="J957" s="1"/>
  <c r="E1107"/>
  <c r="E1141"/>
  <c r="E1168"/>
  <c r="E1177"/>
  <c r="E1183"/>
  <c r="E1180"/>
  <c r="E1246"/>
  <c r="E1554"/>
  <c r="E1300"/>
  <c r="E186"/>
  <c r="J186" s="1"/>
  <c r="E187"/>
  <c r="E188"/>
  <c r="J188" s="1"/>
  <c r="E1305"/>
  <c r="E1306"/>
  <c r="J1527" s="1"/>
  <c r="E1808"/>
  <c r="E2353"/>
  <c r="E2344"/>
  <c r="J1524" s="1"/>
  <c r="E2346"/>
  <c r="E2355"/>
  <c r="E2361"/>
  <c r="E2377"/>
  <c r="E2383"/>
  <c r="E2381"/>
  <c r="E2549"/>
  <c r="E2548"/>
  <c r="E2547"/>
  <c r="E2525"/>
  <c r="E2556"/>
  <c r="E2362"/>
  <c r="E2474"/>
  <c r="E1304"/>
  <c r="E539"/>
  <c r="J539" s="1"/>
  <c r="E1476"/>
  <c r="E1475"/>
  <c r="E1564"/>
  <c r="E1914"/>
  <c r="E1905"/>
  <c r="E893"/>
  <c r="J893" s="1"/>
  <c r="E900"/>
  <c r="J900" s="1"/>
  <c r="E308"/>
  <c r="E303"/>
  <c r="J303" s="1"/>
  <c r="E312"/>
  <c r="J1499" s="1"/>
  <c r="E306"/>
  <c r="E298"/>
  <c r="E1081"/>
  <c r="E1072"/>
  <c r="E961"/>
  <c r="E913"/>
  <c r="J913" s="1"/>
  <c r="E947"/>
  <c r="E568"/>
  <c r="E1428"/>
  <c r="E1448"/>
  <c r="E515"/>
  <c r="E2615"/>
  <c r="E2614"/>
  <c r="E871"/>
  <c r="J871" s="1"/>
  <c r="E2473"/>
  <c r="J1484" s="1"/>
  <c r="E2471"/>
  <c r="E2472"/>
  <c r="E2202"/>
  <c r="E2203"/>
  <c r="E2204"/>
  <c r="E2376"/>
  <c r="E2378"/>
  <c r="E2385"/>
  <c r="E2293"/>
  <c r="J1475" s="1"/>
  <c r="E447"/>
  <c r="E830"/>
  <c r="J830" s="1"/>
  <c r="E446"/>
  <c r="J446" s="1"/>
  <c r="E318"/>
  <c r="J318" s="1"/>
  <c r="E629"/>
  <c r="J629" s="1"/>
  <c r="E520"/>
  <c r="E332"/>
  <c r="E2164"/>
  <c r="J2164" s="1"/>
  <c r="E2193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E66"/>
  <c r="E98"/>
  <c r="E61"/>
  <c r="J61" s="1"/>
  <c r="E1000"/>
  <c r="E999"/>
  <c r="E988"/>
  <c r="J988" s="1"/>
  <c r="E2274"/>
  <c r="E404"/>
  <c r="E363"/>
  <c r="E656"/>
  <c r="E350"/>
  <c r="E1806"/>
  <c r="E1847"/>
  <c r="E1877"/>
  <c r="J1440" s="1"/>
  <c r="E1878"/>
  <c r="J1439" s="1"/>
  <c r="E1585"/>
  <c r="E1811"/>
  <c r="E1694"/>
  <c r="J1694" s="1"/>
  <c r="E2051"/>
  <c r="E2048"/>
  <c r="E2047"/>
  <c r="E2077"/>
  <c r="E644"/>
  <c r="J644" s="1"/>
  <c r="E2213"/>
  <c r="E2215"/>
  <c r="E2519"/>
  <c r="E2520"/>
  <c r="E2252"/>
  <c r="E274"/>
  <c r="E2283"/>
  <c r="E2276"/>
  <c r="E273"/>
  <c r="E857"/>
  <c r="J857" s="1"/>
  <c r="E1805"/>
  <c r="E1496"/>
  <c r="J1419" s="1"/>
  <c r="E159"/>
  <c r="E938"/>
  <c r="E939"/>
  <c r="E625"/>
  <c r="E2191"/>
  <c r="E1252"/>
  <c r="E1224"/>
  <c r="E1215"/>
  <c r="E1276"/>
  <c r="E1205"/>
  <c r="E1254"/>
  <c r="E207"/>
  <c r="J207" s="1"/>
  <c r="E141"/>
  <c r="J1406" s="1"/>
  <c r="E131"/>
  <c r="J1405" s="1"/>
  <c r="E132"/>
  <c r="E1565"/>
  <c r="E1707"/>
  <c r="J1707" s="1"/>
  <c r="E1701"/>
  <c r="E1742"/>
  <c r="E1689"/>
  <c r="E1892"/>
  <c r="E1495"/>
  <c r="E2643"/>
  <c r="E2642"/>
  <c r="E2619"/>
  <c r="E1529"/>
  <c r="E1560"/>
  <c r="E1881"/>
  <c r="J1391" s="1"/>
  <c r="E1626"/>
  <c r="E1627"/>
  <c r="E1763"/>
  <c r="E1343"/>
  <c r="E565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J1374" s="1"/>
  <c r="E1456"/>
  <c r="E1455"/>
  <c r="E1454"/>
  <c r="E1444"/>
  <c r="E1443"/>
  <c r="E1446"/>
  <c r="E1870"/>
  <c r="E1869"/>
  <c r="E1891"/>
  <c r="E872"/>
  <c r="J872" s="1"/>
  <c r="E905"/>
  <c r="J905" s="1"/>
  <c r="E1166"/>
  <c r="E946"/>
  <c r="E2554"/>
  <c r="E2552"/>
  <c r="E2435"/>
  <c r="E2521"/>
  <c r="E2281"/>
  <c r="E2255"/>
  <c r="E2250"/>
  <c r="E2447"/>
  <c r="E1886"/>
  <c r="E1498"/>
  <c r="E1662"/>
  <c r="J1662" s="1"/>
  <c r="E1644"/>
  <c r="E1372"/>
  <c r="E1919"/>
  <c r="E1465"/>
  <c r="E1685"/>
  <c r="E1639"/>
  <c r="E1856"/>
  <c r="J1343" s="1"/>
  <c r="E1893"/>
  <c r="E1153"/>
  <c r="E1155"/>
  <c r="E1154"/>
  <c r="E42"/>
  <c r="E2082"/>
  <c r="E1301"/>
  <c r="E1299"/>
  <c r="E194"/>
  <c r="E2018"/>
  <c r="E1727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E105"/>
  <c r="J105" s="1"/>
  <c r="E2036"/>
  <c r="E46"/>
  <c r="J46" s="1"/>
  <c r="E53"/>
  <c r="E44"/>
  <c r="J44" s="1"/>
  <c r="E49"/>
  <c r="J49" s="1"/>
  <c r="E50"/>
  <c r="J50" s="1"/>
  <c r="E22"/>
  <c r="E20"/>
  <c r="J20" s="1"/>
  <c r="E21"/>
  <c r="E43"/>
  <c r="J43" s="1"/>
  <c r="E2067"/>
  <c r="E45"/>
  <c r="J45" s="1"/>
  <c r="E2479"/>
  <c r="J1304" s="1"/>
  <c r="E403"/>
  <c r="J403" s="1"/>
  <c r="E657"/>
  <c r="J1302" s="1"/>
  <c r="E429"/>
  <c r="J429" s="1"/>
  <c r="E376"/>
  <c r="J1300" s="1"/>
  <c r="E430"/>
  <c r="E378"/>
  <c r="J378" s="1"/>
  <c r="E397"/>
  <c r="E2524"/>
  <c r="E2523"/>
  <c r="E741"/>
  <c r="E739"/>
  <c r="J739" s="1"/>
  <c r="E133"/>
  <c r="E139"/>
  <c r="J139" s="1"/>
  <c r="E126"/>
  <c r="E130"/>
  <c r="E129"/>
  <c r="E140"/>
  <c r="J140" s="1"/>
  <c r="E1452"/>
  <c r="E1451"/>
  <c r="E1450"/>
  <c r="E1449"/>
  <c r="E1447"/>
  <c r="E1438"/>
  <c r="E1437"/>
  <c r="E1436"/>
  <c r="E1435"/>
  <c r="E1434"/>
  <c r="E1433"/>
  <c r="J1276" s="1"/>
  <c r="E1432"/>
  <c r="E1426"/>
  <c r="E2517"/>
  <c r="E2251"/>
  <c r="E2366"/>
  <c r="E2522"/>
  <c r="E2518"/>
  <c r="E2529"/>
  <c r="E2528"/>
  <c r="E2527"/>
  <c r="E2526"/>
  <c r="E2555"/>
  <c r="E2553"/>
  <c r="E2551"/>
  <c r="E2550"/>
  <c r="E2389"/>
  <c r="E2390"/>
  <c r="E1990"/>
  <c r="E1508"/>
  <c r="E2463"/>
  <c r="E191"/>
  <c r="J191" s="1"/>
  <c r="E902"/>
  <c r="J902" s="1"/>
  <c r="E2632"/>
  <c r="E2631"/>
  <c r="E2629"/>
  <c r="E2630"/>
  <c r="J1250" s="1"/>
  <c r="E1677"/>
  <c r="E1696"/>
  <c r="E1473"/>
  <c r="E2272"/>
  <c r="J1246" s="1"/>
  <c r="E2332"/>
  <c r="E2328"/>
  <c r="E2320"/>
  <c r="E2312"/>
  <c r="J1242" s="1"/>
  <c r="E2409"/>
  <c r="E2412"/>
  <c r="E2416"/>
  <c r="E2419"/>
  <c r="E2402"/>
  <c r="E2399"/>
  <c r="E2396"/>
  <c r="E2405"/>
  <c r="E2442"/>
  <c r="E2441"/>
  <c r="E2394"/>
  <c r="E2392"/>
  <c r="E2391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2"/>
  <c r="J1209" s="1"/>
  <c r="E1770"/>
  <c r="E1695"/>
  <c r="J1695" s="1"/>
  <c r="E1633"/>
  <c r="E1873"/>
  <c r="E1872"/>
  <c r="E1766"/>
  <c r="E1757"/>
  <c r="E2038"/>
  <c r="E2037"/>
  <c r="E2039"/>
  <c r="E2066"/>
  <c r="E2033"/>
  <c r="E2050"/>
  <c r="E2043"/>
  <c r="E2083"/>
  <c r="E48"/>
  <c r="J48" s="1"/>
  <c r="E2076"/>
  <c r="E1771"/>
  <c r="E1865"/>
  <c r="E1586"/>
  <c r="E874"/>
  <c r="J874" s="1"/>
  <c r="E861"/>
  <c r="J861" s="1"/>
  <c r="E854"/>
  <c r="J854" s="1"/>
  <c r="E1303"/>
  <c r="E1314"/>
  <c r="E1313"/>
  <c r="E1316"/>
  <c r="E1315"/>
  <c r="J1181" s="1"/>
  <c r="E1574"/>
  <c r="E1572"/>
  <c r="E1528"/>
  <c r="E1526"/>
  <c r="J1177" s="1"/>
  <c r="E1917"/>
  <c r="E1835"/>
  <c r="E1887"/>
  <c r="J1887" s="1"/>
  <c r="E1862"/>
  <c r="J1862" s="1"/>
  <c r="E1724"/>
  <c r="E1332"/>
  <c r="J1171" s="1"/>
  <c r="E40"/>
  <c r="E2024"/>
  <c r="E2165"/>
  <c r="J2165" s="1"/>
  <c r="E521"/>
  <c r="E2303"/>
  <c r="J1166" s="1"/>
  <c r="E2359"/>
  <c r="E2295"/>
  <c r="E2336"/>
  <c r="E2348"/>
  <c r="E2334"/>
  <c r="E2335"/>
  <c r="E2292"/>
  <c r="E2291"/>
  <c r="J1158" s="1"/>
  <c r="E2426"/>
  <c r="E2445"/>
  <c r="E2190"/>
  <c r="E1839"/>
  <c r="E360"/>
  <c r="J360" s="1"/>
  <c r="E1832"/>
  <c r="E1929"/>
  <c r="J1151" s="1"/>
  <c r="E936"/>
  <c r="J936" s="1"/>
  <c r="E1093"/>
  <c r="E944"/>
  <c r="E942"/>
  <c r="E1134"/>
  <c r="E1650"/>
  <c r="E1350"/>
  <c r="E793"/>
  <c r="J793" s="1"/>
  <c r="E792"/>
  <c r="E1091"/>
  <c r="E1133"/>
  <c r="E547"/>
  <c r="J547" s="1"/>
  <c r="E2218"/>
  <c r="J1138" s="1"/>
  <c r="E2217"/>
  <c r="E658"/>
  <c r="E297"/>
  <c r="E236"/>
  <c r="J1134" s="1"/>
  <c r="E1909"/>
  <c r="E1752"/>
  <c r="E1743"/>
  <c r="E1850"/>
  <c r="E1907"/>
  <c r="J1907" s="1"/>
  <c r="E1906"/>
  <c r="J1906" s="1"/>
  <c r="E1632"/>
  <c r="E1661"/>
  <c r="J1661" s="1"/>
  <c r="E1672"/>
  <c r="E1671"/>
  <c r="E1902"/>
  <c r="E1497"/>
  <c r="E106"/>
  <c r="J106" s="1"/>
  <c r="E2064"/>
  <c r="E1956"/>
  <c r="E1955"/>
  <c r="E1954"/>
  <c r="E1980"/>
  <c r="E1979"/>
  <c r="E1985"/>
  <c r="E2005"/>
  <c r="E2029"/>
  <c r="E2028"/>
  <c r="E2031"/>
  <c r="E888"/>
  <c r="J888" s="1"/>
  <c r="E1904"/>
  <c r="E1912"/>
  <c r="E1910"/>
  <c r="E1911"/>
  <c r="E901"/>
  <c r="J901" s="1"/>
  <c r="E501"/>
  <c r="J501" s="1"/>
  <c r="E655"/>
  <c r="E373"/>
  <c r="J373" s="1"/>
  <c r="E509"/>
  <c r="E1562"/>
  <c r="E1653"/>
  <c r="E2157"/>
  <c r="E162"/>
  <c r="J162" s="1"/>
  <c r="E1614"/>
  <c r="E2085"/>
  <c r="E1957"/>
  <c r="E821"/>
  <c r="E817"/>
  <c r="J817" s="1"/>
  <c r="E615"/>
  <c r="E692"/>
  <c r="E1831"/>
  <c r="E1758"/>
  <c r="E1725"/>
  <c r="E2596"/>
  <c r="E2595"/>
  <c r="J1084" s="1"/>
  <c r="E2597"/>
  <c r="E1797"/>
  <c r="E1368"/>
  <c r="E1346"/>
  <c r="E1921"/>
  <c r="E1924"/>
  <c r="E1923"/>
  <c r="E1922"/>
  <c r="E1327"/>
  <c r="E1240"/>
  <c r="E1220"/>
  <c r="E2214"/>
  <c r="E725"/>
  <c r="J725" s="1"/>
  <c r="E2084"/>
  <c r="E104"/>
  <c r="J104" s="1"/>
  <c r="E1595"/>
  <c r="E1746"/>
  <c r="E231"/>
  <c r="E235"/>
  <c r="J235" s="1"/>
  <c r="E233"/>
  <c r="J233" s="1"/>
  <c r="E234"/>
  <c r="E232"/>
  <c r="E2388"/>
  <c r="E2262"/>
  <c r="E2263"/>
  <c r="E2294"/>
  <c r="E2535"/>
  <c r="E2216"/>
  <c r="E299"/>
  <c r="J299" s="1"/>
  <c r="E831"/>
  <c r="E829"/>
  <c r="J829" s="1"/>
  <c r="E844"/>
  <c r="J844" s="1"/>
  <c r="E635"/>
  <c r="J635" s="1"/>
  <c r="E642"/>
  <c r="J642" s="1"/>
  <c r="E1851"/>
  <c r="J1851" s="1"/>
  <c r="E879"/>
  <c r="J879" s="1"/>
  <c r="E1951"/>
  <c r="E1940"/>
  <c r="E1981"/>
  <c r="E2009"/>
  <c r="E2010"/>
  <c r="E1934"/>
  <c r="E1323"/>
  <c r="E502"/>
  <c r="E2153"/>
  <c r="E1369"/>
  <c r="E1367"/>
  <c r="E2135"/>
  <c r="J2148" s="1"/>
  <c r="E2137"/>
  <c r="E2140"/>
  <c r="E2138"/>
  <c r="E2136"/>
  <c r="J2149" s="1"/>
  <c r="E295"/>
  <c r="E477"/>
  <c r="E1337"/>
  <c r="E1340"/>
  <c r="E1939"/>
  <c r="E1815"/>
  <c r="E1814"/>
  <c r="E383"/>
  <c r="J383" s="1"/>
  <c r="E1658"/>
  <c r="E1714"/>
  <c r="E1759"/>
  <c r="J1020"/>
  <c r="E1860"/>
  <c r="E1874"/>
  <c r="E29"/>
  <c r="J29" s="1"/>
  <c r="E1941"/>
  <c r="E489"/>
  <c r="J489" s="1"/>
  <c r="E727"/>
  <c r="E809"/>
  <c r="J809" s="1"/>
  <c r="E2481"/>
  <c r="E2470"/>
  <c r="E405"/>
  <c r="J405" s="1"/>
  <c r="E1853"/>
  <c r="E1702"/>
  <c r="E1629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2"/>
  <c r="E2059"/>
  <c r="E370"/>
  <c r="E899"/>
  <c r="E1126"/>
  <c r="E1110"/>
  <c r="E2464"/>
  <c r="E2465"/>
  <c r="E2466"/>
  <c r="J2466" s="1"/>
  <c r="E230"/>
  <c r="E227"/>
  <c r="J227" s="1"/>
  <c r="E228"/>
  <c r="J228" s="1"/>
  <c r="E226"/>
  <c r="E728"/>
  <c r="E659"/>
  <c r="J659" s="1"/>
  <c r="E706"/>
  <c r="E292"/>
  <c r="E291"/>
  <c r="J980"/>
  <c r="E624"/>
  <c r="J624" s="1"/>
  <c r="E1045"/>
  <c r="E2055"/>
  <c r="E1297"/>
  <c r="E1298"/>
  <c r="E209"/>
  <c r="E200"/>
  <c r="J200" s="1"/>
  <c r="E199"/>
  <c r="J199" s="1"/>
  <c r="E198"/>
  <c r="J198" s="1"/>
  <c r="J971"/>
  <c r="E196"/>
  <c r="J196" s="1"/>
  <c r="E201"/>
  <c r="J969"/>
  <c r="E1502"/>
  <c r="E2027"/>
  <c r="E28"/>
  <c r="J28" s="1"/>
  <c r="E1942"/>
  <c r="J1942" s="1"/>
  <c r="E1557"/>
  <c r="E1507"/>
  <c r="E1514"/>
  <c r="E1931"/>
  <c r="J961"/>
  <c r="E1933"/>
  <c r="J960"/>
  <c r="E2505"/>
  <c r="E2261"/>
  <c r="J958"/>
  <c r="E2510"/>
  <c r="E2253"/>
  <c r="E2340"/>
  <c r="E2352"/>
  <c r="E2347"/>
  <c r="E2299"/>
  <c r="E2323"/>
  <c r="E2219"/>
  <c r="E1937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3"/>
  <c r="E2648"/>
  <c r="E867"/>
  <c r="J2250" s="1"/>
  <c r="E604"/>
  <c r="J604" s="1"/>
  <c r="E835"/>
  <c r="J835" s="1"/>
  <c r="E1351"/>
  <c r="E1156"/>
  <c r="E1139"/>
  <c r="E56"/>
  <c r="J56" s="1"/>
  <c r="E150"/>
  <c r="J150" s="1"/>
  <c r="E691"/>
  <c r="E1775"/>
  <c r="E1977"/>
  <c r="J927"/>
  <c r="E808"/>
  <c r="J808" s="1"/>
  <c r="J926"/>
  <c r="E511"/>
  <c r="E512"/>
  <c r="E2068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58"/>
  <c r="E1504"/>
  <c r="E1754"/>
  <c r="E1706"/>
  <c r="E1646"/>
  <c r="E1525"/>
  <c r="E1460"/>
  <c r="E513"/>
  <c r="J513" s="1"/>
  <c r="E514"/>
  <c r="J514" s="1"/>
  <c r="E2382"/>
  <c r="E2533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1" s="1"/>
  <c r="E898"/>
  <c r="J898" s="1"/>
  <c r="E1582"/>
  <c r="E1628"/>
  <c r="E1598"/>
  <c r="J884"/>
  <c r="E1513"/>
  <c r="E715"/>
  <c r="J715" s="1"/>
  <c r="E667"/>
  <c r="J667" s="1"/>
  <c r="J881"/>
  <c r="E1348"/>
  <c r="E1347"/>
  <c r="E1345"/>
  <c r="J2275" s="1"/>
  <c r="E1344"/>
  <c r="E2300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48"/>
  <c r="J654" s="1"/>
  <c r="E2247"/>
  <c r="E313"/>
  <c r="E315"/>
  <c r="E314"/>
  <c r="E229"/>
  <c r="E225"/>
  <c r="E862"/>
  <c r="J2245" s="1"/>
  <c r="E478"/>
  <c r="E585"/>
  <c r="J585" s="1"/>
  <c r="E598"/>
  <c r="E384"/>
  <c r="J384" s="1"/>
  <c r="E382"/>
  <c r="J382" s="1"/>
  <c r="E369"/>
  <c r="J369" s="1"/>
  <c r="E407"/>
  <c r="J407" s="1"/>
  <c r="J848"/>
  <c r="E387"/>
  <c r="J387" s="1"/>
  <c r="E358"/>
  <c r="E2278"/>
  <c r="J684" s="1"/>
  <c r="E2296"/>
  <c r="E856"/>
  <c r="J843"/>
  <c r="E2286"/>
  <c r="E2285"/>
  <c r="E2060"/>
  <c r="J840"/>
  <c r="E2063"/>
  <c r="E2061"/>
  <c r="E2014"/>
  <c r="E1974"/>
  <c r="E2091"/>
  <c r="E2092"/>
  <c r="E688"/>
  <c r="E778"/>
  <c r="J778" s="1"/>
  <c r="E833"/>
  <c r="J833" s="1"/>
  <c r="E834"/>
  <c r="J834" s="1"/>
  <c r="E2461"/>
  <c r="E2330"/>
  <c r="J736" s="1"/>
  <c r="E1511"/>
  <c r="J827"/>
  <c r="E411"/>
  <c r="J411" s="1"/>
  <c r="E421"/>
  <c r="J421" s="1"/>
  <c r="E796"/>
  <c r="J796" s="1"/>
  <c r="E432"/>
  <c r="J432" s="1"/>
  <c r="E112"/>
  <c r="J112" s="1"/>
  <c r="E157"/>
  <c r="E1684"/>
  <c r="E1880"/>
  <c r="E1588"/>
  <c r="E1354"/>
  <c r="E2056"/>
  <c r="E1353"/>
  <c r="J815"/>
  <c r="E1312"/>
  <c r="E1699"/>
  <c r="E1676"/>
  <c r="E1665"/>
  <c r="J2324" s="1"/>
  <c r="E1634"/>
  <c r="E1563"/>
  <c r="E1559"/>
  <c r="E1070"/>
  <c r="E1071"/>
  <c r="J1806" s="1"/>
  <c r="E976"/>
  <c r="E1268"/>
  <c r="E114"/>
  <c r="E68"/>
  <c r="J68" s="1"/>
  <c r="E75"/>
  <c r="J75" s="1"/>
  <c r="E74"/>
  <c r="E2144"/>
  <c r="E2143"/>
  <c r="E2146"/>
  <c r="J2159" s="1"/>
  <c r="E2141"/>
  <c r="E2142"/>
  <c r="J2155" s="1"/>
  <c r="E1686"/>
  <c r="E716"/>
  <c r="J716" s="1"/>
  <c r="E1087"/>
  <c r="J792"/>
  <c r="E1086"/>
  <c r="E1085"/>
  <c r="E965"/>
  <c r="E970"/>
  <c r="E1051"/>
  <c r="J787"/>
  <c r="E1307"/>
  <c r="E2625"/>
  <c r="E2650"/>
  <c r="J784"/>
  <c r="E2626"/>
  <c r="E869"/>
  <c r="E567"/>
  <c r="J567" s="1"/>
  <c r="J781"/>
  <c r="E2111"/>
  <c r="J780"/>
  <c r="E1987"/>
  <c r="E1953"/>
  <c r="E2069"/>
  <c r="E1989"/>
  <c r="E1468"/>
  <c r="E2189"/>
  <c r="E1935"/>
  <c r="E1943"/>
  <c r="E1730"/>
  <c r="E1583"/>
  <c r="E2185"/>
  <c r="E113"/>
  <c r="E1466"/>
  <c r="E1932"/>
  <c r="J226" s="1"/>
  <c r="E797"/>
  <c r="J797" s="1"/>
  <c r="J765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59"/>
  <c r="J755"/>
  <c r="E602"/>
  <c r="J602" s="1"/>
  <c r="E1282"/>
  <c r="J753"/>
  <c r="E1286"/>
  <c r="E1108"/>
  <c r="E1361"/>
  <c r="E2041"/>
  <c r="E1769"/>
  <c r="E699"/>
  <c r="J699" s="1"/>
  <c r="E749"/>
  <c r="J749" s="1"/>
  <c r="E726"/>
  <c r="J726" s="1"/>
  <c r="J745"/>
  <c r="E724"/>
  <c r="J724" s="1"/>
  <c r="E687"/>
  <c r="J687" s="1"/>
  <c r="J743"/>
  <c r="E1945"/>
  <c r="E566"/>
  <c r="J741"/>
  <c r="E1365"/>
  <c r="E1488"/>
  <c r="J202" s="1"/>
  <c r="E1643"/>
  <c r="J738"/>
  <c r="E2356"/>
  <c r="J762" s="1"/>
  <c r="E2446"/>
  <c r="E2545"/>
  <c r="J735"/>
  <c r="E2546"/>
  <c r="E2544"/>
  <c r="E2543"/>
  <c r="E2537"/>
  <c r="E2536"/>
  <c r="E2542"/>
  <c r="E2540"/>
  <c r="E2534"/>
  <c r="E2363"/>
  <c r="E2379"/>
  <c r="E111"/>
  <c r="E115"/>
  <c r="J115" s="1"/>
  <c r="E1506"/>
  <c r="E1292"/>
  <c r="E998"/>
  <c r="E251"/>
  <c r="J251" s="1"/>
  <c r="E317"/>
  <c r="E316"/>
  <c r="E193"/>
  <c r="E977"/>
  <c r="E1363"/>
  <c r="E1682"/>
  <c r="J713"/>
  <c r="E1352"/>
  <c r="E1349"/>
  <c r="E2089"/>
  <c r="E2090"/>
  <c r="E1371"/>
  <c r="E606"/>
  <c r="J606" s="1"/>
  <c r="E605"/>
  <c r="J605" s="1"/>
  <c r="E544"/>
  <c r="E543"/>
  <c r="J543" s="1"/>
  <c r="E2209"/>
  <c r="E870"/>
  <c r="E855"/>
  <c r="E880"/>
  <c r="J700"/>
  <c r="E771"/>
  <c r="J771" s="1"/>
  <c r="E666"/>
  <c r="J666" s="1"/>
  <c r="E1311"/>
  <c r="J697"/>
  <c r="E1309"/>
  <c r="E1308"/>
  <c r="J508" s="1"/>
  <c r="E2057"/>
  <c r="E1551"/>
  <c r="E1090"/>
  <c r="E1335"/>
  <c r="E1341"/>
  <c r="J133" s="1"/>
  <c r="E1339"/>
  <c r="E1338"/>
  <c r="E1336"/>
  <c r="E1359"/>
  <c r="E1620"/>
  <c r="E357"/>
  <c r="E652"/>
  <c r="J652" s="1"/>
  <c r="E374"/>
  <c r="J374" s="1"/>
  <c r="J682"/>
  <c r="E2304"/>
  <c r="E2313"/>
  <c r="E2305"/>
  <c r="J711" s="1"/>
  <c r="E2314"/>
  <c r="J678"/>
  <c r="E2282"/>
  <c r="E2279"/>
  <c r="E1962"/>
  <c r="E1214"/>
  <c r="E1257"/>
  <c r="J673"/>
  <c r="E1267"/>
  <c r="E1046"/>
  <c r="J671"/>
  <c r="E779"/>
  <c r="J779" s="1"/>
  <c r="E1729"/>
  <c r="E1728"/>
  <c r="E54"/>
  <c r="J54" s="1"/>
  <c r="E84"/>
  <c r="E94"/>
  <c r="E62"/>
  <c r="E2006"/>
  <c r="E35"/>
  <c r="E39"/>
  <c r="J39" s="1"/>
  <c r="E2023"/>
  <c r="E989"/>
  <c r="E27"/>
  <c r="J27" s="1"/>
  <c r="J658"/>
  <c r="E1358"/>
  <c r="J657"/>
  <c r="E1963"/>
  <c r="J656"/>
  <c r="E184"/>
  <c r="J184" s="1"/>
  <c r="J655"/>
  <c r="E876"/>
  <c r="E875"/>
  <c r="E892"/>
  <c r="J892" s="1"/>
  <c r="E770"/>
  <c r="J770" s="1"/>
  <c r="E662"/>
  <c r="J662" s="1"/>
  <c r="E661"/>
  <c r="J661" s="1"/>
  <c r="E885"/>
  <c r="E878"/>
  <c r="J647"/>
  <c r="E883"/>
  <c r="E889"/>
  <c r="J645"/>
  <c r="E81"/>
  <c r="E1868"/>
  <c r="E1325"/>
  <c r="E2081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J622"/>
  <c r="E419"/>
  <c r="J419" s="1"/>
  <c r="E368"/>
  <c r="E362"/>
  <c r="J362" s="1"/>
  <c r="E2425"/>
  <c r="J831" s="1"/>
  <c r="E2331"/>
  <c r="J617"/>
  <c r="E2271"/>
  <c r="J616"/>
  <c r="E2270"/>
  <c r="J615"/>
  <c r="E2269"/>
  <c r="J614"/>
  <c r="E2289"/>
  <c r="E2288"/>
  <c r="J694" s="1"/>
  <c r="E2321"/>
  <c r="E2322"/>
  <c r="E2532"/>
  <c r="E2541"/>
  <c r="J947" s="1"/>
  <c r="E2539"/>
  <c r="J607"/>
  <c r="E2538"/>
  <c r="E2221"/>
  <c r="J627" s="1"/>
  <c r="E2222"/>
  <c r="J628" s="1"/>
  <c r="E2516"/>
  <c r="E2477"/>
  <c r="E2476"/>
  <c r="E1355"/>
  <c r="E1362"/>
  <c r="J599"/>
  <c r="E1356"/>
  <c r="E1655"/>
  <c r="E1751"/>
  <c r="J596"/>
  <c r="E1722"/>
  <c r="E2094"/>
  <c r="E2093"/>
  <c r="E2088"/>
  <c r="E2095"/>
  <c r="E2100"/>
  <c r="E2097"/>
  <c r="E2096"/>
  <c r="J588"/>
  <c r="E2098"/>
  <c r="E2099"/>
  <c r="E2049"/>
  <c r="E2079"/>
  <c r="E2035"/>
  <c r="E2045"/>
  <c r="E1310"/>
  <c r="E1364"/>
  <c r="E1366"/>
  <c r="E1370"/>
  <c r="J578"/>
  <c r="E210"/>
  <c r="J210" s="1"/>
  <c r="E1197"/>
  <c r="E1073"/>
  <c r="J1808" s="1"/>
  <c r="E1057"/>
  <c r="J1792" s="1"/>
  <c r="J574"/>
  <c r="E953"/>
  <c r="E950"/>
  <c r="E934"/>
  <c r="E1501"/>
  <c r="J215" s="1"/>
  <c r="E1867"/>
  <c r="E1913"/>
  <c r="E1750"/>
  <c r="E1807"/>
  <c r="J566"/>
  <c r="E1936"/>
  <c r="J565"/>
  <c r="E1534"/>
  <c r="J564"/>
  <c r="E143"/>
  <c r="J143" s="1"/>
  <c r="E64"/>
  <c r="E63"/>
  <c r="E99"/>
  <c r="E103"/>
  <c r="J103" s="1"/>
  <c r="E55"/>
  <c r="J558"/>
  <c r="E58"/>
  <c r="E57"/>
  <c r="J556"/>
  <c r="E895"/>
  <c r="J555"/>
  <c r="E1058"/>
  <c r="E1320"/>
  <c r="E1976"/>
  <c r="J270" s="1"/>
  <c r="E1587"/>
  <c r="E2175"/>
  <c r="E2156"/>
  <c r="E2154"/>
  <c r="J548"/>
  <c r="E2178"/>
  <c r="J2191" s="1"/>
  <c r="E2174"/>
  <c r="E2188"/>
  <c r="J545"/>
  <c r="E2167"/>
  <c r="E2176"/>
  <c r="E2187"/>
  <c r="E2186"/>
  <c r="J541"/>
  <c r="E2184"/>
  <c r="E2180"/>
  <c r="J2193" s="1"/>
  <c r="E2182"/>
  <c r="E2177"/>
  <c r="E2181"/>
  <c r="E2183"/>
  <c r="J535"/>
  <c r="E2179"/>
  <c r="E2169"/>
  <c r="J533"/>
  <c r="E2171"/>
  <c r="J532"/>
  <c r="E2166"/>
  <c r="E2170"/>
  <c r="J2183" s="1"/>
  <c r="E2172"/>
  <c r="E2168"/>
  <c r="E2150"/>
  <c r="E1239"/>
  <c r="J1974" s="1"/>
  <c r="E2030"/>
  <c r="E2074"/>
  <c r="E1760"/>
  <c r="E1756"/>
  <c r="E1630"/>
  <c r="E1884"/>
  <c r="J1884" s="1"/>
  <c r="E1318"/>
  <c r="J518" s="1"/>
  <c r="E1317"/>
  <c r="E1319"/>
  <c r="E1077"/>
  <c r="E1184"/>
  <c r="J515"/>
  <c r="E1178"/>
  <c r="E1123"/>
  <c r="E1243"/>
  <c r="E1219"/>
  <c r="E2073"/>
  <c r="E2052"/>
  <c r="E2075"/>
  <c r="E2613"/>
  <c r="E2608"/>
  <c r="J506"/>
  <c r="E1654"/>
  <c r="E1669"/>
  <c r="E2131"/>
  <c r="E2132"/>
  <c r="J502"/>
  <c r="E122"/>
  <c r="J122" s="1"/>
  <c r="E1938"/>
  <c r="E1978"/>
  <c r="E978"/>
  <c r="J498"/>
  <c r="E1078"/>
  <c r="J1813" s="1"/>
  <c r="J497"/>
  <c r="E1199"/>
  <c r="E1280"/>
  <c r="E1558"/>
  <c r="E2118"/>
  <c r="E1790"/>
  <c r="E1737"/>
  <c r="E1740"/>
  <c r="J490"/>
  <c r="E933"/>
  <c r="E185"/>
  <c r="E2124"/>
  <c r="E1161"/>
  <c r="E1261"/>
  <c r="E1238"/>
  <c r="E1237"/>
  <c r="J483"/>
  <c r="E1247"/>
  <c r="E86"/>
  <c r="J86" s="1"/>
  <c r="E67"/>
  <c r="J67" s="1"/>
  <c r="E183"/>
  <c r="J479"/>
  <c r="E1194"/>
  <c r="J478"/>
  <c r="E1193"/>
  <c r="J477"/>
  <c r="E932"/>
  <c r="J476"/>
  <c r="E1065"/>
  <c r="E954"/>
  <c r="E1026"/>
  <c r="E1022"/>
  <c r="J1757" s="1"/>
  <c r="J472"/>
  <c r="E1130"/>
  <c r="J1865" s="1"/>
  <c r="E1165"/>
  <c r="E1027"/>
  <c r="E1163"/>
  <c r="J468"/>
  <c r="E1949"/>
  <c r="E1995"/>
  <c r="E1993"/>
  <c r="E1973"/>
  <c r="E1975"/>
  <c r="J463"/>
  <c r="E1966"/>
  <c r="E1967"/>
  <c r="J461"/>
  <c r="E1968"/>
  <c r="E1969"/>
  <c r="E1970"/>
  <c r="E1971"/>
  <c r="E1972"/>
  <c r="J266" s="1"/>
  <c r="E2008"/>
  <c r="J455"/>
  <c r="E1944"/>
  <c r="E1991"/>
  <c r="J453"/>
  <c r="E1992"/>
  <c r="E26"/>
  <c r="J26" s="1"/>
  <c r="E1958"/>
  <c r="E1964"/>
  <c r="E1959"/>
  <c r="E1960"/>
  <c r="J447"/>
  <c r="E1961"/>
  <c r="E1965"/>
  <c r="E1952"/>
  <c r="J246" s="1"/>
  <c r="E1988"/>
  <c r="E1994"/>
  <c r="E2007"/>
  <c r="J441"/>
  <c r="E1948"/>
  <c r="J242" s="1"/>
  <c r="J440"/>
  <c r="E2013"/>
  <c r="E1930"/>
  <c r="E2002"/>
  <c r="E2001"/>
  <c r="E2003"/>
  <c r="E1947"/>
  <c r="E1950"/>
  <c r="J433"/>
  <c r="E1946"/>
  <c r="E1647"/>
  <c r="E1651"/>
  <c r="E2129"/>
  <c r="E2655"/>
  <c r="E2607"/>
  <c r="E2606"/>
  <c r="E2604"/>
  <c r="E2611"/>
  <c r="J424"/>
  <c r="E2612"/>
  <c r="J423"/>
  <c r="E2610"/>
  <c r="E2605"/>
  <c r="E2609"/>
  <c r="J420"/>
  <c r="E2653"/>
  <c r="E2654"/>
  <c r="J418"/>
  <c r="E2658"/>
  <c r="E2652"/>
  <c r="E2617"/>
  <c r="E2616"/>
  <c r="E2656"/>
  <c r="J413"/>
  <c r="E2657"/>
  <c r="E2649"/>
  <c r="E1112"/>
  <c r="E1274"/>
  <c r="E2025"/>
  <c r="E2022"/>
  <c r="J2085" s="1"/>
  <c r="E2042"/>
  <c r="E1561"/>
  <c r="E2128"/>
  <c r="E2123"/>
  <c r="E2127"/>
  <c r="E1011"/>
  <c r="E1059"/>
  <c r="J1794" s="1"/>
  <c r="E1164"/>
  <c r="E1104"/>
  <c r="J398"/>
  <c r="E1202"/>
  <c r="E1076"/>
  <c r="E2053"/>
  <c r="E1038"/>
  <c r="E1256"/>
  <c r="E1289"/>
  <c r="E1283"/>
  <c r="E1505"/>
  <c r="J390"/>
  <c r="E2108"/>
  <c r="E2040"/>
  <c r="E1102"/>
  <c r="J1837" s="1"/>
  <c r="E916"/>
  <c r="E1705"/>
  <c r="E1631"/>
  <c r="J2290" s="1"/>
  <c r="E1674"/>
  <c r="E2126"/>
  <c r="E2125"/>
  <c r="E858"/>
  <c r="J380"/>
  <c r="E30"/>
  <c r="J30" s="1"/>
  <c r="E1294"/>
  <c r="J494" s="1"/>
  <c r="E1295"/>
  <c r="J377"/>
  <c r="E1296"/>
  <c r="J496" s="1"/>
  <c r="E1293"/>
  <c r="E51"/>
  <c r="E1204"/>
  <c r="E1203"/>
  <c r="J1938" s="1"/>
  <c r="E1201"/>
  <c r="E1241"/>
  <c r="E1218"/>
  <c r="E1890"/>
  <c r="E1248"/>
  <c r="E973"/>
  <c r="E1147"/>
  <c r="J1882" s="1"/>
  <c r="E1074"/>
  <c r="E1187"/>
  <c r="E1188"/>
  <c r="E1186"/>
  <c r="E1101"/>
  <c r="E2054"/>
  <c r="E1539"/>
  <c r="J549" s="1"/>
  <c r="J358"/>
  <c r="E1636"/>
  <c r="E1061"/>
  <c r="E1624"/>
  <c r="E1326"/>
  <c r="J526" s="1"/>
  <c r="J354"/>
  <c r="E1052"/>
  <c r="J1787" s="1"/>
  <c r="E189"/>
  <c r="E1463"/>
  <c r="J177" s="1"/>
  <c r="E1216"/>
  <c r="E1753"/>
  <c r="E1213"/>
  <c r="J348"/>
  <c r="E1039"/>
  <c r="J347"/>
  <c r="E1464"/>
  <c r="E1822"/>
  <c r="E2199"/>
  <c r="E2198"/>
  <c r="E83"/>
  <c r="J365" s="1"/>
  <c r="E89"/>
  <c r="J341"/>
  <c r="E88"/>
  <c r="E97"/>
  <c r="J379" s="1"/>
  <c r="E73"/>
  <c r="J73" s="1"/>
  <c r="J338"/>
  <c r="E2034"/>
  <c r="E2044"/>
  <c r="E2078"/>
  <c r="E1673"/>
  <c r="E915"/>
  <c r="J333"/>
  <c r="E1117"/>
  <c r="J332"/>
  <c r="E1125"/>
  <c r="J1860" s="1"/>
  <c r="E1109"/>
  <c r="E920"/>
  <c r="E918"/>
  <c r="J328"/>
  <c r="E2603"/>
  <c r="E2602"/>
  <c r="J1003" s="1"/>
  <c r="E1088"/>
  <c r="J325"/>
  <c r="E1089"/>
  <c r="J1824" s="1"/>
  <c r="E1212"/>
  <c r="E1185"/>
  <c r="J322"/>
  <c r="E1169"/>
  <c r="E2017"/>
  <c r="J2080" s="1"/>
  <c r="E491"/>
  <c r="J491" s="1"/>
  <c r="J319"/>
  <c r="E1723"/>
  <c r="E1712"/>
  <c r="E2020"/>
  <c r="J2083" s="1"/>
  <c r="E906"/>
  <c r="E1461"/>
  <c r="J175" s="1"/>
  <c r="E1467"/>
  <c r="E1845"/>
  <c r="E2208"/>
  <c r="E2207"/>
  <c r="E2210"/>
  <c r="J2472" s="1"/>
  <c r="E2106"/>
  <c r="E2086"/>
  <c r="E2109"/>
  <c r="E2102"/>
  <c r="E2105"/>
  <c r="E2104"/>
  <c r="E2103"/>
  <c r="E2101"/>
  <c r="E2107"/>
  <c r="E2058"/>
  <c r="E860"/>
  <c r="E52"/>
  <c r="E47"/>
  <c r="E1056"/>
  <c r="J1791" s="1"/>
  <c r="E1099"/>
  <c r="E1098"/>
  <c r="J1833" s="1"/>
  <c r="E1083"/>
  <c r="J1818" s="1"/>
  <c r="E1198"/>
  <c r="E1060"/>
  <c r="J1795" s="1"/>
  <c r="E1096"/>
  <c r="J1831" s="1"/>
  <c r="E1232"/>
  <c r="E1231"/>
  <c r="E1233"/>
  <c r="E1080"/>
  <c r="J1815" s="1"/>
  <c r="E1100"/>
  <c r="E1082"/>
  <c r="E984"/>
  <c r="E992"/>
  <c r="E2634"/>
  <c r="E2627"/>
  <c r="E2640"/>
  <c r="J278"/>
  <c r="E2639"/>
  <c r="E2633"/>
  <c r="E2618"/>
  <c r="E17"/>
  <c r="E1469"/>
  <c r="J273"/>
  <c r="E910"/>
  <c r="E1148"/>
  <c r="E1066"/>
  <c r="J1801" s="1"/>
  <c r="E1067"/>
  <c r="E1068"/>
  <c r="J1803" s="1"/>
  <c r="E1006"/>
  <c r="E924"/>
  <c r="E940"/>
  <c r="E2205"/>
  <c r="J2218" s="1"/>
  <c r="E2110"/>
  <c r="E25"/>
  <c r="J25" s="1"/>
  <c r="E1079"/>
  <c r="E1040"/>
  <c r="E904"/>
  <c r="E1720"/>
  <c r="E1567"/>
  <c r="E935"/>
  <c r="E1789"/>
  <c r="E1144"/>
  <c r="J1879" s="1"/>
  <c r="E1145"/>
  <c r="E1487"/>
  <c r="J201" s="1"/>
  <c r="E1001"/>
  <c r="E1002"/>
  <c r="J250"/>
  <c r="E1259"/>
  <c r="E1260"/>
  <c r="E1222"/>
  <c r="E1270"/>
  <c r="E1269"/>
  <c r="E1048"/>
  <c r="E1035"/>
  <c r="E1044"/>
  <c r="J1779" s="1"/>
  <c r="E1050"/>
  <c r="E928"/>
  <c r="E1062"/>
  <c r="J1797" s="1"/>
  <c r="E914"/>
  <c r="E1982"/>
  <c r="E1329"/>
  <c r="J236"/>
  <c r="E1128"/>
  <c r="J1863" s="1"/>
  <c r="E949"/>
  <c r="E1324"/>
  <c r="E1043"/>
  <c r="E1262"/>
  <c r="J231"/>
  <c r="E1019"/>
  <c r="E1017"/>
  <c r="J1752" s="1"/>
  <c r="E1016"/>
  <c r="E1015"/>
  <c r="E1264"/>
  <c r="E1263"/>
  <c r="J225"/>
  <c r="E919"/>
  <c r="E1275"/>
  <c r="E1041"/>
  <c r="E1217"/>
  <c r="E1986"/>
  <c r="E1983"/>
  <c r="E2019"/>
  <c r="E2112"/>
  <c r="E1013"/>
  <c r="E851"/>
  <c r="J851" s="1"/>
  <c r="E2601"/>
  <c r="E2600"/>
  <c r="J213"/>
  <c r="E2598"/>
  <c r="E2599"/>
  <c r="J1000" s="1"/>
  <c r="E1069"/>
  <c r="E1105"/>
  <c r="J1840" s="1"/>
  <c r="J209"/>
  <c r="E1206"/>
  <c r="J208"/>
  <c r="E1226"/>
  <c r="E1223"/>
  <c r="E1550"/>
  <c r="J560" s="1"/>
  <c r="J205"/>
  <c r="E15"/>
  <c r="J204"/>
  <c r="E12"/>
  <c r="J203"/>
  <c r="E1330"/>
  <c r="J530" s="1"/>
  <c r="E584"/>
  <c r="J584" s="1"/>
  <c r="E1053"/>
  <c r="E1007"/>
  <c r="E1054"/>
  <c r="E2072"/>
  <c r="E903"/>
  <c r="E1143"/>
  <c r="J1878" s="1"/>
  <c r="E1142"/>
  <c r="J1877" s="1"/>
  <c r="J194"/>
  <c r="E1047"/>
  <c r="E1064"/>
  <c r="J1799" s="1"/>
  <c r="E1033"/>
  <c r="E995"/>
  <c r="E909"/>
  <c r="E1031"/>
  <c r="E1036"/>
  <c r="J187"/>
  <c r="E1034"/>
  <c r="E1160"/>
  <c r="J1895" s="1"/>
  <c r="E1097"/>
  <c r="E1997"/>
  <c r="E2000"/>
  <c r="E1030"/>
  <c r="E1132"/>
  <c r="E1009"/>
  <c r="J179"/>
  <c r="E2593"/>
  <c r="E1321"/>
  <c r="E2122"/>
  <c r="J176"/>
  <c r="E1055"/>
  <c r="E1509"/>
  <c r="J223" s="1"/>
  <c r="J174"/>
  <c r="E1103"/>
  <c r="E911"/>
  <c r="E1025"/>
  <c r="E1024"/>
  <c r="E1023"/>
  <c r="E1285"/>
  <c r="E1121"/>
  <c r="E1113"/>
  <c r="J166"/>
  <c r="E1106"/>
  <c r="J1841" s="1"/>
  <c r="E1288"/>
  <c r="J164"/>
  <c r="E1281"/>
  <c r="E1290"/>
  <c r="E1287"/>
  <c r="E1284"/>
  <c r="E1291"/>
  <c r="J159"/>
  <c r="E1255"/>
  <c r="J1990" s="1"/>
  <c r="E917"/>
  <c r="E1664"/>
  <c r="J2323" s="1"/>
  <c r="E2206"/>
  <c r="J155"/>
  <c r="E14"/>
  <c r="J2034" s="1"/>
  <c r="E2071"/>
  <c r="E2032"/>
  <c r="E1189"/>
  <c r="J1924" s="1"/>
  <c r="E2641"/>
  <c r="E2638"/>
  <c r="E2637"/>
  <c r="J148"/>
  <c r="E2636"/>
  <c r="J147"/>
  <c r="E2647"/>
  <c r="J146"/>
  <c r="E2646"/>
  <c r="E2645"/>
  <c r="E2644"/>
  <c r="E2624"/>
  <c r="E2623"/>
  <c r="J141"/>
  <c r="E2622"/>
  <c r="E2621"/>
  <c r="E2620"/>
  <c r="E2121"/>
  <c r="E2012"/>
  <c r="E2026"/>
  <c r="J135"/>
  <c r="E2070"/>
  <c r="E2065"/>
  <c r="E16"/>
  <c r="J132"/>
  <c r="E37"/>
  <c r="E1542"/>
  <c r="E1028"/>
  <c r="J129"/>
  <c r="E36"/>
  <c r="E38"/>
  <c r="E907"/>
  <c r="J126"/>
  <c r="E964"/>
  <c r="J125"/>
  <c r="E966"/>
  <c r="E2116"/>
  <c r="E1162"/>
  <c r="E41"/>
  <c r="E1266"/>
  <c r="E24"/>
  <c r="E956"/>
  <c r="E955"/>
  <c r="J117"/>
  <c r="E2119"/>
  <c r="E2173"/>
  <c r="E2147"/>
  <c r="E1717"/>
  <c r="E891"/>
  <c r="J891" s="1"/>
  <c r="E2004"/>
  <c r="E1998"/>
  <c r="J292" s="1"/>
  <c r="E32"/>
  <c r="J2048" s="1"/>
  <c r="J109"/>
  <c r="E31"/>
  <c r="E34"/>
  <c r="J2050" s="1"/>
  <c r="E1265"/>
  <c r="E1573"/>
  <c r="E1571"/>
  <c r="E922"/>
  <c r="E929"/>
  <c r="E975"/>
  <c r="J101"/>
  <c r="E1095"/>
  <c r="E1075"/>
  <c r="J1810" s="1"/>
  <c r="E1755"/>
  <c r="J98"/>
  <c r="E2201"/>
  <c r="E1253"/>
  <c r="E1258"/>
  <c r="E1032"/>
  <c r="J94"/>
  <c r="E13"/>
  <c r="E1908"/>
  <c r="J1908" s="1"/>
  <c r="J92"/>
  <c r="E1767"/>
  <c r="E945"/>
  <c r="J90"/>
  <c r="E921"/>
  <c r="E968"/>
  <c r="E1042"/>
  <c r="J87"/>
  <c r="E33"/>
  <c r="J2049" s="1"/>
  <c r="E925"/>
  <c r="E923"/>
  <c r="E1012"/>
  <c r="J1747" s="1"/>
  <c r="E1843"/>
  <c r="J82"/>
  <c r="E2200"/>
  <c r="J2213" s="1"/>
  <c r="E1711"/>
  <c r="J2370" s="1"/>
  <c r="E1739"/>
  <c r="J2398" s="1"/>
  <c r="E2130"/>
  <c r="E1680"/>
  <c r="E2197"/>
  <c r="E2196"/>
  <c r="E1094"/>
  <c r="E1278"/>
  <c r="E1277"/>
  <c r="E2134"/>
  <c r="J71"/>
  <c r="E2133"/>
  <c r="E2115"/>
  <c r="J69"/>
  <c r="E2114"/>
  <c r="E2113"/>
  <c r="J310" s="1"/>
  <c r="E2120"/>
  <c r="E2117"/>
  <c r="J65"/>
  <c r="E987"/>
  <c r="E943"/>
  <c r="E1004"/>
  <c r="E994"/>
  <c r="E1641"/>
  <c r="E1697"/>
  <c r="J59"/>
  <c r="E1692"/>
  <c r="J2351" s="1"/>
  <c r="E1718"/>
  <c r="E1635"/>
  <c r="E1668"/>
  <c r="E1667"/>
  <c r="E1471"/>
  <c r="J53"/>
  <c r="E1459"/>
  <c r="E23"/>
  <c r="J51"/>
  <c r="E19"/>
  <c r="E963"/>
  <c r="E931"/>
  <c r="E1129"/>
  <c r="E990"/>
  <c r="E1005"/>
  <c r="E1549"/>
  <c r="E930"/>
  <c r="E1675"/>
  <c r="J42"/>
  <c r="E1640"/>
  <c r="J2299" s="1"/>
  <c r="E1708"/>
  <c r="J40"/>
  <c r="E1638"/>
  <c r="E1698"/>
  <c r="E1279"/>
  <c r="E952"/>
  <c r="E951"/>
  <c r="J1686" s="1"/>
  <c r="E1812"/>
  <c r="E890"/>
  <c r="J890" s="1"/>
  <c r="E1679"/>
  <c r="E1657"/>
  <c r="E1645"/>
  <c r="E1642"/>
  <c r="E1666"/>
  <c r="E1663"/>
  <c r="E1659"/>
  <c r="E1719"/>
  <c r="E1721"/>
  <c r="E1744"/>
  <c r="E1503"/>
  <c r="J217" s="1"/>
  <c r="J22"/>
  <c r="E1903"/>
  <c r="J21"/>
  <c r="E18"/>
  <c r="E2021"/>
  <c r="J2084" s="1"/>
  <c r="E1656"/>
  <c r="E2011"/>
  <c r="E1999"/>
  <c r="E2046"/>
  <c r="J2109" s="1"/>
  <c r="E2016"/>
  <c r="E2015"/>
  <c r="E11"/>
  <c r="J2031" s="1"/>
  <c r="J12"/>
  <c r="E10"/>
  <c r="E9"/>
  <c r="J2029" s="1"/>
  <c r="E1996"/>
  <c r="J290" s="1"/>
  <c r="E865"/>
  <c r="E864"/>
  <c r="J1769" l="1"/>
  <c r="J1518"/>
  <c r="J1789"/>
  <c r="J852"/>
  <c r="J2314"/>
  <c r="J314"/>
  <c r="J2209"/>
  <c r="J2214"/>
  <c r="J2020"/>
  <c r="J1832"/>
  <c r="J2135"/>
  <c r="J276"/>
  <c r="J2037"/>
  <c r="J1904"/>
  <c r="J471"/>
  <c r="J493"/>
  <c r="J244"/>
  <c r="J238"/>
  <c r="J1898"/>
  <c r="J2452"/>
  <c r="J1793"/>
  <c r="J366"/>
  <c r="J561"/>
  <c r="J2431"/>
  <c r="J507"/>
  <c r="J396"/>
  <c r="J1749"/>
  <c r="J1135"/>
  <c r="J1175"/>
  <c r="J1235"/>
  <c r="J1579"/>
  <c r="J2368"/>
  <c r="J2248"/>
  <c r="J1687"/>
  <c r="J2326"/>
  <c r="J311"/>
  <c r="J2057"/>
  <c r="J2054"/>
  <c r="J1941"/>
  <c r="J524"/>
  <c r="J2451"/>
  <c r="J2229"/>
  <c r="J495"/>
  <c r="J2009"/>
  <c r="J253"/>
  <c r="J220"/>
  <c r="J948"/>
  <c r="J2437"/>
  <c r="J1182"/>
  <c r="J1422"/>
  <c r="J2449"/>
  <c r="J2377"/>
  <c r="J1763"/>
  <c r="J2036"/>
  <c r="J2219"/>
  <c r="J1848"/>
  <c r="J294"/>
  <c r="J1742"/>
  <c r="J304"/>
  <c r="J1770"/>
  <c r="J1802"/>
  <c r="J181"/>
  <c r="J1920"/>
  <c r="J1823"/>
  <c r="J1852"/>
  <c r="J1836"/>
  <c r="J1922"/>
  <c r="J1010"/>
  <c r="J243"/>
  <c r="J676"/>
  <c r="J2259"/>
  <c r="J127"/>
  <c r="J1820"/>
  <c r="J512"/>
  <c r="J2343"/>
  <c r="J939"/>
  <c r="J1225"/>
  <c r="J1589"/>
  <c r="J2476"/>
  <c r="J2247"/>
  <c r="J2078"/>
  <c r="J17"/>
  <c r="J1740"/>
  <c r="J1864"/>
  <c r="J2327"/>
  <c r="J1739"/>
  <c r="J2028"/>
  <c r="J2013"/>
  <c r="J1993"/>
  <c r="J2128"/>
  <c r="J1790"/>
  <c r="J2322"/>
  <c r="J2304"/>
  <c r="J559"/>
  <c r="J185"/>
  <c r="J1729"/>
  <c r="J316"/>
  <c r="J2075"/>
  <c r="J519"/>
  <c r="J2179"/>
  <c r="J2144"/>
  <c r="J2063"/>
  <c r="J47"/>
  <c r="J370"/>
  <c r="J88"/>
  <c r="J371"/>
  <c r="J89"/>
  <c r="J345"/>
  <c r="J63"/>
  <c r="J1299"/>
  <c r="J430"/>
  <c r="J2030"/>
  <c r="J2079"/>
  <c r="J2378"/>
  <c r="J2047"/>
  <c r="J1758"/>
  <c r="J291"/>
  <c r="J1961"/>
  <c r="J2396"/>
  <c r="J315"/>
  <c r="J356"/>
  <c r="J74"/>
  <c r="J439"/>
  <c r="J157"/>
  <c r="J312"/>
  <c r="J2426"/>
  <c r="J2033"/>
  <c r="J1988"/>
  <c r="J583"/>
  <c r="J298"/>
  <c r="J1897"/>
  <c r="J2053"/>
  <c r="J1760"/>
  <c r="J1782"/>
  <c r="J1776"/>
  <c r="J1778"/>
  <c r="J529"/>
  <c r="J1783"/>
  <c r="J1880"/>
  <c r="J1814"/>
  <c r="J183"/>
  <c r="J1966"/>
  <c r="J2068"/>
  <c r="J1951"/>
  <c r="J1939"/>
  <c r="J1773"/>
  <c r="J571"/>
  <c r="J1014"/>
  <c r="J1954"/>
  <c r="J728"/>
  <c r="J867"/>
  <c r="J706"/>
  <c r="J475"/>
  <c r="J193"/>
  <c r="J124"/>
  <c r="J317"/>
  <c r="J13"/>
  <c r="J16"/>
  <c r="J2315"/>
  <c r="J2403"/>
  <c r="J2318"/>
  <c r="J2325"/>
  <c r="J2301"/>
  <c r="J2338"/>
  <c r="J2357"/>
  <c r="J2297"/>
  <c r="J2367"/>
  <c r="J173"/>
  <c r="J2147"/>
  <c r="J1829"/>
  <c r="J1777"/>
  <c r="J1830"/>
  <c r="J2000"/>
  <c r="J1844"/>
  <c r="J2141"/>
  <c r="J1774"/>
  <c r="J262"/>
  <c r="J267"/>
  <c r="J2163"/>
  <c r="J339"/>
  <c r="J882"/>
  <c r="J2341"/>
  <c r="J785"/>
  <c r="J394"/>
  <c r="J1709"/>
  <c r="J1759"/>
  <c r="J1646"/>
  <c r="J1804"/>
  <c r="J1748"/>
  <c r="J2082"/>
  <c r="J275"/>
  <c r="J1952"/>
  <c r="J1684"/>
  <c r="J1957"/>
  <c r="J1994"/>
  <c r="J1737"/>
  <c r="J1775"/>
  <c r="J2045"/>
  <c r="J1883"/>
  <c r="J1933"/>
  <c r="J2230"/>
  <c r="J1796"/>
  <c r="J1809"/>
  <c r="J219"/>
  <c r="J2088"/>
  <c r="J1847"/>
  <c r="J301"/>
  <c r="J255"/>
  <c r="J252"/>
  <c r="J269"/>
  <c r="J1761"/>
  <c r="J2190"/>
  <c r="J340"/>
  <c r="J337"/>
  <c r="J381"/>
  <c r="J346"/>
  <c r="J425"/>
  <c r="J230"/>
  <c r="J2469"/>
  <c r="J2410"/>
  <c r="J695"/>
  <c r="J675"/>
  <c r="J677"/>
  <c r="J737"/>
  <c r="J2027"/>
  <c r="J393"/>
  <c r="J1786"/>
  <c r="J1853"/>
  <c r="J2300"/>
  <c r="J83"/>
  <c r="J114"/>
  <c r="J2001"/>
  <c r="J2052"/>
  <c r="J1867"/>
  <c r="J1995"/>
  <c r="J1947"/>
  <c r="J1976"/>
  <c r="J1092"/>
  <c r="J821"/>
  <c r="J1328"/>
  <c r="J643"/>
  <c r="J1376"/>
  <c r="J798"/>
  <c r="J2212"/>
  <c r="J1953"/>
  <c r="J2067"/>
  <c r="J1651"/>
  <c r="J1839"/>
  <c r="J2076"/>
  <c r="J1800"/>
  <c r="J1928"/>
  <c r="J349"/>
  <c r="J2399"/>
  <c r="J1934"/>
  <c r="J232"/>
  <c r="J404"/>
  <c r="J2313"/>
  <c r="J2136"/>
  <c r="J517"/>
  <c r="J2419"/>
  <c r="J2195"/>
  <c r="J544"/>
  <c r="J510"/>
  <c r="J2381"/>
  <c r="J944"/>
  <c r="J376"/>
  <c r="J509"/>
  <c r="J511"/>
  <c r="J2389"/>
  <c r="J1805"/>
  <c r="J2077"/>
  <c r="J691"/>
  <c r="J1081"/>
  <c r="J1107"/>
  <c r="J1183"/>
  <c r="J1245"/>
  <c r="J1273"/>
  <c r="J1425"/>
  <c r="J1453"/>
  <c r="J1011"/>
  <c r="J293"/>
  <c r="J2074"/>
  <c r="J2014"/>
  <c r="J41"/>
  <c r="J52"/>
  <c r="J55"/>
  <c r="J57"/>
  <c r="J1678"/>
  <c r="J2210"/>
  <c r="J2339"/>
  <c r="J99"/>
  <c r="J581"/>
  <c r="J2160"/>
  <c r="J2044"/>
  <c r="J552"/>
  <c r="J1021"/>
  <c r="J1838"/>
  <c r="J1788"/>
  <c r="J2035"/>
  <c r="J1958"/>
  <c r="J277"/>
  <c r="J1754"/>
  <c r="J1785"/>
  <c r="J1736"/>
  <c r="J577"/>
  <c r="J1741"/>
  <c r="J1817"/>
  <c r="J1834"/>
  <c r="J2243"/>
  <c r="J2382"/>
  <c r="J355"/>
  <c r="J2211"/>
  <c r="J2224"/>
  <c r="J1018"/>
  <c r="J2306"/>
  <c r="J240"/>
  <c r="J1762"/>
  <c r="J1900"/>
  <c r="J465"/>
  <c r="J1896"/>
  <c r="J467"/>
  <c r="J1858"/>
  <c r="J1913"/>
  <c r="J385"/>
  <c r="J492"/>
  <c r="J525"/>
  <c r="J466"/>
  <c r="J2055"/>
  <c r="J336"/>
  <c r="J1781"/>
  <c r="J685"/>
  <c r="J2238"/>
  <c r="J2239"/>
  <c r="J2151"/>
  <c r="J1063"/>
  <c r="J1137"/>
  <c r="J1157"/>
  <c r="J1159"/>
  <c r="J1167"/>
  <c r="J1179"/>
  <c r="J1227"/>
  <c r="J1373"/>
  <c r="J1375"/>
  <c r="J1423"/>
  <c r="J1427"/>
  <c r="J1515"/>
  <c r="J1517"/>
  <c r="J1519"/>
  <c r="J1523"/>
  <c r="J2225"/>
  <c r="J363"/>
  <c r="J2261"/>
  <c r="J2258"/>
  <c r="J2051"/>
  <c r="J300"/>
  <c r="J344"/>
  <c r="J720"/>
  <c r="J710"/>
  <c r="J2220"/>
  <c r="J128"/>
  <c r="J1825"/>
  <c r="J395"/>
  <c r="J593"/>
  <c r="J1821"/>
  <c r="J598"/>
  <c r="J2277"/>
  <c r="J1866"/>
  <c r="J2234"/>
  <c r="J1780"/>
  <c r="J1861"/>
  <c r="J2418"/>
  <c r="J1136"/>
  <c r="J1152"/>
  <c r="J1190"/>
  <c r="J1210"/>
  <c r="J1234"/>
  <c r="J1236"/>
  <c r="J1382"/>
  <c r="J1386"/>
  <c r="J1396"/>
  <c r="J1418"/>
  <c r="J1522"/>
  <c r="J1580"/>
  <c r="J2434"/>
  <c r="J2448"/>
  <c r="J2440"/>
  <c r="J2280"/>
  <c r="J1819"/>
  <c r="J1827"/>
  <c r="J2454"/>
  <c r="J2236"/>
  <c r="J899"/>
  <c r="J1093"/>
  <c r="J1211"/>
  <c r="J703"/>
  <c r="J1331"/>
  <c r="J637"/>
  <c r="J1381"/>
  <c r="J764"/>
  <c r="J1415"/>
  <c r="J625"/>
  <c r="J2038"/>
  <c r="J24"/>
  <c r="J31"/>
  <c r="J32"/>
  <c r="J33"/>
  <c r="J34"/>
  <c r="J35"/>
  <c r="J36"/>
  <c r="J37"/>
  <c r="J2334"/>
  <c r="J2039"/>
  <c r="J2043"/>
  <c r="J62"/>
  <c r="J64"/>
  <c r="J66"/>
  <c r="J81"/>
  <c r="J84"/>
  <c r="J97"/>
  <c r="J111"/>
  <c r="J113"/>
  <c r="J313"/>
  <c r="J2089"/>
  <c r="J1022"/>
  <c r="J1023"/>
  <c r="J1024"/>
  <c r="J1025"/>
  <c r="J2095"/>
  <c r="J2019"/>
  <c r="J2022"/>
  <c r="J2025"/>
  <c r="J2023"/>
  <c r="J1856"/>
  <c r="J521"/>
  <c r="J189"/>
  <c r="J999"/>
  <c r="J1001"/>
  <c r="J1002"/>
  <c r="J2010"/>
  <c r="J234"/>
  <c r="J2005"/>
  <c r="J274"/>
  <c r="J1835"/>
  <c r="J1968"/>
  <c r="J1967"/>
  <c r="J2097"/>
  <c r="J1921"/>
  <c r="J1923"/>
  <c r="J1936"/>
  <c r="J2018"/>
  <c r="J2024"/>
  <c r="J1811"/>
  <c r="J282"/>
  <c r="J2093"/>
  <c r="J2194"/>
  <c r="J597"/>
  <c r="J1932"/>
  <c r="J2142"/>
  <c r="J2388"/>
  <c r="J130"/>
  <c r="J131"/>
  <c r="J2471"/>
  <c r="J744"/>
  <c r="J569"/>
  <c r="J573"/>
  <c r="J653"/>
  <c r="J2274"/>
  <c r="J1881"/>
  <c r="J897"/>
  <c r="J1874"/>
  <c r="J1984"/>
  <c r="J2436"/>
  <c r="J2439"/>
  <c r="J1937"/>
  <c r="J1899"/>
  <c r="J1746"/>
  <c r="J1008"/>
  <c r="J297"/>
  <c r="J295"/>
  <c r="J1929"/>
  <c r="J368"/>
  <c r="J568"/>
  <c r="J2138"/>
  <c r="J1919"/>
  <c r="J2137"/>
  <c r="J2192"/>
  <c r="J520"/>
  <c r="J1685"/>
  <c r="J938"/>
  <c r="J727"/>
  <c r="J688"/>
  <c r="J719"/>
  <c r="J397"/>
  <c r="J769"/>
  <c r="J946"/>
  <c r="J942"/>
  <c r="J2202"/>
  <c r="J2157"/>
  <c r="J350"/>
  <c r="J692"/>
  <c r="J2228"/>
  <c r="J788"/>
  <c r="J1891"/>
  <c r="J2153"/>
  <c r="J1072"/>
  <c r="J1154"/>
  <c r="J1180"/>
  <c r="J1252"/>
  <c r="J1424"/>
  <c r="J2133"/>
  <c r="J2134"/>
  <c r="J2103"/>
  <c r="J2105"/>
  <c r="J894"/>
  <c r="J1487"/>
  <c r="J1497"/>
  <c r="J1505"/>
  <c r="J2182"/>
  <c r="J2098"/>
  <c r="J1498"/>
  <c r="J1504"/>
  <c r="J2294"/>
  <c r="J212"/>
  <c r="J218"/>
  <c r="J271"/>
  <c r="J305"/>
  <c r="J306"/>
  <c r="J307"/>
  <c r="J2371"/>
  <c r="J2332"/>
  <c r="J2295"/>
  <c r="J2241"/>
  <c r="J2364"/>
  <c r="J288"/>
  <c r="J286"/>
  <c r="J285"/>
  <c r="J302"/>
  <c r="J261"/>
  <c r="J260"/>
  <c r="J289"/>
  <c r="J2409"/>
  <c r="J2266"/>
  <c r="J2253"/>
  <c r="J123"/>
  <c r="J281"/>
  <c r="J2252"/>
  <c r="J2345"/>
  <c r="J2293"/>
  <c r="J2358"/>
  <c r="J2233"/>
  <c r="J2413"/>
  <c r="J2361"/>
  <c r="J2260"/>
  <c r="J2287"/>
  <c r="J2407"/>
  <c r="J2404"/>
  <c r="J2256"/>
  <c r="J2350"/>
  <c r="J2375"/>
  <c r="J2421"/>
  <c r="J2424"/>
  <c r="J2423"/>
  <c r="J2397"/>
  <c r="J2316"/>
  <c r="J168"/>
  <c r="J180"/>
  <c r="J309"/>
  <c r="J308"/>
  <c r="J178"/>
  <c r="J2333"/>
  <c r="J2310"/>
  <c r="J241"/>
  <c r="J296"/>
  <c r="J287"/>
  <c r="J272"/>
  <c r="J2328"/>
  <c r="J239"/>
  <c r="J283"/>
  <c r="J247"/>
  <c r="J2235"/>
  <c r="J2392"/>
  <c r="J2317"/>
  <c r="J2249"/>
  <c r="J2284"/>
  <c r="J2372"/>
  <c r="J2242"/>
  <c r="J2393"/>
  <c r="J2267"/>
  <c r="J2337"/>
  <c r="J2406"/>
  <c r="J2408"/>
  <c r="J2395"/>
  <c r="J2420"/>
  <c r="J1725"/>
  <c r="J990"/>
  <c r="J1666"/>
  <c r="J931"/>
  <c r="J1698"/>
  <c r="J963"/>
  <c r="J1652"/>
  <c r="J917"/>
  <c r="J2026"/>
  <c r="J2016"/>
  <c r="J994"/>
  <c r="J1744"/>
  <c r="J1999"/>
  <c r="J1750"/>
  <c r="J1015"/>
  <c r="J1751"/>
  <c r="J1016"/>
  <c r="J1997"/>
  <c r="J1670"/>
  <c r="J935"/>
  <c r="J2379"/>
  <c r="J1720"/>
  <c r="J1659"/>
  <c r="J924"/>
  <c r="J1645"/>
  <c r="J910"/>
  <c r="J1019"/>
  <c r="J1028"/>
  <c r="J1727"/>
  <c r="J992"/>
  <c r="J2121"/>
  <c r="J1004"/>
  <c r="J1653"/>
  <c r="J918"/>
  <c r="J1655"/>
  <c r="J920"/>
  <c r="J1650"/>
  <c r="J915"/>
  <c r="J2412"/>
  <c r="J1753"/>
  <c r="J2117"/>
  <c r="J2046"/>
  <c r="J1017"/>
  <c r="J1006"/>
  <c r="J1013"/>
  <c r="J1012"/>
  <c r="J259"/>
  <c r="J1965"/>
  <c r="J254"/>
  <c r="J1960"/>
  <c r="J258"/>
  <c r="J1964"/>
  <c r="J14"/>
  <c r="J265"/>
  <c r="J1971"/>
  <c r="J264"/>
  <c r="J1970"/>
  <c r="J263"/>
  <c r="J1969"/>
  <c r="J1689"/>
  <c r="J954"/>
  <c r="J1713"/>
  <c r="J978"/>
  <c r="J1009"/>
  <c r="J1978"/>
  <c r="J1812"/>
  <c r="J2181"/>
  <c r="J2168"/>
  <c r="J2184"/>
  <c r="J2171"/>
  <c r="J2196"/>
  <c r="J2197"/>
  <c r="J2199"/>
  <c r="J2200"/>
  <c r="J2189"/>
  <c r="J2176"/>
  <c r="J2169"/>
  <c r="J2188"/>
  <c r="J2175"/>
  <c r="J1688"/>
  <c r="J953"/>
  <c r="J2108"/>
  <c r="J2272"/>
  <c r="J889"/>
  <c r="J2268"/>
  <c r="J885"/>
  <c r="J257"/>
  <c r="J1963"/>
  <c r="J15"/>
  <c r="J1724"/>
  <c r="J989"/>
  <c r="J2086"/>
  <c r="J2387"/>
  <c r="J1728"/>
  <c r="J2002"/>
  <c r="J1992"/>
  <c r="J1949"/>
  <c r="J2263"/>
  <c r="J880"/>
  <c r="J1712"/>
  <c r="J977"/>
  <c r="J1733"/>
  <c r="J998"/>
  <c r="J943"/>
  <c r="J949"/>
  <c r="J950"/>
  <c r="J952"/>
  <c r="J951"/>
  <c r="J2302"/>
  <c r="J1643"/>
  <c r="J2104"/>
  <c r="J1843"/>
  <c r="J2021"/>
  <c r="J2017"/>
  <c r="J2198"/>
  <c r="J237"/>
  <c r="J1943"/>
  <c r="J229"/>
  <c r="J1935"/>
  <c r="J2132"/>
  <c r="J1027"/>
  <c r="J1705"/>
  <c r="J970"/>
  <c r="J1700"/>
  <c r="J965"/>
  <c r="J1822"/>
  <c r="J2154"/>
  <c r="J2156"/>
  <c r="J357"/>
  <c r="J2003"/>
  <c r="J1711"/>
  <c r="J976"/>
  <c r="J2335"/>
  <c r="J1676"/>
  <c r="J2119"/>
  <c r="J869"/>
  <c r="J870"/>
  <c r="J875"/>
  <c r="J876"/>
  <c r="J878"/>
  <c r="J2380"/>
  <c r="J1721"/>
  <c r="J1665"/>
  <c r="J930"/>
  <c r="J9"/>
  <c r="J10"/>
  <c r="J11"/>
  <c r="J18"/>
  <c r="J19"/>
  <c r="J23"/>
  <c r="J38"/>
  <c r="J2356"/>
  <c r="J1697"/>
  <c r="J1722"/>
  <c r="J987"/>
  <c r="J2012"/>
  <c r="J1658"/>
  <c r="J923"/>
  <c r="J1660"/>
  <c r="J925"/>
  <c r="J1703"/>
  <c r="J968"/>
  <c r="J1656"/>
  <c r="J921"/>
  <c r="J1680"/>
  <c r="J1767"/>
  <c r="J1032"/>
  <c r="J2414"/>
  <c r="J1755"/>
  <c r="J1710"/>
  <c r="J975"/>
  <c r="J1664"/>
  <c r="J929"/>
  <c r="J1657"/>
  <c r="J2376"/>
  <c r="J1717"/>
  <c r="J2186"/>
  <c r="J2173"/>
  <c r="J1690"/>
  <c r="J955"/>
  <c r="J1691"/>
  <c r="J956"/>
  <c r="J1701"/>
  <c r="J966"/>
  <c r="J1699"/>
  <c r="J964"/>
  <c r="J1642"/>
  <c r="J907"/>
  <c r="J1765"/>
  <c r="J1030"/>
  <c r="J1771"/>
  <c r="J1036"/>
  <c r="J1766"/>
  <c r="J1031"/>
  <c r="J1644"/>
  <c r="J909"/>
  <c r="J1730"/>
  <c r="J995"/>
  <c r="J1768"/>
  <c r="J1033"/>
  <c r="J1638"/>
  <c r="J903"/>
  <c r="J2032"/>
  <c r="J280"/>
  <c r="J1986"/>
  <c r="J1654"/>
  <c r="J919"/>
  <c r="J1998"/>
  <c r="J1649"/>
  <c r="J914"/>
  <c r="J1663"/>
  <c r="J928"/>
  <c r="J2004"/>
  <c r="J1639"/>
  <c r="J904"/>
  <c r="J1675"/>
  <c r="J1034"/>
  <c r="J1035"/>
  <c r="J1719"/>
  <c r="J984"/>
  <c r="J1641"/>
  <c r="J906"/>
  <c r="J2107"/>
  <c r="J1948"/>
  <c r="J1708"/>
  <c r="J973"/>
  <c r="J1983"/>
  <c r="J1991"/>
  <c r="J2116"/>
  <c r="J1005"/>
  <c r="J1007"/>
  <c r="J224"/>
  <c r="J1930"/>
  <c r="J1667"/>
  <c r="J932"/>
  <c r="J1982"/>
  <c r="J1972"/>
  <c r="J1973"/>
  <c r="J1996"/>
  <c r="J1668"/>
  <c r="J933"/>
  <c r="J2015"/>
  <c r="J2115"/>
  <c r="J2289"/>
  <c r="J2415"/>
  <c r="J1756"/>
  <c r="J2185"/>
  <c r="J2172"/>
  <c r="J2180"/>
  <c r="J2201"/>
  <c r="J2187"/>
  <c r="J2174"/>
  <c r="J2167"/>
  <c r="J2232"/>
  <c r="J895"/>
  <c r="J1669"/>
  <c r="J934"/>
  <c r="J2112"/>
  <c r="J883"/>
  <c r="J922"/>
  <c r="J945"/>
  <c r="J256"/>
  <c r="J1962"/>
  <c r="J2120"/>
  <c r="J58"/>
  <c r="J940"/>
  <c r="J1026"/>
  <c r="J2124"/>
  <c r="J2126"/>
  <c r="J2123"/>
  <c r="J702"/>
  <c r="J2296"/>
  <c r="J855"/>
  <c r="J856"/>
  <c r="J858"/>
  <c r="J860"/>
  <c r="J862"/>
  <c r="J864"/>
  <c r="J865"/>
  <c r="J2131"/>
  <c r="J916"/>
  <c r="J911"/>
  <c r="J2090"/>
  <c r="J2118"/>
  <c r="J1845"/>
  <c r="J2288"/>
  <c r="J1043"/>
  <c r="J1061"/>
  <c r="J1065"/>
  <c r="J1069"/>
  <c r="J1071"/>
  <c r="J1075"/>
  <c r="J1077"/>
  <c r="J1079"/>
  <c r="J1083"/>
  <c r="J1085"/>
  <c r="J1095"/>
  <c r="J1101"/>
  <c r="J1103"/>
  <c r="J1105"/>
  <c r="J1911"/>
  <c r="J1117"/>
  <c r="J1119"/>
  <c r="J1956"/>
  <c r="J1121"/>
  <c r="J1123"/>
  <c r="J1902"/>
  <c r="J1133"/>
  <c r="J1909"/>
  <c r="J1139"/>
  <c r="J1143"/>
  <c r="J1165"/>
  <c r="J1189"/>
  <c r="J1205"/>
  <c r="J1873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0"/>
  <c r="J1369"/>
  <c r="J1371"/>
  <c r="J1443"/>
  <c r="J1451"/>
  <c r="J1471"/>
  <c r="J2278"/>
  <c r="J608"/>
  <c r="J592"/>
  <c r="J2269"/>
  <c r="J2305"/>
  <c r="J2365"/>
  <c r="J1706"/>
  <c r="J2122"/>
  <c r="J2125"/>
  <c r="J2373"/>
  <c r="J1714"/>
  <c r="J2150"/>
  <c r="J1044"/>
  <c r="J1052"/>
  <c r="J1062"/>
  <c r="J1064"/>
  <c r="J1066"/>
  <c r="J1068"/>
  <c r="J1070"/>
  <c r="J1076"/>
  <c r="J1078"/>
  <c r="J1094"/>
  <c r="J1096"/>
  <c r="J1102"/>
  <c r="J1106"/>
  <c r="J1910"/>
  <c r="J1108"/>
  <c r="J1118"/>
  <c r="J1130"/>
  <c r="J1142"/>
  <c r="J1144"/>
  <c r="J1156"/>
  <c r="J1160"/>
  <c r="J1162"/>
  <c r="J1164"/>
  <c r="J1176"/>
  <c r="J1917"/>
  <c r="J1178"/>
  <c r="J1204"/>
  <c r="J1872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3"/>
  <c r="J1352"/>
  <c r="J1886"/>
  <c r="J1354"/>
  <c r="J1356"/>
  <c r="J1358"/>
  <c r="J1360"/>
  <c r="J1368"/>
  <c r="J1370"/>
  <c r="J1372"/>
  <c r="J1398"/>
  <c r="J1892"/>
  <c r="J1426"/>
  <c r="J1438"/>
  <c r="J1444"/>
  <c r="J1452"/>
  <c r="J1454"/>
  <c r="J1456"/>
  <c r="J1462"/>
  <c r="J1472"/>
  <c r="J1474"/>
  <c r="J1476"/>
  <c r="J1478"/>
  <c r="J1500"/>
  <c r="J1508"/>
  <c r="J1510"/>
  <c r="J1560"/>
  <c r="J1562"/>
  <c r="J1564"/>
  <c r="J2282"/>
  <c r="J2283"/>
  <c r="J1772"/>
  <c r="J2143"/>
  <c r="J2070"/>
  <c r="J2281"/>
  <c r="J2394"/>
  <c r="J1945"/>
  <c r="J2251"/>
  <c r="J2270"/>
  <c r="J2342"/>
  <c r="J2329"/>
  <c r="J2221"/>
  <c r="J2340"/>
  <c r="J2374"/>
  <c r="J2464"/>
  <c r="J2352"/>
  <c r="J2461"/>
  <c r="J2465"/>
  <c r="J2498"/>
  <c r="J1473"/>
  <c r="J1477"/>
  <c r="J1501"/>
  <c r="J1503"/>
  <c r="J1507"/>
  <c r="J1529"/>
  <c r="J1561"/>
  <c r="J1567"/>
  <c r="J1591"/>
  <c r="J2285"/>
  <c r="J2279"/>
  <c r="J2435"/>
  <c r="J2390"/>
  <c r="J2391"/>
  <c r="J2442"/>
  <c r="J1731"/>
  <c r="J1732"/>
  <c r="J2347"/>
  <c r="J1702"/>
  <c r="J2346"/>
  <c r="J2286"/>
  <c r="J2072"/>
  <c r="J2445"/>
  <c r="J1944"/>
  <c r="J1905"/>
  <c r="J1914"/>
  <c r="J2265"/>
  <c r="J1875"/>
  <c r="J1946"/>
  <c r="J2441"/>
  <c r="J2073"/>
  <c r="J2363"/>
  <c r="J2362"/>
  <c r="J2443"/>
  <c r="J2400"/>
  <c r="J2460"/>
  <c r="J2458"/>
  <c r="J2447"/>
  <c r="J2446"/>
  <c r="J2349"/>
  <c r="J1038"/>
  <c r="J1040"/>
  <c r="J1042"/>
  <c r="J1046"/>
  <c r="J1048"/>
  <c r="J2262"/>
  <c r="J1050"/>
  <c r="J1054"/>
  <c r="J1056"/>
  <c r="J1058"/>
  <c r="J1060"/>
  <c r="J1074"/>
  <c r="J1975"/>
  <c r="J1080"/>
  <c r="J2276"/>
  <c r="J1082"/>
  <c r="J2459"/>
  <c r="J1086"/>
  <c r="J2384"/>
  <c r="J1088"/>
  <c r="J1090"/>
  <c r="J1098"/>
  <c r="J2312"/>
  <c r="J1100"/>
  <c r="J1104"/>
  <c r="J2428"/>
  <c r="J1110"/>
  <c r="J2094"/>
  <c r="J1112"/>
  <c r="J2092"/>
  <c r="J1114"/>
  <c r="J1116"/>
  <c r="J1120"/>
  <c r="J2127"/>
  <c r="J1122"/>
  <c r="J1124"/>
  <c r="J2330"/>
  <c r="J1126"/>
  <c r="J2320"/>
  <c r="J1128"/>
  <c r="J1132"/>
  <c r="J2411"/>
  <c r="J1140"/>
  <c r="J1868"/>
  <c r="J1146"/>
  <c r="J1869"/>
  <c r="J1148"/>
  <c r="J1679"/>
  <c r="J1150"/>
  <c r="J1671"/>
  <c r="J1168"/>
  <c r="J2178"/>
  <c r="J1170"/>
  <c r="J2056"/>
  <c r="J1172"/>
  <c r="J2383"/>
  <c r="J1174"/>
  <c r="J1184"/>
  <c r="J1186"/>
  <c r="J2237"/>
  <c r="J1188"/>
  <c r="J2257"/>
  <c r="J1192"/>
  <c r="J2139"/>
  <c r="J1194"/>
  <c r="J2146"/>
  <c r="J1196"/>
  <c r="J2113"/>
  <c r="J1198"/>
  <c r="J2129"/>
  <c r="J1200"/>
  <c r="J2100"/>
  <c r="J1202"/>
  <c r="J2416"/>
  <c r="J1206"/>
  <c r="J2292"/>
  <c r="J1208"/>
  <c r="J2432"/>
  <c r="J1216"/>
  <c r="J1850"/>
  <c r="J1218"/>
  <c r="J2007"/>
  <c r="J1220"/>
  <c r="J1222"/>
  <c r="J1228"/>
  <c r="J1849"/>
  <c r="J1230"/>
  <c r="J1244"/>
  <c r="J1248"/>
  <c r="J2355"/>
  <c r="J1254"/>
  <c r="J2429"/>
  <c r="J1256"/>
  <c r="J1260"/>
  <c r="J1278"/>
  <c r="J1284"/>
  <c r="J1286"/>
  <c r="J1306"/>
  <c r="J2130"/>
  <c r="J1308"/>
  <c r="J2041"/>
  <c r="J1310"/>
  <c r="J2042"/>
  <c r="J1312"/>
  <c r="J2065"/>
  <c r="J1314"/>
  <c r="J2069"/>
  <c r="J1316"/>
  <c r="J2099"/>
  <c r="J1322"/>
  <c r="J1985"/>
  <c r="J1326"/>
  <c r="J1332"/>
  <c r="J2386"/>
  <c r="J1334"/>
  <c r="J1336"/>
  <c r="J1338"/>
  <c r="J2058"/>
  <c r="J1340"/>
  <c r="J1890"/>
  <c r="J1344"/>
  <c r="J2298"/>
  <c r="J1346"/>
  <c r="J1348"/>
  <c r="J1350"/>
  <c r="J2321"/>
  <c r="J1362"/>
  <c r="J1901"/>
  <c r="J1364"/>
  <c r="J2255"/>
  <c r="J1366"/>
  <c r="J1378"/>
  <c r="J1380"/>
  <c r="J1384"/>
  <c r="J1388"/>
  <c r="J2422"/>
  <c r="J1390"/>
  <c r="J2226"/>
  <c r="J1392"/>
  <c r="J1394"/>
  <c r="J1400"/>
  <c r="J2401"/>
  <c r="J1402"/>
  <c r="J2366"/>
  <c r="J1404"/>
  <c r="J1408"/>
  <c r="J1989"/>
  <c r="J1410"/>
  <c r="J2011"/>
  <c r="J1412"/>
  <c r="J1959"/>
  <c r="J1414"/>
  <c r="J2204"/>
  <c r="J1416"/>
  <c r="J1674"/>
  <c r="J1420"/>
  <c r="J2467"/>
  <c r="J1428"/>
  <c r="J1430"/>
  <c r="J1432"/>
  <c r="J2140"/>
  <c r="J1434"/>
  <c r="J2111"/>
  <c r="J1436"/>
  <c r="J2353"/>
  <c r="J1442"/>
  <c r="J2468"/>
  <c r="J1446"/>
  <c r="J1448"/>
  <c r="J1723"/>
  <c r="J1450"/>
  <c r="J1735"/>
  <c r="J1458"/>
  <c r="J1460"/>
  <c r="J1464"/>
  <c r="J1466"/>
  <c r="J2206"/>
  <c r="J1468"/>
  <c r="J1470"/>
  <c r="J1480"/>
  <c r="J2216"/>
  <c r="J1482"/>
  <c r="J1486"/>
  <c r="J1488"/>
  <c r="J1490"/>
  <c r="J1492"/>
  <c r="J1682"/>
  <c r="J1494"/>
  <c r="J1696"/>
  <c r="J1496"/>
  <c r="J1816"/>
  <c r="J1502"/>
  <c r="J2427"/>
  <c r="J1506"/>
  <c r="J1512"/>
  <c r="J1514"/>
  <c r="J1516"/>
  <c r="J1520"/>
  <c r="J1526"/>
  <c r="J2470"/>
  <c r="J1528"/>
  <c r="J1530"/>
  <c r="J1532"/>
  <c r="J1534"/>
  <c r="J1981"/>
  <c r="J1536"/>
  <c r="J1918"/>
  <c r="J1538"/>
  <c r="J1903"/>
  <c r="J1540"/>
  <c r="J1842"/>
  <c r="J1542"/>
  <c r="J1977"/>
  <c r="J1544"/>
  <c r="J1980"/>
  <c r="J1546"/>
  <c r="J2222"/>
  <c r="J1548"/>
  <c r="J2071"/>
  <c r="J1550"/>
  <c r="J2474"/>
  <c r="J1554"/>
  <c r="J1633"/>
  <c r="J1556"/>
  <c r="J1635"/>
  <c r="J1558"/>
  <c r="J1636"/>
  <c r="J1572"/>
  <c r="J1574"/>
  <c r="J2430"/>
  <c r="J1576"/>
  <c r="J1672"/>
  <c r="J1578"/>
  <c r="J2008"/>
  <c r="J1582"/>
  <c r="J2208"/>
  <c r="J1584"/>
  <c r="J2308"/>
  <c r="J1586"/>
  <c r="J1588"/>
  <c r="J1590"/>
  <c r="J2453"/>
  <c r="J1592"/>
  <c r="J2455"/>
  <c r="J1594"/>
  <c r="J2457"/>
  <c r="J1596"/>
  <c r="J2462"/>
  <c r="J1598"/>
  <c r="J2463"/>
  <c r="J1600"/>
  <c r="J1037"/>
  <c r="J1039"/>
  <c r="J2166"/>
  <c r="J1041"/>
  <c r="J1045"/>
  <c r="J1047"/>
  <c r="J1049"/>
  <c r="J1051"/>
  <c r="J1053"/>
  <c r="J1055"/>
  <c r="J1057"/>
  <c r="J1059"/>
  <c r="J1067"/>
  <c r="J2405"/>
  <c r="J1073"/>
  <c r="J1955"/>
  <c r="J1087"/>
  <c r="J2417"/>
  <c r="J1089"/>
  <c r="J1091"/>
  <c r="J1097"/>
  <c r="J2170"/>
  <c r="J1099"/>
  <c r="J1109"/>
  <c r="J2271"/>
  <c r="J1111"/>
  <c r="J2091"/>
  <c r="J1113"/>
  <c r="J1115"/>
  <c r="J1125"/>
  <c r="J2331"/>
  <c r="J1127"/>
  <c r="J2291"/>
  <c r="J1129"/>
  <c r="J1131"/>
  <c r="J2402"/>
  <c r="J1141"/>
  <c r="J1826"/>
  <c r="J1145"/>
  <c r="J2309"/>
  <c r="J1147"/>
  <c r="J1677"/>
  <c r="J1149"/>
  <c r="J1828"/>
  <c r="J1153"/>
  <c r="J1155"/>
  <c r="J2203"/>
  <c r="J1161"/>
  <c r="J1163"/>
  <c r="J1169"/>
  <c r="J2087"/>
  <c r="J1173"/>
  <c r="J1185"/>
  <c r="J1187"/>
  <c r="J2244"/>
  <c r="J1191"/>
  <c r="J2433"/>
  <c r="J1193"/>
  <c r="J2064"/>
  <c r="J1195"/>
  <c r="J2106"/>
  <c r="J1197"/>
  <c r="J2096"/>
  <c r="J1199"/>
  <c r="J2102"/>
  <c r="J1201"/>
  <c r="J2101"/>
  <c r="J1203"/>
  <c r="J2425"/>
  <c r="J1207"/>
  <c r="J2354"/>
  <c r="J1217"/>
  <c r="J2006"/>
  <c r="J1219"/>
  <c r="J1221"/>
  <c r="J1223"/>
  <c r="J1229"/>
  <c r="J1231"/>
  <c r="J1233"/>
  <c r="J1243"/>
  <c r="J1249"/>
  <c r="J2336"/>
  <c r="J1251"/>
  <c r="J1253"/>
  <c r="J1255"/>
  <c r="J1263"/>
  <c r="J1285"/>
  <c r="J1289"/>
  <c r="J1301"/>
  <c r="J1305"/>
  <c r="J2061"/>
  <c r="J1307"/>
  <c r="J2059"/>
  <c r="J1309"/>
  <c r="J2040"/>
  <c r="J1311"/>
  <c r="J2066"/>
  <c r="J1313"/>
  <c r="J2060"/>
  <c r="J1315"/>
  <c r="J2062"/>
  <c r="J1321"/>
  <c r="J1323"/>
  <c r="J1718"/>
  <c r="J1325"/>
  <c r="J1743"/>
  <c r="J1327"/>
  <c r="J1333"/>
  <c r="J2081"/>
  <c r="J1337"/>
  <c r="J2145"/>
  <c r="J1339"/>
  <c r="J1889"/>
  <c r="J1341"/>
  <c r="J1888"/>
  <c r="J1345"/>
  <c r="J2344"/>
  <c r="J1347"/>
  <c r="J1349"/>
  <c r="J2303"/>
  <c r="J1355"/>
  <c r="J1357"/>
  <c r="J1361"/>
  <c r="J1681"/>
  <c r="J1363"/>
  <c r="J1640"/>
  <c r="J1365"/>
  <c r="J1377"/>
  <c r="J1379"/>
  <c r="J1385"/>
  <c r="J1387"/>
  <c r="J2273"/>
  <c r="J1389"/>
  <c r="J2227"/>
  <c r="J1393"/>
  <c r="J1395"/>
  <c r="J1397"/>
  <c r="J1399"/>
  <c r="J2348"/>
  <c r="J1401"/>
  <c r="J2360"/>
  <c r="J1403"/>
  <c r="J1407"/>
  <c r="J1409"/>
  <c r="J1940"/>
  <c r="J1411"/>
  <c r="J1950"/>
  <c r="J1413"/>
  <c r="J1987"/>
  <c r="J1417"/>
  <c r="J1673"/>
  <c r="J1421"/>
  <c r="J2240"/>
  <c r="J1429"/>
  <c r="J1431"/>
  <c r="J1433"/>
  <c r="J2110"/>
  <c r="J1435"/>
  <c r="J2114"/>
  <c r="J1437"/>
  <c r="J2475"/>
  <c r="J1441"/>
  <c r="J1445"/>
  <c r="J1447"/>
  <c r="J1449"/>
  <c r="J1734"/>
  <c r="J1455"/>
  <c r="J1647"/>
  <c r="J1457"/>
  <c r="J1459"/>
  <c r="J1461"/>
  <c r="J1463"/>
  <c r="J1465"/>
  <c r="J1467"/>
  <c r="J2177"/>
  <c r="J1469"/>
  <c r="J1479"/>
  <c r="J2217"/>
  <c r="J1481"/>
  <c r="J2215"/>
  <c r="J1483"/>
  <c r="J1485"/>
  <c r="J2254"/>
  <c r="J1489"/>
  <c r="J1491"/>
  <c r="J1493"/>
  <c r="J1648"/>
  <c r="J1495"/>
  <c r="J1807"/>
  <c r="J1509"/>
  <c r="J1511"/>
  <c r="J1513"/>
  <c r="J1521"/>
  <c r="J1525"/>
  <c r="J1531"/>
  <c r="J1533"/>
  <c r="J1535"/>
  <c r="J1915"/>
  <c r="J1537"/>
  <c r="J1912"/>
  <c r="J1539"/>
  <c r="J1876"/>
  <c r="J1541"/>
  <c r="J1692"/>
  <c r="J1543"/>
  <c r="J1979"/>
  <c r="J1545"/>
  <c r="J2438"/>
  <c r="J1547"/>
  <c r="J2369"/>
  <c r="J1549"/>
  <c r="J2473"/>
  <c r="J1551"/>
  <c r="J2307"/>
  <c r="J1553"/>
  <c r="J2223"/>
  <c r="J1555"/>
  <c r="J1637"/>
  <c r="J1557"/>
  <c r="J1634"/>
  <c r="J1559"/>
  <c r="J1563"/>
  <c r="J1565"/>
  <c r="J1571"/>
  <c r="J2385"/>
  <c r="J1573"/>
  <c r="J1575"/>
  <c r="J1577"/>
  <c r="J1931"/>
  <c r="J1581"/>
  <c r="J2205"/>
  <c r="J1583"/>
  <c r="J2207"/>
  <c r="J1585"/>
  <c r="J2311"/>
  <c r="J1587"/>
  <c r="J1593"/>
  <c r="J1595"/>
  <c r="J1597"/>
  <c r="J1599"/>
  <c r="J1601"/>
  <c r="J1603"/>
  <c r="J1605"/>
  <c r="J1607"/>
  <c r="J1609"/>
  <c r="J1611"/>
  <c r="J1613"/>
  <c r="J1615"/>
  <c r="J1617"/>
  <c r="J1619"/>
  <c r="J1621"/>
  <c r="J1623"/>
  <c r="J2319"/>
  <c r="J1625"/>
  <c r="J1627"/>
  <c r="J2246"/>
  <c r="J1629"/>
  <c r="J1631"/>
  <c r="J1602"/>
  <c r="J1604"/>
  <c r="J1606"/>
  <c r="J1608"/>
  <c r="J1610"/>
  <c r="J1612"/>
  <c r="J1614"/>
  <c r="J1616"/>
  <c r="J1618"/>
  <c r="J1620"/>
  <c r="J1622"/>
  <c r="J1624"/>
  <c r="J1626"/>
  <c r="J2359"/>
  <c r="J1628"/>
  <c r="J1630"/>
  <c r="J1632"/>
  <c r="J2478"/>
  <c r="J2480"/>
  <c r="J2482"/>
  <c r="J2484"/>
  <c r="J2486"/>
  <c r="J2488"/>
  <c r="J2490"/>
  <c r="J2477"/>
  <c r="J2479"/>
  <c r="J2481"/>
  <c r="J2483"/>
  <c r="J2485"/>
  <c r="J2487"/>
  <c r="J2489"/>
  <c r="J2492"/>
  <c r="J2494"/>
  <c r="J2496"/>
  <c r="J2500"/>
  <c r="J2502"/>
  <c r="J2504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491"/>
  <c r="J2493"/>
  <c r="J2495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C4" l="1"/>
</calcChain>
</file>

<file path=xl/sharedStrings.xml><?xml version="1.0" encoding="utf-8"?>
<sst xmlns="http://schemas.openxmlformats.org/spreadsheetml/2006/main" count="13242" uniqueCount="5081">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</sst>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59"/>
  <sheetViews>
    <sheetView tabSelected="1" zoomScale="90" zoomScaleNormal="90" workbookViewId="0">
      <pane ySplit="7" topLeftCell="A1260" activePane="bottomLeft" state="frozen"/>
      <selection pane="bottomLeft" activeCell="G2" sqref="G2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45959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SUM(J8:J2659)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5" t="s">
        <v>5080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6" t="s">
        <v>45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6" t="s">
        <v>45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5" t="s">
        <v>5080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5" t="s">
        <v>5080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5" t="s">
        <v>5080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6" t="s">
        <v>45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6" t="s">
        <v>45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5" t="s">
        <v>5080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5" t="s">
        <v>5080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5" t="s">
        <v>5080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4" t="s">
        <v>16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5" t="s">
        <v>5080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6" t="s">
        <v>45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4" t="s">
        <v>16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4" t="s">
        <v>16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4" t="s">
        <v>16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320926.58502744767</v>
      </c>
      <c r="F1395" s="3">
        <v>21</v>
      </c>
      <c r="G1395" s="9">
        <v>532000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481389.8775411715</v>
      </c>
      <c r="F1396" s="3">
        <v>21</v>
      </c>
      <c r="G1396" s="9">
        <v>798000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4" t="s">
        <v>16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4" t="s">
        <v>16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287144.83923508477</v>
      </c>
      <c r="F1402" s="3">
        <v>21</v>
      </c>
      <c r="G1402" s="9">
        <v>476000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287144.83923508477</v>
      </c>
      <c r="F1403" s="3">
        <v>21</v>
      </c>
      <c r="G1403" s="9">
        <v>476000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418049.10418049101</v>
      </c>
      <c r="F1405" s="3">
        <v>21</v>
      </c>
      <c r="G1405" s="9">
        <v>693000</v>
      </c>
      <c r="H1405" s="4" t="s">
        <v>16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418049.10418049101</v>
      </c>
      <c r="F1406" s="3">
        <v>21</v>
      </c>
      <c r="G1406" s="9">
        <v>693000</v>
      </c>
      <c r="H1406" s="4" t="s">
        <v>16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354708.33081981057</v>
      </c>
      <c r="F1407" s="3">
        <v>21</v>
      </c>
      <c r="G1407" s="9">
        <v>588000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481389.8775411715</v>
      </c>
      <c r="F1408" s="3">
        <v>21</v>
      </c>
      <c r="G1408" s="9">
        <v>798000</v>
      </c>
      <c r="H1408" s="4" t="s">
        <v>16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0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0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1313265.3676781082</v>
      </c>
      <c r="F1423" s="3">
        <v>21</v>
      </c>
      <c r="G1423" s="9">
        <v>2177000</v>
      </c>
      <c r="H1423" s="4" t="s">
        <v>16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6" t="s">
        <v>45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6" t="s">
        <v>45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>
      <c r="A1462" t="s">
        <v>3326</v>
      </c>
      <c r="B1462" t="s">
        <v>44</v>
      </c>
      <c r="C1462" t="s">
        <v>23</v>
      </c>
      <c r="D1462" t="s">
        <v>3327</v>
      </c>
      <c r="E1462" s="9">
        <f t="shared" si="46"/>
        <v>16890.872896181456</v>
      </c>
      <c r="F1462" s="3">
        <v>21</v>
      </c>
      <c r="G1462" s="9">
        <v>28000</v>
      </c>
      <c r="H1462" s="5" t="s">
        <v>5080</v>
      </c>
      <c r="J1462" s="9">
        <f t="shared" si="47"/>
        <v>0</v>
      </c>
    </row>
    <row r="1463" spans="1:10">
      <c r="A1463" t="s">
        <v>691</v>
      </c>
      <c r="B1463" t="s">
        <v>44</v>
      </c>
      <c r="C1463" t="s">
        <v>23</v>
      </c>
      <c r="D1463" t="s">
        <v>682</v>
      </c>
      <c r="E1463" s="9">
        <f t="shared" si="46"/>
        <v>52175.906376304512</v>
      </c>
      <c r="F1463" s="3">
        <v>21</v>
      </c>
      <c r="G1463" s="9">
        <v>86492</v>
      </c>
      <c r="H1463" s="5" t="s">
        <v>5080</v>
      </c>
      <c r="J1463" s="9">
        <f t="shared" si="47"/>
        <v>0</v>
      </c>
    </row>
    <row r="1464" spans="1:10" hidden="1">
      <c r="A1464" t="s">
        <v>681</v>
      </c>
      <c r="B1464" t="s">
        <v>44</v>
      </c>
      <c r="C1464" t="s">
        <v>23</v>
      </c>
      <c r="D1464" t="s">
        <v>682</v>
      </c>
      <c r="E1464" s="9">
        <f t="shared" si="46"/>
        <v>8.445436448090728</v>
      </c>
      <c r="F1464" s="3">
        <v>21</v>
      </c>
      <c r="G1464" s="9">
        <v>14</v>
      </c>
      <c r="H1464" s="4" t="s">
        <v>16</v>
      </c>
      <c r="J1464" s="9">
        <f t="shared" si="47"/>
        <v>0</v>
      </c>
    </row>
    <row r="1465" spans="1:10">
      <c r="A1465" t="s">
        <v>2591</v>
      </c>
      <c r="B1465" t="s">
        <v>44</v>
      </c>
      <c r="C1465" t="s">
        <v>23</v>
      </c>
      <c r="D1465" t="s">
        <v>2592</v>
      </c>
      <c r="E1465" s="9">
        <f t="shared" si="46"/>
        <v>83609.820836098195</v>
      </c>
      <c r="F1465" s="3">
        <v>21</v>
      </c>
      <c r="G1465" s="9">
        <v>138600</v>
      </c>
      <c r="H1465" s="5" t="s">
        <v>5080</v>
      </c>
      <c r="J1465" s="9">
        <f t="shared" si="47"/>
        <v>0</v>
      </c>
    </row>
    <row r="1466" spans="1:10" hidden="1">
      <c r="A1466" t="s">
        <v>1478</v>
      </c>
      <c r="B1466" t="s">
        <v>44</v>
      </c>
      <c r="C1466" t="s">
        <v>23</v>
      </c>
      <c r="D1466" t="s">
        <v>1479</v>
      </c>
      <c r="E1466" s="9">
        <f t="shared" si="46"/>
        <v>8.445436448090728</v>
      </c>
      <c r="F1466" s="3">
        <v>21</v>
      </c>
      <c r="G1466" s="9">
        <v>14</v>
      </c>
      <c r="H1466" s="4" t="s">
        <v>16</v>
      </c>
      <c r="J1466" s="9">
        <f t="shared" si="47"/>
        <v>0</v>
      </c>
    </row>
    <row r="1467" spans="1:10">
      <c r="A1467" t="s">
        <v>616</v>
      </c>
      <c r="B1467" t="s">
        <v>44</v>
      </c>
      <c r="C1467" t="s">
        <v>23</v>
      </c>
      <c r="D1467" t="s">
        <v>617</v>
      </c>
      <c r="E1467" s="9">
        <f t="shared" si="46"/>
        <v>104343.36731616093</v>
      </c>
      <c r="F1467" s="3">
        <v>21</v>
      </c>
      <c r="G1467" s="9">
        <v>172970</v>
      </c>
      <c r="H1467" s="4" t="s">
        <v>16</v>
      </c>
      <c r="J1467" s="9">
        <f t="shared" si="47"/>
        <v>0</v>
      </c>
    </row>
    <row r="1468" spans="1:10" hidden="1">
      <c r="A1468" t="s">
        <v>1492</v>
      </c>
      <c r="B1468" t="s">
        <v>44</v>
      </c>
      <c r="C1468" t="s">
        <v>23</v>
      </c>
      <c r="D1468" t="s">
        <v>1493</v>
      </c>
      <c r="E1468" s="9">
        <f t="shared" si="46"/>
        <v>8.445436448090728</v>
      </c>
      <c r="F1468" s="3">
        <v>21</v>
      </c>
      <c r="G1468" s="9">
        <v>14</v>
      </c>
      <c r="H1468" s="4" t="s">
        <v>16</v>
      </c>
      <c r="J1468" s="9">
        <f t="shared" si="47"/>
        <v>0</v>
      </c>
    </row>
    <row r="1469" spans="1:10" hidden="1">
      <c r="A1469" t="s">
        <v>541</v>
      </c>
      <c r="B1469" t="s">
        <v>44</v>
      </c>
      <c r="C1469" t="s">
        <v>23</v>
      </c>
      <c r="D1469" t="s">
        <v>542</v>
      </c>
      <c r="E1469" s="9">
        <f t="shared" si="46"/>
        <v>8.445436448090728</v>
      </c>
      <c r="F1469" s="3">
        <v>21</v>
      </c>
      <c r="G1469" s="9">
        <v>14</v>
      </c>
      <c r="H1469" s="4" t="s">
        <v>16</v>
      </c>
      <c r="J1469" s="9">
        <f t="shared" si="47"/>
        <v>0</v>
      </c>
    </row>
    <row r="1470" spans="1:10" hidden="1">
      <c r="A1470" t="s">
        <v>3809</v>
      </c>
      <c r="B1470" t="s">
        <v>44</v>
      </c>
      <c r="C1470" t="s">
        <v>23</v>
      </c>
      <c r="D1470" t="s">
        <v>3810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114</v>
      </c>
      <c r="B1471" t="s">
        <v>44</v>
      </c>
      <c r="C1471" t="s">
        <v>23</v>
      </c>
      <c r="D1471" t="s">
        <v>115</v>
      </c>
      <c r="E1471" s="9">
        <f t="shared" si="46"/>
        <v>273716.59528262052</v>
      </c>
      <c r="F1471" s="3">
        <v>21</v>
      </c>
      <c r="G1471" s="9">
        <v>453740.00000000012</v>
      </c>
      <c r="H1471" s="5" t="s">
        <v>5080</v>
      </c>
      <c r="J1471" s="9">
        <f t="shared" si="47"/>
        <v>0</v>
      </c>
    </row>
    <row r="1472" spans="1:10">
      <c r="A1472" t="s">
        <v>2324</v>
      </c>
      <c r="B1472" t="s">
        <v>44</v>
      </c>
      <c r="C1472" t="s">
        <v>23</v>
      </c>
      <c r="D1472" t="s">
        <v>2325</v>
      </c>
      <c r="E1472" s="9">
        <f t="shared" si="46"/>
        <v>202690.47475417744</v>
      </c>
      <c r="F1472" s="3">
        <v>21</v>
      </c>
      <c r="G1472" s="9">
        <v>336000</v>
      </c>
      <c r="H1472" s="4" t="s">
        <v>16</v>
      </c>
      <c r="J1472" s="9">
        <f t="shared" si="47"/>
        <v>0</v>
      </c>
    </row>
    <row r="1473" spans="1:10">
      <c r="A1473" t="s">
        <v>2397</v>
      </c>
      <c r="B1473" t="s">
        <v>44</v>
      </c>
      <c r="C1473" t="s">
        <v>23</v>
      </c>
      <c r="D1473" t="s">
        <v>2398</v>
      </c>
      <c r="E1473" s="9">
        <f t="shared" si="46"/>
        <v>185799.60185799602</v>
      </c>
      <c r="F1473" s="3">
        <v>21</v>
      </c>
      <c r="G1473" s="9">
        <v>308000</v>
      </c>
      <c r="H1473" s="6" t="s">
        <v>45</v>
      </c>
      <c r="J1473" s="9">
        <f t="shared" si="47"/>
        <v>0</v>
      </c>
    </row>
    <row r="1474" spans="1:10">
      <c r="A1474" t="s">
        <v>3811</v>
      </c>
      <c r="B1474" t="s">
        <v>44</v>
      </c>
      <c r="C1474" t="s">
        <v>23</v>
      </c>
      <c r="D1474" t="s">
        <v>3812</v>
      </c>
      <c r="E1474" s="9">
        <f t="shared" si="46"/>
        <v>295590.27568317548</v>
      </c>
      <c r="F1474" s="3">
        <v>21</v>
      </c>
      <c r="G1474" s="9">
        <v>490000</v>
      </c>
      <c r="H1474" s="5" t="s">
        <v>5080</v>
      </c>
      <c r="J1474" s="9">
        <f t="shared" si="47"/>
        <v>0</v>
      </c>
    </row>
    <row r="1475" spans="1:10" hidden="1">
      <c r="A1475" t="s">
        <v>2909</v>
      </c>
      <c r="B1475" t="s">
        <v>44</v>
      </c>
      <c r="C1475" t="s">
        <v>23</v>
      </c>
      <c r="D1475" t="s">
        <v>2910</v>
      </c>
      <c r="E1475" s="9">
        <f t="shared" si="46"/>
        <v>8.445436448090728</v>
      </c>
      <c r="F1475" s="3">
        <v>21</v>
      </c>
      <c r="G1475" s="9">
        <v>14</v>
      </c>
      <c r="H1475" s="6" t="s">
        <v>45</v>
      </c>
      <c r="J1475" s="9">
        <f t="shared" si="47"/>
        <v>0</v>
      </c>
    </row>
    <row r="1476" spans="1:10" hidden="1">
      <c r="A1476" t="s">
        <v>2911</v>
      </c>
      <c r="B1476" t="s">
        <v>44</v>
      </c>
      <c r="C1476" t="s">
        <v>23</v>
      </c>
      <c r="D1476" t="s">
        <v>2912</v>
      </c>
      <c r="E1476" s="9">
        <f t="shared" si="46"/>
        <v>8.445436448090728</v>
      </c>
      <c r="F1476" s="3">
        <v>21</v>
      </c>
      <c r="G1476" s="9">
        <v>14</v>
      </c>
      <c r="H1476" s="5" t="s">
        <v>24</v>
      </c>
      <c r="J1476" s="9">
        <f t="shared" si="47"/>
        <v>0</v>
      </c>
    </row>
    <row r="1477" spans="1:10">
      <c r="A1477" t="s">
        <v>3618</v>
      </c>
      <c r="B1477" t="s">
        <v>44</v>
      </c>
      <c r="C1477" t="s">
        <v>23</v>
      </c>
      <c r="D1477" t="s">
        <v>3619</v>
      </c>
      <c r="E1477" s="9">
        <f t="shared" si="46"/>
        <v>202690.47475417744</v>
      </c>
      <c r="F1477" s="3">
        <v>21</v>
      </c>
      <c r="G1477" s="9">
        <v>336000</v>
      </c>
      <c r="H1477" s="6" t="s">
        <v>45</v>
      </c>
      <c r="J1477" s="9">
        <f t="shared" si="47"/>
        <v>0</v>
      </c>
    </row>
    <row r="1478" spans="1:10">
      <c r="A1478" t="s">
        <v>3892</v>
      </c>
      <c r="B1478" t="s">
        <v>44</v>
      </c>
      <c r="C1478" t="s">
        <v>23</v>
      </c>
      <c r="D1478" t="s">
        <v>3893</v>
      </c>
      <c r="E1478" s="9">
        <f t="shared" si="46"/>
        <v>337817.45792362915</v>
      </c>
      <c r="F1478" s="3">
        <v>21</v>
      </c>
      <c r="G1478" s="9">
        <v>560000</v>
      </c>
      <c r="H1478" s="5" t="s">
        <v>5080</v>
      </c>
      <c r="J1478" s="9">
        <f t="shared" si="47"/>
        <v>0</v>
      </c>
    </row>
    <row r="1479" spans="1:10" hidden="1">
      <c r="A1479" t="s">
        <v>3075</v>
      </c>
      <c r="B1479" t="s">
        <v>44</v>
      </c>
      <c r="C1479" t="s">
        <v>23</v>
      </c>
      <c r="D1479" t="s">
        <v>3076</v>
      </c>
      <c r="E1479" s="9">
        <f t="shared" si="46"/>
        <v>8.445436448090728</v>
      </c>
      <c r="F1479" s="3">
        <v>21</v>
      </c>
      <c r="G1479" s="9">
        <v>14</v>
      </c>
      <c r="H1479" s="6" t="s">
        <v>45</v>
      </c>
      <c r="J1479" s="9">
        <f t="shared" si="47"/>
        <v>0</v>
      </c>
    </row>
    <row r="1480" spans="1:10" hidden="1">
      <c r="A1480" t="s">
        <v>3082</v>
      </c>
      <c r="B1480" t="s">
        <v>44</v>
      </c>
      <c r="C1480" t="s">
        <v>23</v>
      </c>
      <c r="D1480" t="s">
        <v>3083</v>
      </c>
      <c r="E1480" s="9">
        <f t="shared" si="46"/>
        <v>8.445436448090728</v>
      </c>
      <c r="F1480" s="3">
        <v>21</v>
      </c>
      <c r="G1480" s="9">
        <v>14</v>
      </c>
      <c r="H1480" s="6" t="s">
        <v>45</v>
      </c>
      <c r="J1480" s="9">
        <f t="shared" si="47"/>
        <v>0</v>
      </c>
    </row>
    <row r="1481" spans="1:10" hidden="1">
      <c r="A1481" t="s">
        <v>3079</v>
      </c>
      <c r="B1481" t="s">
        <v>44</v>
      </c>
      <c r="C1481" t="s">
        <v>23</v>
      </c>
      <c r="D1481" t="s">
        <v>3080</v>
      </c>
      <c r="E1481" s="9">
        <f t="shared" ref="E1481:E1544" si="48">SUM(G1481/(1+(F1481/100)) /(1+(37/100)))</f>
        <v>8.445436448090728</v>
      </c>
      <c r="F1481" s="3">
        <v>21</v>
      </c>
      <c r="G1481" s="9">
        <v>14</v>
      </c>
      <c r="H1481" s="6" t="s">
        <v>45</v>
      </c>
      <c r="J1481" s="9">
        <f t="shared" ref="J1481:J1544" si="49">SUM(E1481* I1481)</f>
        <v>0</v>
      </c>
    </row>
    <row r="1482" spans="1:10" hidden="1">
      <c r="A1482" t="s">
        <v>3314</v>
      </c>
      <c r="B1482" t="s">
        <v>44</v>
      </c>
      <c r="C1482" t="s">
        <v>23</v>
      </c>
      <c r="D1482" t="s">
        <v>3315</v>
      </c>
      <c r="E1482" s="9">
        <f t="shared" si="48"/>
        <v>8.445436448090728</v>
      </c>
      <c r="F1482" s="3">
        <v>21</v>
      </c>
      <c r="G1482" s="9">
        <v>14</v>
      </c>
      <c r="H1482" s="4" t="s">
        <v>16</v>
      </c>
      <c r="J1482" s="9">
        <f t="shared" si="49"/>
        <v>0</v>
      </c>
    </row>
    <row r="1483" spans="1:10" hidden="1">
      <c r="A1483" t="s">
        <v>4406</v>
      </c>
      <c r="B1483" t="s">
        <v>44</v>
      </c>
      <c r="C1483" t="s">
        <v>23</v>
      </c>
      <c r="D1483" t="s">
        <v>4407</v>
      </c>
      <c r="E1483" s="9">
        <f t="shared" si="48"/>
        <v>8.445436448090728</v>
      </c>
      <c r="F1483" s="3">
        <v>21</v>
      </c>
      <c r="G1483" s="9">
        <v>14</v>
      </c>
      <c r="H1483" s="6" t="s">
        <v>45</v>
      </c>
      <c r="J1483" s="9">
        <f t="shared" si="49"/>
        <v>0</v>
      </c>
    </row>
    <row r="1484" spans="1:10" hidden="1">
      <c r="A1484" t="s">
        <v>4408</v>
      </c>
      <c r="B1484" t="s">
        <v>44</v>
      </c>
      <c r="C1484" t="s">
        <v>23</v>
      </c>
      <c r="D1484" t="s">
        <v>4409</v>
      </c>
      <c r="E1484" s="9">
        <f t="shared" si="48"/>
        <v>8.445436448090728</v>
      </c>
      <c r="F1484" s="3">
        <v>21</v>
      </c>
      <c r="G1484" s="9">
        <v>14</v>
      </c>
      <c r="H1484" s="5" t="s">
        <v>24</v>
      </c>
      <c r="J1484" s="9">
        <f t="shared" si="49"/>
        <v>0</v>
      </c>
    </row>
    <row r="1485" spans="1:10" hidden="1">
      <c r="A1485" t="s">
        <v>3086</v>
      </c>
      <c r="B1485" t="s">
        <v>44</v>
      </c>
      <c r="C1485" t="s">
        <v>23</v>
      </c>
      <c r="D1485" t="s">
        <v>3087</v>
      </c>
      <c r="E1485" s="9">
        <f t="shared" si="48"/>
        <v>8.445436448090728</v>
      </c>
      <c r="F1485" s="3">
        <v>21</v>
      </c>
      <c r="G1485" s="9">
        <v>14</v>
      </c>
      <c r="H1485" s="5" t="s">
        <v>24</v>
      </c>
      <c r="J1485" s="9">
        <f t="shared" si="49"/>
        <v>0</v>
      </c>
    </row>
    <row r="1486" spans="1:10" hidden="1">
      <c r="A1486" t="s">
        <v>3090</v>
      </c>
      <c r="B1486" t="s">
        <v>44</v>
      </c>
      <c r="C1486" t="s">
        <v>23</v>
      </c>
      <c r="D1486" t="s">
        <v>3091</v>
      </c>
      <c r="E1486" s="9">
        <f t="shared" si="48"/>
        <v>8.445436448090728</v>
      </c>
      <c r="F1486" s="3">
        <v>21</v>
      </c>
      <c r="G1486" s="9">
        <v>14</v>
      </c>
      <c r="H1486" s="5" t="s">
        <v>24</v>
      </c>
      <c r="J1486" s="9">
        <f t="shared" si="49"/>
        <v>0</v>
      </c>
    </row>
    <row r="1487" spans="1:10" hidden="1">
      <c r="A1487" t="s">
        <v>498</v>
      </c>
      <c r="B1487" t="s">
        <v>44</v>
      </c>
      <c r="C1487" t="s">
        <v>23</v>
      </c>
      <c r="D1487" t="s">
        <v>499</v>
      </c>
      <c r="E1487" s="9">
        <f t="shared" si="48"/>
        <v>8.445436448090728</v>
      </c>
      <c r="F1487" s="3">
        <v>21</v>
      </c>
      <c r="G1487" s="9">
        <v>14</v>
      </c>
      <c r="H1487" s="4" t="s">
        <v>16</v>
      </c>
      <c r="J1487" s="9">
        <f t="shared" si="49"/>
        <v>0</v>
      </c>
    </row>
    <row r="1488" spans="1:10" hidden="1">
      <c r="A1488" t="s">
        <v>1424</v>
      </c>
      <c r="B1488" t="s">
        <v>44</v>
      </c>
      <c r="C1488" t="s">
        <v>23</v>
      </c>
      <c r="D1488" t="s">
        <v>1425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>
      <c r="A1489" t="s">
        <v>4459</v>
      </c>
      <c r="B1489" t="s">
        <v>44</v>
      </c>
      <c r="C1489" t="s">
        <v>23</v>
      </c>
      <c r="D1489" t="s">
        <v>4460</v>
      </c>
      <c r="E1489" s="9">
        <f t="shared" si="48"/>
        <v>25336.30934427218</v>
      </c>
      <c r="F1489" s="3">
        <v>21</v>
      </c>
      <c r="G1489" s="9">
        <v>42000</v>
      </c>
      <c r="H1489" s="6" t="s">
        <v>45</v>
      </c>
      <c r="J1489" s="9">
        <f t="shared" si="49"/>
        <v>0</v>
      </c>
    </row>
    <row r="1490" spans="1:10">
      <c r="A1490" t="s">
        <v>4461</v>
      </c>
      <c r="B1490" t="s">
        <v>44</v>
      </c>
      <c r="C1490" t="s">
        <v>23</v>
      </c>
      <c r="D1490" t="s">
        <v>4462</v>
      </c>
      <c r="E1490" s="9">
        <f t="shared" si="48"/>
        <v>25336.30934427218</v>
      </c>
      <c r="F1490" s="3">
        <v>21</v>
      </c>
      <c r="G1490" s="9">
        <v>42000</v>
      </c>
      <c r="H1490" s="6" t="s">
        <v>45</v>
      </c>
      <c r="J1490" s="9">
        <f t="shared" si="49"/>
        <v>0</v>
      </c>
    </row>
    <row r="1491" spans="1:10">
      <c r="A1491" t="s">
        <v>4463</v>
      </c>
      <c r="B1491" t="s">
        <v>44</v>
      </c>
      <c r="C1491" t="s">
        <v>23</v>
      </c>
      <c r="D1491" t="s">
        <v>4464</v>
      </c>
      <c r="E1491" s="9">
        <f t="shared" si="48"/>
        <v>35470.833081981058</v>
      </c>
      <c r="F1491" s="3">
        <v>21</v>
      </c>
      <c r="G1491" s="9">
        <v>58800</v>
      </c>
      <c r="H1491" s="6" t="s">
        <v>45</v>
      </c>
      <c r="J1491" s="9">
        <f t="shared" si="49"/>
        <v>0</v>
      </c>
    </row>
    <row r="1492" spans="1:10">
      <c r="A1492" t="s">
        <v>4465</v>
      </c>
      <c r="B1492" t="s">
        <v>44</v>
      </c>
      <c r="C1492" t="s">
        <v>23</v>
      </c>
      <c r="D1492" t="s">
        <v>4466</v>
      </c>
      <c r="E1492" s="9">
        <f t="shared" si="48"/>
        <v>35470.833081981058</v>
      </c>
      <c r="F1492" s="3">
        <v>21</v>
      </c>
      <c r="G1492" s="9">
        <v>58800</v>
      </c>
      <c r="H1492" s="6" t="s">
        <v>45</v>
      </c>
      <c r="J1492" s="9">
        <f t="shared" si="49"/>
        <v>0</v>
      </c>
    </row>
    <row r="1493" spans="1:10">
      <c r="A1493" t="s">
        <v>4467</v>
      </c>
      <c r="B1493" t="s">
        <v>44</v>
      </c>
      <c r="C1493" t="s">
        <v>23</v>
      </c>
      <c r="D1493" t="s">
        <v>4468</v>
      </c>
      <c r="E1493" s="9">
        <f t="shared" si="48"/>
        <v>33781.745792362912</v>
      </c>
      <c r="F1493" s="3">
        <v>21</v>
      </c>
      <c r="G1493" s="9">
        <v>56000</v>
      </c>
      <c r="H1493" s="4" t="s">
        <v>16</v>
      </c>
      <c r="J1493" s="9">
        <f t="shared" si="49"/>
        <v>0</v>
      </c>
    </row>
    <row r="1494" spans="1:10">
      <c r="A1494" t="s">
        <v>4469</v>
      </c>
      <c r="B1494" t="s">
        <v>44</v>
      </c>
      <c r="C1494" t="s">
        <v>23</v>
      </c>
      <c r="D1494" t="s">
        <v>4470</v>
      </c>
      <c r="E1494" s="9">
        <f t="shared" si="48"/>
        <v>16890.872896181456</v>
      </c>
      <c r="F1494" s="3">
        <v>21</v>
      </c>
      <c r="G1494" s="9">
        <v>28000</v>
      </c>
      <c r="H1494" s="4" t="s">
        <v>16</v>
      </c>
      <c r="J1494" s="9">
        <f t="shared" si="49"/>
        <v>0</v>
      </c>
    </row>
    <row r="1495" spans="1:10">
      <c r="A1495" t="s">
        <v>2693</v>
      </c>
      <c r="B1495" t="s">
        <v>44</v>
      </c>
      <c r="C1495" t="s">
        <v>23</v>
      </c>
      <c r="D1495" t="s">
        <v>2694</v>
      </c>
      <c r="E1495" s="9">
        <f t="shared" si="48"/>
        <v>422271.82240453636</v>
      </c>
      <c r="F1495" s="3">
        <v>21</v>
      </c>
      <c r="G1495" s="9">
        <v>700000</v>
      </c>
      <c r="H1495" s="4" t="s">
        <v>16</v>
      </c>
      <c r="J1495" s="9">
        <f t="shared" si="49"/>
        <v>0</v>
      </c>
    </row>
    <row r="1496" spans="1:10">
      <c r="A1496" t="s">
        <v>2737</v>
      </c>
      <c r="B1496" t="s">
        <v>44</v>
      </c>
      <c r="C1496" t="s">
        <v>23</v>
      </c>
      <c r="D1496" t="s">
        <v>2738</v>
      </c>
      <c r="E1496" s="9">
        <f t="shared" si="48"/>
        <v>548953.3691258973</v>
      </c>
      <c r="F1496" s="3">
        <v>21</v>
      </c>
      <c r="G1496" s="9">
        <v>910000</v>
      </c>
      <c r="H1496" s="4" t="s">
        <v>16</v>
      </c>
      <c r="J1496" s="9">
        <f t="shared" si="49"/>
        <v>0</v>
      </c>
    </row>
    <row r="1497" spans="1:10">
      <c r="A1497" t="s">
        <v>2156</v>
      </c>
      <c r="B1497" t="s">
        <v>44</v>
      </c>
      <c r="C1497" t="s">
        <v>23</v>
      </c>
      <c r="D1497" t="s">
        <v>2157</v>
      </c>
      <c r="E1497" s="9">
        <f t="shared" si="48"/>
        <v>386463.17186463164</v>
      </c>
      <c r="F1497" s="3">
        <v>21</v>
      </c>
      <c r="G1497" s="9">
        <v>640640</v>
      </c>
      <c r="H1497" s="4" t="s">
        <v>16</v>
      </c>
      <c r="J1497" s="9">
        <f t="shared" si="49"/>
        <v>0</v>
      </c>
    </row>
    <row r="1498" spans="1:10">
      <c r="A1498" t="s">
        <v>2601</v>
      </c>
      <c r="B1498" t="s">
        <v>44</v>
      </c>
      <c r="C1498" t="s">
        <v>23</v>
      </c>
      <c r="D1498" t="s">
        <v>2602</v>
      </c>
      <c r="E1498" s="9">
        <f t="shared" si="48"/>
        <v>13871.915975823233</v>
      </c>
      <c r="F1498" s="3">
        <v>10.5</v>
      </c>
      <c r="G1498" s="9">
        <v>21000</v>
      </c>
      <c r="H1498" s="4" t="s">
        <v>16</v>
      </c>
      <c r="J1498" s="9">
        <f t="shared" si="49"/>
        <v>0</v>
      </c>
    </row>
    <row r="1499" spans="1:10">
      <c r="A1499" t="s">
        <v>3456</v>
      </c>
      <c r="B1499" t="s">
        <v>44</v>
      </c>
      <c r="C1499" t="s">
        <v>23</v>
      </c>
      <c r="D1499" t="s">
        <v>3457</v>
      </c>
      <c r="E1499" s="9">
        <f t="shared" si="48"/>
        <v>12022.327179046801</v>
      </c>
      <c r="F1499" s="3">
        <v>10.5</v>
      </c>
      <c r="G1499" s="9">
        <v>18200</v>
      </c>
      <c r="H1499" s="6" t="s">
        <v>45</v>
      </c>
      <c r="J1499" s="9">
        <f t="shared" si="49"/>
        <v>0</v>
      </c>
    </row>
    <row r="1500" spans="1:10">
      <c r="A1500" t="s">
        <v>4436</v>
      </c>
      <c r="B1500" t="s">
        <v>44</v>
      </c>
      <c r="C1500" t="s">
        <v>23</v>
      </c>
      <c r="D1500" t="s">
        <v>3457</v>
      </c>
      <c r="E1500" s="9">
        <f t="shared" si="48"/>
        <v>29593.420748422894</v>
      </c>
      <c r="F1500" s="3">
        <v>10.5</v>
      </c>
      <c r="G1500" s="9">
        <v>44800</v>
      </c>
      <c r="H1500" s="4" t="s">
        <v>16</v>
      </c>
      <c r="J1500" s="9">
        <f t="shared" si="49"/>
        <v>0</v>
      </c>
    </row>
    <row r="1501" spans="1:10">
      <c r="A1501" t="s">
        <v>1104</v>
      </c>
      <c r="B1501" t="s">
        <v>44</v>
      </c>
      <c r="C1501" t="s">
        <v>23</v>
      </c>
      <c r="D1501" t="s">
        <v>1105</v>
      </c>
      <c r="E1501" s="9">
        <f t="shared" si="48"/>
        <v>177354.16540990528</v>
      </c>
      <c r="F1501" s="3">
        <v>21</v>
      </c>
      <c r="G1501" s="9">
        <v>294000</v>
      </c>
      <c r="H1501" s="4" t="s">
        <v>16</v>
      </c>
      <c r="J1501" s="9">
        <f t="shared" si="49"/>
        <v>0</v>
      </c>
    </row>
    <row r="1502" spans="1:10">
      <c r="A1502" t="s">
        <v>1868</v>
      </c>
      <c r="B1502" t="s">
        <v>44</v>
      </c>
      <c r="C1502" t="s">
        <v>23</v>
      </c>
      <c r="D1502" t="s">
        <v>1105</v>
      </c>
      <c r="E1502" s="9">
        <f t="shared" si="48"/>
        <v>175710.93569376093</v>
      </c>
      <c r="F1502" s="3">
        <v>10.5</v>
      </c>
      <c r="G1502" s="9">
        <v>266000</v>
      </c>
      <c r="H1502" s="4" t="s">
        <v>16</v>
      </c>
      <c r="J1502" s="9">
        <f t="shared" si="49"/>
        <v>0</v>
      </c>
    </row>
    <row r="1503" spans="1:10">
      <c r="A1503" t="s">
        <v>53</v>
      </c>
      <c r="B1503" t="s">
        <v>44</v>
      </c>
      <c r="C1503" t="s">
        <v>23</v>
      </c>
      <c r="D1503" t="s">
        <v>54</v>
      </c>
      <c r="E1503" s="9">
        <f t="shared" si="48"/>
        <v>184958.87967764307</v>
      </c>
      <c r="F1503" s="3">
        <v>10.5</v>
      </c>
      <c r="G1503" s="9">
        <v>280000</v>
      </c>
      <c r="H1503" s="4" t="s">
        <v>16</v>
      </c>
      <c r="J1503" s="9">
        <f t="shared" si="49"/>
        <v>0</v>
      </c>
    </row>
    <row r="1504" spans="1:10">
      <c r="A1504" t="s">
        <v>1758</v>
      </c>
      <c r="B1504" t="s">
        <v>44</v>
      </c>
      <c r="C1504" t="s">
        <v>23</v>
      </c>
      <c r="D1504" t="s">
        <v>1759</v>
      </c>
      <c r="E1504" s="9">
        <f t="shared" si="48"/>
        <v>184448.3320263015</v>
      </c>
      <c r="F1504" s="3">
        <v>21</v>
      </c>
      <c r="G1504" s="9">
        <v>305760</v>
      </c>
      <c r="H1504" s="4" t="s">
        <v>16</v>
      </c>
      <c r="J1504" s="9">
        <f t="shared" si="49"/>
        <v>0</v>
      </c>
    </row>
    <row r="1505" spans="1:10" hidden="1">
      <c r="A1505" t="s">
        <v>763</v>
      </c>
      <c r="B1505" t="s">
        <v>44</v>
      </c>
      <c r="C1505" t="s">
        <v>23</v>
      </c>
      <c r="D1505" t="s">
        <v>764</v>
      </c>
      <c r="E1505" s="9">
        <f t="shared" si="48"/>
        <v>8.445436448090728</v>
      </c>
      <c r="F1505" s="3">
        <v>21</v>
      </c>
      <c r="G1505" s="9">
        <v>14</v>
      </c>
      <c r="H1505" s="4" t="s">
        <v>16</v>
      </c>
      <c r="J1505" s="9">
        <f t="shared" si="49"/>
        <v>0</v>
      </c>
    </row>
    <row r="1506" spans="1:10">
      <c r="A1506" t="s">
        <v>1390</v>
      </c>
      <c r="B1506" t="s">
        <v>44</v>
      </c>
      <c r="C1506" t="s">
        <v>23</v>
      </c>
      <c r="D1506" t="s">
        <v>1391</v>
      </c>
      <c r="E1506" s="9">
        <f t="shared" si="48"/>
        <v>489835.31398926221</v>
      </c>
      <c r="F1506" s="3">
        <v>21</v>
      </c>
      <c r="G1506" s="9">
        <v>812000</v>
      </c>
      <c r="H1506" s="4" t="s">
        <v>16</v>
      </c>
      <c r="J1506" s="9">
        <f t="shared" si="49"/>
        <v>0</v>
      </c>
    </row>
    <row r="1507" spans="1:10">
      <c r="A1507" t="s">
        <v>1858</v>
      </c>
      <c r="B1507" t="s">
        <v>44</v>
      </c>
      <c r="C1507" t="s">
        <v>23</v>
      </c>
      <c r="D1507" t="s">
        <v>1859</v>
      </c>
      <c r="E1507" s="9">
        <f t="shared" si="48"/>
        <v>70097.122519153039</v>
      </c>
      <c r="F1507" s="3">
        <v>21</v>
      </c>
      <c r="G1507" s="9">
        <v>116200</v>
      </c>
      <c r="H1507" s="6" t="s">
        <v>45</v>
      </c>
      <c r="J1507" s="9">
        <f t="shared" si="49"/>
        <v>0</v>
      </c>
    </row>
    <row r="1508" spans="1:10" hidden="1">
      <c r="A1508" t="s">
        <v>2417</v>
      </c>
      <c r="B1508" t="s">
        <v>44</v>
      </c>
      <c r="C1508" t="s">
        <v>23</v>
      </c>
      <c r="D1508" t="s">
        <v>2418</v>
      </c>
      <c r="E1508" s="9">
        <f t="shared" si="48"/>
        <v>8.445436448090728</v>
      </c>
      <c r="F1508" s="3">
        <v>21</v>
      </c>
      <c r="G1508" s="9">
        <v>14</v>
      </c>
      <c r="H1508" s="4" t="s">
        <v>16</v>
      </c>
      <c r="J1508" s="9">
        <f t="shared" si="49"/>
        <v>0</v>
      </c>
    </row>
    <row r="1509" spans="1:10" hidden="1">
      <c r="A1509" t="s">
        <v>346</v>
      </c>
      <c r="B1509" t="s">
        <v>44</v>
      </c>
      <c r="C1509" t="s">
        <v>23</v>
      </c>
      <c r="D1509" t="s">
        <v>347</v>
      </c>
      <c r="E1509" s="9">
        <f t="shared" si="48"/>
        <v>8.445436448090728</v>
      </c>
      <c r="F1509" s="3">
        <v>21</v>
      </c>
      <c r="G1509" s="9">
        <v>14</v>
      </c>
      <c r="H1509" s="4" t="s">
        <v>16</v>
      </c>
      <c r="J1509" s="9">
        <f t="shared" si="49"/>
        <v>0</v>
      </c>
    </row>
    <row r="1510" spans="1:10">
      <c r="A1510" t="s">
        <v>3181</v>
      </c>
      <c r="B1510" t="s">
        <v>44</v>
      </c>
      <c r="C1510" t="s">
        <v>1595</v>
      </c>
      <c r="D1510" t="s">
        <v>3182</v>
      </c>
      <c r="E1510" s="9">
        <f t="shared" si="48"/>
        <v>4138263.8595644566</v>
      </c>
      <c r="F1510" s="3">
        <v>21</v>
      </c>
      <c r="G1510" s="9">
        <v>6860000</v>
      </c>
      <c r="H1510" s="4" t="s">
        <v>16</v>
      </c>
      <c r="J1510" s="9">
        <f t="shared" si="49"/>
        <v>0</v>
      </c>
    </row>
    <row r="1511" spans="1:10">
      <c r="A1511" t="s">
        <v>1593</v>
      </c>
      <c r="B1511" t="s">
        <v>44</v>
      </c>
      <c r="C1511" t="s">
        <v>1595</v>
      </c>
      <c r="D1511" t="s">
        <v>1594</v>
      </c>
      <c r="E1511" s="9">
        <f t="shared" si="48"/>
        <v>5788164.3240634613</v>
      </c>
      <c r="F1511" s="3">
        <v>21</v>
      </c>
      <c r="G1511" s="9">
        <v>9595040</v>
      </c>
      <c r="H1511" s="4" t="s">
        <v>16</v>
      </c>
      <c r="J1511" s="9">
        <f t="shared" si="49"/>
        <v>0</v>
      </c>
    </row>
    <row r="1512" spans="1:10">
      <c r="A1512" t="s">
        <v>3934</v>
      </c>
      <c r="B1512" t="s">
        <v>44</v>
      </c>
      <c r="C1512" t="s">
        <v>1595</v>
      </c>
      <c r="D1512" t="s">
        <v>3935</v>
      </c>
      <c r="E1512" s="9">
        <f t="shared" si="48"/>
        <v>8867708.2704952639</v>
      </c>
      <c r="F1512" s="3">
        <v>21</v>
      </c>
      <c r="G1512" s="9">
        <v>14700000</v>
      </c>
      <c r="H1512" s="4" t="s">
        <v>16</v>
      </c>
      <c r="J1512" s="9">
        <f t="shared" si="49"/>
        <v>0</v>
      </c>
    </row>
    <row r="1513" spans="1:10">
      <c r="A1513" t="s">
        <v>1705</v>
      </c>
      <c r="B1513" t="s">
        <v>44</v>
      </c>
      <c r="C1513" t="s">
        <v>1595</v>
      </c>
      <c r="D1513" t="s">
        <v>1706</v>
      </c>
      <c r="E1513" s="9">
        <f t="shared" si="48"/>
        <v>12208722.929359956</v>
      </c>
      <c r="F1513" s="3">
        <v>21</v>
      </c>
      <c r="G1513" s="9">
        <v>20238400</v>
      </c>
      <c r="H1513" s="4" t="s">
        <v>16</v>
      </c>
      <c r="J1513" s="9">
        <f t="shared" si="49"/>
        <v>0</v>
      </c>
    </row>
    <row r="1514" spans="1:10">
      <c r="A1514" t="s">
        <v>1856</v>
      </c>
      <c r="B1514" t="s">
        <v>44</v>
      </c>
      <c r="C1514" t="s">
        <v>1595</v>
      </c>
      <c r="D1514" t="s">
        <v>1857</v>
      </c>
      <c r="E1514" s="9">
        <f t="shared" si="48"/>
        <v>14272787.597273329</v>
      </c>
      <c r="F1514" s="3">
        <v>21</v>
      </c>
      <c r="G1514" s="9">
        <v>23660000</v>
      </c>
      <c r="H1514" s="4" t="s">
        <v>16</v>
      </c>
      <c r="J1514" s="9">
        <f t="shared" si="49"/>
        <v>0</v>
      </c>
    </row>
    <row r="1515" spans="1:10">
      <c r="A1515" t="s">
        <v>3522</v>
      </c>
      <c r="B1515" t="s">
        <v>44</v>
      </c>
      <c r="C1515" t="s">
        <v>3054</v>
      </c>
      <c r="D1515" t="s">
        <v>3523</v>
      </c>
      <c r="E1515" s="9">
        <f t="shared" si="48"/>
        <v>84454.364480907287</v>
      </c>
      <c r="F1515" s="3">
        <v>21</v>
      </c>
      <c r="G1515" s="9">
        <v>140000</v>
      </c>
      <c r="H1515" s="6" t="s">
        <v>45</v>
      </c>
      <c r="J1515" s="9">
        <f t="shared" si="49"/>
        <v>0</v>
      </c>
    </row>
    <row r="1516" spans="1:10">
      <c r="A1516" t="s">
        <v>3547</v>
      </c>
      <c r="B1516" t="s">
        <v>44</v>
      </c>
      <c r="C1516" t="s">
        <v>3054</v>
      </c>
      <c r="D1516" t="s">
        <v>3548</v>
      </c>
      <c r="E1516" s="9">
        <f t="shared" si="48"/>
        <v>380044.64016408275</v>
      </c>
      <c r="F1516" s="3">
        <v>21</v>
      </c>
      <c r="G1516" s="9">
        <v>630000</v>
      </c>
      <c r="H1516" s="6" t="s">
        <v>45</v>
      </c>
      <c r="J1516" s="9">
        <f t="shared" si="49"/>
        <v>0</v>
      </c>
    </row>
    <row r="1517" spans="1:10">
      <c r="A1517" t="s">
        <v>3546</v>
      </c>
      <c r="B1517" t="s">
        <v>44</v>
      </c>
      <c r="C1517" t="s">
        <v>3054</v>
      </c>
      <c r="D1517" t="s">
        <v>3517</v>
      </c>
      <c r="E1517" s="9">
        <f t="shared" si="48"/>
        <v>329372.02147553838</v>
      </c>
      <c r="F1517" s="3">
        <v>21</v>
      </c>
      <c r="G1517" s="9">
        <v>546000</v>
      </c>
      <c r="H1517" s="6" t="s">
        <v>45</v>
      </c>
      <c r="J1517" s="9">
        <f t="shared" si="49"/>
        <v>0</v>
      </c>
    </row>
    <row r="1518" spans="1:10">
      <c r="A1518" t="s">
        <v>3509</v>
      </c>
      <c r="B1518" t="s">
        <v>44</v>
      </c>
      <c r="C1518" t="s">
        <v>3054</v>
      </c>
      <c r="D1518" t="s">
        <v>3510</v>
      </c>
      <c r="E1518" s="9">
        <f t="shared" si="48"/>
        <v>540507.93267780659</v>
      </c>
      <c r="F1518" s="3">
        <v>21</v>
      </c>
      <c r="G1518" s="9">
        <v>896000</v>
      </c>
      <c r="H1518" s="4" t="s">
        <v>16</v>
      </c>
      <c r="J1518" s="9">
        <f t="shared" si="49"/>
        <v>0</v>
      </c>
    </row>
    <row r="1519" spans="1:10">
      <c r="A1519" t="s">
        <v>3511</v>
      </c>
      <c r="B1519" t="s">
        <v>44</v>
      </c>
      <c r="C1519" t="s">
        <v>3054</v>
      </c>
      <c r="D1519" t="s">
        <v>3512</v>
      </c>
      <c r="E1519" s="9">
        <f t="shared" si="48"/>
        <v>920552.57284188934</v>
      </c>
      <c r="F1519" s="3">
        <v>21</v>
      </c>
      <c r="G1519" s="9">
        <v>1526000</v>
      </c>
      <c r="H1519" s="4" t="s">
        <v>16</v>
      </c>
      <c r="J1519" s="9">
        <f t="shared" si="49"/>
        <v>0</v>
      </c>
    </row>
    <row r="1520" spans="1:10">
      <c r="A1520" t="s">
        <v>3052</v>
      </c>
      <c r="B1520" t="s">
        <v>44</v>
      </c>
      <c r="C1520" t="s">
        <v>3054</v>
      </c>
      <c r="D1520" t="s">
        <v>3053</v>
      </c>
      <c r="E1520" s="9">
        <f t="shared" si="48"/>
        <v>71786.209808771193</v>
      </c>
      <c r="F1520" s="3">
        <v>21</v>
      </c>
      <c r="G1520" s="9">
        <v>119000</v>
      </c>
      <c r="H1520" s="6" t="s">
        <v>45</v>
      </c>
      <c r="J1520" s="9">
        <f t="shared" si="49"/>
        <v>0</v>
      </c>
    </row>
    <row r="1521" spans="1:10">
      <c r="A1521" t="s">
        <v>3513</v>
      </c>
      <c r="B1521" t="s">
        <v>44</v>
      </c>
      <c r="C1521" t="s">
        <v>3054</v>
      </c>
      <c r="D1521" t="s">
        <v>3514</v>
      </c>
      <c r="E1521" s="9">
        <f t="shared" si="48"/>
        <v>244917.65699463111</v>
      </c>
      <c r="F1521" s="3">
        <v>21</v>
      </c>
      <c r="G1521" s="9">
        <v>406000</v>
      </c>
      <c r="H1521" s="6" t="s">
        <v>45</v>
      </c>
      <c r="J1521" s="9">
        <f t="shared" si="49"/>
        <v>0</v>
      </c>
    </row>
    <row r="1522" spans="1:10">
      <c r="A1522" t="s">
        <v>3539</v>
      </c>
      <c r="B1522" t="s">
        <v>44</v>
      </c>
      <c r="C1522" t="s">
        <v>3054</v>
      </c>
      <c r="D1522" t="s">
        <v>3540</v>
      </c>
      <c r="E1522" s="9">
        <f t="shared" si="48"/>
        <v>675634.91584725829</v>
      </c>
      <c r="F1522" s="3">
        <v>21</v>
      </c>
      <c r="G1522" s="9">
        <v>1120000</v>
      </c>
      <c r="H1522" s="5" t="s">
        <v>5080</v>
      </c>
      <c r="J1522" s="9">
        <f t="shared" si="49"/>
        <v>0</v>
      </c>
    </row>
    <row r="1523" spans="1:10">
      <c r="A1523" t="s">
        <v>3515</v>
      </c>
      <c r="B1523" t="s">
        <v>44</v>
      </c>
      <c r="C1523" t="s">
        <v>3054</v>
      </c>
      <c r="D1523" t="s">
        <v>3514</v>
      </c>
      <c r="E1523" s="9">
        <f t="shared" si="48"/>
        <v>658744.04295107676</v>
      </c>
      <c r="F1523" s="3">
        <v>21</v>
      </c>
      <c r="G1523" s="9">
        <v>1092000</v>
      </c>
      <c r="H1523" s="4" t="s">
        <v>16</v>
      </c>
      <c r="J1523" s="9">
        <f t="shared" si="49"/>
        <v>0</v>
      </c>
    </row>
    <row r="1524" spans="1:10">
      <c r="A1524" t="s">
        <v>3516</v>
      </c>
      <c r="B1524" t="s">
        <v>44</v>
      </c>
      <c r="C1524" t="s">
        <v>3054</v>
      </c>
      <c r="D1524" t="s">
        <v>3517</v>
      </c>
      <c r="E1524" s="9">
        <f t="shared" si="48"/>
        <v>308258.43035531155</v>
      </c>
      <c r="F1524" s="3">
        <v>21</v>
      </c>
      <c r="G1524" s="9">
        <v>511000</v>
      </c>
      <c r="H1524" s="4" t="s">
        <v>16</v>
      </c>
      <c r="J1524" s="9">
        <f t="shared" si="49"/>
        <v>0</v>
      </c>
    </row>
    <row r="1525" spans="1:10">
      <c r="A1525" t="s">
        <v>1750</v>
      </c>
      <c r="B1525" t="s">
        <v>44</v>
      </c>
      <c r="C1525" t="s">
        <v>101</v>
      </c>
      <c r="D1525" t="s">
        <v>1751</v>
      </c>
      <c r="E1525" s="9">
        <f t="shared" si="48"/>
        <v>236472.2205465404</v>
      </c>
      <c r="F1525" s="3">
        <v>21</v>
      </c>
      <c r="G1525" s="9">
        <v>392000</v>
      </c>
      <c r="H1525" s="6" t="s">
        <v>45</v>
      </c>
      <c r="J1525" s="9">
        <f t="shared" si="49"/>
        <v>0</v>
      </c>
    </row>
    <row r="1526" spans="1:10">
      <c r="A1526" t="s">
        <v>2262</v>
      </c>
      <c r="B1526" t="s">
        <v>44</v>
      </c>
      <c r="C1526" t="s">
        <v>101</v>
      </c>
      <c r="D1526" t="s">
        <v>2263</v>
      </c>
      <c r="E1526" s="9">
        <f t="shared" si="48"/>
        <v>515171.6233335344</v>
      </c>
      <c r="F1526" s="3">
        <v>21</v>
      </c>
      <c r="G1526" s="9">
        <v>854000</v>
      </c>
      <c r="H1526" s="4" t="s">
        <v>16</v>
      </c>
      <c r="J1526" s="9">
        <f t="shared" si="49"/>
        <v>0</v>
      </c>
    </row>
    <row r="1527" spans="1:10">
      <c r="A1527" t="s">
        <v>4442</v>
      </c>
      <c r="B1527" t="s">
        <v>44</v>
      </c>
      <c r="C1527" t="s">
        <v>101</v>
      </c>
      <c r="D1527" t="s">
        <v>4443</v>
      </c>
      <c r="E1527" s="9">
        <f t="shared" si="48"/>
        <v>515171.6233335344</v>
      </c>
      <c r="F1527" s="3">
        <v>21</v>
      </c>
      <c r="G1527" s="9">
        <v>854000</v>
      </c>
      <c r="H1527" s="6" t="s">
        <v>45</v>
      </c>
      <c r="J1527" s="9">
        <f t="shared" si="49"/>
        <v>0</v>
      </c>
    </row>
    <row r="1528" spans="1:10">
      <c r="A1528" t="s">
        <v>2264</v>
      </c>
      <c r="B1528" t="s">
        <v>44</v>
      </c>
      <c r="C1528" t="s">
        <v>101</v>
      </c>
      <c r="D1528" t="s">
        <v>2265</v>
      </c>
      <c r="E1528" s="9">
        <f t="shared" si="48"/>
        <v>548108.82548108825</v>
      </c>
      <c r="F1528" s="3">
        <v>21</v>
      </c>
      <c r="G1528" s="9">
        <v>908600</v>
      </c>
      <c r="H1528" s="6" t="s">
        <v>45</v>
      </c>
      <c r="J1528" s="9">
        <f t="shared" si="49"/>
        <v>0</v>
      </c>
    </row>
    <row r="1529" spans="1:10">
      <c r="A1529" t="s">
        <v>2685</v>
      </c>
      <c r="B1529" t="s">
        <v>44</v>
      </c>
      <c r="C1529" t="s">
        <v>101</v>
      </c>
      <c r="D1529" t="s">
        <v>2686</v>
      </c>
      <c r="E1529" s="9">
        <f t="shared" si="48"/>
        <v>608071.42426253238</v>
      </c>
      <c r="F1529" s="3">
        <v>21</v>
      </c>
      <c r="G1529" s="9">
        <v>1008000</v>
      </c>
      <c r="H1529" s="4" t="s">
        <v>16</v>
      </c>
      <c r="J1529" s="9">
        <f t="shared" si="49"/>
        <v>0</v>
      </c>
    </row>
    <row r="1530" spans="1:10">
      <c r="A1530" t="s">
        <v>4212</v>
      </c>
      <c r="B1530" t="s">
        <v>44</v>
      </c>
      <c r="C1530" t="s">
        <v>101</v>
      </c>
      <c r="D1530" t="s">
        <v>4213</v>
      </c>
      <c r="E1530" s="9">
        <f t="shared" si="48"/>
        <v>608071.42426253238</v>
      </c>
      <c r="F1530" s="3">
        <v>21</v>
      </c>
      <c r="G1530" s="9">
        <v>1008000</v>
      </c>
      <c r="H1530" s="6" t="s">
        <v>45</v>
      </c>
      <c r="J1530" s="9">
        <f t="shared" si="49"/>
        <v>0</v>
      </c>
    </row>
    <row r="1531" spans="1:10">
      <c r="A1531" t="s">
        <v>3940</v>
      </c>
      <c r="B1531" t="s">
        <v>44</v>
      </c>
      <c r="C1531" t="s">
        <v>101</v>
      </c>
      <c r="D1531" t="s">
        <v>3941</v>
      </c>
      <c r="E1531" s="9">
        <f t="shared" si="48"/>
        <v>608071.42426253238</v>
      </c>
      <c r="F1531" s="3">
        <v>21</v>
      </c>
      <c r="G1531" s="9">
        <v>1008000</v>
      </c>
      <c r="H1531" s="6" t="s">
        <v>45</v>
      </c>
      <c r="J1531" s="9">
        <f t="shared" si="49"/>
        <v>0</v>
      </c>
    </row>
    <row r="1532" spans="1:10">
      <c r="A1532" t="s">
        <v>3882</v>
      </c>
      <c r="B1532" t="s">
        <v>44</v>
      </c>
      <c r="C1532" t="s">
        <v>101</v>
      </c>
      <c r="D1532" t="s">
        <v>3883</v>
      </c>
      <c r="E1532" s="9">
        <f t="shared" si="48"/>
        <v>709416.66163962113</v>
      </c>
      <c r="F1532" s="3">
        <v>21</v>
      </c>
      <c r="G1532" s="9">
        <v>1176000</v>
      </c>
      <c r="H1532" s="5" t="s">
        <v>5080</v>
      </c>
      <c r="J1532" s="9">
        <f t="shared" si="49"/>
        <v>0</v>
      </c>
    </row>
    <row r="1533" spans="1:10">
      <c r="A1533" t="s">
        <v>3468</v>
      </c>
      <c r="B1533" t="s">
        <v>44</v>
      </c>
      <c r="C1533" t="s">
        <v>101</v>
      </c>
      <c r="D1533" t="s">
        <v>3469</v>
      </c>
      <c r="E1533" s="9">
        <f t="shared" si="48"/>
        <v>126681.54672136092</v>
      </c>
      <c r="F1533" s="3">
        <v>21</v>
      </c>
      <c r="G1533" s="9">
        <v>210000</v>
      </c>
      <c r="H1533" s="4" t="s">
        <v>16</v>
      </c>
      <c r="J1533" s="9">
        <f t="shared" si="49"/>
        <v>0</v>
      </c>
    </row>
    <row r="1534" spans="1:10">
      <c r="A1534" t="s">
        <v>1092</v>
      </c>
      <c r="B1534" t="s">
        <v>44</v>
      </c>
      <c r="C1534" t="s">
        <v>101</v>
      </c>
      <c r="D1534" t="s">
        <v>1093</v>
      </c>
      <c r="E1534" s="9">
        <f t="shared" si="48"/>
        <v>143572.41961754239</v>
      </c>
      <c r="F1534" s="3">
        <v>21</v>
      </c>
      <c r="G1534" s="9">
        <v>238000</v>
      </c>
      <c r="H1534" s="6" t="s">
        <v>45</v>
      </c>
      <c r="J1534" s="9">
        <f t="shared" si="49"/>
        <v>0</v>
      </c>
    </row>
    <row r="1535" spans="1:10" hidden="1">
      <c r="A1535" t="s">
        <v>3762</v>
      </c>
      <c r="B1535" t="s">
        <v>44</v>
      </c>
      <c r="C1535" t="s">
        <v>101</v>
      </c>
      <c r="D1535" t="s">
        <v>3761</v>
      </c>
      <c r="E1535" s="9">
        <f t="shared" si="48"/>
        <v>8.445436448090728</v>
      </c>
      <c r="F1535" s="3">
        <v>21</v>
      </c>
      <c r="G1535" s="9">
        <v>14</v>
      </c>
      <c r="H1535" s="4" t="s">
        <v>16</v>
      </c>
      <c r="J1535" s="9">
        <f t="shared" si="49"/>
        <v>0</v>
      </c>
    </row>
    <row r="1536" spans="1:10" hidden="1">
      <c r="A1536" t="s">
        <v>3813</v>
      </c>
      <c r="B1536" t="s">
        <v>44</v>
      </c>
      <c r="C1536" t="s">
        <v>101</v>
      </c>
      <c r="D1536" t="s">
        <v>3761</v>
      </c>
      <c r="E1536" s="9">
        <f t="shared" si="48"/>
        <v>8.445436448090728</v>
      </c>
      <c r="F1536" s="3">
        <v>21</v>
      </c>
      <c r="G1536" s="9">
        <v>14</v>
      </c>
      <c r="H1536" s="4" t="s">
        <v>16</v>
      </c>
      <c r="J1536" s="9">
        <f t="shared" si="49"/>
        <v>0</v>
      </c>
    </row>
    <row r="1537" spans="1:10" hidden="1">
      <c r="A1537" t="s">
        <v>3760</v>
      </c>
      <c r="B1537" t="s">
        <v>44</v>
      </c>
      <c r="C1537" t="s">
        <v>101</v>
      </c>
      <c r="D1537" t="s">
        <v>3761</v>
      </c>
      <c r="E1537" s="9">
        <f t="shared" si="48"/>
        <v>8.445436448090728</v>
      </c>
      <c r="F1537" s="3">
        <v>21</v>
      </c>
      <c r="G1537" s="9">
        <v>14</v>
      </c>
      <c r="H1537" s="4" t="s">
        <v>16</v>
      </c>
      <c r="J1537" s="9">
        <f t="shared" si="49"/>
        <v>0</v>
      </c>
    </row>
    <row r="1538" spans="1:10" hidden="1">
      <c r="A1538" t="s">
        <v>3814</v>
      </c>
      <c r="B1538" t="s">
        <v>44</v>
      </c>
      <c r="C1538" t="s">
        <v>101</v>
      </c>
      <c r="D1538" t="s">
        <v>3815</v>
      </c>
      <c r="E1538" s="9">
        <f t="shared" si="48"/>
        <v>8.445436448090728</v>
      </c>
      <c r="F1538" s="3">
        <v>21</v>
      </c>
      <c r="G1538" s="9">
        <v>14</v>
      </c>
      <c r="H1538" s="4" t="s">
        <v>16</v>
      </c>
      <c r="J1538" s="9">
        <f t="shared" si="49"/>
        <v>0</v>
      </c>
    </row>
    <row r="1539" spans="1:10">
      <c r="A1539" t="s">
        <v>703</v>
      </c>
      <c r="B1539" t="s">
        <v>44</v>
      </c>
      <c r="C1539" t="s">
        <v>101</v>
      </c>
      <c r="D1539" t="s">
        <v>704</v>
      </c>
      <c r="E1539" s="9">
        <f t="shared" si="48"/>
        <v>194245.03830608673</v>
      </c>
      <c r="F1539" s="3">
        <v>21</v>
      </c>
      <c r="G1539" s="9">
        <v>322000</v>
      </c>
      <c r="H1539" s="6" t="s">
        <v>45</v>
      </c>
      <c r="J1539" s="9">
        <f t="shared" si="49"/>
        <v>0</v>
      </c>
    </row>
    <row r="1540" spans="1:10">
      <c r="A1540" t="s">
        <v>3942</v>
      </c>
      <c r="B1540" t="s">
        <v>44</v>
      </c>
      <c r="C1540" t="s">
        <v>101</v>
      </c>
      <c r="D1540" t="s">
        <v>3943</v>
      </c>
      <c r="E1540" s="9">
        <f t="shared" si="48"/>
        <v>2364722.2054654039</v>
      </c>
      <c r="F1540" s="3">
        <v>21</v>
      </c>
      <c r="G1540" s="9">
        <v>3920000</v>
      </c>
      <c r="H1540" s="5" t="s">
        <v>5080</v>
      </c>
      <c r="J1540" s="9">
        <f t="shared" si="49"/>
        <v>0</v>
      </c>
    </row>
    <row r="1541" spans="1:10">
      <c r="A1541" t="s">
        <v>3472</v>
      </c>
      <c r="B1541" t="s">
        <v>44</v>
      </c>
      <c r="C1541" t="s">
        <v>101</v>
      </c>
      <c r="D1541" t="s">
        <v>1336</v>
      </c>
      <c r="E1541" s="9">
        <f t="shared" si="48"/>
        <v>464499.00464499003</v>
      </c>
      <c r="F1541" s="3">
        <v>21</v>
      </c>
      <c r="G1541" s="9">
        <v>770000</v>
      </c>
      <c r="H1541" s="6" t="s">
        <v>45</v>
      </c>
      <c r="J1541" s="9">
        <f t="shared" si="49"/>
        <v>0</v>
      </c>
    </row>
    <row r="1542" spans="1:10">
      <c r="A1542" t="s">
        <v>260</v>
      </c>
      <c r="B1542" t="s">
        <v>44</v>
      </c>
      <c r="C1542" t="s">
        <v>101</v>
      </c>
      <c r="D1542" t="s">
        <v>261</v>
      </c>
      <c r="E1542" s="9">
        <f t="shared" si="48"/>
        <v>1266815.467213609</v>
      </c>
      <c r="F1542" s="3">
        <v>21</v>
      </c>
      <c r="G1542" s="9">
        <v>2100000</v>
      </c>
      <c r="H1542" s="5" t="s">
        <v>5080</v>
      </c>
      <c r="J1542" s="9">
        <f t="shared" si="49"/>
        <v>0</v>
      </c>
    </row>
    <row r="1543" spans="1:10">
      <c r="A1543" t="s">
        <v>3173</v>
      </c>
      <c r="B1543" t="s">
        <v>44</v>
      </c>
      <c r="C1543" t="s">
        <v>101</v>
      </c>
      <c r="D1543" t="s">
        <v>3174</v>
      </c>
      <c r="E1543" s="9">
        <f t="shared" si="48"/>
        <v>1857996.0185799601</v>
      </c>
      <c r="F1543" s="3">
        <v>21</v>
      </c>
      <c r="G1543" s="9">
        <v>3080000</v>
      </c>
      <c r="H1543" s="4" t="s">
        <v>16</v>
      </c>
      <c r="J1543" s="9">
        <f t="shared" si="49"/>
        <v>0</v>
      </c>
    </row>
    <row r="1544" spans="1:10" hidden="1">
      <c r="A1544" t="s">
        <v>4483</v>
      </c>
      <c r="B1544" t="s">
        <v>44</v>
      </c>
      <c r="C1544" t="s">
        <v>101</v>
      </c>
      <c r="D1544" t="s">
        <v>4484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 hidden="1">
      <c r="A1545" t="s">
        <v>3179</v>
      </c>
      <c r="B1545" t="s">
        <v>44</v>
      </c>
      <c r="C1545" t="s">
        <v>101</v>
      </c>
      <c r="D1545" t="s">
        <v>3180</v>
      </c>
      <c r="E1545" s="9">
        <f t="shared" ref="E1545:E1608" si="50">SUM(G1545/(1+(F1545/100)) /(1+(37/100)))</f>
        <v>8.445436448090728</v>
      </c>
      <c r="F1545" s="3">
        <v>21</v>
      </c>
      <c r="G1545" s="9">
        <v>14</v>
      </c>
      <c r="H1545" s="4" t="s">
        <v>16</v>
      </c>
      <c r="J1545" s="9">
        <f t="shared" ref="J1545:J1608" si="51">SUM(E1545* I1545)</f>
        <v>0</v>
      </c>
    </row>
    <row r="1546" spans="1:10" hidden="1">
      <c r="A1546" t="s">
        <v>3754</v>
      </c>
      <c r="B1546" t="s">
        <v>44</v>
      </c>
      <c r="C1546" t="s">
        <v>101</v>
      </c>
      <c r="D1546" t="s">
        <v>3755</v>
      </c>
      <c r="E1546" s="9">
        <f t="shared" si="50"/>
        <v>8.445436448090728</v>
      </c>
      <c r="F1546" s="3">
        <v>21</v>
      </c>
      <c r="G1546" s="9">
        <v>14</v>
      </c>
      <c r="H1546" s="4" t="s">
        <v>16</v>
      </c>
      <c r="J1546" s="9">
        <f t="shared" si="51"/>
        <v>0</v>
      </c>
    </row>
    <row r="1547" spans="1:10" hidden="1">
      <c r="A1547" t="s">
        <v>3756</v>
      </c>
      <c r="B1547" t="s">
        <v>44</v>
      </c>
      <c r="C1547" t="s">
        <v>101</v>
      </c>
      <c r="D1547" t="s">
        <v>3757</v>
      </c>
      <c r="E1547" s="9">
        <f t="shared" si="50"/>
        <v>8.445436448090728</v>
      </c>
      <c r="F1547" s="3">
        <v>21</v>
      </c>
      <c r="G1547" s="9">
        <v>14</v>
      </c>
      <c r="H1547" s="4" t="s">
        <v>16</v>
      </c>
      <c r="J1547" s="9">
        <f t="shared" si="51"/>
        <v>0</v>
      </c>
    </row>
    <row r="1548" spans="1:10" hidden="1">
      <c r="A1548" t="s">
        <v>3758</v>
      </c>
      <c r="B1548" t="s">
        <v>44</v>
      </c>
      <c r="C1548" t="s">
        <v>101</v>
      </c>
      <c r="D1548" t="s">
        <v>3759</v>
      </c>
      <c r="E1548" s="9">
        <f t="shared" si="50"/>
        <v>8.445436448090728</v>
      </c>
      <c r="F1548" s="3">
        <v>21</v>
      </c>
      <c r="G1548" s="9">
        <v>14</v>
      </c>
      <c r="H1548" s="4" t="s">
        <v>16</v>
      </c>
      <c r="J1548" s="9">
        <f t="shared" si="51"/>
        <v>0</v>
      </c>
    </row>
    <row r="1549" spans="1:10">
      <c r="A1549" t="s">
        <v>99</v>
      </c>
      <c r="B1549" t="s">
        <v>44</v>
      </c>
      <c r="C1549" t="s">
        <v>101</v>
      </c>
      <c r="D1549" t="s">
        <v>100</v>
      </c>
      <c r="E1549" s="9">
        <f t="shared" si="50"/>
        <v>236472.2205465404</v>
      </c>
      <c r="F1549" s="3">
        <v>21</v>
      </c>
      <c r="G1549" s="9">
        <v>392000</v>
      </c>
      <c r="H1549" s="6" t="s">
        <v>45</v>
      </c>
      <c r="J1549" s="9">
        <f t="shared" si="51"/>
        <v>0</v>
      </c>
    </row>
    <row r="1550" spans="1:10">
      <c r="A1550" t="s">
        <v>409</v>
      </c>
      <c r="B1550" t="s">
        <v>44</v>
      </c>
      <c r="C1550" t="s">
        <v>101</v>
      </c>
      <c r="D1550" t="s">
        <v>410</v>
      </c>
      <c r="E1550" s="9">
        <f t="shared" si="50"/>
        <v>512241.05688604689</v>
      </c>
      <c r="F1550" s="3">
        <v>21</v>
      </c>
      <c r="G1550" s="9">
        <v>849142</v>
      </c>
      <c r="H1550" s="4" t="s">
        <v>16</v>
      </c>
      <c r="J1550" s="9">
        <f t="shared" si="51"/>
        <v>0</v>
      </c>
    </row>
    <row r="1551" spans="1:10">
      <c r="A1551" t="s">
        <v>1335</v>
      </c>
      <c r="B1551" t="s">
        <v>44</v>
      </c>
      <c r="C1551" t="s">
        <v>101</v>
      </c>
      <c r="D1551" t="s">
        <v>1336</v>
      </c>
      <c r="E1551" s="9">
        <f t="shared" si="50"/>
        <v>275093.20142365928</v>
      </c>
      <c r="F1551" s="3">
        <v>21</v>
      </c>
      <c r="G1551" s="9">
        <v>456022</v>
      </c>
      <c r="H1551" s="4" t="s">
        <v>16</v>
      </c>
      <c r="J1551" s="9">
        <f t="shared" si="51"/>
        <v>0</v>
      </c>
    </row>
    <row r="1552" spans="1:10">
      <c r="A1552" t="s">
        <v>2998</v>
      </c>
      <c r="B1552" t="s">
        <v>44</v>
      </c>
      <c r="C1552" t="s">
        <v>101</v>
      </c>
      <c r="D1552" t="s">
        <v>2999</v>
      </c>
      <c r="E1552" s="9">
        <f t="shared" si="50"/>
        <v>464499.00464499003</v>
      </c>
      <c r="F1552" s="3">
        <v>21</v>
      </c>
      <c r="G1552" s="9">
        <v>770000</v>
      </c>
      <c r="H1552" s="6" t="s">
        <v>45</v>
      </c>
      <c r="J1552" s="9">
        <f t="shared" si="51"/>
        <v>0</v>
      </c>
    </row>
    <row r="1553" spans="1:10">
      <c r="A1553" t="s">
        <v>4437</v>
      </c>
      <c r="B1553" t="s">
        <v>44</v>
      </c>
      <c r="C1553" t="s">
        <v>101</v>
      </c>
      <c r="D1553" t="s">
        <v>2999</v>
      </c>
      <c r="E1553" s="9">
        <f t="shared" si="50"/>
        <v>320926.58502744767</v>
      </c>
      <c r="F1553" s="3">
        <v>21</v>
      </c>
      <c r="G1553" s="9">
        <v>532000</v>
      </c>
      <c r="H1553" s="6" t="s">
        <v>45</v>
      </c>
      <c r="J1553" s="9">
        <f t="shared" si="51"/>
        <v>0</v>
      </c>
    </row>
    <row r="1554" spans="1:10" hidden="1">
      <c r="A1554" t="s">
        <v>2960</v>
      </c>
      <c r="B1554" t="s">
        <v>44</v>
      </c>
      <c r="C1554" t="s">
        <v>101</v>
      </c>
      <c r="D1554" t="s">
        <v>2961</v>
      </c>
      <c r="E1554" s="9">
        <f t="shared" si="50"/>
        <v>8.445436448090728</v>
      </c>
      <c r="F1554" s="3">
        <v>21</v>
      </c>
      <c r="G1554" s="9">
        <v>14</v>
      </c>
      <c r="H1554" s="5" t="s">
        <v>24</v>
      </c>
      <c r="J1554" s="9">
        <f t="shared" si="51"/>
        <v>0</v>
      </c>
    </row>
    <row r="1555" spans="1:10" hidden="1">
      <c r="A1555" t="s">
        <v>3071</v>
      </c>
      <c r="B1555" t="s">
        <v>44</v>
      </c>
      <c r="C1555" t="s">
        <v>101</v>
      </c>
      <c r="D1555" t="s">
        <v>3072</v>
      </c>
      <c r="E1555" s="9">
        <f t="shared" si="50"/>
        <v>8.445436448090728</v>
      </c>
      <c r="F1555" s="3">
        <v>21</v>
      </c>
      <c r="G1555" s="9">
        <v>14</v>
      </c>
      <c r="H1555" s="6" t="s">
        <v>45</v>
      </c>
      <c r="J1555" s="9">
        <f t="shared" si="51"/>
        <v>0</v>
      </c>
    </row>
    <row r="1556" spans="1:10" hidden="1">
      <c r="A1556" t="s">
        <v>3440</v>
      </c>
      <c r="B1556" t="s">
        <v>44</v>
      </c>
      <c r="C1556" t="s">
        <v>101</v>
      </c>
      <c r="D1556" t="s">
        <v>3441</v>
      </c>
      <c r="E1556" s="9">
        <f t="shared" si="50"/>
        <v>8.445436448090728</v>
      </c>
      <c r="F1556" s="3">
        <v>21</v>
      </c>
      <c r="G1556" s="9">
        <v>14</v>
      </c>
      <c r="H1556" s="5" t="s">
        <v>24</v>
      </c>
      <c r="J1556" s="9">
        <f t="shared" si="51"/>
        <v>0</v>
      </c>
    </row>
    <row r="1557" spans="1:10" hidden="1">
      <c r="A1557" t="s">
        <v>1860</v>
      </c>
      <c r="B1557" t="s">
        <v>44</v>
      </c>
      <c r="C1557" t="s">
        <v>101</v>
      </c>
      <c r="D1557" t="s">
        <v>1861</v>
      </c>
      <c r="E1557" s="9">
        <f t="shared" si="50"/>
        <v>8.445436448090728</v>
      </c>
      <c r="F1557" s="3">
        <v>21</v>
      </c>
      <c r="G1557" s="9">
        <v>14</v>
      </c>
      <c r="H1557" s="4" t="s">
        <v>16</v>
      </c>
      <c r="J1557" s="9">
        <f t="shared" si="51"/>
        <v>0</v>
      </c>
    </row>
    <row r="1558" spans="1:10" hidden="1">
      <c r="A1558" t="s">
        <v>955</v>
      </c>
      <c r="B1558" t="s">
        <v>44</v>
      </c>
      <c r="C1558" t="s">
        <v>101</v>
      </c>
      <c r="D1558" t="s">
        <v>956</v>
      </c>
      <c r="E1558" s="9">
        <f t="shared" si="50"/>
        <v>8.445436448090728</v>
      </c>
      <c r="F1558" s="3">
        <v>21</v>
      </c>
      <c r="G1558" s="9">
        <v>14</v>
      </c>
      <c r="H1558" s="5" t="s">
        <v>24</v>
      </c>
      <c r="J1558" s="9">
        <f t="shared" si="51"/>
        <v>0</v>
      </c>
    </row>
    <row r="1559" spans="1:10" hidden="1">
      <c r="A1559" t="s">
        <v>1556</v>
      </c>
      <c r="B1559" t="s">
        <v>44</v>
      </c>
      <c r="C1559" t="s">
        <v>101</v>
      </c>
      <c r="D1559" t="s">
        <v>1557</v>
      </c>
      <c r="E1559" s="9">
        <f t="shared" si="50"/>
        <v>8.445436448090728</v>
      </c>
      <c r="F1559" s="3">
        <v>21</v>
      </c>
      <c r="G1559" s="9">
        <v>14</v>
      </c>
      <c r="H1559" s="5" t="s">
        <v>24</v>
      </c>
      <c r="J1559" s="9">
        <f t="shared" si="51"/>
        <v>0</v>
      </c>
    </row>
    <row r="1560" spans="1:10" hidden="1">
      <c r="A1560" t="s">
        <v>2683</v>
      </c>
      <c r="B1560" t="s">
        <v>44</v>
      </c>
      <c r="C1560" t="s">
        <v>101</v>
      </c>
      <c r="D1560" t="s">
        <v>2684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791</v>
      </c>
      <c r="B1561" t="s">
        <v>44</v>
      </c>
      <c r="C1561" t="s">
        <v>101</v>
      </c>
      <c r="D1561" t="s">
        <v>792</v>
      </c>
      <c r="E1561" s="9">
        <f t="shared" si="50"/>
        <v>8.445436448090728</v>
      </c>
      <c r="F1561" s="3">
        <v>21</v>
      </c>
      <c r="G1561" s="9">
        <v>14</v>
      </c>
      <c r="H1561" s="4" t="s">
        <v>16</v>
      </c>
      <c r="J1561" s="9">
        <f t="shared" si="51"/>
        <v>0</v>
      </c>
    </row>
    <row r="1562" spans="1:10" hidden="1">
      <c r="A1562" t="s">
        <v>2118</v>
      </c>
      <c r="B1562" t="s">
        <v>44</v>
      </c>
      <c r="C1562" t="s">
        <v>101</v>
      </c>
      <c r="D1562" t="s">
        <v>2119</v>
      </c>
      <c r="E1562" s="9">
        <f t="shared" si="50"/>
        <v>8.445436448090728</v>
      </c>
      <c r="F1562" s="3">
        <v>21</v>
      </c>
      <c r="G1562" s="9">
        <v>14</v>
      </c>
      <c r="H1562" s="4" t="s">
        <v>16</v>
      </c>
      <c r="J1562" s="9">
        <f t="shared" si="51"/>
        <v>0</v>
      </c>
    </row>
    <row r="1563" spans="1:10" hidden="1">
      <c r="A1563" t="s">
        <v>1558</v>
      </c>
      <c r="B1563" t="s">
        <v>44</v>
      </c>
      <c r="C1563" t="s">
        <v>101</v>
      </c>
      <c r="D1563" t="s">
        <v>1559</v>
      </c>
      <c r="E1563" s="9">
        <f t="shared" si="50"/>
        <v>8.445436448090728</v>
      </c>
      <c r="F1563" s="3">
        <v>21</v>
      </c>
      <c r="G1563" s="9">
        <v>14</v>
      </c>
      <c r="H1563" s="5" t="s">
        <v>24</v>
      </c>
      <c r="J1563" s="9">
        <f t="shared" si="51"/>
        <v>0</v>
      </c>
    </row>
    <row r="1564" spans="1:10" hidden="1">
      <c r="A1564" t="s">
        <v>2907</v>
      </c>
      <c r="B1564" t="s">
        <v>44</v>
      </c>
      <c r="C1564" t="s">
        <v>101</v>
      </c>
      <c r="D1564" t="s">
        <v>2908</v>
      </c>
      <c r="E1564" s="9">
        <f t="shared" si="50"/>
        <v>8.445436448090728</v>
      </c>
      <c r="F1564" s="3">
        <v>21</v>
      </c>
      <c r="G1564" s="9">
        <v>14</v>
      </c>
      <c r="H1564" s="6" t="s">
        <v>45</v>
      </c>
      <c r="J1564" s="9">
        <f t="shared" si="51"/>
        <v>0</v>
      </c>
    </row>
    <row r="1565" spans="1:10" hidden="1">
      <c r="A1565" t="s">
        <v>2705</v>
      </c>
      <c r="B1565" t="s">
        <v>44</v>
      </c>
      <c r="C1565" t="s">
        <v>101</v>
      </c>
      <c r="D1565" t="s">
        <v>2706</v>
      </c>
      <c r="E1565" s="9">
        <f t="shared" si="50"/>
        <v>8.445436448090728</v>
      </c>
      <c r="F1565" s="3">
        <v>21</v>
      </c>
      <c r="G1565" s="9">
        <v>14</v>
      </c>
      <c r="H1565" s="4" t="s">
        <v>16</v>
      </c>
      <c r="J1565" s="9">
        <f t="shared" si="51"/>
        <v>0</v>
      </c>
    </row>
    <row r="1566" spans="1:10" hidden="1">
      <c r="A1566" t="s">
        <v>4481</v>
      </c>
      <c r="B1566" t="s">
        <v>44</v>
      </c>
      <c r="C1566" t="s">
        <v>101</v>
      </c>
      <c r="D1566" t="s">
        <v>4482</v>
      </c>
      <c r="E1566" s="9">
        <f t="shared" si="50"/>
        <v>8.445436448090728</v>
      </c>
      <c r="F1566" s="3">
        <v>21</v>
      </c>
      <c r="G1566" s="9">
        <v>14</v>
      </c>
      <c r="H1566" s="6" t="s">
        <v>45</v>
      </c>
      <c r="J1566" s="9">
        <f t="shared" si="51"/>
        <v>0</v>
      </c>
    </row>
    <row r="1567" spans="1:10" hidden="1">
      <c r="A1567" t="s">
        <v>509</v>
      </c>
      <c r="B1567" t="s">
        <v>44</v>
      </c>
      <c r="C1567" t="s">
        <v>101</v>
      </c>
      <c r="D1567" t="s">
        <v>510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>
      <c r="A1568" t="s">
        <v>3140</v>
      </c>
      <c r="B1568" t="s">
        <v>44</v>
      </c>
      <c r="C1568" t="s">
        <v>101</v>
      </c>
      <c r="D1568" t="s">
        <v>3141</v>
      </c>
      <c r="E1568" s="9">
        <f t="shared" si="50"/>
        <v>76008.928032816548</v>
      </c>
      <c r="F1568" s="3">
        <v>21</v>
      </c>
      <c r="G1568" s="9">
        <v>126000</v>
      </c>
      <c r="H1568" s="5" t="s">
        <v>5080</v>
      </c>
      <c r="J1568" s="9">
        <f t="shared" si="51"/>
        <v>0</v>
      </c>
    </row>
    <row r="1569" spans="1:10">
      <c r="A1569" t="s">
        <v>3142</v>
      </c>
      <c r="B1569" t="s">
        <v>44</v>
      </c>
      <c r="C1569" t="s">
        <v>101</v>
      </c>
      <c r="D1569" t="s">
        <v>3143</v>
      </c>
      <c r="E1569" s="9">
        <f t="shared" si="50"/>
        <v>92899.800928998011</v>
      </c>
      <c r="F1569" s="3">
        <v>21</v>
      </c>
      <c r="G1569" s="9">
        <v>154000</v>
      </c>
      <c r="H1569" s="4" t="s">
        <v>16</v>
      </c>
      <c r="J1569" s="9">
        <f t="shared" si="51"/>
        <v>0</v>
      </c>
    </row>
    <row r="1570" spans="1:10">
      <c r="A1570" t="s">
        <v>4901</v>
      </c>
      <c r="B1570" t="s">
        <v>44</v>
      </c>
      <c r="C1570" t="s">
        <v>101</v>
      </c>
      <c r="D1570" t="s">
        <v>4902</v>
      </c>
      <c r="E1570" s="9">
        <f t="shared" si="50"/>
        <v>1055679.556011341</v>
      </c>
      <c r="F1570" s="3">
        <v>21</v>
      </c>
      <c r="G1570" s="9">
        <v>1750000</v>
      </c>
      <c r="H1570" s="6" t="s">
        <v>45</v>
      </c>
      <c r="J1570" s="9">
        <f t="shared" si="51"/>
        <v>0</v>
      </c>
    </row>
    <row r="1571" spans="1:10">
      <c r="A1571" t="s">
        <v>213</v>
      </c>
      <c r="B1571" t="s">
        <v>44</v>
      </c>
      <c r="C1571" t="s">
        <v>101</v>
      </c>
      <c r="D1571" t="s">
        <v>214</v>
      </c>
      <c r="E1571" s="9">
        <f t="shared" si="50"/>
        <v>424940.58032213303</v>
      </c>
      <c r="F1571" s="3">
        <v>21</v>
      </c>
      <c r="G1571" s="9">
        <v>704424</v>
      </c>
      <c r="H1571" s="5" t="s">
        <v>5080</v>
      </c>
      <c r="J1571" s="9">
        <f t="shared" si="51"/>
        <v>0</v>
      </c>
    </row>
    <row r="1572" spans="1:10">
      <c r="A1572" t="s">
        <v>2266</v>
      </c>
      <c r="B1572" t="s">
        <v>44</v>
      </c>
      <c r="C1572" t="s">
        <v>101</v>
      </c>
      <c r="D1572" t="s">
        <v>2267</v>
      </c>
      <c r="E1572" s="9">
        <f t="shared" si="50"/>
        <v>667189.47939916747</v>
      </c>
      <c r="F1572" s="3">
        <v>21</v>
      </c>
      <c r="G1572" s="9">
        <v>1106000</v>
      </c>
      <c r="H1572" s="4" t="s">
        <v>16</v>
      </c>
      <c r="J1572" s="9">
        <f t="shared" si="51"/>
        <v>0</v>
      </c>
    </row>
    <row r="1573" spans="1:10">
      <c r="A1573" t="s">
        <v>215</v>
      </c>
      <c r="B1573" t="s">
        <v>44</v>
      </c>
      <c r="C1573" t="s">
        <v>101</v>
      </c>
      <c r="D1573" t="s">
        <v>216</v>
      </c>
      <c r="E1573" s="9">
        <f t="shared" si="50"/>
        <v>509918.56186282198</v>
      </c>
      <c r="F1573" s="3">
        <v>21</v>
      </c>
      <c r="G1573" s="9">
        <v>845292</v>
      </c>
      <c r="H1573" s="5" t="s">
        <v>5080</v>
      </c>
      <c r="J1573" s="9">
        <f t="shared" si="51"/>
        <v>0</v>
      </c>
    </row>
    <row r="1574" spans="1:10">
      <c r="A1574" t="s">
        <v>2268</v>
      </c>
      <c r="B1574" t="s">
        <v>44</v>
      </c>
      <c r="C1574" t="s">
        <v>101</v>
      </c>
      <c r="D1574" t="s">
        <v>2269</v>
      </c>
      <c r="E1574" s="9">
        <f t="shared" si="50"/>
        <v>751643.8438800748</v>
      </c>
      <c r="F1574" s="3">
        <v>21</v>
      </c>
      <c r="G1574" s="9">
        <v>1246000</v>
      </c>
      <c r="H1574" s="4" t="s">
        <v>16</v>
      </c>
      <c r="J1574" s="9">
        <f t="shared" si="51"/>
        <v>0</v>
      </c>
    </row>
    <row r="1575" spans="1:10">
      <c r="A1575" t="s">
        <v>3505</v>
      </c>
      <c r="B1575" t="s">
        <v>44</v>
      </c>
      <c r="C1575" t="s">
        <v>101</v>
      </c>
      <c r="D1575" t="s">
        <v>3506</v>
      </c>
      <c r="E1575" s="9">
        <f t="shared" si="50"/>
        <v>337817.45792362915</v>
      </c>
      <c r="F1575" s="3">
        <v>21</v>
      </c>
      <c r="G1575" s="9">
        <v>560000</v>
      </c>
      <c r="H1575" s="4" t="s">
        <v>16</v>
      </c>
      <c r="J1575" s="9">
        <f t="shared" si="51"/>
        <v>0</v>
      </c>
    </row>
    <row r="1576" spans="1:10">
      <c r="A1576" t="s">
        <v>3535</v>
      </c>
      <c r="B1576" t="s">
        <v>44</v>
      </c>
      <c r="C1576" t="s">
        <v>101</v>
      </c>
      <c r="D1576" t="s">
        <v>3536</v>
      </c>
      <c r="E1576" s="9">
        <f t="shared" si="50"/>
        <v>287144.83923508477</v>
      </c>
      <c r="F1576" s="3">
        <v>21</v>
      </c>
      <c r="G1576" s="9">
        <v>476000</v>
      </c>
      <c r="H1576" s="4" t="s">
        <v>16</v>
      </c>
      <c r="J1576" s="9">
        <f t="shared" si="51"/>
        <v>0</v>
      </c>
    </row>
    <row r="1577" spans="1:10">
      <c r="A1577" t="s">
        <v>3820</v>
      </c>
      <c r="B1577" t="s">
        <v>44</v>
      </c>
      <c r="C1577" t="s">
        <v>101</v>
      </c>
      <c r="D1577" t="s">
        <v>3536</v>
      </c>
      <c r="E1577" s="9">
        <f t="shared" si="50"/>
        <v>506726.18688544369</v>
      </c>
      <c r="F1577" s="3">
        <v>21</v>
      </c>
      <c r="G1577" s="9">
        <v>840000</v>
      </c>
      <c r="H1577" s="6" t="s">
        <v>45</v>
      </c>
      <c r="J1577" s="9">
        <f t="shared" si="51"/>
        <v>0</v>
      </c>
    </row>
    <row r="1578" spans="1:10">
      <c r="A1578" t="s">
        <v>3473</v>
      </c>
      <c r="B1578" t="s">
        <v>44</v>
      </c>
      <c r="C1578" t="s">
        <v>101</v>
      </c>
      <c r="D1578" t="s">
        <v>3474</v>
      </c>
      <c r="E1578" s="9">
        <f t="shared" si="50"/>
        <v>304035.71213126619</v>
      </c>
      <c r="F1578" s="3">
        <v>21</v>
      </c>
      <c r="G1578" s="9">
        <v>504000</v>
      </c>
      <c r="H1578" s="5" t="s">
        <v>5080</v>
      </c>
      <c r="J1578" s="9">
        <f t="shared" si="51"/>
        <v>0</v>
      </c>
    </row>
    <row r="1579" spans="1:10">
      <c r="A1579" t="s">
        <v>4759</v>
      </c>
      <c r="B1579" t="s">
        <v>44</v>
      </c>
      <c r="C1579" t="s">
        <v>101</v>
      </c>
      <c r="D1579" t="s">
        <v>4760</v>
      </c>
      <c r="E1579" s="9">
        <f t="shared" si="50"/>
        <v>122458.82849731555</v>
      </c>
      <c r="F1579" s="3">
        <v>21</v>
      </c>
      <c r="G1579" s="9">
        <v>203000</v>
      </c>
      <c r="H1579" s="5" t="s">
        <v>5080</v>
      </c>
      <c r="J1579" s="9">
        <f t="shared" si="51"/>
        <v>0</v>
      </c>
    </row>
    <row r="1580" spans="1:10">
      <c r="A1580" t="s">
        <v>4761</v>
      </c>
      <c r="B1580" t="s">
        <v>44</v>
      </c>
      <c r="C1580" t="s">
        <v>101</v>
      </c>
      <c r="D1580" t="s">
        <v>4762</v>
      </c>
      <c r="E1580" s="9">
        <f t="shared" si="50"/>
        <v>135126.98316945165</v>
      </c>
      <c r="F1580" s="3">
        <v>21</v>
      </c>
      <c r="G1580" s="9">
        <v>224000</v>
      </c>
      <c r="H1580" s="5" t="s">
        <v>5080</v>
      </c>
      <c r="J1580" s="9">
        <f t="shared" si="51"/>
        <v>0</v>
      </c>
    </row>
    <row r="1581" spans="1:10">
      <c r="A1581" t="s">
        <v>4763</v>
      </c>
      <c r="B1581" t="s">
        <v>44</v>
      </c>
      <c r="C1581" t="s">
        <v>101</v>
      </c>
      <c r="D1581" t="s">
        <v>4764</v>
      </c>
      <c r="E1581" s="9">
        <f t="shared" si="50"/>
        <v>135126.98316945165</v>
      </c>
      <c r="F1581" s="3">
        <v>21</v>
      </c>
      <c r="G1581" s="9">
        <v>224000</v>
      </c>
      <c r="H1581" s="5" t="s">
        <v>5080</v>
      </c>
      <c r="J1581" s="9">
        <f t="shared" si="51"/>
        <v>0</v>
      </c>
    </row>
    <row r="1582" spans="1:10" hidden="1">
      <c r="A1582" t="s">
        <v>1711</v>
      </c>
      <c r="B1582" t="s">
        <v>44</v>
      </c>
      <c r="C1582" t="s">
        <v>101</v>
      </c>
      <c r="D1582" t="s">
        <v>1101</v>
      </c>
      <c r="E1582" s="9">
        <f t="shared" si="50"/>
        <v>8.445436448090728</v>
      </c>
      <c r="F1582" s="3">
        <v>21</v>
      </c>
      <c r="G1582" s="9">
        <v>14</v>
      </c>
      <c r="H1582" s="4" t="s">
        <v>16</v>
      </c>
      <c r="J1582" s="9">
        <f t="shared" si="51"/>
        <v>0</v>
      </c>
    </row>
    <row r="1583" spans="1:10">
      <c r="A1583" t="s">
        <v>1483</v>
      </c>
      <c r="B1583" t="s">
        <v>44</v>
      </c>
      <c r="C1583" t="s">
        <v>101</v>
      </c>
      <c r="D1583" t="s">
        <v>1484</v>
      </c>
      <c r="E1583" s="9">
        <f t="shared" si="50"/>
        <v>1342824.3952464256</v>
      </c>
      <c r="F1583" s="3">
        <v>21</v>
      </c>
      <c r="G1583" s="9">
        <v>2226000</v>
      </c>
      <c r="H1583" s="6" t="s">
        <v>45</v>
      </c>
      <c r="J1583" s="9">
        <f t="shared" si="51"/>
        <v>0</v>
      </c>
    </row>
    <row r="1584" spans="1:10">
      <c r="A1584" t="s">
        <v>3802</v>
      </c>
      <c r="B1584" t="s">
        <v>44</v>
      </c>
      <c r="C1584" t="s">
        <v>101</v>
      </c>
      <c r="D1584" t="s">
        <v>3803</v>
      </c>
      <c r="E1584" s="9">
        <f t="shared" si="50"/>
        <v>2102913.6755745909</v>
      </c>
      <c r="F1584" s="3">
        <v>21</v>
      </c>
      <c r="G1584" s="9">
        <v>3486000</v>
      </c>
      <c r="H1584" s="6" t="s">
        <v>45</v>
      </c>
      <c r="J1584" s="9">
        <f t="shared" si="51"/>
        <v>0</v>
      </c>
    </row>
    <row r="1585" spans="1:10">
      <c r="A1585" t="s">
        <v>2774</v>
      </c>
      <c r="B1585" t="s">
        <v>44</v>
      </c>
      <c r="C1585" t="s">
        <v>101</v>
      </c>
      <c r="D1585" t="s">
        <v>2775</v>
      </c>
      <c r="E1585" s="9">
        <f t="shared" si="50"/>
        <v>1427278.759727333</v>
      </c>
      <c r="F1585" s="3">
        <v>21</v>
      </c>
      <c r="G1585" s="9">
        <v>2366000</v>
      </c>
      <c r="H1585" s="5" t="s">
        <v>5080</v>
      </c>
      <c r="J1585" s="9">
        <f t="shared" si="51"/>
        <v>0</v>
      </c>
    </row>
    <row r="1586" spans="1:10">
      <c r="A1586" t="s">
        <v>2286</v>
      </c>
      <c r="B1586" t="s">
        <v>44</v>
      </c>
      <c r="C1586" t="s">
        <v>101</v>
      </c>
      <c r="D1586" t="s">
        <v>2287</v>
      </c>
      <c r="E1586" s="9">
        <f t="shared" si="50"/>
        <v>962779.75508234301</v>
      </c>
      <c r="F1586" s="3">
        <v>21</v>
      </c>
      <c r="G1586" s="9">
        <v>1596000</v>
      </c>
      <c r="H1586" s="5" t="s">
        <v>5080</v>
      </c>
      <c r="J1586" s="9">
        <f t="shared" si="51"/>
        <v>0</v>
      </c>
    </row>
    <row r="1587" spans="1:10">
      <c r="A1587" t="s">
        <v>1064</v>
      </c>
      <c r="B1587" t="s">
        <v>44</v>
      </c>
      <c r="C1587" t="s">
        <v>101</v>
      </c>
      <c r="D1587" t="s">
        <v>1065</v>
      </c>
      <c r="E1587" s="9">
        <f t="shared" si="50"/>
        <v>1148579.3569403391</v>
      </c>
      <c r="F1587" s="3">
        <v>21</v>
      </c>
      <c r="G1587" s="9">
        <v>1904000</v>
      </c>
      <c r="H1587" s="6" t="s">
        <v>45</v>
      </c>
      <c r="J1587" s="9">
        <f t="shared" si="51"/>
        <v>0</v>
      </c>
    </row>
    <row r="1588" spans="1:10">
      <c r="A1588" t="s">
        <v>1575</v>
      </c>
      <c r="B1588" t="s">
        <v>44</v>
      </c>
      <c r="C1588" t="s">
        <v>101</v>
      </c>
      <c r="D1588" t="s">
        <v>1576</v>
      </c>
      <c r="E1588" s="9">
        <f t="shared" si="50"/>
        <v>1148579.3569403391</v>
      </c>
      <c r="F1588" s="3">
        <v>21</v>
      </c>
      <c r="G1588" s="9">
        <v>1904000</v>
      </c>
      <c r="H1588" s="4" t="s">
        <v>16</v>
      </c>
      <c r="J1588" s="9">
        <f t="shared" si="51"/>
        <v>0</v>
      </c>
    </row>
    <row r="1589" spans="1:10">
      <c r="A1589" t="s">
        <v>3453</v>
      </c>
      <c r="B1589" t="s">
        <v>44</v>
      </c>
      <c r="C1589" t="s">
        <v>101</v>
      </c>
      <c r="D1589" t="s">
        <v>3323</v>
      </c>
      <c r="E1589" s="9">
        <f t="shared" si="50"/>
        <v>1680641.853170055</v>
      </c>
      <c r="F1589" s="3">
        <v>21</v>
      </c>
      <c r="G1589" s="9">
        <v>2786000</v>
      </c>
      <c r="H1589" s="6" t="s">
        <v>45</v>
      </c>
      <c r="J1589" s="9">
        <f t="shared" si="51"/>
        <v>0</v>
      </c>
    </row>
    <row r="1590" spans="1:10">
      <c r="A1590" t="s">
        <v>3322</v>
      </c>
      <c r="B1590" t="s">
        <v>44</v>
      </c>
      <c r="C1590" t="s">
        <v>101</v>
      </c>
      <c r="D1590" t="s">
        <v>3323</v>
      </c>
      <c r="E1590" s="9">
        <f t="shared" si="50"/>
        <v>2069131.9297822283</v>
      </c>
      <c r="F1590" s="3">
        <v>21</v>
      </c>
      <c r="G1590" s="9">
        <v>3430000</v>
      </c>
      <c r="H1590" s="6" t="s">
        <v>45</v>
      </c>
      <c r="J1590" s="9">
        <f t="shared" si="51"/>
        <v>0</v>
      </c>
    </row>
    <row r="1591" spans="1:10">
      <c r="A1591" t="s">
        <v>3055</v>
      </c>
      <c r="B1591" t="s">
        <v>44</v>
      </c>
      <c r="C1591" t="s">
        <v>101</v>
      </c>
      <c r="D1591" t="s">
        <v>3056</v>
      </c>
      <c r="E1591" s="9">
        <f t="shared" si="50"/>
        <v>2618085.2989081256</v>
      </c>
      <c r="F1591" s="3">
        <v>21</v>
      </c>
      <c r="G1591" s="9">
        <v>4340000</v>
      </c>
      <c r="H1591" s="4" t="s">
        <v>16</v>
      </c>
      <c r="J1591" s="9">
        <f t="shared" si="51"/>
        <v>0</v>
      </c>
    </row>
    <row r="1592" spans="1:10">
      <c r="A1592" t="s">
        <v>3720</v>
      </c>
      <c r="B1592" t="s">
        <v>44</v>
      </c>
      <c r="C1592" t="s">
        <v>101</v>
      </c>
      <c r="D1592" t="s">
        <v>3455</v>
      </c>
      <c r="E1592" s="9">
        <f t="shared" si="50"/>
        <v>3200820.413826386</v>
      </c>
      <c r="F1592" s="3">
        <v>21</v>
      </c>
      <c r="G1592" s="9">
        <v>5306000</v>
      </c>
      <c r="H1592" s="6" t="s">
        <v>45</v>
      </c>
      <c r="J1592" s="9">
        <f t="shared" si="51"/>
        <v>0</v>
      </c>
    </row>
    <row r="1593" spans="1:10">
      <c r="A1593" t="s">
        <v>3454</v>
      </c>
      <c r="B1593" t="s">
        <v>44</v>
      </c>
      <c r="C1593" t="s">
        <v>101</v>
      </c>
      <c r="D1593" t="s">
        <v>3455</v>
      </c>
      <c r="E1593" s="9">
        <f t="shared" si="50"/>
        <v>3116366.0493454784</v>
      </c>
      <c r="F1593" s="3">
        <v>21</v>
      </c>
      <c r="G1593" s="9">
        <v>5166000</v>
      </c>
      <c r="H1593" s="4" t="s">
        <v>16</v>
      </c>
      <c r="J1593" s="9">
        <f t="shared" si="51"/>
        <v>0</v>
      </c>
    </row>
    <row r="1594" spans="1:10">
      <c r="A1594" t="s">
        <v>3753</v>
      </c>
      <c r="B1594" t="s">
        <v>44</v>
      </c>
      <c r="C1594" t="s">
        <v>101</v>
      </c>
      <c r="D1594" t="s">
        <v>3455</v>
      </c>
      <c r="E1594" s="9">
        <f t="shared" si="50"/>
        <v>4214272.7875972735</v>
      </c>
      <c r="F1594" s="3">
        <v>21</v>
      </c>
      <c r="G1594" s="9">
        <v>6986000</v>
      </c>
      <c r="H1594" s="6" t="s">
        <v>45</v>
      </c>
      <c r="J1594" s="9">
        <f t="shared" si="51"/>
        <v>0</v>
      </c>
    </row>
    <row r="1595" spans="1:10">
      <c r="A1595" t="s">
        <v>2058</v>
      </c>
      <c r="B1595" t="s">
        <v>44</v>
      </c>
      <c r="C1595" t="s">
        <v>101</v>
      </c>
      <c r="D1595" t="s">
        <v>2059</v>
      </c>
      <c r="E1595" s="9">
        <f t="shared" si="50"/>
        <v>1266815.467213609</v>
      </c>
      <c r="F1595" s="3">
        <v>21</v>
      </c>
      <c r="G1595" s="9">
        <v>2100000</v>
      </c>
      <c r="H1595" s="6" t="s">
        <v>45</v>
      </c>
      <c r="J1595" s="9">
        <f t="shared" si="51"/>
        <v>0</v>
      </c>
    </row>
    <row r="1596" spans="1:10">
      <c r="A1596" t="s">
        <v>3069</v>
      </c>
      <c r="B1596" t="s">
        <v>44</v>
      </c>
      <c r="C1596" t="s">
        <v>101</v>
      </c>
      <c r="D1596" t="s">
        <v>3070</v>
      </c>
      <c r="E1596" s="9">
        <f t="shared" si="50"/>
        <v>7094166.6163962111</v>
      </c>
      <c r="F1596" s="3">
        <v>21</v>
      </c>
      <c r="G1596" s="9">
        <v>11760000</v>
      </c>
      <c r="H1596" s="5" t="s">
        <v>5080</v>
      </c>
      <c r="J1596" s="9">
        <f t="shared" si="51"/>
        <v>0</v>
      </c>
    </row>
    <row r="1597" spans="1:10">
      <c r="A1597" t="s">
        <v>4438</v>
      </c>
      <c r="B1597" t="s">
        <v>44</v>
      </c>
      <c r="C1597" t="s">
        <v>101</v>
      </c>
      <c r="D1597" t="s">
        <v>4439</v>
      </c>
      <c r="E1597" s="9">
        <f t="shared" si="50"/>
        <v>7136393.7986366646</v>
      </c>
      <c r="F1597" s="3">
        <v>21</v>
      </c>
      <c r="G1597" s="9">
        <v>11830000</v>
      </c>
      <c r="H1597" s="6" t="s">
        <v>45</v>
      </c>
      <c r="J1597" s="9">
        <f t="shared" si="51"/>
        <v>0</v>
      </c>
    </row>
    <row r="1598" spans="1:10" hidden="1">
      <c r="A1598" t="s">
        <v>1707</v>
      </c>
      <c r="B1598" t="s">
        <v>44</v>
      </c>
      <c r="C1598" t="s">
        <v>101</v>
      </c>
      <c r="D1598" t="s">
        <v>1708</v>
      </c>
      <c r="E1598" s="9">
        <f t="shared" si="50"/>
        <v>8.445436448090728</v>
      </c>
      <c r="F1598" s="3">
        <v>21</v>
      </c>
      <c r="G1598" s="9">
        <v>14</v>
      </c>
      <c r="H1598" s="4" t="s">
        <v>16</v>
      </c>
      <c r="J1598" s="9">
        <f t="shared" si="51"/>
        <v>0</v>
      </c>
    </row>
    <row r="1599" spans="1:10">
      <c r="A1599" t="s">
        <v>3752</v>
      </c>
      <c r="B1599" t="s">
        <v>44</v>
      </c>
      <c r="C1599" t="s">
        <v>101</v>
      </c>
      <c r="D1599" t="s">
        <v>3455</v>
      </c>
      <c r="E1599" s="9">
        <f t="shared" si="50"/>
        <v>16890872.896181457</v>
      </c>
      <c r="F1599" s="3">
        <v>21</v>
      </c>
      <c r="G1599" s="9">
        <v>28000000</v>
      </c>
      <c r="H1599" s="4" t="s">
        <v>16</v>
      </c>
      <c r="J1599" s="9">
        <f t="shared" si="51"/>
        <v>0</v>
      </c>
    </row>
    <row r="1600" spans="1:10">
      <c r="A1600" t="s">
        <v>4861</v>
      </c>
      <c r="B1600" t="s">
        <v>44</v>
      </c>
      <c r="C1600" t="s">
        <v>101</v>
      </c>
      <c r="D1600" t="s">
        <v>4862</v>
      </c>
      <c r="E1600" s="9">
        <f t="shared" si="50"/>
        <v>11823611.027327018</v>
      </c>
      <c r="F1600" s="3">
        <v>21</v>
      </c>
      <c r="G1600" s="9">
        <v>19600000</v>
      </c>
      <c r="H1600" s="5" t="s">
        <v>5080</v>
      </c>
      <c r="J1600" s="9">
        <f t="shared" si="51"/>
        <v>0</v>
      </c>
    </row>
    <row r="1601" spans="1:10">
      <c r="A1601" t="s">
        <v>4471</v>
      </c>
      <c r="B1601" t="s">
        <v>44</v>
      </c>
      <c r="C1601" t="s">
        <v>101</v>
      </c>
      <c r="D1601" t="s">
        <v>4472</v>
      </c>
      <c r="E1601" s="9">
        <f t="shared" si="50"/>
        <v>16806418.531700548</v>
      </c>
      <c r="F1601" s="3">
        <v>21</v>
      </c>
      <c r="G1601" s="9">
        <v>27860000</v>
      </c>
      <c r="H1601" s="5" t="s">
        <v>5080</v>
      </c>
      <c r="J1601" s="9">
        <f t="shared" si="51"/>
        <v>0</v>
      </c>
    </row>
    <row r="1602" spans="1:10">
      <c r="A1602" t="s">
        <v>4757</v>
      </c>
      <c r="B1602" t="s">
        <v>44</v>
      </c>
      <c r="C1602" t="s">
        <v>101</v>
      </c>
      <c r="D1602" t="s">
        <v>4758</v>
      </c>
      <c r="E1602" s="9">
        <f t="shared" si="50"/>
        <v>388413.64732305048</v>
      </c>
      <c r="F1602" s="3">
        <v>10.5</v>
      </c>
      <c r="G1602" s="9">
        <v>588000</v>
      </c>
      <c r="H1602" s="4" t="s">
        <v>16</v>
      </c>
      <c r="J1602" s="9">
        <f t="shared" si="51"/>
        <v>0</v>
      </c>
    </row>
    <row r="1603" spans="1:10">
      <c r="A1603" t="s">
        <v>3503</v>
      </c>
      <c r="B1603" t="s">
        <v>44</v>
      </c>
      <c r="C1603" t="s">
        <v>101</v>
      </c>
      <c r="D1603" t="s">
        <v>3504</v>
      </c>
      <c r="E1603" s="9">
        <f t="shared" si="50"/>
        <v>4644990.0464499006</v>
      </c>
      <c r="F1603" s="3">
        <v>21</v>
      </c>
      <c r="G1603" s="9">
        <v>7700000</v>
      </c>
      <c r="H1603" s="6" t="s">
        <v>45</v>
      </c>
      <c r="J1603" s="9">
        <f t="shared" si="51"/>
        <v>0</v>
      </c>
    </row>
    <row r="1604" spans="1:10">
      <c r="A1604" t="s">
        <v>3816</v>
      </c>
      <c r="B1604" t="s">
        <v>44</v>
      </c>
      <c r="C1604" t="s">
        <v>101</v>
      </c>
      <c r="D1604" t="s">
        <v>3817</v>
      </c>
      <c r="E1604" s="9">
        <f t="shared" si="50"/>
        <v>6291850.1538275918</v>
      </c>
      <c r="F1604" s="3">
        <v>21</v>
      </c>
      <c r="G1604" s="9">
        <v>10430000</v>
      </c>
      <c r="H1604" s="4" t="s">
        <v>16</v>
      </c>
      <c r="J1604" s="9">
        <f t="shared" si="51"/>
        <v>0</v>
      </c>
    </row>
    <row r="1605" spans="1:10">
      <c r="A1605" t="s">
        <v>3818</v>
      </c>
      <c r="B1605" t="s">
        <v>44</v>
      </c>
      <c r="C1605" t="s">
        <v>101</v>
      </c>
      <c r="D1605" t="s">
        <v>3819</v>
      </c>
      <c r="E1605" s="9">
        <f t="shared" si="50"/>
        <v>9458888.8218616154</v>
      </c>
      <c r="F1605" s="3">
        <v>21</v>
      </c>
      <c r="G1605" s="9">
        <v>15680000</v>
      </c>
      <c r="H1605" s="6" t="s">
        <v>45</v>
      </c>
      <c r="J1605" s="9">
        <f t="shared" si="51"/>
        <v>0</v>
      </c>
    </row>
    <row r="1606" spans="1:10">
      <c r="A1606" t="s">
        <v>3171</v>
      </c>
      <c r="B1606" t="s">
        <v>44</v>
      </c>
      <c r="C1606" t="s">
        <v>101</v>
      </c>
      <c r="D1606" t="s">
        <v>3172</v>
      </c>
      <c r="E1606" s="9">
        <f t="shared" si="50"/>
        <v>10134523.737708872</v>
      </c>
      <c r="F1606" s="3">
        <v>21</v>
      </c>
      <c r="G1606" s="9">
        <v>16800000</v>
      </c>
      <c r="H1606" s="4" t="s">
        <v>16</v>
      </c>
      <c r="J1606" s="9">
        <f t="shared" si="51"/>
        <v>0</v>
      </c>
    </row>
    <row r="1607" spans="1:10">
      <c r="A1607" t="s">
        <v>3747</v>
      </c>
      <c r="B1607" t="s">
        <v>44</v>
      </c>
      <c r="C1607" t="s">
        <v>101</v>
      </c>
      <c r="D1607" t="s">
        <v>3748</v>
      </c>
      <c r="E1607" s="9">
        <f t="shared" si="50"/>
        <v>11739156.662846111</v>
      </c>
      <c r="F1607" s="3">
        <v>21</v>
      </c>
      <c r="G1607" s="9">
        <v>19460000</v>
      </c>
      <c r="H1607" s="6" t="s">
        <v>45</v>
      </c>
      <c r="J1607" s="9">
        <f t="shared" si="51"/>
        <v>0</v>
      </c>
    </row>
    <row r="1608" spans="1:10">
      <c r="A1608" t="s">
        <v>3749</v>
      </c>
      <c r="B1608" t="s">
        <v>44</v>
      </c>
      <c r="C1608" t="s">
        <v>101</v>
      </c>
      <c r="D1608" t="s">
        <v>3172</v>
      </c>
      <c r="E1608" s="9">
        <f t="shared" si="50"/>
        <v>16806418.531700548</v>
      </c>
      <c r="F1608" s="3">
        <v>21</v>
      </c>
      <c r="G1608" s="9">
        <v>27860000</v>
      </c>
      <c r="H1608" s="4" t="s">
        <v>16</v>
      </c>
      <c r="J1608" s="9">
        <f t="shared" si="51"/>
        <v>0</v>
      </c>
    </row>
    <row r="1609" spans="1:10">
      <c r="A1609" t="s">
        <v>3884</v>
      </c>
      <c r="B1609" t="s">
        <v>44</v>
      </c>
      <c r="C1609" t="s">
        <v>101</v>
      </c>
      <c r="D1609" t="s">
        <v>3885</v>
      </c>
      <c r="E1609" s="9">
        <f t="shared" ref="E1609:E1672" si="52">SUM(G1609/(1+(F1609/100)) /(1+(37/100)))</f>
        <v>16806418.531700548</v>
      </c>
      <c r="F1609" s="3">
        <v>21</v>
      </c>
      <c r="G1609" s="9">
        <v>27860000</v>
      </c>
      <c r="H1609" s="4" t="s">
        <v>16</v>
      </c>
      <c r="J1609" s="9">
        <f t="shared" ref="J1609:J1672" si="53">SUM(E1609* I1609)</f>
        <v>0</v>
      </c>
    </row>
    <row r="1610" spans="1:10">
      <c r="A1610" t="s">
        <v>3886</v>
      </c>
      <c r="B1610" t="s">
        <v>44</v>
      </c>
      <c r="C1610" t="s">
        <v>101</v>
      </c>
      <c r="D1610" t="s">
        <v>3887</v>
      </c>
      <c r="E1610" s="9">
        <f t="shared" si="52"/>
        <v>16806418.531700548</v>
      </c>
      <c r="F1610" s="3">
        <v>21</v>
      </c>
      <c r="G1610" s="9">
        <v>27860000</v>
      </c>
      <c r="H1610" s="4" t="s">
        <v>16</v>
      </c>
      <c r="J1610" s="9">
        <f t="shared" si="53"/>
        <v>0</v>
      </c>
    </row>
    <row r="1611" spans="1:10" hidden="1">
      <c r="A1611" t="s">
        <v>3946</v>
      </c>
      <c r="B1611" t="s">
        <v>44</v>
      </c>
      <c r="C1611" t="s">
        <v>101</v>
      </c>
      <c r="D1611" t="s">
        <v>3947</v>
      </c>
      <c r="E1611" s="9">
        <f t="shared" si="52"/>
        <v>8.445436448090728</v>
      </c>
      <c r="F1611" s="3">
        <v>21</v>
      </c>
      <c r="G1611" s="9">
        <v>14</v>
      </c>
      <c r="H1611" s="4" t="s">
        <v>16</v>
      </c>
      <c r="J1611" s="9">
        <f t="shared" si="53"/>
        <v>0</v>
      </c>
    </row>
    <row r="1612" spans="1:10">
      <c r="A1612" t="s">
        <v>4857</v>
      </c>
      <c r="B1612" t="s">
        <v>44</v>
      </c>
      <c r="C1612" t="s">
        <v>101</v>
      </c>
      <c r="D1612" t="s">
        <v>4858</v>
      </c>
      <c r="E1612" s="9">
        <f t="shared" si="52"/>
        <v>15624057.428967845</v>
      </c>
      <c r="F1612" s="3">
        <v>21</v>
      </c>
      <c r="G1612" s="9">
        <v>25900000</v>
      </c>
      <c r="H1612" s="4" t="s">
        <v>16</v>
      </c>
      <c r="J1612" s="9">
        <f t="shared" si="53"/>
        <v>0</v>
      </c>
    </row>
    <row r="1613" spans="1:10">
      <c r="A1613" t="s">
        <v>4859</v>
      </c>
      <c r="B1613" t="s">
        <v>44</v>
      </c>
      <c r="C1613" t="s">
        <v>101</v>
      </c>
      <c r="D1613" t="s">
        <v>4860</v>
      </c>
      <c r="E1613" s="9">
        <f t="shared" si="52"/>
        <v>15624057.428967845</v>
      </c>
      <c r="F1613" s="3">
        <v>21</v>
      </c>
      <c r="G1613" s="9">
        <v>25900000</v>
      </c>
      <c r="H1613" s="4" t="s">
        <v>16</v>
      </c>
      <c r="J1613" s="9">
        <f t="shared" si="53"/>
        <v>0</v>
      </c>
    </row>
    <row r="1614" spans="1:10">
      <c r="A1614" t="s">
        <v>2110</v>
      </c>
      <c r="B1614" t="s">
        <v>44</v>
      </c>
      <c r="C1614" t="s">
        <v>101</v>
      </c>
      <c r="D1614" t="s">
        <v>2111</v>
      </c>
      <c r="E1614" s="9">
        <f t="shared" si="52"/>
        <v>639420.88435784518</v>
      </c>
      <c r="F1614" s="3">
        <v>21</v>
      </c>
      <c r="G1614" s="9">
        <v>1059968</v>
      </c>
      <c r="H1614" s="4" t="s">
        <v>16</v>
      </c>
      <c r="J1614" s="9">
        <f t="shared" si="53"/>
        <v>0</v>
      </c>
    </row>
    <row r="1615" spans="1:10">
      <c r="A1615" t="s">
        <v>3692</v>
      </c>
      <c r="B1615" t="s">
        <v>44</v>
      </c>
      <c r="C1615" t="s">
        <v>101</v>
      </c>
      <c r="D1615" t="s">
        <v>3693</v>
      </c>
      <c r="E1615" s="9">
        <f t="shared" si="52"/>
        <v>1942450.3830608672</v>
      </c>
      <c r="F1615" s="3">
        <v>21</v>
      </c>
      <c r="G1615" s="9">
        <v>3220000</v>
      </c>
      <c r="H1615" s="6" t="s">
        <v>45</v>
      </c>
      <c r="J1615" s="9">
        <f t="shared" si="53"/>
        <v>0</v>
      </c>
    </row>
    <row r="1616" spans="1:10">
      <c r="A1616" t="s">
        <v>3449</v>
      </c>
      <c r="B1616" t="s">
        <v>44</v>
      </c>
      <c r="C1616" t="s">
        <v>28</v>
      </c>
      <c r="D1616" t="s">
        <v>3450</v>
      </c>
      <c r="E1616" s="9">
        <f t="shared" si="52"/>
        <v>591180.55136635096</v>
      </c>
      <c r="F1616" s="3">
        <v>21</v>
      </c>
      <c r="G1616" s="9">
        <v>980000</v>
      </c>
      <c r="H1616" s="4" t="s">
        <v>16</v>
      </c>
      <c r="J1616" s="9">
        <f t="shared" si="53"/>
        <v>0</v>
      </c>
    </row>
    <row r="1617" spans="1:10">
      <c r="A1617" t="s">
        <v>2990</v>
      </c>
      <c r="B1617" t="s">
        <v>44</v>
      </c>
      <c r="C1617" t="s">
        <v>28</v>
      </c>
      <c r="D1617" t="s">
        <v>2991</v>
      </c>
      <c r="E1617" s="9">
        <f t="shared" si="52"/>
        <v>971225.1915304336</v>
      </c>
      <c r="F1617" s="3">
        <v>21</v>
      </c>
      <c r="G1617" s="9">
        <v>1610000</v>
      </c>
      <c r="H1617" s="4" t="s">
        <v>16</v>
      </c>
      <c r="J1617" s="9">
        <f t="shared" si="53"/>
        <v>0</v>
      </c>
    </row>
    <row r="1618" spans="1:10">
      <c r="A1618" t="s">
        <v>3638</v>
      </c>
      <c r="B1618" t="s">
        <v>44</v>
      </c>
      <c r="C1618" t="s">
        <v>28</v>
      </c>
      <c r="D1618" t="s">
        <v>3639</v>
      </c>
      <c r="E1618" s="9">
        <f t="shared" si="52"/>
        <v>2111359.1120226821</v>
      </c>
      <c r="F1618" s="3">
        <v>21</v>
      </c>
      <c r="G1618" s="9">
        <v>3500000</v>
      </c>
      <c r="H1618" s="4" t="s">
        <v>16</v>
      </c>
      <c r="J1618" s="9">
        <f t="shared" si="53"/>
        <v>0</v>
      </c>
    </row>
    <row r="1619" spans="1:10">
      <c r="A1619" t="s">
        <v>4149</v>
      </c>
      <c r="B1619" t="s">
        <v>44</v>
      </c>
      <c r="C1619" t="s">
        <v>28</v>
      </c>
      <c r="D1619" t="s">
        <v>4150</v>
      </c>
      <c r="E1619" s="9">
        <f t="shared" si="52"/>
        <v>3124811.4857935691</v>
      </c>
      <c r="F1619" s="3">
        <v>21</v>
      </c>
      <c r="G1619" s="9">
        <v>5180000</v>
      </c>
      <c r="H1619" s="4" t="s">
        <v>16</v>
      </c>
      <c r="J1619" s="9">
        <f t="shared" si="53"/>
        <v>0</v>
      </c>
    </row>
    <row r="1620" spans="1:10" hidden="1">
      <c r="A1620" t="s">
        <v>1323</v>
      </c>
      <c r="B1620" t="s">
        <v>44</v>
      </c>
      <c r="C1620" t="s">
        <v>612</v>
      </c>
      <c r="D1620" t="s">
        <v>1324</v>
      </c>
      <c r="E1620" s="9">
        <f t="shared" si="52"/>
        <v>8.445436448090728</v>
      </c>
      <c r="F1620" s="3">
        <v>21</v>
      </c>
      <c r="G1620" s="9">
        <v>14</v>
      </c>
      <c r="H1620" s="4" t="s">
        <v>16</v>
      </c>
      <c r="J1620" s="9">
        <f t="shared" si="53"/>
        <v>0</v>
      </c>
    </row>
    <row r="1621" spans="1:10">
      <c r="A1621" t="s">
        <v>4147</v>
      </c>
      <c r="B1621" t="s">
        <v>44</v>
      </c>
      <c r="C1621" t="s">
        <v>612</v>
      </c>
      <c r="D1621" t="s">
        <v>4148</v>
      </c>
      <c r="E1621" s="9">
        <f t="shared" si="52"/>
        <v>354708.33081981057</v>
      </c>
      <c r="F1621" s="3">
        <v>21</v>
      </c>
      <c r="G1621" s="9">
        <v>588000</v>
      </c>
      <c r="H1621" s="6" t="s">
        <v>45</v>
      </c>
      <c r="J1621" s="9">
        <f t="shared" si="53"/>
        <v>0</v>
      </c>
    </row>
    <row r="1622" spans="1:10">
      <c r="A1622" t="s">
        <v>2986</v>
      </c>
      <c r="B1622" t="s">
        <v>44</v>
      </c>
      <c r="C1622" t="s">
        <v>612</v>
      </c>
      <c r="D1622" t="s">
        <v>2987</v>
      </c>
      <c r="E1622" s="9">
        <f t="shared" si="52"/>
        <v>557398.80557398801</v>
      </c>
      <c r="F1622" s="3">
        <v>21</v>
      </c>
      <c r="G1622" s="9">
        <v>924000</v>
      </c>
      <c r="H1622" s="6" t="s">
        <v>45</v>
      </c>
      <c r="J1622" s="9">
        <f t="shared" si="53"/>
        <v>0</v>
      </c>
    </row>
    <row r="1623" spans="1:10">
      <c r="A1623" t="s">
        <v>3000</v>
      </c>
      <c r="B1623" t="s">
        <v>44</v>
      </c>
      <c r="C1623" t="s">
        <v>612</v>
      </c>
      <c r="D1623" t="s">
        <v>3001</v>
      </c>
      <c r="E1623" s="9">
        <f t="shared" si="52"/>
        <v>928998.00928998005</v>
      </c>
      <c r="F1623" s="3">
        <v>21</v>
      </c>
      <c r="G1623" s="9">
        <v>1540000</v>
      </c>
      <c r="H1623" s="6" t="s">
        <v>45</v>
      </c>
      <c r="J1623" s="9">
        <f t="shared" si="53"/>
        <v>0</v>
      </c>
    </row>
    <row r="1624" spans="1:10" hidden="1">
      <c r="A1624" t="s">
        <v>698</v>
      </c>
      <c r="B1624" t="s">
        <v>44</v>
      </c>
      <c r="C1624" t="s">
        <v>612</v>
      </c>
      <c r="D1624" t="s">
        <v>611</v>
      </c>
      <c r="E1624" s="9">
        <f t="shared" si="52"/>
        <v>8.445436448090728</v>
      </c>
      <c r="F1624" s="3">
        <v>21</v>
      </c>
      <c r="G1624" s="9">
        <v>14</v>
      </c>
      <c r="H1624" s="4" t="s">
        <v>16</v>
      </c>
      <c r="J1624" s="9">
        <f t="shared" si="53"/>
        <v>0</v>
      </c>
    </row>
    <row r="1625" spans="1:10">
      <c r="A1625" t="s">
        <v>3177</v>
      </c>
      <c r="B1625" t="s">
        <v>44</v>
      </c>
      <c r="C1625" t="s">
        <v>612</v>
      </c>
      <c r="D1625" t="s">
        <v>3178</v>
      </c>
      <c r="E1625" s="9">
        <f t="shared" si="52"/>
        <v>506726.18688544369</v>
      </c>
      <c r="F1625" s="3">
        <v>21</v>
      </c>
      <c r="G1625" s="9">
        <v>840000</v>
      </c>
      <c r="H1625" s="4" t="s">
        <v>16</v>
      </c>
      <c r="J1625" s="9">
        <f t="shared" si="53"/>
        <v>0</v>
      </c>
    </row>
    <row r="1626" spans="1:10">
      <c r="A1626" t="s">
        <v>2679</v>
      </c>
      <c r="B1626" t="s">
        <v>44</v>
      </c>
      <c r="C1626" t="s">
        <v>612</v>
      </c>
      <c r="D1626" t="s">
        <v>2680</v>
      </c>
      <c r="E1626" s="9">
        <f t="shared" si="52"/>
        <v>506726.18688544369</v>
      </c>
      <c r="F1626" s="3">
        <v>21</v>
      </c>
      <c r="G1626" s="9">
        <v>840000</v>
      </c>
      <c r="H1626" s="4" t="s">
        <v>16</v>
      </c>
      <c r="J1626" s="9">
        <f t="shared" si="53"/>
        <v>0</v>
      </c>
    </row>
    <row r="1627" spans="1:10">
      <c r="A1627" t="s">
        <v>2677</v>
      </c>
      <c r="B1627" t="s">
        <v>44</v>
      </c>
      <c r="C1627" t="s">
        <v>612</v>
      </c>
      <c r="D1627" t="s">
        <v>2678</v>
      </c>
      <c r="E1627" s="9">
        <f t="shared" si="52"/>
        <v>506726.18688544369</v>
      </c>
      <c r="F1627" s="3">
        <v>21</v>
      </c>
      <c r="G1627" s="9">
        <v>840000</v>
      </c>
      <c r="H1627" s="4" t="s">
        <v>16</v>
      </c>
      <c r="J1627" s="9">
        <f t="shared" si="53"/>
        <v>0</v>
      </c>
    </row>
    <row r="1628" spans="1:10" hidden="1">
      <c r="A1628" t="s">
        <v>1709</v>
      </c>
      <c r="B1628" t="s">
        <v>44</v>
      </c>
      <c r="C1628" t="s">
        <v>612</v>
      </c>
      <c r="D1628" t="s">
        <v>1710</v>
      </c>
      <c r="E1628" s="9">
        <f t="shared" si="52"/>
        <v>8.445436448090728</v>
      </c>
      <c r="F1628" s="3">
        <v>21</v>
      </c>
      <c r="G1628" s="9">
        <v>14</v>
      </c>
      <c r="H1628" s="4" t="s">
        <v>16</v>
      </c>
      <c r="J1628" s="9">
        <f t="shared" si="53"/>
        <v>0</v>
      </c>
    </row>
    <row r="1629" spans="1:10">
      <c r="A1629" t="s">
        <v>1942</v>
      </c>
      <c r="B1629" t="s">
        <v>44</v>
      </c>
      <c r="C1629" t="s">
        <v>17</v>
      </c>
      <c r="D1629" t="s">
        <v>1943</v>
      </c>
      <c r="E1629" s="9">
        <f t="shared" si="52"/>
        <v>62886.019090398651</v>
      </c>
      <c r="F1629" s="3">
        <v>10.5</v>
      </c>
      <c r="G1629" s="9">
        <v>95200</v>
      </c>
      <c r="H1629" s="5" t="s">
        <v>5080</v>
      </c>
      <c r="J1629" s="9">
        <f t="shared" si="53"/>
        <v>0</v>
      </c>
    </row>
    <row r="1630" spans="1:10">
      <c r="A1630" t="s">
        <v>1005</v>
      </c>
      <c r="B1630" t="s">
        <v>44</v>
      </c>
      <c r="C1630" t="s">
        <v>17</v>
      </c>
      <c r="D1630" t="s">
        <v>1006</v>
      </c>
      <c r="E1630" s="9">
        <f t="shared" si="52"/>
        <v>194206.82366152524</v>
      </c>
      <c r="F1630" s="3">
        <v>10.5</v>
      </c>
      <c r="G1630" s="9">
        <v>294000</v>
      </c>
      <c r="H1630" s="6" t="s">
        <v>45</v>
      </c>
      <c r="J1630" s="9">
        <f t="shared" si="53"/>
        <v>0</v>
      </c>
    </row>
    <row r="1631" spans="1:10">
      <c r="A1631" t="s">
        <v>751</v>
      </c>
      <c r="B1631" t="s">
        <v>44</v>
      </c>
      <c r="C1631" t="s">
        <v>17</v>
      </c>
      <c r="D1631" t="s">
        <v>752</v>
      </c>
      <c r="E1631" s="9">
        <f t="shared" si="52"/>
        <v>187548.3039931301</v>
      </c>
      <c r="F1631" s="3">
        <v>10.5</v>
      </c>
      <c r="G1631" s="9">
        <v>283920</v>
      </c>
      <c r="H1631" s="4" t="s">
        <v>16</v>
      </c>
      <c r="J1631" s="9">
        <f t="shared" si="53"/>
        <v>0</v>
      </c>
    </row>
    <row r="1632" spans="1:10">
      <c r="A1632" t="s">
        <v>2165</v>
      </c>
      <c r="B1632" t="s">
        <v>44</v>
      </c>
      <c r="C1632" t="s">
        <v>17</v>
      </c>
      <c r="D1632" t="s">
        <v>2166</v>
      </c>
      <c r="E1632" s="9">
        <f t="shared" si="52"/>
        <v>278917.99055388587</v>
      </c>
      <c r="F1632" s="3">
        <v>10.5</v>
      </c>
      <c r="G1632" s="9">
        <v>422240.00000000012</v>
      </c>
      <c r="H1632" s="4" t="s">
        <v>16</v>
      </c>
      <c r="J1632" s="9">
        <f t="shared" si="53"/>
        <v>0</v>
      </c>
    </row>
    <row r="1633" spans="1:10">
      <c r="A1633" t="s">
        <v>2318</v>
      </c>
      <c r="B1633" t="s">
        <v>44</v>
      </c>
      <c r="C1633" t="s">
        <v>17</v>
      </c>
      <c r="D1633" t="s">
        <v>2319</v>
      </c>
      <c r="E1633" s="9">
        <f t="shared" si="52"/>
        <v>388413.64732305048</v>
      </c>
      <c r="F1633" s="3">
        <v>10.5</v>
      </c>
      <c r="G1633" s="9">
        <v>588000</v>
      </c>
      <c r="H1633" s="4" t="s">
        <v>16</v>
      </c>
      <c r="J1633" s="9">
        <f t="shared" si="53"/>
        <v>0</v>
      </c>
    </row>
    <row r="1634" spans="1:10">
      <c r="A1634" t="s">
        <v>1560</v>
      </c>
      <c r="B1634" t="s">
        <v>44</v>
      </c>
      <c r="C1634" t="s">
        <v>17</v>
      </c>
      <c r="D1634" t="s">
        <v>1561</v>
      </c>
      <c r="E1634" s="9">
        <f t="shared" si="52"/>
        <v>201975.09660798626</v>
      </c>
      <c r="F1634" s="3">
        <v>10.5</v>
      </c>
      <c r="G1634" s="9">
        <v>305760</v>
      </c>
      <c r="H1634" s="6" t="s">
        <v>45</v>
      </c>
      <c r="J1634" s="9">
        <f t="shared" si="53"/>
        <v>0</v>
      </c>
    </row>
    <row r="1635" spans="1:10">
      <c r="A1635" t="s">
        <v>119</v>
      </c>
      <c r="B1635" t="s">
        <v>44</v>
      </c>
      <c r="C1635" t="s">
        <v>17</v>
      </c>
      <c r="D1635" t="s">
        <v>120</v>
      </c>
      <c r="E1635" s="9">
        <f t="shared" si="52"/>
        <v>212702.71162928955</v>
      </c>
      <c r="F1635" s="3">
        <v>10.5</v>
      </c>
      <c r="G1635" s="9">
        <v>322000</v>
      </c>
      <c r="H1635" s="6" t="s">
        <v>45</v>
      </c>
      <c r="J1635" s="9">
        <f t="shared" si="53"/>
        <v>0</v>
      </c>
    </row>
    <row r="1636" spans="1:10">
      <c r="A1636" t="s">
        <v>701</v>
      </c>
      <c r="B1636" t="s">
        <v>44</v>
      </c>
      <c r="C1636" t="s">
        <v>17</v>
      </c>
      <c r="D1636" t="s">
        <v>702</v>
      </c>
      <c r="E1636" s="9">
        <f t="shared" si="52"/>
        <v>212702.71162928955</v>
      </c>
      <c r="F1636" s="3">
        <v>10.5</v>
      </c>
      <c r="G1636" s="9">
        <v>322000</v>
      </c>
      <c r="H1636" s="6" t="s">
        <v>45</v>
      </c>
      <c r="J1636" s="9">
        <f t="shared" si="53"/>
        <v>0</v>
      </c>
    </row>
    <row r="1637" spans="1:10">
      <c r="A1637" t="s">
        <v>4765</v>
      </c>
      <c r="B1637" t="s">
        <v>44</v>
      </c>
      <c r="C1637" t="s">
        <v>17</v>
      </c>
      <c r="D1637" t="s">
        <v>4766</v>
      </c>
      <c r="E1637" s="9">
        <f t="shared" si="52"/>
        <v>268190.37553258246</v>
      </c>
      <c r="F1637" s="3">
        <v>10.5</v>
      </c>
      <c r="G1637" s="9">
        <v>406000</v>
      </c>
      <c r="H1637" s="6" t="s">
        <v>45</v>
      </c>
      <c r="J1637" s="9">
        <f t="shared" si="53"/>
        <v>0</v>
      </c>
    </row>
    <row r="1638" spans="1:10">
      <c r="A1638" t="s">
        <v>89</v>
      </c>
      <c r="B1638" t="s">
        <v>44</v>
      </c>
      <c r="C1638" t="s">
        <v>17</v>
      </c>
      <c r="D1638" t="s">
        <v>90</v>
      </c>
      <c r="E1638" s="9">
        <f t="shared" si="52"/>
        <v>104343.36731616093</v>
      </c>
      <c r="F1638" s="3">
        <v>21</v>
      </c>
      <c r="G1638" s="9">
        <v>172970</v>
      </c>
      <c r="H1638" s="4" t="s">
        <v>16</v>
      </c>
      <c r="J1638" s="9">
        <f t="shared" si="53"/>
        <v>0</v>
      </c>
    </row>
    <row r="1639" spans="1:10">
      <c r="A1639" t="s">
        <v>2587</v>
      </c>
      <c r="B1639" t="s">
        <v>44</v>
      </c>
      <c r="C1639" t="s">
        <v>17</v>
      </c>
      <c r="D1639" t="s">
        <v>2588</v>
      </c>
      <c r="E1639" s="9">
        <f t="shared" si="52"/>
        <v>365293.78736334509</v>
      </c>
      <c r="F1639" s="3">
        <v>10.5</v>
      </c>
      <c r="G1639" s="9">
        <v>553000</v>
      </c>
      <c r="H1639" s="4" t="s">
        <v>16</v>
      </c>
      <c r="J1639" s="9">
        <f t="shared" si="53"/>
        <v>0</v>
      </c>
    </row>
    <row r="1640" spans="1:10">
      <c r="A1640" t="s">
        <v>93</v>
      </c>
      <c r="B1640" t="s">
        <v>44</v>
      </c>
      <c r="C1640" t="s">
        <v>17</v>
      </c>
      <c r="D1640" t="s">
        <v>94</v>
      </c>
      <c r="E1640" s="9">
        <f t="shared" si="52"/>
        <v>166462.99170987878</v>
      </c>
      <c r="F1640" s="3">
        <v>10.5</v>
      </c>
      <c r="G1640" s="9">
        <v>252000</v>
      </c>
      <c r="H1640" s="6" t="s">
        <v>45</v>
      </c>
      <c r="J1640" s="9">
        <f t="shared" si="53"/>
        <v>0</v>
      </c>
    </row>
    <row r="1641" spans="1:10">
      <c r="A1641" t="s">
        <v>127</v>
      </c>
      <c r="B1641" t="s">
        <v>44</v>
      </c>
      <c r="C1641" t="s">
        <v>17</v>
      </c>
      <c r="D1641" t="s">
        <v>128</v>
      </c>
      <c r="E1641" s="9">
        <f t="shared" si="52"/>
        <v>147967.10374211447</v>
      </c>
      <c r="F1641" s="3">
        <v>10.5</v>
      </c>
      <c r="G1641" s="9">
        <v>224000</v>
      </c>
      <c r="H1641" s="6" t="s">
        <v>45</v>
      </c>
      <c r="J1641" s="9">
        <f t="shared" si="53"/>
        <v>0</v>
      </c>
    </row>
    <row r="1642" spans="1:10">
      <c r="A1642" t="s">
        <v>67</v>
      </c>
      <c r="B1642" t="s">
        <v>44</v>
      </c>
      <c r="C1642" t="s">
        <v>17</v>
      </c>
      <c r="D1642" t="s">
        <v>68</v>
      </c>
      <c r="E1642" s="9">
        <f t="shared" si="52"/>
        <v>157215.04772599661</v>
      </c>
      <c r="F1642" s="3">
        <v>10.5</v>
      </c>
      <c r="G1642" s="9">
        <v>238000</v>
      </c>
      <c r="H1642" s="6" t="s">
        <v>45</v>
      </c>
      <c r="J1642" s="9">
        <f t="shared" si="53"/>
        <v>0</v>
      </c>
    </row>
    <row r="1643" spans="1:10" hidden="1">
      <c r="A1643" t="s">
        <v>1422</v>
      </c>
      <c r="B1643" t="s">
        <v>44</v>
      </c>
      <c r="C1643" t="s">
        <v>17</v>
      </c>
      <c r="D1643" t="s">
        <v>1423</v>
      </c>
      <c r="E1643" s="9">
        <f t="shared" si="52"/>
        <v>8.445436448090728</v>
      </c>
      <c r="F1643" s="3">
        <v>21</v>
      </c>
      <c r="G1643" s="9">
        <v>14</v>
      </c>
      <c r="H1643" s="4" t="s">
        <v>16</v>
      </c>
      <c r="J1643" s="9">
        <f t="shared" si="53"/>
        <v>0</v>
      </c>
    </row>
    <row r="1644" spans="1:10">
      <c r="A1644" t="s">
        <v>2597</v>
      </c>
      <c r="B1644" t="s">
        <v>44</v>
      </c>
      <c r="C1644" t="s">
        <v>17</v>
      </c>
      <c r="D1644" t="s">
        <v>2598</v>
      </c>
      <c r="E1644" s="9">
        <f t="shared" si="52"/>
        <v>277438.31951646466</v>
      </c>
      <c r="F1644" s="3">
        <v>10.5</v>
      </c>
      <c r="G1644" s="9">
        <v>420000</v>
      </c>
      <c r="H1644" s="6" t="s">
        <v>45</v>
      </c>
      <c r="J1644" s="9">
        <f t="shared" si="53"/>
        <v>0</v>
      </c>
    </row>
    <row r="1645" spans="1:10">
      <c r="A1645" t="s">
        <v>69</v>
      </c>
      <c r="B1645" t="s">
        <v>44</v>
      </c>
      <c r="C1645" t="s">
        <v>17</v>
      </c>
      <c r="D1645" t="s">
        <v>70</v>
      </c>
      <c r="E1645" s="9">
        <f t="shared" si="52"/>
        <v>184958.87967764307</v>
      </c>
      <c r="F1645" s="3">
        <v>10.5</v>
      </c>
      <c r="G1645" s="9">
        <v>280000</v>
      </c>
      <c r="H1645" s="6" t="s">
        <v>45</v>
      </c>
      <c r="J1645" s="9">
        <f t="shared" si="53"/>
        <v>0</v>
      </c>
    </row>
    <row r="1646" spans="1:10">
      <c r="A1646" t="s">
        <v>1752</v>
      </c>
      <c r="B1646" t="s">
        <v>44</v>
      </c>
      <c r="C1646" t="s">
        <v>17</v>
      </c>
      <c r="D1646" t="s">
        <v>1753</v>
      </c>
      <c r="E1646" s="9">
        <f t="shared" si="52"/>
        <v>240446.54358093601</v>
      </c>
      <c r="F1646" s="3">
        <v>10.5</v>
      </c>
      <c r="G1646" s="9">
        <v>364000</v>
      </c>
      <c r="H1646" s="6" t="s">
        <v>45</v>
      </c>
      <c r="J1646" s="9">
        <f t="shared" si="53"/>
        <v>0</v>
      </c>
    </row>
    <row r="1647" spans="1:10">
      <c r="A1647" t="s">
        <v>841</v>
      </c>
      <c r="B1647" t="s">
        <v>44</v>
      </c>
      <c r="C1647" t="s">
        <v>17</v>
      </c>
      <c r="D1647" t="s">
        <v>842</v>
      </c>
      <c r="E1647" s="9">
        <f t="shared" si="52"/>
        <v>394720.74512005813</v>
      </c>
      <c r="F1647" s="3">
        <v>10.5</v>
      </c>
      <c r="G1647" s="9">
        <v>597548</v>
      </c>
      <c r="H1647" s="4" t="s">
        <v>16</v>
      </c>
      <c r="J1647" s="9">
        <f t="shared" si="53"/>
        <v>0</v>
      </c>
    </row>
    <row r="1648" spans="1:10">
      <c r="A1648" t="s">
        <v>2996</v>
      </c>
      <c r="B1648" t="s">
        <v>44</v>
      </c>
      <c r="C1648" t="s">
        <v>17</v>
      </c>
      <c r="D1648" t="s">
        <v>2997</v>
      </c>
      <c r="E1648" s="9">
        <f t="shared" si="52"/>
        <v>462397.19919410767</v>
      </c>
      <c r="F1648" s="3">
        <v>10.5</v>
      </c>
      <c r="G1648" s="9">
        <v>700000</v>
      </c>
      <c r="H1648" s="6" t="s">
        <v>45</v>
      </c>
      <c r="J1648" s="9">
        <f t="shared" si="53"/>
        <v>0</v>
      </c>
    </row>
    <row r="1649" spans="1:10">
      <c r="A1649" t="s">
        <v>3063</v>
      </c>
      <c r="B1649" t="s">
        <v>44</v>
      </c>
      <c r="C1649" t="s">
        <v>17</v>
      </c>
      <c r="D1649" t="s">
        <v>840</v>
      </c>
      <c r="E1649" s="9">
        <f t="shared" si="52"/>
        <v>258942.43154870029</v>
      </c>
      <c r="F1649" s="3">
        <v>10.5</v>
      </c>
      <c r="G1649" s="9">
        <v>392000</v>
      </c>
      <c r="H1649" s="6" t="s">
        <v>45</v>
      </c>
      <c r="J1649" s="9">
        <f t="shared" si="53"/>
        <v>0</v>
      </c>
    </row>
    <row r="1650" spans="1:10">
      <c r="A1650" t="s">
        <v>2201</v>
      </c>
      <c r="B1650" t="s">
        <v>44</v>
      </c>
      <c r="C1650" t="s">
        <v>17</v>
      </c>
      <c r="D1650" t="s">
        <v>2202</v>
      </c>
      <c r="E1650" s="9">
        <f t="shared" si="52"/>
        <v>591868.41496845789</v>
      </c>
      <c r="F1650" s="3">
        <v>10.5</v>
      </c>
      <c r="G1650" s="9">
        <v>896000</v>
      </c>
      <c r="H1650" s="6" t="s">
        <v>45</v>
      </c>
      <c r="J1650" s="9">
        <f t="shared" si="53"/>
        <v>0</v>
      </c>
    </row>
    <row r="1651" spans="1:10">
      <c r="A1651" t="s">
        <v>839</v>
      </c>
      <c r="B1651" t="s">
        <v>44</v>
      </c>
      <c r="C1651" t="s">
        <v>17</v>
      </c>
      <c r="D1651" t="s">
        <v>840</v>
      </c>
      <c r="E1651" s="9">
        <f t="shared" si="52"/>
        <v>235822.57158899491</v>
      </c>
      <c r="F1651" s="3">
        <v>10.5</v>
      </c>
      <c r="G1651" s="9">
        <v>357000</v>
      </c>
      <c r="H1651" s="4" t="s">
        <v>16</v>
      </c>
      <c r="J1651" s="9">
        <f t="shared" si="53"/>
        <v>0</v>
      </c>
    </row>
    <row r="1652" spans="1:10">
      <c r="A1652" t="s">
        <v>3064</v>
      </c>
      <c r="B1652" t="s">
        <v>44</v>
      </c>
      <c r="C1652" t="s">
        <v>17</v>
      </c>
      <c r="D1652" t="s">
        <v>840</v>
      </c>
      <c r="E1652" s="9">
        <f t="shared" si="52"/>
        <v>295934.20748422894</v>
      </c>
      <c r="F1652" s="3">
        <v>10.5</v>
      </c>
      <c r="G1652" s="9">
        <v>448000</v>
      </c>
      <c r="H1652" s="6" t="s">
        <v>45</v>
      </c>
      <c r="J1652" s="9">
        <f t="shared" si="53"/>
        <v>0</v>
      </c>
    </row>
    <row r="1653" spans="1:10">
      <c r="A1653" t="s">
        <v>2116</v>
      </c>
      <c r="B1653" t="s">
        <v>44</v>
      </c>
      <c r="C1653" t="s">
        <v>17</v>
      </c>
      <c r="D1653" t="s">
        <v>2117</v>
      </c>
      <c r="E1653" s="9">
        <f t="shared" si="52"/>
        <v>307771.57578359806</v>
      </c>
      <c r="F1653" s="3">
        <v>10.5</v>
      </c>
      <c r="G1653" s="9">
        <v>465920</v>
      </c>
      <c r="H1653" s="4" t="s">
        <v>16</v>
      </c>
      <c r="J1653" s="9">
        <f t="shared" si="53"/>
        <v>0</v>
      </c>
    </row>
    <row r="1654" spans="1:10">
      <c r="A1654" t="s">
        <v>975</v>
      </c>
      <c r="B1654" t="s">
        <v>44</v>
      </c>
      <c r="C1654" t="s">
        <v>17</v>
      </c>
      <c r="D1654" t="s">
        <v>976</v>
      </c>
      <c r="E1654" s="9">
        <f t="shared" si="52"/>
        <v>185929.91379595071</v>
      </c>
      <c r="F1654" s="3">
        <v>10.5</v>
      </c>
      <c r="G1654" s="9">
        <v>281470</v>
      </c>
      <c r="H1654" s="5" t="s">
        <v>5080</v>
      </c>
      <c r="J1654" s="9">
        <f t="shared" si="53"/>
        <v>0</v>
      </c>
    </row>
    <row r="1655" spans="1:10">
      <c r="A1655" t="s">
        <v>1151</v>
      </c>
      <c r="B1655" t="s">
        <v>44</v>
      </c>
      <c r="C1655" t="s">
        <v>17</v>
      </c>
      <c r="D1655" t="s">
        <v>43</v>
      </c>
      <c r="E1655" s="9">
        <f t="shared" si="52"/>
        <v>67519.239026323601</v>
      </c>
      <c r="F1655" s="3">
        <v>10.5</v>
      </c>
      <c r="G1655" s="9">
        <v>102214</v>
      </c>
      <c r="H1655" s="6" t="s">
        <v>45</v>
      </c>
      <c r="J1655" s="9">
        <f t="shared" si="53"/>
        <v>0</v>
      </c>
    </row>
    <row r="1656" spans="1:10">
      <c r="A1656" t="s">
        <v>42</v>
      </c>
      <c r="B1656" t="s">
        <v>44</v>
      </c>
      <c r="C1656" t="s">
        <v>17</v>
      </c>
      <c r="D1656" t="s">
        <v>43</v>
      </c>
      <c r="E1656" s="9">
        <f t="shared" si="52"/>
        <v>31165.571225682863</v>
      </c>
      <c r="F1656" s="3">
        <v>10.5</v>
      </c>
      <c r="G1656" s="9">
        <v>47180.000000000007</v>
      </c>
      <c r="H1656" s="6" t="s">
        <v>45</v>
      </c>
      <c r="J1656" s="9">
        <f t="shared" si="53"/>
        <v>0</v>
      </c>
    </row>
    <row r="1657" spans="1:10">
      <c r="A1657" t="s">
        <v>71</v>
      </c>
      <c r="B1657" t="s">
        <v>44</v>
      </c>
      <c r="C1657" t="s">
        <v>17</v>
      </c>
      <c r="D1657" t="s">
        <v>62</v>
      </c>
      <c r="E1657" s="9">
        <f t="shared" si="52"/>
        <v>110975.32780658586</v>
      </c>
      <c r="F1657" s="3">
        <v>10.5</v>
      </c>
      <c r="G1657" s="9">
        <v>168000</v>
      </c>
      <c r="H1657" s="6" t="s">
        <v>45</v>
      </c>
      <c r="J1657" s="9">
        <f t="shared" si="53"/>
        <v>0</v>
      </c>
    </row>
    <row r="1658" spans="1:10">
      <c r="A1658" t="s">
        <v>1972</v>
      </c>
      <c r="B1658" t="s">
        <v>44</v>
      </c>
      <c r="C1658" t="s">
        <v>17</v>
      </c>
      <c r="D1658" t="s">
        <v>62</v>
      </c>
      <c r="E1658" s="9">
        <f t="shared" si="52"/>
        <v>314430.09545199323</v>
      </c>
      <c r="F1658" s="3">
        <v>10.5</v>
      </c>
      <c r="G1658" s="9">
        <v>476000</v>
      </c>
      <c r="H1658" s="6" t="s">
        <v>45</v>
      </c>
      <c r="J1658" s="9">
        <f t="shared" si="53"/>
        <v>0</v>
      </c>
    </row>
    <row r="1659" spans="1:10">
      <c r="A1659" t="s">
        <v>61</v>
      </c>
      <c r="B1659" t="s">
        <v>44</v>
      </c>
      <c r="C1659" t="s">
        <v>17</v>
      </c>
      <c r="D1659" t="s">
        <v>62</v>
      </c>
      <c r="E1659" s="9">
        <f t="shared" si="52"/>
        <v>138719.15975823233</v>
      </c>
      <c r="F1659" s="3">
        <v>10.5</v>
      </c>
      <c r="G1659" s="9">
        <v>210000</v>
      </c>
      <c r="H1659" s="6" t="s">
        <v>45</v>
      </c>
      <c r="J1659" s="9">
        <f t="shared" si="53"/>
        <v>0</v>
      </c>
    </row>
    <row r="1660" spans="1:10">
      <c r="A1660" t="s">
        <v>3138</v>
      </c>
      <c r="B1660" t="s">
        <v>44</v>
      </c>
      <c r="C1660" t="s">
        <v>17</v>
      </c>
      <c r="D1660" t="s">
        <v>3139</v>
      </c>
      <c r="E1660" s="9">
        <f t="shared" si="52"/>
        <v>499388.97512963635</v>
      </c>
      <c r="F1660" s="3">
        <v>10.5</v>
      </c>
      <c r="G1660" s="9">
        <v>756000</v>
      </c>
      <c r="H1660" s="6" t="s">
        <v>45</v>
      </c>
      <c r="J1660" s="9">
        <f t="shared" si="53"/>
        <v>0</v>
      </c>
    </row>
    <row r="1661" spans="1:10">
      <c r="A1661" t="s">
        <v>2163</v>
      </c>
      <c r="B1661" t="s">
        <v>44</v>
      </c>
      <c r="C1661" t="s">
        <v>17</v>
      </c>
      <c r="D1661" t="s">
        <v>2164</v>
      </c>
      <c r="E1661" s="9">
        <f t="shared" si="52"/>
        <v>1298411.3353370545</v>
      </c>
      <c r="F1661" s="3">
        <v>10.5</v>
      </c>
      <c r="G1661" s="9">
        <v>1965600</v>
      </c>
      <c r="H1661" s="4" t="s">
        <v>16</v>
      </c>
      <c r="J1661" s="9">
        <f t="shared" si="53"/>
        <v>0</v>
      </c>
    </row>
    <row r="1662" spans="1:10">
      <c r="A1662" t="s">
        <v>2599</v>
      </c>
      <c r="B1662" t="s">
        <v>44</v>
      </c>
      <c r="C1662" t="s">
        <v>17</v>
      </c>
      <c r="D1662" t="s">
        <v>2600</v>
      </c>
      <c r="E1662" s="9">
        <f t="shared" si="52"/>
        <v>184958.87967764307</v>
      </c>
      <c r="F1662" s="3">
        <v>10.5</v>
      </c>
      <c r="G1662" s="9">
        <v>280000</v>
      </c>
      <c r="H1662" s="5" t="s">
        <v>5080</v>
      </c>
      <c r="J1662" s="9">
        <f t="shared" si="53"/>
        <v>0</v>
      </c>
    </row>
    <row r="1663" spans="1:10">
      <c r="A1663" t="s">
        <v>63</v>
      </c>
      <c r="B1663" t="s">
        <v>44</v>
      </c>
      <c r="C1663" t="s">
        <v>17</v>
      </c>
      <c r="D1663" t="s">
        <v>64</v>
      </c>
      <c r="E1663" s="9">
        <f t="shared" si="52"/>
        <v>98675.562308022592</v>
      </c>
      <c r="F1663" s="3">
        <v>10.5</v>
      </c>
      <c r="G1663" s="9">
        <v>149380</v>
      </c>
      <c r="H1663" s="6" t="s">
        <v>45</v>
      </c>
      <c r="J1663" s="9">
        <f t="shared" si="53"/>
        <v>0</v>
      </c>
    </row>
    <row r="1664" spans="1:10">
      <c r="A1664" t="s">
        <v>311</v>
      </c>
      <c r="B1664" t="s">
        <v>44</v>
      </c>
      <c r="C1664" t="s">
        <v>17</v>
      </c>
      <c r="D1664" t="s">
        <v>312</v>
      </c>
      <c r="E1664" s="9">
        <f t="shared" si="52"/>
        <v>361733.32892955048</v>
      </c>
      <c r="F1664" s="3">
        <v>10.5</v>
      </c>
      <c r="G1664" s="9">
        <v>547610</v>
      </c>
      <c r="H1664" s="4" t="s">
        <v>16</v>
      </c>
      <c r="J1664" s="9">
        <f t="shared" si="53"/>
        <v>0</v>
      </c>
    </row>
    <row r="1665" spans="1:10">
      <c r="A1665" t="s">
        <v>1562</v>
      </c>
      <c r="B1665" t="s">
        <v>44</v>
      </c>
      <c r="C1665" t="s">
        <v>17</v>
      </c>
      <c r="D1665" t="s">
        <v>1563</v>
      </c>
      <c r="E1665" s="9">
        <f t="shared" si="52"/>
        <v>211592.95835122367</v>
      </c>
      <c r="F1665" s="3">
        <v>10.5</v>
      </c>
      <c r="G1665" s="9">
        <v>320320</v>
      </c>
      <c r="H1665" s="4" t="s">
        <v>16</v>
      </c>
      <c r="J1665" s="9">
        <f t="shared" si="53"/>
        <v>0</v>
      </c>
    </row>
    <row r="1666" spans="1:10">
      <c r="A1666" t="s">
        <v>65</v>
      </c>
      <c r="B1666" t="s">
        <v>44</v>
      </c>
      <c r="C1666" t="s">
        <v>17</v>
      </c>
      <c r="D1666" t="s">
        <v>66</v>
      </c>
      <c r="E1666" s="9">
        <f t="shared" si="52"/>
        <v>339785.24461603427</v>
      </c>
      <c r="F1666" s="3">
        <v>21</v>
      </c>
      <c r="G1666" s="9">
        <v>563262</v>
      </c>
      <c r="H1666" s="6" t="s">
        <v>45</v>
      </c>
      <c r="J1666" s="9">
        <f t="shared" si="53"/>
        <v>0</v>
      </c>
    </row>
    <row r="1667" spans="1:10">
      <c r="A1667" t="s">
        <v>116</v>
      </c>
      <c r="B1667" t="s">
        <v>44</v>
      </c>
      <c r="C1667" t="s">
        <v>17</v>
      </c>
      <c r="D1667" t="s">
        <v>117</v>
      </c>
      <c r="E1667" s="9">
        <f t="shared" si="52"/>
        <v>60111.635895234002</v>
      </c>
      <c r="F1667" s="3">
        <v>10.5</v>
      </c>
      <c r="G1667" s="9">
        <v>91000</v>
      </c>
      <c r="H1667" s="6" t="s">
        <v>45</v>
      </c>
      <c r="J1667" s="9">
        <f t="shared" si="53"/>
        <v>0</v>
      </c>
    </row>
    <row r="1668" spans="1:10">
      <c r="A1668" t="s">
        <v>118</v>
      </c>
      <c r="B1668" t="s">
        <v>44</v>
      </c>
      <c r="C1668" t="s">
        <v>17</v>
      </c>
      <c r="D1668" t="s">
        <v>117</v>
      </c>
      <c r="E1668" s="9">
        <f t="shared" si="52"/>
        <v>50863.691911351852</v>
      </c>
      <c r="F1668" s="3">
        <v>10.5</v>
      </c>
      <c r="G1668" s="9">
        <v>77000</v>
      </c>
      <c r="H1668" s="6" t="s">
        <v>45</v>
      </c>
      <c r="J1668" s="9">
        <f t="shared" si="53"/>
        <v>0</v>
      </c>
    </row>
    <row r="1669" spans="1:10">
      <c r="A1669" t="s">
        <v>973</v>
      </c>
      <c r="B1669" t="s">
        <v>44</v>
      </c>
      <c r="C1669" t="s">
        <v>17</v>
      </c>
      <c r="D1669" t="s">
        <v>974</v>
      </c>
      <c r="E1669" s="9">
        <f t="shared" si="52"/>
        <v>110975.32780658586</v>
      </c>
      <c r="F1669" s="3">
        <v>10.5</v>
      </c>
      <c r="G1669" s="9">
        <v>168000</v>
      </c>
      <c r="H1669" s="6" t="s">
        <v>45</v>
      </c>
      <c r="J1669" s="9">
        <f t="shared" si="53"/>
        <v>0</v>
      </c>
    </row>
    <row r="1670" spans="1:10">
      <c r="A1670" t="s">
        <v>3938</v>
      </c>
      <c r="B1670" t="s">
        <v>44</v>
      </c>
      <c r="C1670" t="s">
        <v>17</v>
      </c>
      <c r="D1670" t="s">
        <v>3939</v>
      </c>
      <c r="E1670" s="9">
        <f t="shared" si="52"/>
        <v>138719.15975823233</v>
      </c>
      <c r="F1670" s="3">
        <v>10.5</v>
      </c>
      <c r="G1670" s="9">
        <v>210000</v>
      </c>
      <c r="H1670" s="5" t="s">
        <v>5080</v>
      </c>
      <c r="J1670" s="9">
        <f t="shared" si="53"/>
        <v>0</v>
      </c>
    </row>
    <row r="1671" spans="1:10">
      <c r="A1671" t="s">
        <v>2160</v>
      </c>
      <c r="B1671" t="s">
        <v>44</v>
      </c>
      <c r="C1671" t="s">
        <v>17</v>
      </c>
      <c r="D1671" t="s">
        <v>2161</v>
      </c>
      <c r="E1671" s="9">
        <f t="shared" si="52"/>
        <v>166881.82421427278</v>
      </c>
      <c r="F1671" s="3">
        <v>21</v>
      </c>
      <c r="G1671" s="9">
        <v>276640</v>
      </c>
      <c r="H1671" s="6" t="s">
        <v>45</v>
      </c>
      <c r="J1671" s="9">
        <f t="shared" si="53"/>
        <v>0</v>
      </c>
    </row>
    <row r="1672" spans="1:10">
      <c r="A1672" t="s">
        <v>2162</v>
      </c>
      <c r="B1672" t="s">
        <v>44</v>
      </c>
      <c r="C1672" t="s">
        <v>17</v>
      </c>
      <c r="D1672" t="s">
        <v>657</v>
      </c>
      <c r="E1672" s="9">
        <f t="shared" si="52"/>
        <v>166881.82421427278</v>
      </c>
      <c r="F1672" s="3">
        <v>21</v>
      </c>
      <c r="G1672" s="9">
        <v>276640</v>
      </c>
      <c r="H1672" s="6" t="s">
        <v>45</v>
      </c>
      <c r="J1672" s="9">
        <f t="shared" si="53"/>
        <v>0</v>
      </c>
    </row>
    <row r="1673" spans="1:10">
      <c r="A1673" t="s">
        <v>656</v>
      </c>
      <c r="B1673" t="s">
        <v>44</v>
      </c>
      <c r="C1673" t="s">
        <v>17</v>
      </c>
      <c r="D1673" t="s">
        <v>657</v>
      </c>
      <c r="E1673" s="9">
        <f t="shared" ref="E1673:E1736" si="54">SUM(G1673/(1+(F1673/100)) /(1+(37/100)))</f>
        <v>92479.439838821534</v>
      </c>
      <c r="F1673" s="3">
        <v>10.5</v>
      </c>
      <c r="G1673" s="9">
        <v>140000</v>
      </c>
      <c r="H1673" s="6" t="s">
        <v>45</v>
      </c>
      <c r="J1673" s="9">
        <f t="shared" ref="J1673:J1736" si="55">SUM(E1673* I1673)</f>
        <v>0</v>
      </c>
    </row>
    <row r="1674" spans="1:10">
      <c r="A1674" t="s">
        <v>750</v>
      </c>
      <c r="B1674" t="s">
        <v>44</v>
      </c>
      <c r="C1674" t="s">
        <v>17</v>
      </c>
      <c r="D1674" t="s">
        <v>64</v>
      </c>
      <c r="E1674" s="9">
        <f t="shared" si="54"/>
        <v>110975.32780658586</v>
      </c>
      <c r="F1674" s="3">
        <v>10.5</v>
      </c>
      <c r="G1674" s="9">
        <v>168000</v>
      </c>
      <c r="H1674" s="6" t="s">
        <v>45</v>
      </c>
      <c r="J1674" s="9">
        <f t="shared" si="55"/>
        <v>0</v>
      </c>
    </row>
    <row r="1675" spans="1:10">
      <c r="A1675" t="s">
        <v>95</v>
      </c>
      <c r="B1675" t="s">
        <v>44</v>
      </c>
      <c r="C1675" t="s">
        <v>17</v>
      </c>
      <c r="D1675" t="s">
        <v>96</v>
      </c>
      <c r="E1675" s="9">
        <f t="shared" si="54"/>
        <v>170532.08706278692</v>
      </c>
      <c r="F1675" s="3">
        <v>10.5</v>
      </c>
      <c r="G1675" s="9">
        <v>258160</v>
      </c>
      <c r="H1675" s="4" t="s">
        <v>16</v>
      </c>
      <c r="J1675" s="9">
        <f t="shared" si="55"/>
        <v>0</v>
      </c>
    </row>
    <row r="1676" spans="1:10">
      <c r="A1676" t="s">
        <v>1564</v>
      </c>
      <c r="B1676" t="s">
        <v>44</v>
      </c>
      <c r="C1676" t="s">
        <v>17</v>
      </c>
      <c r="D1676" t="s">
        <v>1565</v>
      </c>
      <c r="E1676" s="9">
        <f t="shared" si="54"/>
        <v>211592.95835122367</v>
      </c>
      <c r="F1676" s="3">
        <v>10.5</v>
      </c>
      <c r="G1676" s="9">
        <v>320320</v>
      </c>
      <c r="H1676" s="6" t="s">
        <v>45</v>
      </c>
      <c r="J1676" s="9">
        <f t="shared" si="55"/>
        <v>0</v>
      </c>
    </row>
    <row r="1677" spans="1:10">
      <c r="A1677" t="s">
        <v>2401</v>
      </c>
      <c r="B1677" t="s">
        <v>44</v>
      </c>
      <c r="C1677" t="s">
        <v>17</v>
      </c>
      <c r="D1677" t="s">
        <v>2402</v>
      </c>
      <c r="E1677" s="9">
        <f t="shared" si="54"/>
        <v>203454.76764540741</v>
      </c>
      <c r="F1677" s="3">
        <v>10.5</v>
      </c>
      <c r="G1677" s="9">
        <v>308000</v>
      </c>
      <c r="H1677" s="5" t="s">
        <v>5080</v>
      </c>
      <c r="J1677" s="9">
        <f t="shared" si="55"/>
        <v>0</v>
      </c>
    </row>
    <row r="1678" spans="1:10">
      <c r="A1678" t="s">
        <v>4773</v>
      </c>
      <c r="B1678" t="s">
        <v>44</v>
      </c>
      <c r="C1678" t="s">
        <v>17</v>
      </c>
      <c r="D1678" t="s">
        <v>4774</v>
      </c>
      <c r="E1678" s="9">
        <f t="shared" si="54"/>
        <v>231198.59959705384</v>
      </c>
      <c r="F1678" s="3">
        <v>10.5</v>
      </c>
      <c r="G1678" s="9">
        <v>350000</v>
      </c>
      <c r="H1678" s="4" t="s">
        <v>16</v>
      </c>
      <c r="J1678" s="9">
        <f t="shared" si="55"/>
        <v>0</v>
      </c>
    </row>
    <row r="1679" spans="1:10">
      <c r="A1679" t="s">
        <v>72</v>
      </c>
      <c r="B1679" t="s">
        <v>44</v>
      </c>
      <c r="C1679" t="s">
        <v>17</v>
      </c>
      <c r="D1679" t="s">
        <v>73</v>
      </c>
      <c r="E1679" s="9">
        <f t="shared" si="54"/>
        <v>166462.99170987878</v>
      </c>
      <c r="F1679" s="3">
        <v>10.5</v>
      </c>
      <c r="G1679" s="9">
        <v>252000</v>
      </c>
      <c r="H1679" s="6" t="s">
        <v>45</v>
      </c>
      <c r="J1679" s="9">
        <f t="shared" si="55"/>
        <v>0</v>
      </c>
    </row>
    <row r="1680" spans="1:10">
      <c r="A1680" t="s">
        <v>159</v>
      </c>
      <c r="B1680" t="s">
        <v>44</v>
      </c>
      <c r="C1680" t="s">
        <v>17</v>
      </c>
      <c r="D1680" t="s">
        <v>160</v>
      </c>
      <c r="E1680" s="9">
        <f t="shared" si="54"/>
        <v>175710.93569376093</v>
      </c>
      <c r="F1680" s="3">
        <v>10.5</v>
      </c>
      <c r="G1680" s="9">
        <v>266000</v>
      </c>
      <c r="H1680" s="6" t="s">
        <v>45</v>
      </c>
      <c r="J1680" s="9">
        <f t="shared" si="55"/>
        <v>0</v>
      </c>
    </row>
    <row r="1681" spans="1:10">
      <c r="A1681" t="s">
        <v>4157</v>
      </c>
      <c r="B1681" t="s">
        <v>44</v>
      </c>
      <c r="C1681" t="s">
        <v>17</v>
      </c>
      <c r="D1681" t="s">
        <v>4158</v>
      </c>
      <c r="E1681" s="9">
        <f t="shared" si="54"/>
        <v>1387191.597582323</v>
      </c>
      <c r="F1681" s="3">
        <v>10.5</v>
      </c>
      <c r="G1681" s="9">
        <v>2100000</v>
      </c>
      <c r="H1681" s="6" t="s">
        <v>45</v>
      </c>
      <c r="J1681" s="9">
        <f t="shared" si="55"/>
        <v>0</v>
      </c>
    </row>
    <row r="1682" spans="1:10">
      <c r="A1682" t="s">
        <v>1372</v>
      </c>
      <c r="B1682" t="s">
        <v>44</v>
      </c>
      <c r="C1682" t="s">
        <v>17</v>
      </c>
      <c r="D1682" t="s">
        <v>1373</v>
      </c>
      <c r="E1682" s="9">
        <f t="shared" si="54"/>
        <v>1562902.5332760839</v>
      </c>
      <c r="F1682" s="3">
        <v>10.5</v>
      </c>
      <c r="G1682" s="9">
        <v>2366000</v>
      </c>
      <c r="H1682" s="4" t="s">
        <v>16</v>
      </c>
      <c r="J1682" s="9">
        <f t="shared" si="55"/>
        <v>0</v>
      </c>
    </row>
    <row r="1683" spans="1:10">
      <c r="A1683" t="s">
        <v>3878</v>
      </c>
      <c r="B1683" t="s">
        <v>44</v>
      </c>
      <c r="C1683" t="s">
        <v>17</v>
      </c>
      <c r="D1683" t="s">
        <v>3879</v>
      </c>
      <c r="E1683" s="9">
        <f t="shared" si="54"/>
        <v>1562902.5332760839</v>
      </c>
      <c r="F1683" s="3">
        <v>10.5</v>
      </c>
      <c r="G1683" s="9">
        <v>2366000</v>
      </c>
      <c r="H1683" s="6" t="s">
        <v>45</v>
      </c>
      <c r="J1683" s="9">
        <f t="shared" si="55"/>
        <v>0</v>
      </c>
    </row>
    <row r="1684" spans="1:10">
      <c r="A1684" t="s">
        <v>1579</v>
      </c>
      <c r="B1684" t="s">
        <v>44</v>
      </c>
      <c r="C1684" t="s">
        <v>17</v>
      </c>
      <c r="D1684" t="s">
        <v>1580</v>
      </c>
      <c r="E1684" s="9">
        <f t="shared" si="54"/>
        <v>1250322.0266208672</v>
      </c>
      <c r="F1684" s="3">
        <v>10.5</v>
      </c>
      <c r="G1684" s="9">
        <v>1892800</v>
      </c>
      <c r="H1684" s="4" t="s">
        <v>16</v>
      </c>
      <c r="J1684" s="9">
        <f t="shared" si="55"/>
        <v>0</v>
      </c>
    </row>
    <row r="1685" spans="1:10">
      <c r="A1685" t="s">
        <v>2589</v>
      </c>
      <c r="B1685" t="s">
        <v>44</v>
      </c>
      <c r="C1685" t="s">
        <v>17</v>
      </c>
      <c r="D1685" t="s">
        <v>2590</v>
      </c>
      <c r="E1685" s="9">
        <f t="shared" si="54"/>
        <v>388413.64732305048</v>
      </c>
      <c r="F1685" s="3">
        <v>10.5</v>
      </c>
      <c r="G1685" s="9">
        <v>588000</v>
      </c>
      <c r="H1685" s="6" t="s">
        <v>45</v>
      </c>
      <c r="J1685" s="9">
        <f t="shared" si="55"/>
        <v>0</v>
      </c>
    </row>
    <row r="1686" spans="1:10">
      <c r="A1686" t="s">
        <v>1528</v>
      </c>
      <c r="B1686" t="s">
        <v>44</v>
      </c>
      <c r="C1686" t="s">
        <v>17</v>
      </c>
      <c r="D1686" t="s">
        <v>1529</v>
      </c>
      <c r="E1686" s="9">
        <f t="shared" si="54"/>
        <v>906298.51042045117</v>
      </c>
      <c r="F1686" s="3">
        <v>10.5</v>
      </c>
      <c r="G1686" s="9">
        <v>1372000</v>
      </c>
      <c r="H1686" s="4" t="s">
        <v>16</v>
      </c>
      <c r="J1686" s="9">
        <f t="shared" si="55"/>
        <v>0</v>
      </c>
    </row>
    <row r="1687" spans="1:10">
      <c r="A1687" t="s">
        <v>3460</v>
      </c>
      <c r="B1687" t="s">
        <v>44</v>
      </c>
      <c r="C1687" t="s">
        <v>17</v>
      </c>
      <c r="D1687" t="s">
        <v>3461</v>
      </c>
      <c r="E1687" s="9">
        <f t="shared" si="54"/>
        <v>2127027.1162928953</v>
      </c>
      <c r="F1687" s="3">
        <v>10.5</v>
      </c>
      <c r="G1687" s="9">
        <v>3220000</v>
      </c>
      <c r="H1687" s="6" t="s">
        <v>45</v>
      </c>
      <c r="J1687" s="9">
        <f t="shared" si="55"/>
        <v>0</v>
      </c>
    </row>
    <row r="1688" spans="1:10">
      <c r="A1688" t="s">
        <v>3436</v>
      </c>
      <c r="B1688" t="s">
        <v>44</v>
      </c>
      <c r="C1688" t="s">
        <v>17</v>
      </c>
      <c r="D1688" t="s">
        <v>3437</v>
      </c>
      <c r="E1688" s="9">
        <f t="shared" si="54"/>
        <v>1202232.7179046799</v>
      </c>
      <c r="F1688" s="3">
        <v>10.5</v>
      </c>
      <c r="G1688" s="9">
        <v>1820000</v>
      </c>
      <c r="H1688" s="5" t="s">
        <v>5080</v>
      </c>
      <c r="J1688" s="9">
        <f t="shared" si="55"/>
        <v>0</v>
      </c>
    </row>
    <row r="1689" spans="1:10">
      <c r="A1689" t="s">
        <v>2697</v>
      </c>
      <c r="B1689" t="s">
        <v>44</v>
      </c>
      <c r="C1689" t="s">
        <v>17</v>
      </c>
      <c r="D1689" t="s">
        <v>2698</v>
      </c>
      <c r="E1689" s="9">
        <f t="shared" si="54"/>
        <v>416157.4792746969</v>
      </c>
      <c r="F1689" s="3">
        <v>10.5</v>
      </c>
      <c r="G1689" s="9">
        <v>630000</v>
      </c>
      <c r="H1689" s="4" t="s">
        <v>16</v>
      </c>
      <c r="J1689" s="9">
        <f t="shared" si="55"/>
        <v>0</v>
      </c>
    </row>
    <row r="1690" spans="1:10">
      <c r="A1690" t="s">
        <v>4477</v>
      </c>
      <c r="B1690" t="s">
        <v>44</v>
      </c>
      <c r="C1690" t="s">
        <v>17</v>
      </c>
      <c r="D1690" t="s">
        <v>4478</v>
      </c>
      <c r="E1690" s="9">
        <f t="shared" si="54"/>
        <v>647356.07887175074</v>
      </c>
      <c r="F1690" s="3">
        <v>10.5</v>
      </c>
      <c r="G1690" s="9">
        <v>980000</v>
      </c>
      <c r="H1690" s="6" t="s">
        <v>45</v>
      </c>
      <c r="J1690" s="9">
        <f t="shared" si="55"/>
        <v>0</v>
      </c>
    </row>
    <row r="1691" spans="1:10">
      <c r="A1691" t="s">
        <v>3550</v>
      </c>
      <c r="B1691" t="s">
        <v>44</v>
      </c>
      <c r="C1691" t="s">
        <v>17</v>
      </c>
      <c r="D1691" t="s">
        <v>3551</v>
      </c>
      <c r="E1691" s="9">
        <f t="shared" si="54"/>
        <v>1248472.4378240909</v>
      </c>
      <c r="F1691" s="3">
        <v>10.5</v>
      </c>
      <c r="G1691" s="9">
        <v>1890000</v>
      </c>
      <c r="H1691" s="6" t="s">
        <v>45</v>
      </c>
      <c r="J1691" s="9">
        <f t="shared" si="55"/>
        <v>0</v>
      </c>
    </row>
    <row r="1692" spans="1:10">
      <c r="A1692" t="s">
        <v>123</v>
      </c>
      <c r="B1692" t="s">
        <v>44</v>
      </c>
      <c r="C1692" t="s">
        <v>17</v>
      </c>
      <c r="D1692" t="s">
        <v>124</v>
      </c>
      <c r="E1692" s="9">
        <f t="shared" si="54"/>
        <v>268726.75628364761</v>
      </c>
      <c r="F1692" s="3">
        <v>10.5</v>
      </c>
      <c r="G1692" s="9">
        <v>406812</v>
      </c>
      <c r="H1692" s="4" t="s">
        <v>16</v>
      </c>
      <c r="J1692" s="9">
        <f t="shared" si="55"/>
        <v>0</v>
      </c>
    </row>
    <row r="1693" spans="1:10">
      <c r="A1693" t="s">
        <v>4389</v>
      </c>
      <c r="B1693" t="s">
        <v>44</v>
      </c>
      <c r="C1693" t="s">
        <v>17</v>
      </c>
      <c r="D1693" t="s">
        <v>4390</v>
      </c>
      <c r="E1693" s="9">
        <f t="shared" si="54"/>
        <v>360669.81537140405</v>
      </c>
      <c r="F1693" s="3">
        <v>10.5</v>
      </c>
      <c r="G1693" s="9">
        <v>546000</v>
      </c>
      <c r="H1693" s="6" t="s">
        <v>45</v>
      </c>
      <c r="J1693" s="9">
        <f t="shared" si="55"/>
        <v>0</v>
      </c>
    </row>
    <row r="1694" spans="1:10">
      <c r="A1694" t="s">
        <v>2770</v>
      </c>
      <c r="B1694" t="s">
        <v>44</v>
      </c>
      <c r="C1694" t="s">
        <v>17</v>
      </c>
      <c r="D1694" t="s">
        <v>2771</v>
      </c>
      <c r="E1694" s="9">
        <f t="shared" si="54"/>
        <v>323678.03943587537</v>
      </c>
      <c r="F1694" s="3">
        <v>10.5</v>
      </c>
      <c r="G1694" s="9">
        <v>490000</v>
      </c>
      <c r="H1694" s="6" t="s">
        <v>45</v>
      </c>
      <c r="J1694" s="9">
        <f t="shared" si="55"/>
        <v>0</v>
      </c>
    </row>
    <row r="1695" spans="1:10">
      <c r="A1695" t="s">
        <v>2320</v>
      </c>
      <c r="B1695" t="s">
        <v>44</v>
      </c>
      <c r="C1695" t="s">
        <v>17</v>
      </c>
      <c r="D1695" t="s">
        <v>2321</v>
      </c>
      <c r="E1695" s="9">
        <f t="shared" si="54"/>
        <v>184958.87967764307</v>
      </c>
      <c r="F1695" s="3">
        <v>10.5</v>
      </c>
      <c r="G1695" s="9">
        <v>280000</v>
      </c>
      <c r="H1695" s="6" t="s">
        <v>45</v>
      </c>
      <c r="J1695" s="9">
        <f t="shared" si="55"/>
        <v>0</v>
      </c>
    </row>
    <row r="1696" spans="1:10">
      <c r="A1696" t="s">
        <v>2399</v>
      </c>
      <c r="B1696" t="s">
        <v>44</v>
      </c>
      <c r="C1696" t="s">
        <v>17</v>
      </c>
      <c r="D1696" t="s">
        <v>2400</v>
      </c>
      <c r="E1696" s="9">
        <f t="shared" si="54"/>
        <v>184958.87967764307</v>
      </c>
      <c r="F1696" s="3">
        <v>10.5</v>
      </c>
      <c r="G1696" s="9">
        <v>280000</v>
      </c>
      <c r="H1696" s="6" t="s">
        <v>45</v>
      </c>
      <c r="J1696" s="9">
        <f t="shared" si="55"/>
        <v>0</v>
      </c>
    </row>
    <row r="1697" spans="1:10">
      <c r="A1697" t="s">
        <v>125</v>
      </c>
      <c r="B1697" t="s">
        <v>44</v>
      </c>
      <c r="C1697" t="s">
        <v>17</v>
      </c>
      <c r="D1697" t="s">
        <v>126</v>
      </c>
      <c r="E1697" s="9">
        <f t="shared" si="54"/>
        <v>145423.91914654686</v>
      </c>
      <c r="F1697" s="3">
        <v>10.5</v>
      </c>
      <c r="G1697" s="9">
        <v>220150</v>
      </c>
      <c r="H1697" s="4" t="s">
        <v>16</v>
      </c>
      <c r="J1697" s="9">
        <f t="shared" si="55"/>
        <v>0</v>
      </c>
    </row>
    <row r="1698" spans="1:10">
      <c r="A1698" t="s">
        <v>87</v>
      </c>
      <c r="B1698" t="s">
        <v>44</v>
      </c>
      <c r="C1698" t="s">
        <v>17</v>
      </c>
      <c r="D1698" t="s">
        <v>88</v>
      </c>
      <c r="E1698" s="9">
        <f t="shared" si="54"/>
        <v>155809.36024044655</v>
      </c>
      <c r="F1698" s="3">
        <v>10.5</v>
      </c>
      <c r="G1698" s="9">
        <v>235872</v>
      </c>
      <c r="H1698" s="6" t="s">
        <v>45</v>
      </c>
      <c r="J1698" s="9">
        <f t="shared" si="55"/>
        <v>0</v>
      </c>
    </row>
    <row r="1699" spans="1:10">
      <c r="A1699" t="s">
        <v>1566</v>
      </c>
      <c r="B1699" t="s">
        <v>44</v>
      </c>
      <c r="C1699" t="s">
        <v>17</v>
      </c>
      <c r="D1699" t="s">
        <v>1567</v>
      </c>
      <c r="E1699" s="9">
        <f t="shared" si="54"/>
        <v>134650.06440532417</v>
      </c>
      <c r="F1699" s="3">
        <v>10.5</v>
      </c>
      <c r="G1699" s="9">
        <v>203840</v>
      </c>
      <c r="H1699" s="4" t="s">
        <v>16</v>
      </c>
      <c r="J1699" s="9">
        <f t="shared" si="55"/>
        <v>0</v>
      </c>
    </row>
    <row r="1700" spans="1:10">
      <c r="A1700" t="s">
        <v>3144</v>
      </c>
      <c r="B1700" t="s">
        <v>44</v>
      </c>
      <c r="C1700" t="s">
        <v>17</v>
      </c>
      <c r="D1700" t="s">
        <v>3145</v>
      </c>
      <c r="E1700" s="9">
        <f t="shared" si="54"/>
        <v>480893.08716187201</v>
      </c>
      <c r="F1700" s="3">
        <v>10.5</v>
      </c>
      <c r="G1700" s="9">
        <v>728000</v>
      </c>
      <c r="H1700" s="4" t="s">
        <v>16</v>
      </c>
      <c r="J1700" s="9">
        <f t="shared" si="55"/>
        <v>0</v>
      </c>
    </row>
    <row r="1701" spans="1:10">
      <c r="A1701" t="s">
        <v>2701</v>
      </c>
      <c r="B1701" t="s">
        <v>44</v>
      </c>
      <c r="C1701" t="s">
        <v>17</v>
      </c>
      <c r="D1701" t="s">
        <v>2702</v>
      </c>
      <c r="E1701" s="9">
        <f t="shared" si="54"/>
        <v>628860.19090398645</v>
      </c>
      <c r="F1701" s="3">
        <v>10.5</v>
      </c>
      <c r="G1701" s="9">
        <v>952000</v>
      </c>
      <c r="H1701" s="4" t="s">
        <v>16</v>
      </c>
      <c r="J1701" s="9">
        <f t="shared" si="55"/>
        <v>0</v>
      </c>
    </row>
    <row r="1702" spans="1:10">
      <c r="A1702" t="s">
        <v>1944</v>
      </c>
      <c r="B1702" t="s">
        <v>44</v>
      </c>
      <c r="C1702" t="s">
        <v>17</v>
      </c>
      <c r="D1702" t="s">
        <v>1945</v>
      </c>
      <c r="E1702" s="9">
        <f t="shared" si="54"/>
        <v>730587.57472669019</v>
      </c>
      <c r="F1702" s="3">
        <v>10.5</v>
      </c>
      <c r="G1702" s="9">
        <v>1106000</v>
      </c>
      <c r="H1702" s="4" t="s">
        <v>16</v>
      </c>
      <c r="J1702" s="9">
        <f t="shared" si="55"/>
        <v>0</v>
      </c>
    </row>
    <row r="1703" spans="1:10">
      <c r="A1703" t="s">
        <v>4161</v>
      </c>
      <c r="B1703" t="s">
        <v>44</v>
      </c>
      <c r="C1703" t="s">
        <v>17</v>
      </c>
      <c r="D1703" t="s">
        <v>4162</v>
      </c>
      <c r="E1703" s="9">
        <f t="shared" si="54"/>
        <v>730587.57472669019</v>
      </c>
      <c r="F1703" s="3">
        <v>10.5</v>
      </c>
      <c r="G1703" s="9">
        <v>1106000</v>
      </c>
      <c r="H1703" s="6" t="s">
        <v>45</v>
      </c>
      <c r="J1703" s="9">
        <f t="shared" si="55"/>
        <v>0</v>
      </c>
    </row>
    <row r="1704" spans="1:10">
      <c r="A1704" t="s">
        <v>4159</v>
      </c>
      <c r="B1704" t="s">
        <v>44</v>
      </c>
      <c r="C1704" t="s">
        <v>17</v>
      </c>
      <c r="D1704" t="s">
        <v>4160</v>
      </c>
      <c r="E1704" s="9">
        <f t="shared" si="54"/>
        <v>665851.96683951514</v>
      </c>
      <c r="F1704" s="3">
        <v>10.5</v>
      </c>
      <c r="G1704" s="9">
        <v>1008000</v>
      </c>
      <c r="H1704" s="6" t="s">
        <v>45</v>
      </c>
      <c r="J1704" s="9">
        <f t="shared" si="55"/>
        <v>0</v>
      </c>
    </row>
    <row r="1705" spans="1:10">
      <c r="A1705" t="s">
        <v>753</v>
      </c>
      <c r="B1705" t="s">
        <v>44</v>
      </c>
      <c r="C1705" t="s">
        <v>17</v>
      </c>
      <c r="D1705" t="s">
        <v>754</v>
      </c>
      <c r="E1705" s="9">
        <f t="shared" si="54"/>
        <v>228516.69584172801</v>
      </c>
      <c r="F1705" s="3">
        <v>10.5</v>
      </c>
      <c r="G1705" s="9">
        <v>345940</v>
      </c>
      <c r="H1705" s="6" t="s">
        <v>45</v>
      </c>
      <c r="J1705" s="9">
        <f t="shared" si="55"/>
        <v>0</v>
      </c>
    </row>
    <row r="1706" spans="1:10">
      <c r="A1706" t="s">
        <v>1754</v>
      </c>
      <c r="B1706" t="s">
        <v>44</v>
      </c>
      <c r="C1706" t="s">
        <v>17</v>
      </c>
      <c r="D1706" t="s">
        <v>1755</v>
      </c>
      <c r="E1706" s="9">
        <f t="shared" si="54"/>
        <v>278917.99055388587</v>
      </c>
      <c r="F1706" s="3">
        <v>10.5</v>
      </c>
      <c r="G1706" s="9">
        <v>422240.00000000012</v>
      </c>
      <c r="H1706" s="5" t="s">
        <v>5080</v>
      </c>
      <c r="J1706" s="9">
        <f t="shared" si="55"/>
        <v>0</v>
      </c>
    </row>
    <row r="1707" spans="1:10">
      <c r="A1707" t="s">
        <v>2703</v>
      </c>
      <c r="B1707" t="s">
        <v>44</v>
      </c>
      <c r="C1707" t="s">
        <v>17</v>
      </c>
      <c r="D1707" t="s">
        <v>2704</v>
      </c>
      <c r="E1707" s="9">
        <f t="shared" si="54"/>
        <v>693595.79879116151</v>
      </c>
      <c r="F1707" s="3">
        <v>10.5</v>
      </c>
      <c r="G1707" s="9">
        <v>1050000</v>
      </c>
      <c r="H1707" s="4" t="s">
        <v>16</v>
      </c>
      <c r="J1707" s="9">
        <f t="shared" si="55"/>
        <v>0</v>
      </c>
    </row>
    <row r="1708" spans="1:10">
      <c r="A1708" t="s">
        <v>91</v>
      </c>
      <c r="B1708" t="s">
        <v>44</v>
      </c>
      <c r="C1708" t="s">
        <v>17</v>
      </c>
      <c r="D1708" t="s">
        <v>92</v>
      </c>
      <c r="E1708" s="9">
        <f t="shared" si="54"/>
        <v>184958.87967764307</v>
      </c>
      <c r="F1708" s="3">
        <v>10.5</v>
      </c>
      <c r="G1708" s="9">
        <v>280000</v>
      </c>
      <c r="H1708" s="6" t="s">
        <v>45</v>
      </c>
      <c r="J1708" s="9">
        <f t="shared" si="55"/>
        <v>0</v>
      </c>
    </row>
    <row r="1709" spans="1:10">
      <c r="A1709" t="s">
        <v>3458</v>
      </c>
      <c r="B1709" t="s">
        <v>44</v>
      </c>
      <c r="C1709" t="s">
        <v>17</v>
      </c>
      <c r="D1709" t="s">
        <v>3459</v>
      </c>
      <c r="E1709" s="9">
        <f t="shared" si="54"/>
        <v>194206.82366152524</v>
      </c>
      <c r="F1709" s="3">
        <v>10.5</v>
      </c>
      <c r="G1709" s="9">
        <v>294000</v>
      </c>
      <c r="H1709" s="4" t="s">
        <v>16</v>
      </c>
      <c r="J1709" s="9">
        <f t="shared" si="55"/>
        <v>0</v>
      </c>
    </row>
    <row r="1710" spans="1:10">
      <c r="A1710" t="s">
        <v>2988</v>
      </c>
      <c r="B1710" t="s">
        <v>44</v>
      </c>
      <c r="C1710" t="s">
        <v>17</v>
      </c>
      <c r="D1710" t="s">
        <v>2989</v>
      </c>
      <c r="E1710" s="9">
        <f t="shared" si="54"/>
        <v>268190.37553258246</v>
      </c>
      <c r="F1710" s="3">
        <v>10.5</v>
      </c>
      <c r="G1710" s="9">
        <v>406000</v>
      </c>
      <c r="H1710" s="4" t="s">
        <v>16</v>
      </c>
      <c r="J1710" s="9">
        <f t="shared" si="55"/>
        <v>0</v>
      </c>
    </row>
    <row r="1711" spans="1:10">
      <c r="A1711" t="s">
        <v>165</v>
      </c>
      <c r="B1711" t="s">
        <v>44</v>
      </c>
      <c r="C1711" t="s">
        <v>17</v>
      </c>
      <c r="D1711" t="s">
        <v>166</v>
      </c>
      <c r="E1711" s="9">
        <f t="shared" si="54"/>
        <v>152591.07573405554</v>
      </c>
      <c r="F1711" s="3">
        <v>10.5</v>
      </c>
      <c r="G1711" s="9">
        <v>231000</v>
      </c>
      <c r="H1711" s="6" t="s">
        <v>45</v>
      </c>
      <c r="J1711" s="9">
        <f t="shared" si="55"/>
        <v>0</v>
      </c>
    </row>
    <row r="1712" spans="1:10">
      <c r="A1712" t="s">
        <v>623</v>
      </c>
      <c r="B1712" t="s">
        <v>44</v>
      </c>
      <c r="C1712" t="s">
        <v>17</v>
      </c>
      <c r="D1712" t="s">
        <v>624</v>
      </c>
      <c r="E1712" s="9">
        <f t="shared" si="54"/>
        <v>197360.37256002906</v>
      </c>
      <c r="F1712" s="3">
        <v>10.5</v>
      </c>
      <c r="G1712" s="9">
        <v>298774</v>
      </c>
      <c r="H1712" s="5" t="s">
        <v>5080</v>
      </c>
      <c r="J1712" s="9">
        <f t="shared" si="55"/>
        <v>0</v>
      </c>
    </row>
    <row r="1713" spans="1:10">
      <c r="A1713" t="s">
        <v>3316</v>
      </c>
      <c r="B1713" t="s">
        <v>44</v>
      </c>
      <c r="C1713" t="s">
        <v>17</v>
      </c>
      <c r="D1713" t="s">
        <v>3317</v>
      </c>
      <c r="E1713" s="9">
        <f t="shared" si="54"/>
        <v>258942.43154870029</v>
      </c>
      <c r="F1713" s="3">
        <v>10.5</v>
      </c>
      <c r="G1713" s="9">
        <v>392000</v>
      </c>
      <c r="H1713" s="6" t="s">
        <v>45</v>
      </c>
      <c r="J1713" s="9">
        <f t="shared" si="55"/>
        <v>0</v>
      </c>
    </row>
    <row r="1714" spans="1:10">
      <c r="A1714" t="s">
        <v>1970</v>
      </c>
      <c r="B1714" t="s">
        <v>44</v>
      </c>
      <c r="C1714" t="s">
        <v>17</v>
      </c>
      <c r="D1714" t="s">
        <v>1971</v>
      </c>
      <c r="E1714" s="9">
        <f t="shared" si="54"/>
        <v>288535.85229712323</v>
      </c>
      <c r="F1714" s="3">
        <v>10.5</v>
      </c>
      <c r="G1714" s="9">
        <v>436800</v>
      </c>
      <c r="H1714" s="6" t="s">
        <v>45</v>
      </c>
      <c r="J1714" s="9">
        <f t="shared" si="55"/>
        <v>0</v>
      </c>
    </row>
    <row r="1715" spans="1:10">
      <c r="A1715" t="s">
        <v>4211</v>
      </c>
      <c r="B1715" t="s">
        <v>44</v>
      </c>
      <c r="C1715" t="s">
        <v>17</v>
      </c>
      <c r="D1715" t="s">
        <v>3691</v>
      </c>
      <c r="E1715" s="9">
        <f t="shared" si="54"/>
        <v>693595.79879116151</v>
      </c>
      <c r="F1715" s="3">
        <v>10.5</v>
      </c>
      <c r="G1715" s="9">
        <v>1050000</v>
      </c>
      <c r="H1715" s="6" t="s">
        <v>45</v>
      </c>
      <c r="J1715" s="9">
        <f t="shared" si="55"/>
        <v>0</v>
      </c>
    </row>
    <row r="1716" spans="1:10">
      <c r="A1716" t="s">
        <v>3690</v>
      </c>
      <c r="B1716" t="s">
        <v>44</v>
      </c>
      <c r="C1716" t="s">
        <v>17</v>
      </c>
      <c r="D1716" t="s">
        <v>3691</v>
      </c>
      <c r="E1716" s="9">
        <f t="shared" si="54"/>
        <v>693595.79879116151</v>
      </c>
      <c r="F1716" s="3">
        <v>10.5</v>
      </c>
      <c r="G1716" s="9">
        <v>1050000</v>
      </c>
      <c r="H1716" s="4" t="s">
        <v>16</v>
      </c>
      <c r="J1716" s="9">
        <f t="shared" si="55"/>
        <v>0</v>
      </c>
    </row>
    <row r="1717" spans="1:10">
      <c r="A1717" t="s">
        <v>229</v>
      </c>
      <c r="B1717" t="s">
        <v>44</v>
      </c>
      <c r="C1717" t="s">
        <v>17</v>
      </c>
      <c r="D1717" t="s">
        <v>164</v>
      </c>
      <c r="E1717" s="9">
        <f t="shared" si="54"/>
        <v>184958.87967764307</v>
      </c>
      <c r="F1717" s="3">
        <v>10.5</v>
      </c>
      <c r="G1717" s="9">
        <v>280000</v>
      </c>
      <c r="H1717" s="6" t="s">
        <v>45</v>
      </c>
      <c r="J1717" s="9">
        <f t="shared" si="55"/>
        <v>0</v>
      </c>
    </row>
    <row r="1718" spans="1:10">
      <c r="A1718" t="s">
        <v>121</v>
      </c>
      <c r="B1718" t="s">
        <v>44</v>
      </c>
      <c r="C1718" t="s">
        <v>17</v>
      </c>
      <c r="D1718" t="s">
        <v>122</v>
      </c>
      <c r="E1718" s="9">
        <f t="shared" si="54"/>
        <v>166462.99170987878</v>
      </c>
      <c r="F1718" s="3">
        <v>10.5</v>
      </c>
      <c r="G1718" s="9">
        <v>252000</v>
      </c>
      <c r="H1718" s="6" t="s">
        <v>45</v>
      </c>
      <c r="J1718" s="9">
        <f t="shared" si="55"/>
        <v>0</v>
      </c>
    </row>
    <row r="1719" spans="1:10">
      <c r="A1719" t="s">
        <v>59</v>
      </c>
      <c r="B1719" t="s">
        <v>44</v>
      </c>
      <c r="C1719" t="s">
        <v>17</v>
      </c>
      <c r="D1719" t="s">
        <v>60</v>
      </c>
      <c r="E1719" s="9">
        <f t="shared" si="54"/>
        <v>129471.21577435014</v>
      </c>
      <c r="F1719" s="3">
        <v>10.5</v>
      </c>
      <c r="G1719" s="9">
        <v>196000</v>
      </c>
      <c r="H1719" s="6" t="s">
        <v>45</v>
      </c>
      <c r="J1719" s="9">
        <f t="shared" si="55"/>
        <v>0</v>
      </c>
    </row>
    <row r="1720" spans="1:10">
      <c r="A1720" t="s">
        <v>511</v>
      </c>
      <c r="B1720" t="s">
        <v>44</v>
      </c>
      <c r="C1720" t="s">
        <v>17</v>
      </c>
      <c r="D1720" t="s">
        <v>512</v>
      </c>
      <c r="E1720" s="9">
        <f t="shared" si="54"/>
        <v>203454.76764540741</v>
      </c>
      <c r="F1720" s="3">
        <v>10.5</v>
      </c>
      <c r="G1720" s="9">
        <v>308000</v>
      </c>
      <c r="H1720" s="6" t="s">
        <v>45</v>
      </c>
      <c r="J1720" s="9">
        <f t="shared" si="55"/>
        <v>0</v>
      </c>
    </row>
    <row r="1721" spans="1:10">
      <c r="A1721" t="s">
        <v>57</v>
      </c>
      <c r="B1721" t="s">
        <v>44</v>
      </c>
      <c r="C1721" t="s">
        <v>17</v>
      </c>
      <c r="D1721" t="s">
        <v>58</v>
      </c>
      <c r="E1721" s="9">
        <f t="shared" si="54"/>
        <v>245407.49230862039</v>
      </c>
      <c r="F1721" s="3">
        <v>21</v>
      </c>
      <c r="G1721" s="9">
        <v>406812</v>
      </c>
      <c r="H1721" s="4" t="s">
        <v>16</v>
      </c>
      <c r="J1721" s="9">
        <f t="shared" si="55"/>
        <v>0</v>
      </c>
    </row>
    <row r="1722" spans="1:10">
      <c r="A1722" t="s">
        <v>1148</v>
      </c>
      <c r="B1722" t="s">
        <v>44</v>
      </c>
      <c r="C1722" t="s">
        <v>17</v>
      </c>
      <c r="D1722" t="s">
        <v>124</v>
      </c>
      <c r="E1722" s="9">
        <f t="shared" si="54"/>
        <v>286686.26350034674</v>
      </c>
      <c r="F1722" s="3">
        <v>10.5</v>
      </c>
      <c r="G1722" s="9">
        <v>434000</v>
      </c>
      <c r="H1722" s="5" t="s">
        <v>5080</v>
      </c>
      <c r="J1722" s="9">
        <f t="shared" si="55"/>
        <v>0</v>
      </c>
    </row>
    <row r="1723" spans="1:10">
      <c r="A1723" t="s">
        <v>625</v>
      </c>
      <c r="B1723" t="s">
        <v>44</v>
      </c>
      <c r="C1723" t="s">
        <v>17</v>
      </c>
      <c r="D1723" t="s">
        <v>626</v>
      </c>
      <c r="E1723" s="9">
        <f t="shared" si="54"/>
        <v>254484.9225484691</v>
      </c>
      <c r="F1723" s="3">
        <v>10.5</v>
      </c>
      <c r="G1723" s="9">
        <v>385252</v>
      </c>
      <c r="H1723" s="4" t="s">
        <v>16</v>
      </c>
      <c r="J1723" s="9">
        <f t="shared" si="55"/>
        <v>0</v>
      </c>
    </row>
    <row r="1724" spans="1:10">
      <c r="A1724" t="s">
        <v>2253</v>
      </c>
      <c r="B1724" t="s">
        <v>44</v>
      </c>
      <c r="C1724" t="s">
        <v>17</v>
      </c>
      <c r="D1724" t="s">
        <v>2254</v>
      </c>
      <c r="E1724" s="9">
        <f t="shared" si="54"/>
        <v>240446.54358093601</v>
      </c>
      <c r="F1724" s="3">
        <v>10.5</v>
      </c>
      <c r="G1724" s="9">
        <v>364000</v>
      </c>
      <c r="H1724" s="5" t="s">
        <v>5080</v>
      </c>
      <c r="J1724" s="9">
        <f t="shared" si="55"/>
        <v>0</v>
      </c>
    </row>
    <row r="1725" spans="1:10">
      <c r="A1725" t="s">
        <v>2093</v>
      </c>
      <c r="B1725" t="s">
        <v>44</v>
      </c>
      <c r="C1725" t="s">
        <v>17</v>
      </c>
      <c r="D1725" t="s">
        <v>1291</v>
      </c>
      <c r="E1725" s="9">
        <f t="shared" si="54"/>
        <v>250064.40532417336</v>
      </c>
      <c r="F1725" s="3">
        <v>10.5</v>
      </c>
      <c r="G1725" s="9">
        <v>378559.99999999988</v>
      </c>
      <c r="H1725" s="5" t="s">
        <v>5080</v>
      </c>
      <c r="J1725" s="9">
        <f t="shared" si="55"/>
        <v>0</v>
      </c>
    </row>
    <row r="1726" spans="1:10">
      <c r="A1726" t="s">
        <v>3037</v>
      </c>
      <c r="B1726" t="s">
        <v>44</v>
      </c>
      <c r="C1726" t="s">
        <v>17</v>
      </c>
      <c r="D1726" t="s">
        <v>3038</v>
      </c>
      <c r="E1726" s="9">
        <f t="shared" si="54"/>
        <v>573372.52700069349</v>
      </c>
      <c r="F1726" s="3">
        <v>10.5</v>
      </c>
      <c r="G1726" s="9">
        <v>868000</v>
      </c>
      <c r="H1726" s="6" t="s">
        <v>45</v>
      </c>
      <c r="J1726" s="9">
        <f t="shared" si="55"/>
        <v>0</v>
      </c>
    </row>
    <row r="1727" spans="1:10">
      <c r="A1727" t="s">
        <v>2564</v>
      </c>
      <c r="B1727" t="s">
        <v>44</v>
      </c>
      <c r="C1727" t="s">
        <v>17</v>
      </c>
      <c r="D1727" t="s">
        <v>1291</v>
      </c>
      <c r="E1727" s="9">
        <f t="shared" si="54"/>
        <v>582620.47098457569</v>
      </c>
      <c r="F1727" s="3">
        <v>10.5</v>
      </c>
      <c r="G1727" s="9">
        <v>882000</v>
      </c>
      <c r="H1727" s="6" t="s">
        <v>45</v>
      </c>
      <c r="J1727" s="9">
        <f t="shared" si="55"/>
        <v>0</v>
      </c>
    </row>
    <row r="1728" spans="1:10">
      <c r="A1728" t="s">
        <v>1290</v>
      </c>
      <c r="B1728" t="s">
        <v>44</v>
      </c>
      <c r="C1728" t="s">
        <v>17</v>
      </c>
      <c r="D1728" t="s">
        <v>1291</v>
      </c>
      <c r="E1728" s="9">
        <f t="shared" si="54"/>
        <v>353271.46018429828</v>
      </c>
      <c r="F1728" s="3">
        <v>10.5</v>
      </c>
      <c r="G1728" s="9">
        <v>534800</v>
      </c>
      <c r="H1728" s="4" t="s">
        <v>16</v>
      </c>
      <c r="J1728" s="9">
        <f t="shared" si="55"/>
        <v>0</v>
      </c>
    </row>
    <row r="1729" spans="1:10">
      <c r="A1729" t="s">
        <v>1292</v>
      </c>
      <c r="B1729" t="s">
        <v>44</v>
      </c>
      <c r="C1729" t="s">
        <v>17</v>
      </c>
      <c r="D1729" t="s">
        <v>1291</v>
      </c>
      <c r="E1729" s="9">
        <f t="shared" si="54"/>
        <v>602466.55877398676</v>
      </c>
      <c r="F1729" s="3">
        <v>10.5</v>
      </c>
      <c r="G1729" s="9">
        <v>912044</v>
      </c>
      <c r="H1729" s="4" t="s">
        <v>16</v>
      </c>
      <c r="J1729" s="9">
        <f t="shared" si="55"/>
        <v>0</v>
      </c>
    </row>
    <row r="1730" spans="1:10">
      <c r="A1730" t="s">
        <v>1485</v>
      </c>
      <c r="B1730" t="s">
        <v>44</v>
      </c>
      <c r="C1730" t="s">
        <v>17</v>
      </c>
      <c r="D1730" t="s">
        <v>1291</v>
      </c>
      <c r="E1730" s="9">
        <f t="shared" si="54"/>
        <v>1048346.9300128809</v>
      </c>
      <c r="F1730" s="3">
        <v>10.5</v>
      </c>
      <c r="G1730" s="9">
        <v>1587040</v>
      </c>
      <c r="H1730" s="4" t="s">
        <v>16</v>
      </c>
      <c r="J1730" s="9">
        <f t="shared" si="55"/>
        <v>0</v>
      </c>
    </row>
    <row r="1731" spans="1:10">
      <c r="A1731" t="s">
        <v>3324</v>
      </c>
      <c r="B1731" t="s">
        <v>44</v>
      </c>
      <c r="C1731" t="s">
        <v>17</v>
      </c>
      <c r="D1731" t="s">
        <v>1291</v>
      </c>
      <c r="E1731" s="9">
        <f t="shared" si="54"/>
        <v>406909.53529081482</v>
      </c>
      <c r="F1731" s="3">
        <v>10.5</v>
      </c>
      <c r="G1731" s="9">
        <v>616000</v>
      </c>
      <c r="H1731" s="6" t="s">
        <v>45</v>
      </c>
      <c r="J1731" s="9">
        <f t="shared" si="55"/>
        <v>0</v>
      </c>
    </row>
    <row r="1732" spans="1:10">
      <c r="A1732" t="s">
        <v>3325</v>
      </c>
      <c r="B1732" t="s">
        <v>44</v>
      </c>
      <c r="C1732" t="s">
        <v>17</v>
      </c>
      <c r="D1732" t="s">
        <v>1291</v>
      </c>
      <c r="E1732" s="9">
        <f t="shared" si="54"/>
        <v>730587.57472669019</v>
      </c>
      <c r="F1732" s="3">
        <v>10.5</v>
      </c>
      <c r="G1732" s="9">
        <v>1106000</v>
      </c>
      <c r="H1732" s="6" t="s">
        <v>45</v>
      </c>
      <c r="J1732" s="9">
        <f t="shared" si="55"/>
        <v>0</v>
      </c>
    </row>
    <row r="1733" spans="1:10">
      <c r="A1733" t="s">
        <v>1812</v>
      </c>
      <c r="B1733" t="s">
        <v>44</v>
      </c>
      <c r="C1733" t="s">
        <v>17</v>
      </c>
      <c r="D1733" t="s">
        <v>1291</v>
      </c>
      <c r="E1733" s="9">
        <f t="shared" si="54"/>
        <v>1106054.1004723057</v>
      </c>
      <c r="F1733" s="3">
        <v>10.5</v>
      </c>
      <c r="G1733" s="9">
        <v>1674400</v>
      </c>
      <c r="H1733" s="4" t="s">
        <v>16</v>
      </c>
      <c r="J1733" s="9">
        <f t="shared" si="55"/>
        <v>0</v>
      </c>
    </row>
    <row r="1734" spans="1:10">
      <c r="A1734" t="s">
        <v>3537</v>
      </c>
      <c r="B1734" t="s">
        <v>44</v>
      </c>
      <c r="C1734" t="s">
        <v>17</v>
      </c>
      <c r="D1734" t="s">
        <v>1291</v>
      </c>
      <c r="E1734" s="9">
        <f t="shared" si="54"/>
        <v>1294712.1577435015</v>
      </c>
      <c r="F1734" s="3">
        <v>10.5</v>
      </c>
      <c r="G1734" s="9">
        <v>1960000</v>
      </c>
      <c r="H1734" s="6" t="s">
        <v>45</v>
      </c>
      <c r="J1734" s="9">
        <f t="shared" si="55"/>
        <v>0</v>
      </c>
    </row>
    <row r="1735" spans="1:10">
      <c r="A1735" t="s">
        <v>3538</v>
      </c>
      <c r="B1735" t="s">
        <v>44</v>
      </c>
      <c r="C1735" t="s">
        <v>17</v>
      </c>
      <c r="D1735" t="s">
        <v>1291</v>
      </c>
      <c r="E1735" s="9">
        <f t="shared" si="54"/>
        <v>1294712.1577435015</v>
      </c>
      <c r="F1735" s="3">
        <v>10.5</v>
      </c>
      <c r="G1735" s="9">
        <v>1960000</v>
      </c>
      <c r="H1735" s="6" t="s">
        <v>45</v>
      </c>
      <c r="J1735" s="9">
        <f t="shared" si="55"/>
        <v>0</v>
      </c>
    </row>
    <row r="1736" spans="1:10">
      <c r="A1736" t="s">
        <v>4863</v>
      </c>
      <c r="B1736" t="s">
        <v>44</v>
      </c>
      <c r="C1736" t="s">
        <v>17</v>
      </c>
      <c r="D1736" t="s">
        <v>4864</v>
      </c>
      <c r="E1736" s="9">
        <f t="shared" si="54"/>
        <v>453149.25521022559</v>
      </c>
      <c r="F1736" s="3">
        <v>10.5</v>
      </c>
      <c r="G1736" s="9">
        <v>686000</v>
      </c>
      <c r="H1736" s="6" t="s">
        <v>45</v>
      </c>
      <c r="J1736" s="9">
        <f t="shared" si="55"/>
        <v>0</v>
      </c>
    </row>
    <row r="1737" spans="1:10">
      <c r="A1737" t="s">
        <v>950</v>
      </c>
      <c r="B1737" t="s">
        <v>44</v>
      </c>
      <c r="C1737" t="s">
        <v>17</v>
      </c>
      <c r="D1737" t="s">
        <v>951</v>
      </c>
      <c r="E1737" s="9">
        <f t="shared" ref="E1737:E1800" si="56">SUM(G1737/(1+(F1737/100)) /(1+(37/100)))</f>
        <v>435226.73976946191</v>
      </c>
      <c r="F1737" s="3">
        <v>10.5</v>
      </c>
      <c r="G1737" s="9">
        <v>658868</v>
      </c>
      <c r="H1737" s="4" t="s">
        <v>16</v>
      </c>
      <c r="J1737" s="9">
        <f t="shared" ref="J1737:J1800" si="57">SUM(E1737* I1737)</f>
        <v>0</v>
      </c>
    </row>
    <row r="1738" spans="1:10">
      <c r="A1738" t="s">
        <v>4865</v>
      </c>
      <c r="B1738" t="s">
        <v>44</v>
      </c>
      <c r="C1738" t="s">
        <v>17</v>
      </c>
      <c r="D1738" t="s">
        <v>4866</v>
      </c>
      <c r="E1738" s="9">
        <f t="shared" si="56"/>
        <v>712091.68675892591</v>
      </c>
      <c r="F1738" s="3">
        <v>10.5</v>
      </c>
      <c r="G1738" s="9">
        <v>1078000</v>
      </c>
      <c r="H1738" s="6" t="s">
        <v>45</v>
      </c>
      <c r="J1738" s="9">
        <f t="shared" si="57"/>
        <v>0</v>
      </c>
    </row>
    <row r="1739" spans="1:10">
      <c r="A1739" t="s">
        <v>163</v>
      </c>
      <c r="B1739" t="s">
        <v>44</v>
      </c>
      <c r="C1739" t="s">
        <v>17</v>
      </c>
      <c r="D1739" t="s">
        <v>164</v>
      </c>
      <c r="E1739" s="9">
        <f t="shared" si="56"/>
        <v>141579.29661579296</v>
      </c>
      <c r="F1739" s="3">
        <v>21</v>
      </c>
      <c r="G1739" s="9">
        <v>234696</v>
      </c>
      <c r="H1739" s="4" t="s">
        <v>16</v>
      </c>
      <c r="J1739" s="9">
        <f t="shared" si="57"/>
        <v>0</v>
      </c>
    </row>
    <row r="1740" spans="1:10">
      <c r="A1740" t="s">
        <v>948</v>
      </c>
      <c r="B1740" t="s">
        <v>44</v>
      </c>
      <c r="C1740" t="s">
        <v>17</v>
      </c>
      <c r="D1740" t="s">
        <v>949</v>
      </c>
      <c r="E1740" s="9">
        <f t="shared" si="56"/>
        <v>425877.0684017571</v>
      </c>
      <c r="F1740" s="3">
        <v>10.5</v>
      </c>
      <c r="G1740" s="9">
        <v>644714</v>
      </c>
      <c r="H1740" s="5" t="s">
        <v>5080</v>
      </c>
      <c r="J1740" s="9">
        <f t="shared" si="57"/>
        <v>0</v>
      </c>
    </row>
    <row r="1741" spans="1:10">
      <c r="A1741" t="s">
        <v>4387</v>
      </c>
      <c r="B1741" t="s">
        <v>44</v>
      </c>
      <c r="C1741" t="s">
        <v>17</v>
      </c>
      <c r="D1741" t="s">
        <v>4388</v>
      </c>
      <c r="E1741" s="9">
        <f t="shared" si="56"/>
        <v>517884.86309740058</v>
      </c>
      <c r="F1741" s="3">
        <v>10.5</v>
      </c>
      <c r="G1741" s="9">
        <v>784000</v>
      </c>
      <c r="H1741" s="6" t="s">
        <v>45</v>
      </c>
      <c r="J1741" s="9">
        <f t="shared" si="57"/>
        <v>0</v>
      </c>
    </row>
    <row r="1742" spans="1:10">
      <c r="A1742" t="s">
        <v>2699</v>
      </c>
      <c r="B1742" t="s">
        <v>44</v>
      </c>
      <c r="C1742" t="s">
        <v>17</v>
      </c>
      <c r="D1742" t="s">
        <v>2700</v>
      </c>
      <c r="E1742" s="9">
        <f t="shared" si="56"/>
        <v>638108.13488786865</v>
      </c>
      <c r="F1742" s="3">
        <v>10.5</v>
      </c>
      <c r="G1742" s="9">
        <v>966000</v>
      </c>
      <c r="H1742" s="6" t="s">
        <v>45</v>
      </c>
      <c r="J1742" s="9">
        <f t="shared" si="57"/>
        <v>0</v>
      </c>
    </row>
    <row r="1743" spans="1:10">
      <c r="A1743" t="s">
        <v>2173</v>
      </c>
      <c r="B1743" t="s">
        <v>44</v>
      </c>
      <c r="C1743" t="s">
        <v>17</v>
      </c>
      <c r="D1743" t="s">
        <v>2174</v>
      </c>
      <c r="E1743" s="9">
        <f t="shared" si="56"/>
        <v>314430.09545199323</v>
      </c>
      <c r="F1743" s="3">
        <v>10.5</v>
      </c>
      <c r="G1743" s="9">
        <v>476000</v>
      </c>
      <c r="H1743" s="6" t="s">
        <v>45</v>
      </c>
      <c r="J1743" s="9">
        <f t="shared" si="57"/>
        <v>0</v>
      </c>
    </row>
    <row r="1744" spans="1:10">
      <c r="A1744" t="s">
        <v>55</v>
      </c>
      <c r="B1744" t="s">
        <v>44</v>
      </c>
      <c r="C1744" t="s">
        <v>17</v>
      </c>
      <c r="D1744" t="s">
        <v>56</v>
      </c>
      <c r="E1744" s="9">
        <f t="shared" si="56"/>
        <v>110975.32780658586</v>
      </c>
      <c r="F1744" s="3">
        <v>10.5</v>
      </c>
      <c r="G1744" s="9">
        <v>168000</v>
      </c>
      <c r="H1744" s="6" t="s">
        <v>45</v>
      </c>
      <c r="J1744" s="9">
        <f t="shared" si="57"/>
        <v>0</v>
      </c>
    </row>
    <row r="1745" spans="1:10">
      <c r="A1745" t="s">
        <v>3470</v>
      </c>
      <c r="B1745" t="s">
        <v>44</v>
      </c>
      <c r="C1745" t="s">
        <v>17</v>
      </c>
      <c r="D1745" t="s">
        <v>3471</v>
      </c>
      <c r="E1745" s="9">
        <f t="shared" si="56"/>
        <v>115599.29979852692</v>
      </c>
      <c r="F1745" s="3">
        <v>10.5</v>
      </c>
      <c r="G1745" s="9">
        <v>175000</v>
      </c>
      <c r="H1745" s="4" t="s">
        <v>16</v>
      </c>
      <c r="J1745" s="9">
        <f t="shared" si="57"/>
        <v>0</v>
      </c>
    </row>
    <row r="1746" spans="1:10">
      <c r="A1746" t="s">
        <v>2056</v>
      </c>
      <c r="B1746" t="s">
        <v>44</v>
      </c>
      <c r="C1746" t="s">
        <v>17</v>
      </c>
      <c r="D1746" t="s">
        <v>2057</v>
      </c>
      <c r="E1746" s="9">
        <f t="shared" si="56"/>
        <v>307771.57578359806</v>
      </c>
      <c r="F1746" s="3">
        <v>10.5</v>
      </c>
      <c r="G1746" s="9">
        <v>465920</v>
      </c>
      <c r="H1746" s="6" t="s">
        <v>45</v>
      </c>
      <c r="J1746" s="9">
        <f t="shared" si="57"/>
        <v>0</v>
      </c>
    </row>
    <row r="1747" spans="1:10">
      <c r="A1747" t="s">
        <v>4767</v>
      </c>
      <c r="B1747" t="s">
        <v>44</v>
      </c>
      <c r="C1747" t="s">
        <v>17</v>
      </c>
      <c r="D1747" t="s">
        <v>4768</v>
      </c>
      <c r="E1747" s="9">
        <f t="shared" si="56"/>
        <v>369917.75935528614</v>
      </c>
      <c r="F1747" s="3">
        <v>10.5</v>
      </c>
      <c r="G1747" s="9">
        <v>560000</v>
      </c>
      <c r="H1747" s="6" t="s">
        <v>45</v>
      </c>
      <c r="J1747" s="9">
        <f t="shared" si="57"/>
        <v>0</v>
      </c>
    </row>
    <row r="1748" spans="1:10">
      <c r="A1748" t="s">
        <v>4931</v>
      </c>
      <c r="B1748" t="s">
        <v>44</v>
      </c>
      <c r="C1748" t="s">
        <v>17</v>
      </c>
      <c r="D1748" t="s">
        <v>4932</v>
      </c>
      <c r="E1748" s="9">
        <f t="shared" si="56"/>
        <v>1013452.3737708874</v>
      </c>
      <c r="F1748" s="3">
        <v>21</v>
      </c>
      <c r="G1748" s="9">
        <v>1680000</v>
      </c>
      <c r="H1748" s="6" t="s">
        <v>45</v>
      </c>
      <c r="J1748" s="9">
        <f t="shared" si="57"/>
        <v>0</v>
      </c>
    </row>
    <row r="1749" spans="1:10">
      <c r="A1749" t="s">
        <v>4897</v>
      </c>
      <c r="B1749" t="s">
        <v>44</v>
      </c>
      <c r="C1749" t="s">
        <v>17</v>
      </c>
      <c r="D1749" t="s">
        <v>4898</v>
      </c>
      <c r="E1749" s="9">
        <f t="shared" si="56"/>
        <v>278699.402786994</v>
      </c>
      <c r="F1749" s="3">
        <v>21</v>
      </c>
      <c r="G1749" s="9">
        <v>462000</v>
      </c>
      <c r="H1749" s="6" t="s">
        <v>45</v>
      </c>
      <c r="J1749" s="9">
        <f t="shared" si="57"/>
        <v>0</v>
      </c>
    </row>
    <row r="1750" spans="1:10" hidden="1">
      <c r="A1750" t="s">
        <v>1098</v>
      </c>
      <c r="B1750" t="s">
        <v>44</v>
      </c>
      <c r="C1750" t="s">
        <v>17</v>
      </c>
      <c r="D1750" t="s">
        <v>1099</v>
      </c>
      <c r="E1750" s="9">
        <f t="shared" si="56"/>
        <v>9.2479439838821538</v>
      </c>
      <c r="F1750" s="3">
        <v>10.5</v>
      </c>
      <c r="G1750" s="9">
        <v>14</v>
      </c>
      <c r="H1750" s="4" t="s">
        <v>16</v>
      </c>
      <c r="J1750" s="9">
        <f t="shared" si="57"/>
        <v>0</v>
      </c>
    </row>
    <row r="1751" spans="1:10">
      <c r="A1751" t="s">
        <v>1149</v>
      </c>
      <c r="B1751" t="s">
        <v>44</v>
      </c>
      <c r="C1751" t="s">
        <v>17</v>
      </c>
      <c r="D1751" t="s">
        <v>1150</v>
      </c>
      <c r="E1751" s="9">
        <f t="shared" si="56"/>
        <v>198830.79565346634</v>
      </c>
      <c r="F1751" s="3">
        <v>10.5</v>
      </c>
      <c r="G1751" s="9">
        <v>301000</v>
      </c>
      <c r="H1751" s="6" t="s">
        <v>45</v>
      </c>
      <c r="J1751" s="9">
        <f t="shared" si="57"/>
        <v>0</v>
      </c>
    </row>
    <row r="1752" spans="1:10">
      <c r="A1752" t="s">
        <v>2175</v>
      </c>
      <c r="B1752" t="s">
        <v>44</v>
      </c>
      <c r="C1752" t="s">
        <v>17</v>
      </c>
      <c r="D1752" t="s">
        <v>2176</v>
      </c>
      <c r="E1752" s="9">
        <f t="shared" si="56"/>
        <v>857211.7994812089</v>
      </c>
      <c r="F1752" s="3">
        <v>21</v>
      </c>
      <c r="G1752" s="9">
        <v>1421000</v>
      </c>
      <c r="H1752" s="4" t="s">
        <v>16</v>
      </c>
      <c r="J1752" s="9">
        <f t="shared" si="57"/>
        <v>0</v>
      </c>
    </row>
    <row r="1753" spans="1:10">
      <c r="A1753" t="s">
        <v>687</v>
      </c>
      <c r="B1753" t="s">
        <v>44</v>
      </c>
      <c r="C1753" t="s">
        <v>17</v>
      </c>
      <c r="D1753" t="s">
        <v>688</v>
      </c>
      <c r="E1753" s="9">
        <f t="shared" si="56"/>
        <v>259682.2670674109</v>
      </c>
      <c r="F1753" s="3">
        <v>10.5</v>
      </c>
      <c r="G1753" s="9">
        <v>393120</v>
      </c>
      <c r="H1753" s="4" t="s">
        <v>16</v>
      </c>
      <c r="J1753" s="9">
        <f t="shared" si="57"/>
        <v>0</v>
      </c>
    </row>
    <row r="1754" spans="1:10">
      <c r="A1754" t="s">
        <v>1756</v>
      </c>
      <c r="B1754" t="s">
        <v>44</v>
      </c>
      <c r="C1754" t="s">
        <v>17</v>
      </c>
      <c r="D1754" t="s">
        <v>1757</v>
      </c>
      <c r="E1754" s="9">
        <f t="shared" si="56"/>
        <v>317389.43752683554</v>
      </c>
      <c r="F1754" s="3">
        <v>10.5</v>
      </c>
      <c r="G1754" s="9">
        <v>480480</v>
      </c>
      <c r="H1754" s="6" t="s">
        <v>45</v>
      </c>
      <c r="J1754" s="9">
        <f t="shared" si="57"/>
        <v>0</v>
      </c>
    </row>
    <row r="1755" spans="1:10">
      <c r="A1755" t="s">
        <v>201</v>
      </c>
      <c r="B1755" t="s">
        <v>44</v>
      </c>
      <c r="C1755" t="s">
        <v>17</v>
      </c>
      <c r="D1755" t="s">
        <v>202</v>
      </c>
      <c r="E1755" s="9">
        <f t="shared" si="56"/>
        <v>184958.87967764307</v>
      </c>
      <c r="F1755" s="3">
        <v>10.5</v>
      </c>
      <c r="G1755" s="9">
        <v>280000</v>
      </c>
      <c r="H1755" s="5" t="s">
        <v>5080</v>
      </c>
      <c r="J1755" s="9">
        <f t="shared" si="57"/>
        <v>0</v>
      </c>
    </row>
    <row r="1756" spans="1:10">
      <c r="A1756" t="s">
        <v>1007</v>
      </c>
      <c r="B1756" t="s">
        <v>44</v>
      </c>
      <c r="C1756" t="s">
        <v>17</v>
      </c>
      <c r="D1756" t="s">
        <v>1008</v>
      </c>
      <c r="E1756" s="9">
        <f t="shared" si="56"/>
        <v>168908.72896181457</v>
      </c>
      <c r="F1756" s="3">
        <v>21</v>
      </c>
      <c r="G1756" s="9">
        <v>280000</v>
      </c>
      <c r="H1756" s="6" t="s">
        <v>45</v>
      </c>
      <c r="J1756" s="9">
        <f t="shared" si="57"/>
        <v>0</v>
      </c>
    </row>
    <row r="1757" spans="1:10">
      <c r="A1757" t="s">
        <v>2310</v>
      </c>
      <c r="B1757" t="s">
        <v>44</v>
      </c>
      <c r="C1757" t="s">
        <v>17</v>
      </c>
      <c r="D1757" t="s">
        <v>2311</v>
      </c>
      <c r="E1757" s="9">
        <f t="shared" si="56"/>
        <v>351421.87138752185</v>
      </c>
      <c r="F1757" s="3">
        <v>10.5</v>
      </c>
      <c r="G1757" s="9">
        <v>532000</v>
      </c>
      <c r="H1757" s="4" t="s">
        <v>16</v>
      </c>
      <c r="J1757" s="9">
        <f t="shared" si="57"/>
        <v>0</v>
      </c>
    </row>
    <row r="1758" spans="1:10">
      <c r="A1758" t="s">
        <v>2094</v>
      </c>
      <c r="B1758" t="s">
        <v>44</v>
      </c>
      <c r="C1758" t="s">
        <v>17</v>
      </c>
      <c r="D1758" t="s">
        <v>2095</v>
      </c>
      <c r="E1758" s="9">
        <f t="shared" si="56"/>
        <v>307771.57578359806</v>
      </c>
      <c r="F1758" s="3">
        <v>10.5</v>
      </c>
      <c r="G1758" s="9">
        <v>465920</v>
      </c>
      <c r="H1758" s="4" t="s">
        <v>16</v>
      </c>
      <c r="J1758" s="9">
        <f t="shared" si="57"/>
        <v>0</v>
      </c>
    </row>
    <row r="1759" spans="1:10">
      <c r="A1759" t="s">
        <v>1968</v>
      </c>
      <c r="B1759" t="s">
        <v>44</v>
      </c>
      <c r="C1759" t="s">
        <v>17</v>
      </c>
      <c r="D1759" t="s">
        <v>1969</v>
      </c>
      <c r="E1759" s="9">
        <f t="shared" si="56"/>
        <v>397661.59130693268</v>
      </c>
      <c r="F1759" s="3">
        <v>10.5</v>
      </c>
      <c r="G1759" s="9">
        <v>602000</v>
      </c>
      <c r="H1759" s="6" t="s">
        <v>45</v>
      </c>
      <c r="J1759" s="9">
        <f t="shared" si="57"/>
        <v>0</v>
      </c>
    </row>
    <row r="1760" spans="1:10">
      <c r="A1760" t="s">
        <v>1009</v>
      </c>
      <c r="B1760" t="s">
        <v>44</v>
      </c>
      <c r="C1760" t="s">
        <v>17</v>
      </c>
      <c r="D1760" t="s">
        <v>1010</v>
      </c>
      <c r="E1760" s="9">
        <f t="shared" si="56"/>
        <v>612851.99986788654</v>
      </c>
      <c r="F1760" s="3">
        <v>10.5</v>
      </c>
      <c r="G1760" s="9">
        <v>927766.00000000012</v>
      </c>
      <c r="H1760" s="4" t="s">
        <v>16</v>
      </c>
      <c r="J1760" s="9">
        <f t="shared" si="57"/>
        <v>0</v>
      </c>
    </row>
    <row r="1761" spans="1:10">
      <c r="A1761" t="s">
        <v>4155</v>
      </c>
      <c r="B1761" t="s">
        <v>44</v>
      </c>
      <c r="C1761" t="s">
        <v>17</v>
      </c>
      <c r="D1761" t="s">
        <v>4156</v>
      </c>
      <c r="E1761" s="9">
        <f t="shared" si="56"/>
        <v>582620.47098457569</v>
      </c>
      <c r="F1761" s="3">
        <v>10.5</v>
      </c>
      <c r="G1761" s="9">
        <v>882000</v>
      </c>
      <c r="H1761" s="4" t="s">
        <v>16</v>
      </c>
      <c r="J1761" s="9">
        <f t="shared" si="57"/>
        <v>0</v>
      </c>
    </row>
    <row r="1762" spans="1:10">
      <c r="A1762" t="s">
        <v>3750</v>
      </c>
      <c r="B1762" t="s">
        <v>44</v>
      </c>
      <c r="C1762" t="s">
        <v>17</v>
      </c>
      <c r="D1762" t="s">
        <v>3751</v>
      </c>
      <c r="E1762" s="9">
        <f t="shared" si="56"/>
        <v>813819.07058162964</v>
      </c>
      <c r="F1762" s="3">
        <v>10.5</v>
      </c>
      <c r="G1762" s="9">
        <v>1232000</v>
      </c>
      <c r="H1762" s="6" t="s">
        <v>45</v>
      </c>
      <c r="J1762" s="9">
        <f t="shared" si="57"/>
        <v>0</v>
      </c>
    </row>
    <row r="1763" spans="1:10">
      <c r="A1763" t="s">
        <v>2675</v>
      </c>
      <c r="B1763" t="s">
        <v>44</v>
      </c>
      <c r="C1763" t="s">
        <v>17</v>
      </c>
      <c r="D1763" t="s">
        <v>2676</v>
      </c>
      <c r="E1763" s="9">
        <f t="shared" si="56"/>
        <v>406909.53529081482</v>
      </c>
      <c r="F1763" s="3">
        <v>10.5</v>
      </c>
      <c r="G1763" s="9">
        <v>616000</v>
      </c>
      <c r="H1763" s="6" t="s">
        <v>45</v>
      </c>
      <c r="J1763" s="9">
        <f t="shared" si="57"/>
        <v>0</v>
      </c>
    </row>
    <row r="1764" spans="1:10">
      <c r="A1764" t="s">
        <v>3881</v>
      </c>
      <c r="B1764" t="s">
        <v>44</v>
      </c>
      <c r="C1764" t="s">
        <v>17</v>
      </c>
      <c r="D1764" t="s">
        <v>2676</v>
      </c>
      <c r="E1764" s="9">
        <f t="shared" si="56"/>
        <v>406909.53529081482</v>
      </c>
      <c r="F1764" s="3">
        <v>10.5</v>
      </c>
      <c r="G1764" s="9">
        <v>616000</v>
      </c>
      <c r="H1764" s="6" t="s">
        <v>45</v>
      </c>
      <c r="J1764" s="9">
        <f t="shared" si="57"/>
        <v>0</v>
      </c>
    </row>
    <row r="1765" spans="1:10">
      <c r="A1765" t="s">
        <v>3821</v>
      </c>
      <c r="B1765" t="s">
        <v>44</v>
      </c>
      <c r="C1765" t="s">
        <v>17</v>
      </c>
      <c r="D1765" t="s">
        <v>3822</v>
      </c>
      <c r="E1765" s="9">
        <f t="shared" si="56"/>
        <v>758331.40667833667</v>
      </c>
      <c r="F1765" s="3">
        <v>10.5</v>
      </c>
      <c r="G1765" s="9">
        <v>1148000</v>
      </c>
      <c r="H1765" s="6" t="s">
        <v>45</v>
      </c>
      <c r="J1765" s="9">
        <f t="shared" si="57"/>
        <v>0</v>
      </c>
    </row>
    <row r="1766" spans="1:10">
      <c r="A1766" t="s">
        <v>2312</v>
      </c>
      <c r="B1766" t="s">
        <v>44</v>
      </c>
      <c r="C1766" t="s">
        <v>17</v>
      </c>
      <c r="D1766" t="s">
        <v>2313</v>
      </c>
      <c r="E1766" s="9">
        <f t="shared" si="56"/>
        <v>434653.36724246125</v>
      </c>
      <c r="F1766" s="3">
        <v>10.5</v>
      </c>
      <c r="G1766" s="9">
        <v>658000</v>
      </c>
      <c r="H1766" s="6" t="s">
        <v>45</v>
      </c>
      <c r="J1766" s="9">
        <f t="shared" si="57"/>
        <v>0</v>
      </c>
    </row>
    <row r="1767" spans="1:10">
      <c r="A1767" t="s">
        <v>188</v>
      </c>
      <c r="B1767" t="s">
        <v>44</v>
      </c>
      <c r="C1767" t="s">
        <v>17</v>
      </c>
      <c r="D1767" t="s">
        <v>189</v>
      </c>
      <c r="E1767" s="9">
        <f t="shared" si="56"/>
        <v>165159.03160815139</v>
      </c>
      <c r="F1767" s="3">
        <v>10.5</v>
      </c>
      <c r="G1767" s="9">
        <v>250026</v>
      </c>
      <c r="H1767" s="5" t="s">
        <v>5080</v>
      </c>
      <c r="J1767" s="9">
        <f t="shared" si="57"/>
        <v>0</v>
      </c>
    </row>
    <row r="1768" spans="1:10" hidden="1">
      <c r="A1768" t="s">
        <v>3043</v>
      </c>
      <c r="B1768" t="s">
        <v>44</v>
      </c>
      <c r="C1768" t="s">
        <v>506</v>
      </c>
      <c r="D1768" t="s">
        <v>2900</v>
      </c>
      <c r="E1768" s="9">
        <f t="shared" si="56"/>
        <v>8.445436448090728</v>
      </c>
      <c r="F1768" s="3">
        <v>21</v>
      </c>
      <c r="G1768" s="9">
        <v>14</v>
      </c>
      <c r="H1768" s="4" t="s">
        <v>16</v>
      </c>
      <c r="J1768" s="9">
        <f t="shared" si="57"/>
        <v>0</v>
      </c>
    </row>
    <row r="1769" spans="1:10" hidden="1">
      <c r="A1769" t="s">
        <v>1442</v>
      </c>
      <c r="B1769" t="s">
        <v>44</v>
      </c>
      <c r="C1769" t="s">
        <v>506</v>
      </c>
      <c r="D1769" t="s">
        <v>505</v>
      </c>
      <c r="E1769" s="9">
        <f t="shared" si="56"/>
        <v>8.445436448090728</v>
      </c>
      <c r="F1769" s="3">
        <v>21</v>
      </c>
      <c r="G1769" s="9">
        <v>14</v>
      </c>
      <c r="H1769" s="4" t="s">
        <v>16</v>
      </c>
      <c r="J1769" s="9">
        <f t="shared" si="57"/>
        <v>0</v>
      </c>
    </row>
    <row r="1770" spans="1:10">
      <c r="A1770" t="s">
        <v>2322</v>
      </c>
      <c r="B1770" t="s">
        <v>44</v>
      </c>
      <c r="C1770" t="s">
        <v>506</v>
      </c>
      <c r="D1770" t="s">
        <v>2323</v>
      </c>
      <c r="E1770" s="9">
        <f t="shared" si="56"/>
        <v>1857996.0185799601</v>
      </c>
      <c r="F1770" s="3">
        <v>21</v>
      </c>
      <c r="G1770" s="9">
        <v>3080000</v>
      </c>
      <c r="H1770" s="4" t="s">
        <v>16</v>
      </c>
      <c r="J1770" s="9">
        <f t="shared" si="57"/>
        <v>0</v>
      </c>
    </row>
    <row r="1771" spans="1:10">
      <c r="A1771" t="s">
        <v>2290</v>
      </c>
      <c r="B1771" t="s">
        <v>44</v>
      </c>
      <c r="C1771" t="s">
        <v>506</v>
      </c>
      <c r="D1771" t="s">
        <v>2291</v>
      </c>
      <c r="E1771" s="9">
        <f t="shared" si="56"/>
        <v>1857996.0185799601</v>
      </c>
      <c r="F1771" s="3">
        <v>21</v>
      </c>
      <c r="G1771" s="9">
        <v>3080000</v>
      </c>
      <c r="H1771" s="4" t="s">
        <v>16</v>
      </c>
      <c r="J1771" s="9">
        <f t="shared" si="57"/>
        <v>0</v>
      </c>
    </row>
    <row r="1772" spans="1:10">
      <c r="A1772" t="s">
        <v>3318</v>
      </c>
      <c r="B1772" t="s">
        <v>44</v>
      </c>
      <c r="C1772" t="s">
        <v>506</v>
      </c>
      <c r="D1772" t="s">
        <v>3319</v>
      </c>
      <c r="E1772" s="9">
        <f t="shared" si="56"/>
        <v>2195813.4765035892</v>
      </c>
      <c r="F1772" s="3">
        <v>21</v>
      </c>
      <c r="G1772" s="9">
        <v>3640000</v>
      </c>
      <c r="H1772" s="6" t="s">
        <v>45</v>
      </c>
      <c r="J1772" s="9">
        <f t="shared" si="57"/>
        <v>0</v>
      </c>
    </row>
    <row r="1773" spans="1:10">
      <c r="A1773" t="s">
        <v>3320</v>
      </c>
      <c r="B1773" t="s">
        <v>44</v>
      </c>
      <c r="C1773" t="s">
        <v>506</v>
      </c>
      <c r="D1773" t="s">
        <v>3321</v>
      </c>
      <c r="E1773" s="9">
        <f t="shared" si="56"/>
        <v>2238040.6587440427</v>
      </c>
      <c r="F1773" s="3">
        <v>21</v>
      </c>
      <c r="G1773" s="9">
        <v>3710000</v>
      </c>
      <c r="H1773" s="6" t="s">
        <v>45</v>
      </c>
      <c r="J1773" s="9">
        <f t="shared" si="57"/>
        <v>0</v>
      </c>
    </row>
    <row r="1774" spans="1:10">
      <c r="A1774" t="s">
        <v>3807</v>
      </c>
      <c r="B1774" t="s">
        <v>44</v>
      </c>
      <c r="C1774" t="s">
        <v>506</v>
      </c>
      <c r="D1774" t="s">
        <v>3808</v>
      </c>
      <c r="E1774" s="9">
        <f t="shared" si="56"/>
        <v>1680641.853170055</v>
      </c>
      <c r="F1774" s="3">
        <v>21</v>
      </c>
      <c r="G1774" s="9">
        <v>2786000</v>
      </c>
      <c r="H1774" s="6" t="s">
        <v>45</v>
      </c>
      <c r="J1774" s="9">
        <f t="shared" si="57"/>
        <v>0</v>
      </c>
    </row>
    <row r="1775" spans="1:10" hidden="1">
      <c r="A1775" t="s">
        <v>1791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2984</v>
      </c>
      <c r="B1776" t="s">
        <v>44</v>
      </c>
      <c r="C1776" t="s">
        <v>506</v>
      </c>
      <c r="D1776" t="s">
        <v>2985</v>
      </c>
      <c r="E1776" s="9">
        <f t="shared" si="56"/>
        <v>971225.1915304336</v>
      </c>
      <c r="F1776" s="3">
        <v>21</v>
      </c>
      <c r="G1776" s="9">
        <v>1610000</v>
      </c>
      <c r="H1776" s="4" t="s">
        <v>16</v>
      </c>
      <c r="J1776" s="9">
        <f t="shared" si="57"/>
        <v>0</v>
      </c>
    </row>
    <row r="1777" spans="1:10">
      <c r="A1777" t="s">
        <v>3888</v>
      </c>
      <c r="B1777" t="s">
        <v>44</v>
      </c>
      <c r="C1777" t="s">
        <v>506</v>
      </c>
      <c r="D1777" t="s">
        <v>3889</v>
      </c>
      <c r="E1777" s="9">
        <f t="shared" si="56"/>
        <v>1224588.2849731555</v>
      </c>
      <c r="F1777" s="3">
        <v>21</v>
      </c>
      <c r="G1777" s="9">
        <v>2030000</v>
      </c>
      <c r="H1777" s="6" t="s">
        <v>45</v>
      </c>
      <c r="J1777" s="9">
        <f t="shared" si="57"/>
        <v>0</v>
      </c>
    </row>
    <row r="1778" spans="1:10">
      <c r="A1778" t="s">
        <v>3335</v>
      </c>
      <c r="B1778" t="s">
        <v>44</v>
      </c>
      <c r="C1778" t="s">
        <v>506</v>
      </c>
      <c r="D1778" t="s">
        <v>3319</v>
      </c>
      <c r="E1778" s="9">
        <f t="shared" si="56"/>
        <v>1224588.2849731555</v>
      </c>
      <c r="F1778" s="3">
        <v>21</v>
      </c>
      <c r="G1778" s="9">
        <v>2030000</v>
      </c>
      <c r="H1778" s="4" t="s">
        <v>16</v>
      </c>
      <c r="J1778" s="9">
        <f t="shared" si="57"/>
        <v>0</v>
      </c>
    </row>
    <row r="1779" spans="1:10">
      <c r="A1779" t="s">
        <v>3890</v>
      </c>
      <c r="B1779" t="s">
        <v>44</v>
      </c>
      <c r="C1779" t="s">
        <v>506</v>
      </c>
      <c r="D1779" t="s">
        <v>3891</v>
      </c>
      <c r="E1779" s="9">
        <f t="shared" si="56"/>
        <v>1224588.2849731555</v>
      </c>
      <c r="F1779" s="3">
        <v>21</v>
      </c>
      <c r="G1779" s="9">
        <v>2030000</v>
      </c>
      <c r="H1779" s="4" t="s">
        <v>16</v>
      </c>
      <c r="J1779" s="9">
        <f t="shared" si="57"/>
        <v>0</v>
      </c>
    </row>
    <row r="1780" spans="1:10">
      <c r="A1780" t="s">
        <v>3336</v>
      </c>
      <c r="B1780" t="s">
        <v>44</v>
      </c>
      <c r="C1780" t="s">
        <v>506</v>
      </c>
      <c r="D1780" t="s">
        <v>3321</v>
      </c>
      <c r="E1780" s="9">
        <f t="shared" si="56"/>
        <v>1224588.2849731555</v>
      </c>
      <c r="F1780" s="3">
        <v>21</v>
      </c>
      <c r="G1780" s="9">
        <v>2030000</v>
      </c>
      <c r="H1780" s="4" t="s">
        <v>16</v>
      </c>
      <c r="J1780" s="9">
        <f t="shared" si="57"/>
        <v>0</v>
      </c>
    </row>
    <row r="1781" spans="1:10" hidden="1">
      <c r="A1781" t="s">
        <v>4216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3337</v>
      </c>
      <c r="B1782" t="s">
        <v>44</v>
      </c>
      <c r="C1782" t="s">
        <v>506</v>
      </c>
      <c r="D1782" t="s">
        <v>3319</v>
      </c>
      <c r="E1782" s="9">
        <f t="shared" si="56"/>
        <v>1984677.565301321</v>
      </c>
      <c r="F1782" s="3">
        <v>21</v>
      </c>
      <c r="G1782" s="9">
        <v>3290000</v>
      </c>
      <c r="H1782" s="6" t="s">
        <v>45</v>
      </c>
      <c r="J1782" s="9">
        <f t="shared" si="57"/>
        <v>0</v>
      </c>
    </row>
    <row r="1783" spans="1:10" hidden="1">
      <c r="A1783" t="s">
        <v>3645</v>
      </c>
      <c r="B1783" t="s">
        <v>44</v>
      </c>
      <c r="C1783" t="s">
        <v>506</v>
      </c>
      <c r="D1783" t="s">
        <v>3321</v>
      </c>
      <c r="E1783" s="9">
        <f t="shared" si="56"/>
        <v>8.445436448090728</v>
      </c>
      <c r="F1783" s="3">
        <v>21</v>
      </c>
      <c r="G1783" s="9">
        <v>14</v>
      </c>
      <c r="H1783" s="6" t="s">
        <v>45</v>
      </c>
      <c r="J1783" s="9">
        <f t="shared" si="57"/>
        <v>0</v>
      </c>
    </row>
    <row r="1784" spans="1:10">
      <c r="A1784" t="s">
        <v>4447</v>
      </c>
      <c r="B1784" t="s">
        <v>44</v>
      </c>
      <c r="C1784" t="s">
        <v>506</v>
      </c>
      <c r="D1784" t="s">
        <v>4448</v>
      </c>
      <c r="E1784" s="9">
        <f t="shared" si="56"/>
        <v>3116366.0493454784</v>
      </c>
      <c r="F1784" s="3">
        <v>21</v>
      </c>
      <c r="G1784" s="9">
        <v>5166000</v>
      </c>
      <c r="H1784" s="6" t="s">
        <v>45</v>
      </c>
      <c r="J1784" s="9">
        <f t="shared" si="57"/>
        <v>0</v>
      </c>
    </row>
    <row r="1785" spans="1:10" hidden="1">
      <c r="A1785" t="s">
        <v>4440</v>
      </c>
      <c r="B1785" t="s">
        <v>44</v>
      </c>
      <c r="C1785" t="s">
        <v>506</v>
      </c>
      <c r="D1785" t="s">
        <v>4441</v>
      </c>
      <c r="E1785" s="9">
        <f t="shared" si="56"/>
        <v>8.445436448090728</v>
      </c>
      <c r="F1785" s="3">
        <v>21</v>
      </c>
      <c r="G1785" s="9">
        <v>14</v>
      </c>
      <c r="H1785" s="4" t="s">
        <v>16</v>
      </c>
      <c r="J1785" s="9">
        <f t="shared" si="57"/>
        <v>0</v>
      </c>
    </row>
    <row r="1786" spans="1:10">
      <c r="A1786" t="s">
        <v>3328</v>
      </c>
      <c r="B1786" t="s">
        <v>44</v>
      </c>
      <c r="C1786" t="s">
        <v>506</v>
      </c>
      <c r="D1786" t="s">
        <v>2900</v>
      </c>
      <c r="E1786" s="9">
        <f t="shared" si="56"/>
        <v>760089.28032816551</v>
      </c>
      <c r="F1786" s="3">
        <v>21</v>
      </c>
      <c r="G1786" s="9">
        <v>1260000</v>
      </c>
      <c r="H1786" s="4" t="s">
        <v>16</v>
      </c>
      <c r="J1786" s="9">
        <f t="shared" si="57"/>
        <v>0</v>
      </c>
    </row>
    <row r="1787" spans="1:10">
      <c r="A1787" t="s">
        <v>3175</v>
      </c>
      <c r="B1787" t="s">
        <v>44</v>
      </c>
      <c r="C1787" t="s">
        <v>506</v>
      </c>
      <c r="D1787" t="s">
        <v>3176</v>
      </c>
      <c r="E1787" s="9">
        <f t="shared" si="56"/>
        <v>9205525.7284188941</v>
      </c>
      <c r="F1787" s="3">
        <v>21</v>
      </c>
      <c r="G1787" s="9">
        <v>15260000</v>
      </c>
      <c r="H1787" s="4" t="s">
        <v>16</v>
      </c>
      <c r="J1787" s="9">
        <f t="shared" si="57"/>
        <v>0</v>
      </c>
    </row>
    <row r="1788" spans="1:10">
      <c r="A1788" t="s">
        <v>3686</v>
      </c>
      <c r="B1788" t="s">
        <v>44</v>
      </c>
      <c r="C1788" t="s">
        <v>506</v>
      </c>
      <c r="D1788" t="s">
        <v>3687</v>
      </c>
      <c r="E1788" s="9">
        <f t="shared" si="56"/>
        <v>9627797.5508234296</v>
      </c>
      <c r="F1788" s="3">
        <v>21</v>
      </c>
      <c r="G1788" s="9">
        <v>15960000</v>
      </c>
      <c r="H1788" s="4" t="s">
        <v>16</v>
      </c>
      <c r="J1788" s="9">
        <f t="shared" si="57"/>
        <v>0</v>
      </c>
    </row>
    <row r="1789" spans="1:10" hidden="1">
      <c r="A1789" t="s">
        <v>504</v>
      </c>
      <c r="B1789" t="s">
        <v>44</v>
      </c>
      <c r="C1789" t="s">
        <v>506</v>
      </c>
      <c r="D1789" t="s">
        <v>505</v>
      </c>
      <c r="E1789" s="9">
        <f t="shared" si="56"/>
        <v>8.445436448090728</v>
      </c>
      <c r="F1789" s="3">
        <v>21</v>
      </c>
      <c r="G1789" s="9">
        <v>14</v>
      </c>
      <c r="H1789" s="4" t="s">
        <v>16</v>
      </c>
      <c r="J1789" s="9">
        <f t="shared" si="57"/>
        <v>0</v>
      </c>
    </row>
    <row r="1790" spans="1:10" hidden="1">
      <c r="A1790" t="s">
        <v>952</v>
      </c>
      <c r="B1790" t="s">
        <v>44</v>
      </c>
      <c r="C1790" t="s">
        <v>506</v>
      </c>
      <c r="D1790" t="s">
        <v>505</v>
      </c>
      <c r="E1790" s="9">
        <f t="shared" si="56"/>
        <v>8.445436448090728</v>
      </c>
      <c r="F1790" s="3">
        <v>21</v>
      </c>
      <c r="G1790" s="9">
        <v>14</v>
      </c>
      <c r="H1790" s="4" t="s">
        <v>16</v>
      </c>
      <c r="J1790" s="9">
        <f t="shared" si="57"/>
        <v>0</v>
      </c>
    </row>
    <row r="1791" spans="1:10">
      <c r="A1791" t="s">
        <v>3073</v>
      </c>
      <c r="B1791" t="s">
        <v>44</v>
      </c>
      <c r="C1791" t="s">
        <v>506</v>
      </c>
      <c r="D1791" t="s">
        <v>3074</v>
      </c>
      <c r="E1791" s="9">
        <f t="shared" si="56"/>
        <v>3040357.121312662</v>
      </c>
      <c r="F1791" s="3">
        <v>21</v>
      </c>
      <c r="G1791" s="9">
        <v>5040000</v>
      </c>
      <c r="H1791" s="6" t="s">
        <v>45</v>
      </c>
      <c r="J1791" s="9">
        <f t="shared" si="57"/>
        <v>0</v>
      </c>
    </row>
    <row r="1792" spans="1:10">
      <c r="A1792" t="s">
        <v>4404</v>
      </c>
      <c r="B1792" t="s">
        <v>44</v>
      </c>
      <c r="C1792" t="s">
        <v>506</v>
      </c>
      <c r="D1792" t="s">
        <v>4405</v>
      </c>
      <c r="E1792" s="9">
        <f t="shared" si="56"/>
        <v>3040357.121312662</v>
      </c>
      <c r="F1792" s="3">
        <v>21</v>
      </c>
      <c r="G1792" s="9">
        <v>5040000</v>
      </c>
      <c r="H1792" s="6" t="s">
        <v>45</v>
      </c>
      <c r="J1792" s="9">
        <f t="shared" si="57"/>
        <v>0</v>
      </c>
    </row>
    <row r="1793" spans="1:10">
      <c r="A1793" t="s">
        <v>3077</v>
      </c>
      <c r="B1793" t="s">
        <v>44</v>
      </c>
      <c r="C1793" t="s">
        <v>506</v>
      </c>
      <c r="D1793" t="s">
        <v>3078</v>
      </c>
      <c r="E1793" s="9">
        <f t="shared" si="56"/>
        <v>3884900.7661217344</v>
      </c>
      <c r="F1793" s="3">
        <v>21</v>
      </c>
      <c r="G1793" s="9">
        <v>6440000</v>
      </c>
      <c r="H1793" s="6" t="s">
        <v>45</v>
      </c>
      <c r="J1793" s="9">
        <f t="shared" si="57"/>
        <v>0</v>
      </c>
    </row>
    <row r="1794" spans="1:10">
      <c r="A1794" t="s">
        <v>3312</v>
      </c>
      <c r="B1794" t="s">
        <v>44</v>
      </c>
      <c r="C1794" t="s">
        <v>506</v>
      </c>
      <c r="D1794" t="s">
        <v>3313</v>
      </c>
      <c r="E1794" s="9">
        <f t="shared" si="56"/>
        <v>3715992.0371599202</v>
      </c>
      <c r="F1794" s="3">
        <v>21</v>
      </c>
      <c r="G1794" s="9">
        <v>6160000</v>
      </c>
      <c r="H1794" s="4" t="s">
        <v>16</v>
      </c>
      <c r="J1794" s="9">
        <f t="shared" si="57"/>
        <v>0</v>
      </c>
    </row>
    <row r="1795" spans="1:10">
      <c r="A1795" t="s">
        <v>3081</v>
      </c>
      <c r="B1795" t="s">
        <v>44</v>
      </c>
      <c r="C1795" t="s">
        <v>506</v>
      </c>
      <c r="D1795" t="s">
        <v>3078</v>
      </c>
      <c r="E1795" s="9">
        <f t="shared" si="56"/>
        <v>4560535.6819689926</v>
      </c>
      <c r="F1795" s="3">
        <v>21</v>
      </c>
      <c r="G1795" s="9">
        <v>7560000</v>
      </c>
      <c r="H1795" s="6" t="s">
        <v>45</v>
      </c>
      <c r="J1795" s="9">
        <f t="shared" si="57"/>
        <v>0</v>
      </c>
    </row>
    <row r="1796" spans="1:10">
      <c r="A1796" t="s">
        <v>4402</v>
      </c>
      <c r="B1796" t="s">
        <v>44</v>
      </c>
      <c r="C1796" t="s">
        <v>506</v>
      </c>
      <c r="D1796" t="s">
        <v>4403</v>
      </c>
      <c r="E1796" s="9">
        <f t="shared" si="56"/>
        <v>4898353.1398926219</v>
      </c>
      <c r="F1796" s="3">
        <v>21</v>
      </c>
      <c r="G1796" s="9">
        <v>8120000</v>
      </c>
      <c r="H1796" s="6" t="s">
        <v>45</v>
      </c>
      <c r="J1796" s="9">
        <f t="shared" si="57"/>
        <v>0</v>
      </c>
    </row>
    <row r="1797" spans="1:10" hidden="1">
      <c r="A1797" t="s">
        <v>2086</v>
      </c>
      <c r="B1797" t="s">
        <v>44</v>
      </c>
      <c r="C1797" t="s">
        <v>506</v>
      </c>
      <c r="D1797" t="s">
        <v>505</v>
      </c>
      <c r="E1797" s="9">
        <f t="shared" si="56"/>
        <v>8.445436448090728</v>
      </c>
      <c r="F1797" s="3">
        <v>21</v>
      </c>
      <c r="G1797" s="9">
        <v>14</v>
      </c>
      <c r="H1797" s="4" t="s">
        <v>16</v>
      </c>
      <c r="J1797" s="9">
        <f t="shared" si="57"/>
        <v>0</v>
      </c>
    </row>
    <row r="1798" spans="1:10">
      <c r="A1798" t="s">
        <v>4395</v>
      </c>
      <c r="B1798" t="s">
        <v>44</v>
      </c>
      <c r="C1798" t="s">
        <v>506</v>
      </c>
      <c r="D1798" t="s">
        <v>4396</v>
      </c>
      <c r="E1798" s="9">
        <f t="shared" si="56"/>
        <v>7516438.4388007475</v>
      </c>
      <c r="F1798" s="3">
        <v>21</v>
      </c>
      <c r="G1798" s="9">
        <v>12460000</v>
      </c>
      <c r="H1798" s="6" t="s">
        <v>45</v>
      </c>
      <c r="J1798" s="9">
        <f t="shared" si="57"/>
        <v>0</v>
      </c>
    </row>
    <row r="1799" spans="1:10">
      <c r="A1799" t="s">
        <v>4397</v>
      </c>
      <c r="B1799" t="s">
        <v>44</v>
      </c>
      <c r="C1799" t="s">
        <v>506</v>
      </c>
      <c r="D1799" t="s">
        <v>4396</v>
      </c>
      <c r="E1799" s="9">
        <f t="shared" si="56"/>
        <v>9712251.9153043367</v>
      </c>
      <c r="F1799" s="3">
        <v>21</v>
      </c>
      <c r="G1799" s="9">
        <v>16100000</v>
      </c>
      <c r="H1799" s="4" t="s">
        <v>16</v>
      </c>
      <c r="J1799" s="9">
        <f t="shared" si="57"/>
        <v>0</v>
      </c>
    </row>
    <row r="1800" spans="1:10">
      <c r="A1800" t="s">
        <v>3084</v>
      </c>
      <c r="B1800" t="s">
        <v>44</v>
      </c>
      <c r="C1800" t="s">
        <v>506</v>
      </c>
      <c r="D1800" t="s">
        <v>3085</v>
      </c>
      <c r="E1800" s="9">
        <f t="shared" si="56"/>
        <v>5911805.5136635089</v>
      </c>
      <c r="F1800" s="3">
        <v>21</v>
      </c>
      <c r="G1800" s="9">
        <v>9800000</v>
      </c>
      <c r="H1800" s="4" t="s">
        <v>16</v>
      </c>
      <c r="J1800" s="9">
        <f t="shared" si="57"/>
        <v>0</v>
      </c>
    </row>
    <row r="1801" spans="1:10">
      <c r="A1801" t="s">
        <v>3088</v>
      </c>
      <c r="B1801" t="s">
        <v>44</v>
      </c>
      <c r="C1801" t="s">
        <v>506</v>
      </c>
      <c r="D1801" t="s">
        <v>3089</v>
      </c>
      <c r="E1801" s="9">
        <f t="shared" ref="E1801:E1864" si="58">SUM(G1801/(1+(F1801/100)) /(1+(37/100)))</f>
        <v>7769801.5322434688</v>
      </c>
      <c r="F1801" s="3">
        <v>21</v>
      </c>
      <c r="G1801" s="9">
        <v>12880000</v>
      </c>
      <c r="H1801" s="4" t="s">
        <v>16</v>
      </c>
      <c r="J1801" s="9">
        <f t="shared" ref="J1801:J1864" si="59">SUM(E1801* I1801)</f>
        <v>0</v>
      </c>
    </row>
    <row r="1802" spans="1:10">
      <c r="A1802" t="s">
        <v>4385</v>
      </c>
      <c r="B1802" t="s">
        <v>44</v>
      </c>
      <c r="C1802" t="s">
        <v>506</v>
      </c>
      <c r="D1802" t="s">
        <v>4386</v>
      </c>
      <c r="E1802" s="9">
        <f t="shared" si="58"/>
        <v>1857996.0185799601</v>
      </c>
      <c r="F1802" s="3">
        <v>21</v>
      </c>
      <c r="G1802" s="9">
        <v>3080000</v>
      </c>
      <c r="H1802" s="6" t="s">
        <v>45</v>
      </c>
      <c r="J1802" s="9">
        <f t="shared" si="59"/>
        <v>0</v>
      </c>
    </row>
    <row r="1803" spans="1:10">
      <c r="A1803" t="s">
        <v>4400</v>
      </c>
      <c r="B1803" t="s">
        <v>44</v>
      </c>
      <c r="C1803" t="s">
        <v>506</v>
      </c>
      <c r="D1803" t="s">
        <v>4401</v>
      </c>
      <c r="E1803" s="9">
        <f t="shared" si="58"/>
        <v>4982807.504373529</v>
      </c>
      <c r="F1803" s="3">
        <v>21</v>
      </c>
      <c r="G1803" s="9">
        <v>8260000</v>
      </c>
      <c r="H1803" s="5" t="s">
        <v>5080</v>
      </c>
      <c r="J1803" s="9">
        <f t="shared" si="59"/>
        <v>0</v>
      </c>
    </row>
    <row r="1804" spans="1:10">
      <c r="A1804" t="s">
        <v>4899</v>
      </c>
      <c r="B1804" t="s">
        <v>44</v>
      </c>
      <c r="C1804" t="s">
        <v>506</v>
      </c>
      <c r="D1804" t="s">
        <v>4900</v>
      </c>
      <c r="E1804" s="9">
        <f t="shared" si="58"/>
        <v>2364722.2054654039</v>
      </c>
      <c r="F1804" s="3">
        <v>21</v>
      </c>
      <c r="G1804" s="9">
        <v>3920000</v>
      </c>
      <c r="H1804" s="6" t="s">
        <v>45</v>
      </c>
      <c r="J1804" s="9">
        <f t="shared" si="59"/>
        <v>0</v>
      </c>
    </row>
    <row r="1805" spans="1:10">
      <c r="A1805" t="s">
        <v>2739</v>
      </c>
      <c r="B1805" t="s">
        <v>44</v>
      </c>
      <c r="C1805" t="s">
        <v>506</v>
      </c>
      <c r="D1805" t="s">
        <v>2740</v>
      </c>
      <c r="E1805" s="9">
        <f t="shared" si="58"/>
        <v>1857996.0185799601</v>
      </c>
      <c r="F1805" s="3">
        <v>21</v>
      </c>
      <c r="G1805" s="9">
        <v>3080000</v>
      </c>
      <c r="H1805" s="4" t="s">
        <v>16</v>
      </c>
      <c r="J1805" s="9">
        <f t="shared" si="59"/>
        <v>0</v>
      </c>
    </row>
    <row r="1806" spans="1:10">
      <c r="A1806" t="s">
        <v>2782</v>
      </c>
      <c r="B1806" t="s">
        <v>44</v>
      </c>
      <c r="C1806" t="s">
        <v>506</v>
      </c>
      <c r="D1806" t="s">
        <v>2740</v>
      </c>
      <c r="E1806" s="9">
        <f t="shared" si="58"/>
        <v>1773541.6540990528</v>
      </c>
      <c r="F1806" s="3">
        <v>21</v>
      </c>
      <c r="G1806" s="9">
        <v>2940000</v>
      </c>
      <c r="H1806" s="4" t="s">
        <v>16</v>
      </c>
      <c r="J1806" s="9">
        <f t="shared" si="59"/>
        <v>0</v>
      </c>
    </row>
    <row r="1807" spans="1:10" hidden="1">
      <c r="A1807" t="s">
        <v>1096</v>
      </c>
      <c r="B1807" t="s">
        <v>44</v>
      </c>
      <c r="C1807" t="s">
        <v>506</v>
      </c>
      <c r="D1807" t="s">
        <v>1097</v>
      </c>
      <c r="E1807" s="9">
        <f t="shared" si="58"/>
        <v>8.445436448090728</v>
      </c>
      <c r="F1807" s="3">
        <v>21</v>
      </c>
      <c r="G1807" s="9">
        <v>14</v>
      </c>
      <c r="H1807" s="4" t="s">
        <v>16</v>
      </c>
      <c r="J1807" s="9">
        <f t="shared" si="59"/>
        <v>0</v>
      </c>
    </row>
    <row r="1808" spans="1:10" hidden="1">
      <c r="A1808" t="s">
        <v>2947</v>
      </c>
      <c r="B1808" t="s">
        <v>44</v>
      </c>
      <c r="C1808" t="s">
        <v>506</v>
      </c>
      <c r="D1808" t="s">
        <v>2948</v>
      </c>
      <c r="E1808" s="9">
        <f t="shared" si="58"/>
        <v>8.445436448090728</v>
      </c>
      <c r="F1808" s="3">
        <v>21</v>
      </c>
      <c r="G1808" s="9">
        <v>14</v>
      </c>
      <c r="H1808" s="4" t="s">
        <v>16</v>
      </c>
      <c r="J1808" s="9">
        <f t="shared" si="59"/>
        <v>0</v>
      </c>
    </row>
    <row r="1809" spans="1:10">
      <c r="A1809" t="s">
        <v>2992</v>
      </c>
      <c r="B1809" t="s">
        <v>44</v>
      </c>
      <c r="C1809" t="s">
        <v>78</v>
      </c>
      <c r="D1809" t="s">
        <v>2993</v>
      </c>
      <c r="E1809" s="9">
        <f t="shared" si="58"/>
        <v>1984677.565301321</v>
      </c>
      <c r="F1809" s="3">
        <v>21</v>
      </c>
      <c r="G1809" s="9">
        <v>3290000</v>
      </c>
      <c r="H1809" s="6" t="s">
        <v>45</v>
      </c>
      <c r="J1809" s="9">
        <f t="shared" si="59"/>
        <v>0</v>
      </c>
    </row>
    <row r="1810" spans="1:10">
      <c r="A1810" t="s">
        <v>2994</v>
      </c>
      <c r="B1810" t="s">
        <v>44</v>
      </c>
      <c r="C1810" t="s">
        <v>78</v>
      </c>
      <c r="D1810" t="s">
        <v>2995</v>
      </c>
      <c r="E1810" s="9">
        <f t="shared" si="58"/>
        <v>1984677.565301321</v>
      </c>
      <c r="F1810" s="3">
        <v>21</v>
      </c>
      <c r="G1810" s="9">
        <v>3290000</v>
      </c>
      <c r="H1810" s="6" t="s">
        <v>45</v>
      </c>
      <c r="J1810" s="9">
        <f t="shared" si="59"/>
        <v>0</v>
      </c>
    </row>
    <row r="1811" spans="1:10">
      <c r="A1811" t="s">
        <v>2772</v>
      </c>
      <c r="B1811" t="s">
        <v>44</v>
      </c>
      <c r="C1811" t="s">
        <v>78</v>
      </c>
      <c r="D1811" t="s">
        <v>2773</v>
      </c>
      <c r="E1811" s="9">
        <f t="shared" si="58"/>
        <v>667189.47939916747</v>
      </c>
      <c r="F1811" s="3">
        <v>21</v>
      </c>
      <c r="G1811" s="9">
        <v>1106000</v>
      </c>
      <c r="H1811" s="6" t="s">
        <v>45</v>
      </c>
      <c r="J1811" s="9">
        <f t="shared" si="59"/>
        <v>0</v>
      </c>
    </row>
    <row r="1812" spans="1:10">
      <c r="A1812" t="s">
        <v>76</v>
      </c>
      <c r="B1812" t="s">
        <v>44</v>
      </c>
      <c r="C1812" t="s">
        <v>78</v>
      </c>
      <c r="D1812" t="s">
        <v>77</v>
      </c>
      <c r="E1812" s="9">
        <f t="shared" si="58"/>
        <v>377536.34553899983</v>
      </c>
      <c r="F1812" s="3">
        <v>21</v>
      </c>
      <c r="G1812" s="9">
        <v>625842</v>
      </c>
      <c r="H1812" s="4" t="s">
        <v>16</v>
      </c>
      <c r="J1812" s="9">
        <f t="shared" si="59"/>
        <v>0</v>
      </c>
    </row>
    <row r="1813" spans="1:10">
      <c r="A1813" t="s">
        <v>3804</v>
      </c>
      <c r="B1813" t="s">
        <v>44</v>
      </c>
      <c r="C1813" t="s">
        <v>78</v>
      </c>
      <c r="D1813" t="s">
        <v>3544</v>
      </c>
      <c r="E1813" s="9">
        <f t="shared" si="58"/>
        <v>383789.67533110938</v>
      </c>
      <c r="F1813" s="3">
        <v>10.5</v>
      </c>
      <c r="G1813" s="9">
        <v>581000</v>
      </c>
      <c r="H1813" s="6" t="s">
        <v>45</v>
      </c>
      <c r="J1813" s="9">
        <f t="shared" si="59"/>
        <v>0</v>
      </c>
    </row>
    <row r="1814" spans="1:10">
      <c r="A1814" t="s">
        <v>1975</v>
      </c>
      <c r="B1814" t="s">
        <v>44</v>
      </c>
      <c r="C1814" t="s">
        <v>78</v>
      </c>
      <c r="D1814" t="s">
        <v>1976</v>
      </c>
      <c r="E1814" s="9">
        <f t="shared" si="58"/>
        <v>1646860.1073776917</v>
      </c>
      <c r="F1814" s="3">
        <v>21</v>
      </c>
      <c r="G1814" s="9">
        <v>2730000</v>
      </c>
      <c r="H1814" s="4" t="s">
        <v>16</v>
      </c>
      <c r="J1814" s="9">
        <f t="shared" si="59"/>
        <v>0</v>
      </c>
    </row>
    <row r="1815" spans="1:10">
      <c r="A1815" t="s">
        <v>1977</v>
      </c>
      <c r="B1815" t="s">
        <v>44</v>
      </c>
      <c r="C1815" t="s">
        <v>78</v>
      </c>
      <c r="D1815" t="s">
        <v>1967</v>
      </c>
      <c r="E1815" s="9">
        <f t="shared" si="58"/>
        <v>2406949.3877058574</v>
      </c>
      <c r="F1815" s="3">
        <v>21</v>
      </c>
      <c r="G1815" s="9">
        <v>3990000</v>
      </c>
      <c r="H1815" s="4" t="s">
        <v>16</v>
      </c>
      <c r="J1815" s="9">
        <f t="shared" si="59"/>
        <v>0</v>
      </c>
    </row>
    <row r="1816" spans="1:10">
      <c r="A1816" t="s">
        <v>3642</v>
      </c>
      <c r="B1816" t="s">
        <v>44</v>
      </c>
      <c r="C1816" t="s">
        <v>78</v>
      </c>
      <c r="D1816" t="s">
        <v>1976</v>
      </c>
      <c r="E1816" s="9">
        <f t="shared" si="58"/>
        <v>3715992.0371599202</v>
      </c>
      <c r="F1816" s="3">
        <v>21</v>
      </c>
      <c r="G1816" s="9">
        <v>6160000</v>
      </c>
      <c r="H1816" s="5" t="s">
        <v>5080</v>
      </c>
      <c r="J1816" s="9">
        <f t="shared" si="59"/>
        <v>0</v>
      </c>
    </row>
    <row r="1817" spans="1:10">
      <c r="A1817" t="s">
        <v>3640</v>
      </c>
      <c r="B1817" t="s">
        <v>44</v>
      </c>
      <c r="C1817" t="s">
        <v>78</v>
      </c>
      <c r="D1817" t="s">
        <v>1976</v>
      </c>
      <c r="E1817" s="9">
        <f t="shared" si="58"/>
        <v>4391626.9530071784</v>
      </c>
      <c r="F1817" s="3">
        <v>21</v>
      </c>
      <c r="G1817" s="9">
        <v>7280000</v>
      </c>
      <c r="H1817" s="5" t="s">
        <v>5080</v>
      </c>
      <c r="J1817" s="9">
        <f t="shared" si="59"/>
        <v>0</v>
      </c>
    </row>
    <row r="1818" spans="1:10">
      <c r="A1818" t="s">
        <v>3641</v>
      </c>
      <c r="B1818" t="s">
        <v>44</v>
      </c>
      <c r="C1818" t="s">
        <v>78</v>
      </c>
      <c r="D1818" t="s">
        <v>1976</v>
      </c>
      <c r="E1818" s="9">
        <f t="shared" si="58"/>
        <v>4982807.504373529</v>
      </c>
      <c r="F1818" s="3">
        <v>21</v>
      </c>
      <c r="G1818" s="9">
        <v>8260000</v>
      </c>
      <c r="H1818" s="5" t="s">
        <v>5080</v>
      </c>
      <c r="J1818" s="9">
        <f t="shared" si="59"/>
        <v>0</v>
      </c>
    </row>
    <row r="1819" spans="1:10">
      <c r="A1819" t="s">
        <v>3697</v>
      </c>
      <c r="B1819" t="s">
        <v>44</v>
      </c>
      <c r="C1819" t="s">
        <v>78</v>
      </c>
      <c r="D1819" t="s">
        <v>1976</v>
      </c>
      <c r="E1819" s="9">
        <f t="shared" si="58"/>
        <v>7178620.9808771191</v>
      </c>
      <c r="F1819" s="3">
        <v>21</v>
      </c>
      <c r="G1819" s="9">
        <v>11900000</v>
      </c>
      <c r="H1819" s="4" t="s">
        <v>16</v>
      </c>
      <c r="J1819" s="9">
        <f t="shared" si="59"/>
        <v>0</v>
      </c>
    </row>
    <row r="1820" spans="1:10">
      <c r="A1820" t="s">
        <v>3880</v>
      </c>
      <c r="B1820" t="s">
        <v>44</v>
      </c>
      <c r="C1820" t="s">
        <v>78</v>
      </c>
      <c r="D1820" t="s">
        <v>1976</v>
      </c>
      <c r="E1820" s="9">
        <f t="shared" si="58"/>
        <v>7769801.5322434688</v>
      </c>
      <c r="F1820" s="3">
        <v>21</v>
      </c>
      <c r="G1820" s="9">
        <v>12880000</v>
      </c>
      <c r="H1820" s="4" t="s">
        <v>16</v>
      </c>
      <c r="J1820" s="9">
        <f t="shared" si="59"/>
        <v>0</v>
      </c>
    </row>
    <row r="1821" spans="1:10">
      <c r="A1821" t="s">
        <v>3549</v>
      </c>
      <c r="B1821" t="s">
        <v>44</v>
      </c>
      <c r="C1821" t="s">
        <v>78</v>
      </c>
      <c r="D1821" t="s">
        <v>1976</v>
      </c>
      <c r="E1821" s="9">
        <f t="shared" si="58"/>
        <v>8698799.5415334497</v>
      </c>
      <c r="F1821" s="3">
        <v>21</v>
      </c>
      <c r="G1821" s="9">
        <v>14420000</v>
      </c>
      <c r="H1821" s="5" t="s">
        <v>5080</v>
      </c>
      <c r="J1821" s="9">
        <f t="shared" si="59"/>
        <v>0</v>
      </c>
    </row>
    <row r="1822" spans="1:10">
      <c r="A1822" t="s">
        <v>679</v>
      </c>
      <c r="B1822" t="s">
        <v>44</v>
      </c>
      <c r="C1822" t="s">
        <v>78</v>
      </c>
      <c r="D1822" t="s">
        <v>680</v>
      </c>
      <c r="E1822" s="9">
        <f t="shared" si="58"/>
        <v>304035.71213126619</v>
      </c>
      <c r="F1822" s="3">
        <v>21</v>
      </c>
      <c r="G1822" s="9">
        <v>504000</v>
      </c>
      <c r="H1822" s="6" t="s">
        <v>45</v>
      </c>
      <c r="J1822" s="9">
        <f t="shared" si="59"/>
        <v>0</v>
      </c>
    </row>
    <row r="1823" spans="1:10">
      <c r="A1823" t="s">
        <v>4163</v>
      </c>
      <c r="B1823" t="s">
        <v>44</v>
      </c>
      <c r="C1823" t="s">
        <v>78</v>
      </c>
      <c r="D1823" t="s">
        <v>680</v>
      </c>
      <c r="E1823" s="9">
        <f t="shared" si="58"/>
        <v>474633.52838269889</v>
      </c>
      <c r="F1823" s="3">
        <v>21</v>
      </c>
      <c r="G1823" s="9">
        <v>786800</v>
      </c>
      <c r="H1823" s="6" t="s">
        <v>45</v>
      </c>
      <c r="J1823" s="9">
        <f t="shared" si="59"/>
        <v>0</v>
      </c>
    </row>
    <row r="1824" spans="1:10">
      <c r="A1824" t="s">
        <v>4449</v>
      </c>
      <c r="B1824" t="s">
        <v>44</v>
      </c>
      <c r="C1824" t="s">
        <v>78</v>
      </c>
      <c r="D1824" t="s">
        <v>4450</v>
      </c>
      <c r="E1824" s="9">
        <f t="shared" si="58"/>
        <v>641853.17005489534</v>
      </c>
      <c r="F1824" s="3">
        <v>21</v>
      </c>
      <c r="G1824" s="9">
        <v>1064000</v>
      </c>
      <c r="H1824" s="6" t="s">
        <v>45</v>
      </c>
      <c r="J1824" s="9">
        <f t="shared" si="59"/>
        <v>0</v>
      </c>
    </row>
    <row r="1825" spans="1:10">
      <c r="A1825" t="s">
        <v>4451</v>
      </c>
      <c r="B1825" t="s">
        <v>44</v>
      </c>
      <c r="C1825" t="s">
        <v>78</v>
      </c>
      <c r="D1825" t="s">
        <v>4452</v>
      </c>
      <c r="E1825" s="9">
        <f t="shared" si="58"/>
        <v>641853.17005489534</v>
      </c>
      <c r="F1825" s="3">
        <v>21</v>
      </c>
      <c r="G1825" s="9">
        <v>1064000</v>
      </c>
      <c r="H1825" s="6" t="s">
        <v>45</v>
      </c>
      <c r="J1825" s="9">
        <f t="shared" si="59"/>
        <v>0</v>
      </c>
    </row>
    <row r="1826" spans="1:10">
      <c r="A1826" t="s">
        <v>4453</v>
      </c>
      <c r="B1826" t="s">
        <v>44</v>
      </c>
      <c r="C1826" t="s">
        <v>78</v>
      </c>
      <c r="D1826" t="s">
        <v>4454</v>
      </c>
      <c r="E1826" s="9">
        <f t="shared" si="58"/>
        <v>641853.17005489534</v>
      </c>
      <c r="F1826" s="3">
        <v>21</v>
      </c>
      <c r="G1826" s="9">
        <v>1064000</v>
      </c>
      <c r="H1826" s="6" t="s">
        <v>45</v>
      </c>
      <c r="J1826" s="9">
        <f t="shared" si="59"/>
        <v>0</v>
      </c>
    </row>
    <row r="1827" spans="1:10">
      <c r="A1827" t="s">
        <v>4455</v>
      </c>
      <c r="B1827" t="s">
        <v>44</v>
      </c>
      <c r="C1827" t="s">
        <v>78</v>
      </c>
      <c r="D1827" t="s">
        <v>4456</v>
      </c>
      <c r="E1827" s="9">
        <f t="shared" si="58"/>
        <v>979670.62797852443</v>
      </c>
      <c r="F1827" s="3">
        <v>21</v>
      </c>
      <c r="G1827" s="9">
        <v>1624000</v>
      </c>
      <c r="H1827" s="6" t="s">
        <v>45</v>
      </c>
      <c r="J1827" s="9">
        <f t="shared" si="59"/>
        <v>0</v>
      </c>
    </row>
    <row r="1828" spans="1:10">
      <c r="A1828" t="s">
        <v>4457</v>
      </c>
      <c r="B1828" t="s">
        <v>44</v>
      </c>
      <c r="C1828" t="s">
        <v>78</v>
      </c>
      <c r="D1828" t="s">
        <v>4458</v>
      </c>
      <c r="E1828" s="9">
        <f t="shared" si="58"/>
        <v>979670.62797852443</v>
      </c>
      <c r="F1828" s="3">
        <v>21</v>
      </c>
      <c r="G1828" s="9">
        <v>1624000</v>
      </c>
      <c r="H1828" s="6" t="s">
        <v>45</v>
      </c>
      <c r="J1828" s="9">
        <f t="shared" si="59"/>
        <v>0</v>
      </c>
    </row>
    <row r="1829" spans="1:10">
      <c r="A1829" t="s">
        <v>3805</v>
      </c>
      <c r="B1829" t="s">
        <v>44</v>
      </c>
      <c r="C1829" t="s">
        <v>78</v>
      </c>
      <c r="D1829" t="s">
        <v>3544</v>
      </c>
      <c r="E1829" s="9">
        <f t="shared" si="58"/>
        <v>425405.4232585791</v>
      </c>
      <c r="F1829" s="3">
        <v>10.5</v>
      </c>
      <c r="G1829" s="9">
        <v>644000</v>
      </c>
      <c r="H1829" s="6" t="s">
        <v>45</v>
      </c>
      <c r="J1829" s="9">
        <f t="shared" si="59"/>
        <v>0</v>
      </c>
    </row>
    <row r="1830" spans="1:10">
      <c r="A1830" t="s">
        <v>3543</v>
      </c>
      <c r="B1830" t="s">
        <v>44</v>
      </c>
      <c r="C1830" t="s">
        <v>78</v>
      </c>
      <c r="D1830" t="s">
        <v>3544</v>
      </c>
      <c r="E1830" s="9">
        <f t="shared" si="58"/>
        <v>920552.57284188934</v>
      </c>
      <c r="F1830" s="3">
        <v>21</v>
      </c>
      <c r="G1830" s="9">
        <v>1526000</v>
      </c>
      <c r="H1830" s="6" t="s">
        <v>45</v>
      </c>
      <c r="J1830" s="9">
        <f t="shared" si="59"/>
        <v>0</v>
      </c>
    </row>
    <row r="1831" spans="1:10">
      <c r="A1831" t="s">
        <v>2096</v>
      </c>
      <c r="B1831" t="s">
        <v>44</v>
      </c>
      <c r="C1831" t="s">
        <v>78</v>
      </c>
      <c r="D1831" t="s">
        <v>2097</v>
      </c>
      <c r="E1831" s="9">
        <f t="shared" si="58"/>
        <v>1013452.3737708874</v>
      </c>
      <c r="F1831" s="3">
        <v>21</v>
      </c>
      <c r="G1831" s="9">
        <v>1680000</v>
      </c>
      <c r="H1831" s="4" t="s">
        <v>16</v>
      </c>
      <c r="J1831" s="9">
        <f t="shared" si="59"/>
        <v>0</v>
      </c>
    </row>
    <row r="1832" spans="1:10">
      <c r="A1832" t="s">
        <v>2215</v>
      </c>
      <c r="B1832" t="s">
        <v>44</v>
      </c>
      <c r="C1832" t="s">
        <v>78</v>
      </c>
      <c r="D1832" t="s">
        <v>2216</v>
      </c>
      <c r="E1832" s="9">
        <f t="shared" si="58"/>
        <v>729010.07419919164</v>
      </c>
      <c r="F1832" s="3">
        <v>21</v>
      </c>
      <c r="G1832" s="9">
        <v>1208480</v>
      </c>
      <c r="H1832" s="6" t="s">
        <v>45</v>
      </c>
      <c r="J1832" s="9">
        <f t="shared" si="59"/>
        <v>0</v>
      </c>
    </row>
    <row r="1833" spans="1:10">
      <c r="A1833" t="s">
        <v>4153</v>
      </c>
      <c r="B1833" t="s">
        <v>44</v>
      </c>
      <c r="C1833" t="s">
        <v>78</v>
      </c>
      <c r="D1833" t="s">
        <v>4154</v>
      </c>
      <c r="E1833" s="9">
        <f t="shared" si="58"/>
        <v>802316.46256861917</v>
      </c>
      <c r="F1833" s="3">
        <v>21</v>
      </c>
      <c r="G1833" s="9">
        <v>1330000</v>
      </c>
      <c r="H1833" s="4" t="s">
        <v>16</v>
      </c>
      <c r="J1833" s="9">
        <f t="shared" si="59"/>
        <v>0</v>
      </c>
    </row>
    <row r="1834" spans="1:10">
      <c r="A1834" t="s">
        <v>4867</v>
      </c>
      <c r="B1834" t="s">
        <v>44</v>
      </c>
      <c r="C1834" t="s">
        <v>78</v>
      </c>
      <c r="D1834" t="s">
        <v>4868</v>
      </c>
      <c r="E1834" s="9">
        <f t="shared" si="58"/>
        <v>1942450.3830608672</v>
      </c>
      <c r="F1834" s="3">
        <v>21</v>
      </c>
      <c r="G1834" s="9">
        <v>3220000</v>
      </c>
      <c r="H1834" s="4" t="s">
        <v>16</v>
      </c>
      <c r="J1834" s="9">
        <f t="shared" si="59"/>
        <v>0</v>
      </c>
    </row>
    <row r="1835" spans="1:10">
      <c r="A1835" t="s">
        <v>2258</v>
      </c>
      <c r="B1835" t="s">
        <v>44</v>
      </c>
      <c r="C1835" t="s">
        <v>78</v>
      </c>
      <c r="D1835" t="s">
        <v>2259</v>
      </c>
      <c r="E1835" s="9">
        <f t="shared" si="58"/>
        <v>1266815.467213609</v>
      </c>
      <c r="F1835" s="3">
        <v>21</v>
      </c>
      <c r="G1835" s="9">
        <v>2100000</v>
      </c>
      <c r="H1835" s="4" t="s">
        <v>16</v>
      </c>
      <c r="J1835" s="9">
        <f t="shared" si="59"/>
        <v>0</v>
      </c>
    </row>
    <row r="1836" spans="1:10">
      <c r="A1836" t="s">
        <v>3688</v>
      </c>
      <c r="B1836" t="s">
        <v>44</v>
      </c>
      <c r="C1836" t="s">
        <v>78</v>
      </c>
      <c r="D1836" t="s">
        <v>3689</v>
      </c>
      <c r="E1836" s="9">
        <f t="shared" si="58"/>
        <v>4222718.2240453642</v>
      </c>
      <c r="F1836" s="3">
        <v>21</v>
      </c>
      <c r="G1836" s="9">
        <v>7000000</v>
      </c>
      <c r="H1836" s="4" t="s">
        <v>16</v>
      </c>
      <c r="J1836" s="9">
        <f t="shared" si="59"/>
        <v>0</v>
      </c>
    </row>
    <row r="1837" spans="1:10">
      <c r="A1837" t="s">
        <v>4473</v>
      </c>
      <c r="B1837" t="s">
        <v>44</v>
      </c>
      <c r="C1837" t="s">
        <v>78</v>
      </c>
      <c r="D1837" t="s">
        <v>4474</v>
      </c>
      <c r="E1837" s="9">
        <f t="shared" si="58"/>
        <v>1511733.1242082403</v>
      </c>
      <c r="F1837" s="3">
        <v>21</v>
      </c>
      <c r="G1837" s="9">
        <v>2506000</v>
      </c>
      <c r="H1837" s="6" t="s">
        <v>45</v>
      </c>
      <c r="J1837" s="9">
        <f t="shared" si="59"/>
        <v>0</v>
      </c>
    </row>
    <row r="1838" spans="1:10">
      <c r="A1838" t="s">
        <v>4475</v>
      </c>
      <c r="B1838" t="s">
        <v>44</v>
      </c>
      <c r="C1838" t="s">
        <v>78</v>
      </c>
      <c r="D1838" t="s">
        <v>4476</v>
      </c>
      <c r="E1838" s="9">
        <f t="shared" si="58"/>
        <v>2187368.0400554985</v>
      </c>
      <c r="F1838" s="3">
        <v>21</v>
      </c>
      <c r="G1838" s="9">
        <v>3626000</v>
      </c>
      <c r="H1838" s="6" t="s">
        <v>45</v>
      </c>
      <c r="J1838" s="9">
        <f t="shared" si="59"/>
        <v>0</v>
      </c>
    </row>
    <row r="1839" spans="1:10">
      <c r="A1839" t="s">
        <v>2219</v>
      </c>
      <c r="B1839" t="s">
        <v>44</v>
      </c>
      <c r="C1839" t="s">
        <v>78</v>
      </c>
      <c r="D1839" t="s">
        <v>2220</v>
      </c>
      <c r="E1839" s="9">
        <f t="shared" si="58"/>
        <v>552466.67068830307</v>
      </c>
      <c r="F1839" s="3">
        <v>21</v>
      </c>
      <c r="G1839" s="9">
        <v>915824</v>
      </c>
      <c r="H1839" s="6" t="s">
        <v>45</v>
      </c>
      <c r="J1839" s="9">
        <f t="shared" si="59"/>
        <v>0</v>
      </c>
    </row>
    <row r="1840" spans="1:10">
      <c r="A1840" t="s">
        <v>3545</v>
      </c>
      <c r="B1840" t="s">
        <v>44</v>
      </c>
      <c r="C1840" t="s">
        <v>78</v>
      </c>
      <c r="D1840" t="s">
        <v>3544</v>
      </c>
      <c r="E1840" s="9">
        <f t="shared" si="58"/>
        <v>920552.57284188934</v>
      </c>
      <c r="F1840" s="3">
        <v>21</v>
      </c>
      <c r="G1840" s="9">
        <v>1526000</v>
      </c>
      <c r="H1840" s="6" t="s">
        <v>45</v>
      </c>
      <c r="J1840" s="9">
        <f t="shared" si="59"/>
        <v>0</v>
      </c>
    </row>
    <row r="1841" spans="1:10">
      <c r="A1841" t="s">
        <v>3065</v>
      </c>
      <c r="B1841" t="s">
        <v>44</v>
      </c>
      <c r="C1841" t="s">
        <v>78</v>
      </c>
      <c r="D1841" t="s">
        <v>3066</v>
      </c>
      <c r="E1841" s="9">
        <f t="shared" si="58"/>
        <v>928998.00928998005</v>
      </c>
      <c r="F1841" s="3">
        <v>21</v>
      </c>
      <c r="G1841" s="9">
        <v>1540000</v>
      </c>
      <c r="H1841" s="5" t="s">
        <v>5080</v>
      </c>
      <c r="J1841" s="9">
        <f t="shared" si="59"/>
        <v>0</v>
      </c>
    </row>
    <row r="1842" spans="1:10">
      <c r="A1842" t="s">
        <v>3067</v>
      </c>
      <c r="B1842" t="s">
        <v>44</v>
      </c>
      <c r="C1842" t="s">
        <v>78</v>
      </c>
      <c r="D1842" t="s">
        <v>3068</v>
      </c>
      <c r="E1842" s="9">
        <f t="shared" si="58"/>
        <v>2069131.9297822283</v>
      </c>
      <c r="F1842" s="3">
        <v>21</v>
      </c>
      <c r="G1842" s="9">
        <v>3430000</v>
      </c>
      <c r="H1842" s="4" t="s">
        <v>16</v>
      </c>
      <c r="J1842" s="9">
        <f t="shared" si="59"/>
        <v>0</v>
      </c>
    </row>
    <row r="1843" spans="1:10">
      <c r="A1843" t="s">
        <v>169</v>
      </c>
      <c r="B1843" t="s">
        <v>44</v>
      </c>
      <c r="C1843" t="s">
        <v>78</v>
      </c>
      <c r="D1843" t="s">
        <v>170</v>
      </c>
      <c r="E1843" s="9">
        <f t="shared" si="58"/>
        <v>519115.64215479279</v>
      </c>
      <c r="F1843" s="3">
        <v>21</v>
      </c>
      <c r="G1843" s="9">
        <v>860538</v>
      </c>
      <c r="H1843" s="4" t="s">
        <v>16</v>
      </c>
      <c r="J1843" s="9">
        <f t="shared" si="59"/>
        <v>0</v>
      </c>
    </row>
    <row r="1844" spans="1:10">
      <c r="A1844" t="s">
        <v>3447</v>
      </c>
      <c r="B1844" t="s">
        <v>44</v>
      </c>
      <c r="C1844" t="s">
        <v>78</v>
      </c>
      <c r="D1844" t="s">
        <v>3448</v>
      </c>
      <c r="E1844" s="9">
        <f t="shared" si="58"/>
        <v>1173915.6662846112</v>
      </c>
      <c r="F1844" s="3">
        <v>21</v>
      </c>
      <c r="G1844" s="9">
        <v>1946000</v>
      </c>
      <c r="H1844" s="4" t="s">
        <v>16</v>
      </c>
      <c r="J1844" s="9">
        <f t="shared" si="59"/>
        <v>0</v>
      </c>
    </row>
    <row r="1845" spans="1:10" hidden="1">
      <c r="A1845" t="s">
        <v>614</v>
      </c>
      <c r="B1845" t="s">
        <v>44</v>
      </c>
      <c r="C1845" t="s">
        <v>78</v>
      </c>
      <c r="D1845" t="s">
        <v>615</v>
      </c>
      <c r="E1845" s="9">
        <f t="shared" si="58"/>
        <v>8.445436448090728</v>
      </c>
      <c r="F1845" s="3">
        <v>21</v>
      </c>
      <c r="G1845" s="9">
        <v>14</v>
      </c>
      <c r="H1845" s="5" t="s">
        <v>24</v>
      </c>
      <c r="J1845" s="9">
        <f t="shared" si="59"/>
        <v>0</v>
      </c>
    </row>
    <row r="1846" spans="1:10">
      <c r="A1846" t="s">
        <v>4398</v>
      </c>
      <c r="B1846" t="s">
        <v>44</v>
      </c>
      <c r="C1846" t="s">
        <v>78</v>
      </c>
      <c r="D1846" t="s">
        <v>4399</v>
      </c>
      <c r="E1846" s="9">
        <f t="shared" si="58"/>
        <v>388490.07661217346</v>
      </c>
      <c r="F1846" s="3">
        <v>21</v>
      </c>
      <c r="G1846" s="9">
        <v>644000</v>
      </c>
      <c r="H1846" s="6" t="s">
        <v>45</v>
      </c>
      <c r="J1846" s="9">
        <f t="shared" si="59"/>
        <v>0</v>
      </c>
    </row>
    <row r="1847" spans="1:10">
      <c r="A1847" t="s">
        <v>2780</v>
      </c>
      <c r="B1847" t="s">
        <v>44</v>
      </c>
      <c r="C1847" t="s">
        <v>78</v>
      </c>
      <c r="D1847" t="s">
        <v>2781</v>
      </c>
      <c r="E1847" s="9">
        <f t="shared" si="58"/>
        <v>675634.91584725829</v>
      </c>
      <c r="F1847" s="3">
        <v>21</v>
      </c>
      <c r="G1847" s="9">
        <v>1120000</v>
      </c>
      <c r="H1847" s="6" t="s">
        <v>45</v>
      </c>
      <c r="J1847" s="9">
        <f t="shared" si="59"/>
        <v>0</v>
      </c>
    </row>
    <row r="1848" spans="1:10">
      <c r="A1848" t="s">
        <v>3475</v>
      </c>
      <c r="B1848" t="s">
        <v>44</v>
      </c>
      <c r="C1848" t="s">
        <v>78</v>
      </c>
      <c r="D1848" t="s">
        <v>3476</v>
      </c>
      <c r="E1848" s="9">
        <f t="shared" si="58"/>
        <v>928998.00928998005</v>
      </c>
      <c r="F1848" s="3">
        <v>21</v>
      </c>
      <c r="G1848" s="9">
        <v>1540000</v>
      </c>
      <c r="H1848" s="4" t="s">
        <v>16</v>
      </c>
      <c r="J1848" s="9">
        <f t="shared" si="59"/>
        <v>0</v>
      </c>
    </row>
    <row r="1849" spans="1:10">
      <c r="A1849" t="s">
        <v>3800</v>
      </c>
      <c r="B1849" t="s">
        <v>44</v>
      </c>
      <c r="C1849" t="s">
        <v>78</v>
      </c>
      <c r="D1849" t="s">
        <v>3801</v>
      </c>
      <c r="E1849" s="9">
        <f t="shared" si="58"/>
        <v>1216142.8485250648</v>
      </c>
      <c r="F1849" s="3">
        <v>21</v>
      </c>
      <c r="G1849" s="9">
        <v>2016000</v>
      </c>
      <c r="H1849" s="6" t="s">
        <v>45</v>
      </c>
      <c r="J1849" s="9">
        <f t="shared" si="59"/>
        <v>0</v>
      </c>
    </row>
    <row r="1850" spans="1:10">
      <c r="A1850" t="s">
        <v>2171</v>
      </c>
      <c r="B1850" t="s">
        <v>44</v>
      </c>
      <c r="C1850" t="s">
        <v>78</v>
      </c>
      <c r="D1850" t="s">
        <v>2172</v>
      </c>
      <c r="E1850" s="9">
        <f t="shared" si="58"/>
        <v>928998.00928998005</v>
      </c>
      <c r="F1850" s="3">
        <v>21</v>
      </c>
      <c r="G1850" s="9">
        <v>1540000</v>
      </c>
      <c r="H1850" s="4" t="s">
        <v>16</v>
      </c>
      <c r="J1850" s="9">
        <f t="shared" si="59"/>
        <v>0</v>
      </c>
    </row>
    <row r="1851" spans="1:10">
      <c r="A1851" t="s">
        <v>2021</v>
      </c>
      <c r="B1851" t="s">
        <v>44</v>
      </c>
      <c r="C1851" t="s">
        <v>78</v>
      </c>
      <c r="D1851" t="s">
        <v>2022</v>
      </c>
      <c r="E1851" s="9">
        <f t="shared" si="58"/>
        <v>836098.20836098201</v>
      </c>
      <c r="F1851" s="3">
        <v>21</v>
      </c>
      <c r="G1851" s="9">
        <v>1386000</v>
      </c>
      <c r="H1851" s="5" t="s">
        <v>5080</v>
      </c>
      <c r="J1851" s="9">
        <f t="shared" si="59"/>
        <v>0</v>
      </c>
    </row>
    <row r="1852" spans="1:10">
      <c r="A1852" t="s">
        <v>3806</v>
      </c>
      <c r="B1852" t="s">
        <v>44</v>
      </c>
      <c r="C1852" t="s">
        <v>78</v>
      </c>
      <c r="D1852" t="s">
        <v>3544</v>
      </c>
      <c r="E1852" s="9">
        <f t="shared" si="58"/>
        <v>443901.31122634345</v>
      </c>
      <c r="F1852" s="3">
        <v>10.5</v>
      </c>
      <c r="G1852" s="9">
        <v>672000</v>
      </c>
      <c r="H1852" s="6" t="s">
        <v>45</v>
      </c>
      <c r="J1852" s="9">
        <f t="shared" si="59"/>
        <v>0</v>
      </c>
    </row>
    <row r="1853" spans="1:10">
      <c r="A1853" t="s">
        <v>1946</v>
      </c>
      <c r="B1853" t="s">
        <v>44</v>
      </c>
      <c r="C1853" t="s">
        <v>78</v>
      </c>
      <c r="D1853" t="s">
        <v>1947</v>
      </c>
      <c r="E1853" s="9">
        <f t="shared" si="58"/>
        <v>413826.38595644571</v>
      </c>
      <c r="F1853" s="3">
        <v>21</v>
      </c>
      <c r="G1853" s="9">
        <v>686000</v>
      </c>
      <c r="H1853" s="4" t="s">
        <v>16</v>
      </c>
      <c r="J1853" s="9">
        <f t="shared" si="59"/>
        <v>0</v>
      </c>
    </row>
    <row r="1854" spans="1:10">
      <c r="A1854" t="s">
        <v>3331</v>
      </c>
      <c r="B1854" t="s">
        <v>44</v>
      </c>
      <c r="C1854" t="s">
        <v>78</v>
      </c>
      <c r="D1854" t="s">
        <v>3332</v>
      </c>
      <c r="E1854" s="9">
        <f t="shared" si="58"/>
        <v>667189.47939916747</v>
      </c>
      <c r="F1854" s="3">
        <v>21</v>
      </c>
      <c r="G1854" s="9">
        <v>1106000</v>
      </c>
      <c r="H1854" s="6" t="s">
        <v>45</v>
      </c>
      <c r="J1854" s="9">
        <f t="shared" si="59"/>
        <v>0</v>
      </c>
    </row>
    <row r="1855" spans="1:10">
      <c r="A1855" t="s">
        <v>3936</v>
      </c>
      <c r="B1855" t="s">
        <v>44</v>
      </c>
      <c r="C1855" t="s">
        <v>78</v>
      </c>
      <c r="D1855" t="s">
        <v>3937</v>
      </c>
      <c r="E1855" s="9">
        <f t="shared" si="58"/>
        <v>928998.00928998005</v>
      </c>
      <c r="F1855" s="3">
        <v>21</v>
      </c>
      <c r="G1855" s="9">
        <v>1540000</v>
      </c>
      <c r="H1855" s="5" t="s">
        <v>5080</v>
      </c>
      <c r="J1855" s="9">
        <f t="shared" si="59"/>
        <v>0</v>
      </c>
    </row>
    <row r="1856" spans="1:10">
      <c r="A1856" t="s">
        <v>2585</v>
      </c>
      <c r="B1856" t="s">
        <v>44</v>
      </c>
      <c r="C1856" t="s">
        <v>78</v>
      </c>
      <c r="D1856" t="s">
        <v>2586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3329</v>
      </c>
      <c r="B1857" t="s">
        <v>44</v>
      </c>
      <c r="C1857" t="s">
        <v>78</v>
      </c>
      <c r="D1857" t="s">
        <v>3330</v>
      </c>
      <c r="E1857" s="9">
        <f t="shared" si="58"/>
        <v>667189.47939916747</v>
      </c>
      <c r="F1857" s="3">
        <v>21</v>
      </c>
      <c r="G1857" s="9">
        <v>1106000</v>
      </c>
      <c r="H1857" s="6" t="s">
        <v>45</v>
      </c>
      <c r="J1857" s="9">
        <f t="shared" si="59"/>
        <v>0</v>
      </c>
    </row>
    <row r="1858" spans="1:10">
      <c r="A1858" t="s">
        <v>1760</v>
      </c>
      <c r="B1858" t="s">
        <v>44</v>
      </c>
      <c r="C1858" t="s">
        <v>78</v>
      </c>
      <c r="D1858" t="s">
        <v>1761</v>
      </c>
      <c r="E1858" s="9">
        <f t="shared" si="58"/>
        <v>1435724.1961754237</v>
      </c>
      <c r="F1858" s="3">
        <v>21</v>
      </c>
      <c r="G1858" s="9">
        <v>2380000</v>
      </c>
      <c r="H1858" s="4" t="s">
        <v>16</v>
      </c>
      <c r="J1858" s="9">
        <f t="shared" si="59"/>
        <v>0</v>
      </c>
    </row>
    <row r="1859" spans="1:10">
      <c r="A1859" t="s">
        <v>4214</v>
      </c>
      <c r="B1859" t="s">
        <v>44</v>
      </c>
      <c r="C1859" t="s">
        <v>78</v>
      </c>
      <c r="D1859" t="s">
        <v>4215</v>
      </c>
      <c r="E1859" s="9">
        <f t="shared" si="58"/>
        <v>2094468.2391265004</v>
      </c>
      <c r="F1859" s="3">
        <v>21</v>
      </c>
      <c r="G1859" s="9">
        <v>3472000</v>
      </c>
      <c r="H1859" s="4" t="s">
        <v>16</v>
      </c>
      <c r="J1859" s="9">
        <f t="shared" si="59"/>
        <v>0</v>
      </c>
    </row>
    <row r="1860" spans="1:10">
      <c r="A1860" t="s">
        <v>1966</v>
      </c>
      <c r="B1860" t="s">
        <v>44</v>
      </c>
      <c r="C1860" t="s">
        <v>78</v>
      </c>
      <c r="D1860" t="s">
        <v>1967</v>
      </c>
      <c r="E1860" s="9">
        <f t="shared" si="58"/>
        <v>920552.57284188934</v>
      </c>
      <c r="F1860" s="3">
        <v>21</v>
      </c>
      <c r="G1860" s="9">
        <v>1526000</v>
      </c>
      <c r="H1860" s="4" t="s">
        <v>16</v>
      </c>
      <c r="J1860" s="9">
        <f t="shared" si="59"/>
        <v>0</v>
      </c>
    </row>
    <row r="1861" spans="1:10">
      <c r="A1861" t="s">
        <v>3306</v>
      </c>
      <c r="B1861" t="s">
        <v>44</v>
      </c>
      <c r="C1861" t="s">
        <v>78</v>
      </c>
      <c r="D1861" t="s">
        <v>3307</v>
      </c>
      <c r="E1861" s="9">
        <f t="shared" si="58"/>
        <v>971225.1915304336</v>
      </c>
      <c r="F1861" s="3">
        <v>21</v>
      </c>
      <c r="G1861" s="9">
        <v>1610000</v>
      </c>
      <c r="H1861" s="4" t="s">
        <v>16</v>
      </c>
      <c r="J1861" s="9">
        <f t="shared" si="59"/>
        <v>0</v>
      </c>
    </row>
    <row r="1862" spans="1:10">
      <c r="A1862" t="s">
        <v>2255</v>
      </c>
      <c r="B1862" t="s">
        <v>44</v>
      </c>
      <c r="C1862" t="s">
        <v>78</v>
      </c>
      <c r="D1862" t="s">
        <v>1967</v>
      </c>
      <c r="E1862" s="9">
        <f t="shared" si="58"/>
        <v>1309042.6494540628</v>
      </c>
      <c r="F1862" s="3">
        <v>21</v>
      </c>
      <c r="G1862" s="9">
        <v>2170000</v>
      </c>
      <c r="H1862" s="4" t="s">
        <v>16</v>
      </c>
      <c r="J1862" s="9">
        <f t="shared" si="59"/>
        <v>0</v>
      </c>
    </row>
    <row r="1863" spans="1:10">
      <c r="A1863" t="s">
        <v>3823</v>
      </c>
      <c r="B1863" t="s">
        <v>44</v>
      </c>
      <c r="C1863" t="s">
        <v>78</v>
      </c>
      <c r="D1863" t="s">
        <v>3824</v>
      </c>
      <c r="E1863" s="9">
        <f t="shared" si="58"/>
        <v>1638414.6709296012</v>
      </c>
      <c r="F1863" s="3">
        <v>21</v>
      </c>
      <c r="G1863" s="9">
        <v>2716000</v>
      </c>
      <c r="H1863" s="6" t="s">
        <v>45</v>
      </c>
      <c r="J1863" s="9">
        <f t="shared" si="59"/>
        <v>0</v>
      </c>
    </row>
    <row r="1864" spans="1:10">
      <c r="A1864" t="s">
        <v>4769</v>
      </c>
      <c r="B1864" t="s">
        <v>44</v>
      </c>
      <c r="C1864" t="s">
        <v>78</v>
      </c>
      <c r="D1864" t="s">
        <v>4770</v>
      </c>
      <c r="E1864" s="9">
        <f t="shared" si="58"/>
        <v>1587742.0522410567</v>
      </c>
      <c r="F1864" s="3">
        <v>21</v>
      </c>
      <c r="G1864" s="9">
        <v>2632000</v>
      </c>
      <c r="H1864" s="6" t="s">
        <v>45</v>
      </c>
      <c r="J1864" s="9">
        <f t="shared" si="59"/>
        <v>0</v>
      </c>
    </row>
    <row r="1865" spans="1:10">
      <c r="A1865" t="s">
        <v>2288</v>
      </c>
      <c r="B1865" t="s">
        <v>44</v>
      </c>
      <c r="C1865" t="s">
        <v>52</v>
      </c>
      <c r="D1865" t="s">
        <v>2289</v>
      </c>
      <c r="E1865" s="9">
        <f t="shared" ref="E1865:E1928" si="60">SUM(G1865/(1+(F1865/100)) /(1+(37/100)))</f>
        <v>506726.18688544369</v>
      </c>
      <c r="F1865" s="3">
        <v>21</v>
      </c>
      <c r="G1865" s="9">
        <v>840000</v>
      </c>
      <c r="H1865" s="5" t="s">
        <v>5080</v>
      </c>
      <c r="J1865" s="9">
        <f t="shared" ref="J1865:J1928" si="61">SUM(E1865* I1865)</f>
        <v>0</v>
      </c>
    </row>
    <row r="1866" spans="1:10">
      <c r="A1866" t="s">
        <v>4383</v>
      </c>
      <c r="B1866" t="s">
        <v>44</v>
      </c>
      <c r="C1866" t="s">
        <v>52</v>
      </c>
      <c r="D1866" t="s">
        <v>4384</v>
      </c>
      <c r="E1866" s="9">
        <f t="shared" si="60"/>
        <v>700971.22519153042</v>
      </c>
      <c r="F1866" s="3">
        <v>21</v>
      </c>
      <c r="G1866" s="9">
        <v>1162000</v>
      </c>
      <c r="H1866" s="6" t="s">
        <v>45</v>
      </c>
      <c r="J1866" s="9">
        <f t="shared" si="61"/>
        <v>0</v>
      </c>
    </row>
    <row r="1867" spans="1:10">
      <c r="A1867" t="s">
        <v>1102</v>
      </c>
      <c r="B1867" t="s">
        <v>44</v>
      </c>
      <c r="C1867" t="s">
        <v>52</v>
      </c>
      <c r="D1867" t="s">
        <v>1103</v>
      </c>
      <c r="E1867" s="9">
        <f t="shared" si="60"/>
        <v>806302.70857211796</v>
      </c>
      <c r="F1867" s="3">
        <v>21</v>
      </c>
      <c r="G1867" s="9">
        <v>1336608</v>
      </c>
      <c r="H1867" s="4" t="s">
        <v>16</v>
      </c>
      <c r="J1867" s="9">
        <f t="shared" si="61"/>
        <v>0</v>
      </c>
    </row>
    <row r="1868" spans="1:10">
      <c r="A1868" t="s">
        <v>1242</v>
      </c>
      <c r="B1868" t="s">
        <v>44</v>
      </c>
      <c r="C1868" t="s">
        <v>52</v>
      </c>
      <c r="D1868" t="s">
        <v>1243</v>
      </c>
      <c r="E1868" s="9">
        <f t="shared" si="60"/>
        <v>971225.1915304336</v>
      </c>
      <c r="F1868" s="3">
        <v>21</v>
      </c>
      <c r="G1868" s="9">
        <v>1610000</v>
      </c>
      <c r="H1868" s="5" t="s">
        <v>5080</v>
      </c>
      <c r="J1868" s="9">
        <f t="shared" si="61"/>
        <v>0</v>
      </c>
    </row>
    <row r="1869" spans="1:10">
      <c r="A1869" t="s">
        <v>2631</v>
      </c>
      <c r="B1869" t="s">
        <v>44</v>
      </c>
      <c r="C1869" t="s">
        <v>52</v>
      </c>
      <c r="D1869" t="s">
        <v>2632</v>
      </c>
      <c r="E1869" s="9">
        <f t="shared" si="60"/>
        <v>1013452.3737708874</v>
      </c>
      <c r="F1869" s="3">
        <v>21</v>
      </c>
      <c r="G1869" s="9">
        <v>1680000</v>
      </c>
      <c r="H1869" s="4" t="s">
        <v>16</v>
      </c>
      <c r="J1869" s="9">
        <f t="shared" si="61"/>
        <v>0</v>
      </c>
    </row>
    <row r="1870" spans="1:10">
      <c r="A1870" t="s">
        <v>2633</v>
      </c>
      <c r="B1870" t="s">
        <v>44</v>
      </c>
      <c r="C1870" t="s">
        <v>52</v>
      </c>
      <c r="D1870" t="s">
        <v>2634</v>
      </c>
      <c r="E1870" s="9">
        <f t="shared" si="60"/>
        <v>1646860.1073776917</v>
      </c>
      <c r="F1870" s="3">
        <v>21</v>
      </c>
      <c r="G1870" s="9">
        <v>2730000</v>
      </c>
      <c r="H1870" s="6" t="s">
        <v>45</v>
      </c>
      <c r="J1870" s="9">
        <f t="shared" si="61"/>
        <v>0</v>
      </c>
    </row>
    <row r="1871" spans="1:10">
      <c r="A1871" t="s">
        <v>3333</v>
      </c>
      <c r="B1871" t="s">
        <v>44</v>
      </c>
      <c r="C1871" t="s">
        <v>52</v>
      </c>
      <c r="D1871" t="s">
        <v>3334</v>
      </c>
      <c r="E1871" s="9">
        <f t="shared" si="60"/>
        <v>785425.58967243775</v>
      </c>
      <c r="F1871" s="3">
        <v>21</v>
      </c>
      <c r="G1871" s="9">
        <v>1302000</v>
      </c>
      <c r="H1871" s="6" t="s">
        <v>45</v>
      </c>
      <c r="J1871" s="9">
        <f t="shared" si="61"/>
        <v>0</v>
      </c>
    </row>
    <row r="1872" spans="1:10">
      <c r="A1872" t="s">
        <v>2314</v>
      </c>
      <c r="B1872" t="s">
        <v>44</v>
      </c>
      <c r="C1872" t="s">
        <v>52</v>
      </c>
      <c r="D1872" t="s">
        <v>2315</v>
      </c>
      <c r="E1872" s="9">
        <f t="shared" si="60"/>
        <v>971225.1915304336</v>
      </c>
      <c r="F1872" s="3">
        <v>21</v>
      </c>
      <c r="G1872" s="9">
        <v>1610000</v>
      </c>
      <c r="H1872" s="4" t="s">
        <v>16</v>
      </c>
      <c r="J1872" s="9">
        <f t="shared" si="61"/>
        <v>0</v>
      </c>
    </row>
    <row r="1873" spans="1:10">
      <c r="A1873" t="s">
        <v>2316</v>
      </c>
      <c r="B1873" t="s">
        <v>44</v>
      </c>
      <c r="C1873" t="s">
        <v>52</v>
      </c>
      <c r="D1873" t="s">
        <v>2317</v>
      </c>
      <c r="E1873" s="9">
        <f t="shared" si="60"/>
        <v>971225.1915304336</v>
      </c>
      <c r="F1873" s="3">
        <v>21</v>
      </c>
      <c r="G1873" s="9">
        <v>1610000</v>
      </c>
      <c r="H1873" s="4" t="s">
        <v>16</v>
      </c>
      <c r="J1873" s="9">
        <f t="shared" si="61"/>
        <v>0</v>
      </c>
    </row>
    <row r="1874" spans="1:10">
      <c r="A1874" t="s">
        <v>1964</v>
      </c>
      <c r="B1874" t="s">
        <v>44</v>
      </c>
      <c r="C1874" t="s">
        <v>52</v>
      </c>
      <c r="D1874" t="s">
        <v>1965</v>
      </c>
      <c r="E1874" s="9">
        <f t="shared" si="60"/>
        <v>1342824.3952464256</v>
      </c>
      <c r="F1874" s="3">
        <v>21</v>
      </c>
      <c r="G1874" s="9">
        <v>2226000</v>
      </c>
      <c r="H1874" s="4" t="s">
        <v>16</v>
      </c>
      <c r="J1874" s="9">
        <f t="shared" si="61"/>
        <v>0</v>
      </c>
    </row>
    <row r="1875" spans="1:10">
      <c r="A1875" t="s">
        <v>3518</v>
      </c>
      <c r="B1875" t="s">
        <v>44</v>
      </c>
      <c r="C1875" t="s">
        <v>52</v>
      </c>
      <c r="D1875" t="s">
        <v>3519</v>
      </c>
      <c r="E1875" s="9">
        <f t="shared" si="60"/>
        <v>751643.8438800748</v>
      </c>
      <c r="F1875" s="3">
        <v>21</v>
      </c>
      <c r="G1875" s="9">
        <v>1246000</v>
      </c>
      <c r="H1875" s="4" t="s">
        <v>16</v>
      </c>
      <c r="J1875" s="9">
        <f t="shared" si="61"/>
        <v>0</v>
      </c>
    </row>
    <row r="1876" spans="1:10">
      <c r="A1876" t="s">
        <v>3695</v>
      </c>
      <c r="B1876" t="s">
        <v>44</v>
      </c>
      <c r="C1876" t="s">
        <v>52</v>
      </c>
      <c r="D1876" t="s">
        <v>3696</v>
      </c>
      <c r="E1876" s="9">
        <f t="shared" si="60"/>
        <v>751643.8438800748</v>
      </c>
      <c r="F1876" s="3">
        <v>21</v>
      </c>
      <c r="G1876" s="9">
        <v>1246000</v>
      </c>
      <c r="H1876" s="6" t="s">
        <v>45</v>
      </c>
      <c r="J1876" s="9">
        <f t="shared" si="61"/>
        <v>0</v>
      </c>
    </row>
    <row r="1877" spans="1:10">
      <c r="A1877" t="s">
        <v>2778</v>
      </c>
      <c r="B1877" t="s">
        <v>44</v>
      </c>
      <c r="C1877" t="s">
        <v>52</v>
      </c>
      <c r="D1877" t="s">
        <v>2779</v>
      </c>
      <c r="E1877" s="9">
        <f t="shared" si="60"/>
        <v>610364.30293622217</v>
      </c>
      <c r="F1877" s="3">
        <v>10.5</v>
      </c>
      <c r="G1877" s="9">
        <v>924000</v>
      </c>
      <c r="H1877" s="6" t="s">
        <v>45</v>
      </c>
      <c r="J1877" s="9">
        <f t="shared" si="61"/>
        <v>0</v>
      </c>
    </row>
    <row r="1878" spans="1:10">
      <c r="A1878" t="s">
        <v>2776</v>
      </c>
      <c r="B1878" t="s">
        <v>44</v>
      </c>
      <c r="C1878" t="s">
        <v>52</v>
      </c>
      <c r="D1878" t="s">
        <v>2777</v>
      </c>
      <c r="E1878" s="9">
        <f t="shared" si="60"/>
        <v>1387191.597582323</v>
      </c>
      <c r="F1878" s="3">
        <v>10.5</v>
      </c>
      <c r="G1878" s="9">
        <v>2100000</v>
      </c>
      <c r="H1878" s="6" t="s">
        <v>45</v>
      </c>
      <c r="J1878" s="9">
        <f t="shared" si="61"/>
        <v>0</v>
      </c>
    </row>
    <row r="1879" spans="1:10">
      <c r="A1879" t="s">
        <v>3310</v>
      </c>
      <c r="B1879" t="s">
        <v>44</v>
      </c>
      <c r="C1879" t="s">
        <v>52</v>
      </c>
      <c r="D1879" t="s">
        <v>3311</v>
      </c>
      <c r="E1879" s="9">
        <f t="shared" si="60"/>
        <v>1895828.5166958417</v>
      </c>
      <c r="F1879" s="3">
        <v>10.5</v>
      </c>
      <c r="G1879" s="9">
        <v>2870000</v>
      </c>
      <c r="H1879" s="6" t="s">
        <v>45</v>
      </c>
      <c r="J1879" s="9">
        <f t="shared" si="61"/>
        <v>0</v>
      </c>
    </row>
    <row r="1880" spans="1:10">
      <c r="A1880" t="s">
        <v>1577</v>
      </c>
      <c r="B1880" t="s">
        <v>44</v>
      </c>
      <c r="C1880" t="s">
        <v>52</v>
      </c>
      <c r="D1880" t="s">
        <v>1578</v>
      </c>
      <c r="E1880" s="9">
        <f t="shared" si="60"/>
        <v>1097906.7382517946</v>
      </c>
      <c r="F1880" s="3">
        <v>21</v>
      </c>
      <c r="G1880" s="9">
        <v>1820000</v>
      </c>
      <c r="H1880" s="6" t="s">
        <v>45</v>
      </c>
      <c r="J1880" s="9">
        <f t="shared" si="61"/>
        <v>0</v>
      </c>
    </row>
    <row r="1881" spans="1:10">
      <c r="A1881" t="s">
        <v>2681</v>
      </c>
      <c r="B1881" t="s">
        <v>44</v>
      </c>
      <c r="C1881" t="s">
        <v>52</v>
      </c>
      <c r="D1881" t="s">
        <v>2682</v>
      </c>
      <c r="E1881" s="9">
        <f t="shared" si="60"/>
        <v>152591.07573405554</v>
      </c>
      <c r="F1881" s="3">
        <v>10.5</v>
      </c>
      <c r="G1881" s="9">
        <v>231000</v>
      </c>
      <c r="H1881" s="4" t="s">
        <v>16</v>
      </c>
      <c r="J1881" s="9">
        <f t="shared" si="61"/>
        <v>0</v>
      </c>
    </row>
    <row r="1882" spans="1:10">
      <c r="A1882" t="s">
        <v>3541</v>
      </c>
      <c r="B1882" t="s">
        <v>44</v>
      </c>
      <c r="C1882" t="s">
        <v>52</v>
      </c>
      <c r="D1882" t="s">
        <v>3542</v>
      </c>
      <c r="E1882" s="9">
        <f t="shared" si="60"/>
        <v>249694.48756481818</v>
      </c>
      <c r="F1882" s="3">
        <v>10.5</v>
      </c>
      <c r="G1882" s="9">
        <v>378000</v>
      </c>
      <c r="H1882" s="6" t="s">
        <v>45</v>
      </c>
      <c r="J1882" s="9">
        <f t="shared" si="61"/>
        <v>0</v>
      </c>
    </row>
    <row r="1883" spans="1:10">
      <c r="A1883" t="s">
        <v>3451</v>
      </c>
      <c r="B1883" t="s">
        <v>44</v>
      </c>
      <c r="C1883" t="s">
        <v>52</v>
      </c>
      <c r="D1883" t="s">
        <v>3452</v>
      </c>
      <c r="E1883" s="9">
        <f t="shared" si="60"/>
        <v>369917.75935528614</v>
      </c>
      <c r="F1883" s="3">
        <v>10.5</v>
      </c>
      <c r="G1883" s="9">
        <v>560000</v>
      </c>
      <c r="H1883" s="6" t="s">
        <v>45</v>
      </c>
      <c r="J1883" s="9">
        <f t="shared" si="61"/>
        <v>0</v>
      </c>
    </row>
    <row r="1884" spans="1:10">
      <c r="A1884" t="s">
        <v>1003</v>
      </c>
      <c r="B1884" t="s">
        <v>44</v>
      </c>
      <c r="C1884" t="s">
        <v>52</v>
      </c>
      <c r="D1884" t="s">
        <v>1004</v>
      </c>
      <c r="E1884" s="9">
        <f t="shared" si="60"/>
        <v>2020148.3983833021</v>
      </c>
      <c r="F1884" s="3">
        <v>21</v>
      </c>
      <c r="G1884" s="9">
        <v>3348800</v>
      </c>
      <c r="H1884" s="5" t="s">
        <v>5080</v>
      </c>
      <c r="J1884" s="9">
        <f t="shared" si="61"/>
        <v>0</v>
      </c>
    </row>
    <row r="1885" spans="1:10">
      <c r="A1885" t="s">
        <v>3438</v>
      </c>
      <c r="B1885" t="s">
        <v>44</v>
      </c>
      <c r="C1885" t="s">
        <v>52</v>
      </c>
      <c r="D1885" t="s">
        <v>3439</v>
      </c>
      <c r="E1885" s="9">
        <f t="shared" si="60"/>
        <v>1857996.0185799601</v>
      </c>
      <c r="F1885" s="3">
        <v>21</v>
      </c>
      <c r="G1885" s="9">
        <v>3080000</v>
      </c>
      <c r="H1885" s="4" t="s">
        <v>16</v>
      </c>
      <c r="J1885" s="9">
        <f t="shared" si="61"/>
        <v>0</v>
      </c>
    </row>
    <row r="1886" spans="1:10">
      <c r="A1886" t="s">
        <v>2603</v>
      </c>
      <c r="B1886" t="s">
        <v>44</v>
      </c>
      <c r="C1886" t="s">
        <v>52</v>
      </c>
      <c r="D1886" t="s">
        <v>2604</v>
      </c>
      <c r="E1886" s="9">
        <f t="shared" si="60"/>
        <v>920552.57284188934</v>
      </c>
      <c r="F1886" s="3">
        <v>21</v>
      </c>
      <c r="G1886" s="9">
        <v>1526000</v>
      </c>
      <c r="H1886" s="6" t="s">
        <v>45</v>
      </c>
      <c r="J1886" s="9">
        <f t="shared" si="61"/>
        <v>0</v>
      </c>
    </row>
    <row r="1887" spans="1:10">
      <c r="A1887" t="s">
        <v>2256</v>
      </c>
      <c r="B1887" t="s">
        <v>44</v>
      </c>
      <c r="C1887" t="s">
        <v>52</v>
      </c>
      <c r="D1887" t="s">
        <v>2257</v>
      </c>
      <c r="E1887" s="9">
        <f t="shared" si="60"/>
        <v>1342824.3952464256</v>
      </c>
      <c r="F1887" s="3">
        <v>21</v>
      </c>
      <c r="G1887" s="9">
        <v>2226000</v>
      </c>
      <c r="H1887" s="6" t="s">
        <v>45</v>
      </c>
      <c r="J1887" s="9">
        <f t="shared" si="61"/>
        <v>0</v>
      </c>
    </row>
    <row r="1888" spans="1:10">
      <c r="A1888" t="s">
        <v>4151</v>
      </c>
      <c r="B1888" t="s">
        <v>44</v>
      </c>
      <c r="C1888" t="s">
        <v>52</v>
      </c>
      <c r="D1888" t="s">
        <v>4152</v>
      </c>
      <c r="E1888" s="9">
        <f t="shared" si="60"/>
        <v>206913.19297822285</v>
      </c>
      <c r="F1888" s="3">
        <v>21</v>
      </c>
      <c r="G1888" s="9">
        <v>343000</v>
      </c>
      <c r="H1888" s="5" t="s">
        <v>5080</v>
      </c>
      <c r="J1888" s="9">
        <f t="shared" si="61"/>
        <v>0</v>
      </c>
    </row>
    <row r="1889" spans="1:10" hidden="1">
      <c r="A1889" t="s">
        <v>4444</v>
      </c>
      <c r="B1889" t="s">
        <v>44</v>
      </c>
      <c r="C1889" t="s">
        <v>52</v>
      </c>
      <c r="E1889" s="9">
        <f t="shared" si="60"/>
        <v>8.445436448090728</v>
      </c>
      <c r="F1889" s="3">
        <v>21</v>
      </c>
      <c r="G1889" s="9">
        <v>14</v>
      </c>
      <c r="H1889" s="4" t="s">
        <v>16</v>
      </c>
      <c r="J1889" s="9">
        <f t="shared" si="61"/>
        <v>0</v>
      </c>
    </row>
    <row r="1890" spans="1:10">
      <c r="A1890" t="s">
        <v>722</v>
      </c>
      <c r="B1890" t="s">
        <v>44</v>
      </c>
      <c r="C1890" t="s">
        <v>52</v>
      </c>
      <c r="D1890" t="s">
        <v>723</v>
      </c>
      <c r="E1890" s="9">
        <f t="shared" si="60"/>
        <v>1273571.8163720816</v>
      </c>
      <c r="F1890" s="3">
        <v>21</v>
      </c>
      <c r="G1890" s="9">
        <v>2111200</v>
      </c>
      <c r="H1890" s="4" t="s">
        <v>16</v>
      </c>
      <c r="J1890" s="9">
        <f t="shared" si="61"/>
        <v>0</v>
      </c>
    </row>
    <row r="1891" spans="1:10">
      <c r="A1891" t="s">
        <v>2629</v>
      </c>
      <c r="B1891" t="s">
        <v>44</v>
      </c>
      <c r="C1891" t="s">
        <v>52</v>
      </c>
      <c r="D1891" t="s">
        <v>2630</v>
      </c>
      <c r="E1891" s="9">
        <f t="shared" si="60"/>
        <v>624962.2971587138</v>
      </c>
      <c r="F1891" s="3">
        <v>21</v>
      </c>
      <c r="G1891" s="9">
        <v>1036000</v>
      </c>
      <c r="H1891" s="4" t="s">
        <v>16</v>
      </c>
      <c r="J1891" s="9">
        <f t="shared" si="61"/>
        <v>0</v>
      </c>
    </row>
    <row r="1892" spans="1:10">
      <c r="A1892" t="s">
        <v>2695</v>
      </c>
      <c r="B1892" t="s">
        <v>44</v>
      </c>
      <c r="C1892" t="s">
        <v>52</v>
      </c>
      <c r="D1892" t="s">
        <v>2696</v>
      </c>
      <c r="E1892" s="9">
        <f t="shared" si="60"/>
        <v>211135.91120226818</v>
      </c>
      <c r="F1892" s="3">
        <v>21</v>
      </c>
      <c r="G1892" s="9">
        <v>350000</v>
      </c>
      <c r="H1892" s="6" t="s">
        <v>45</v>
      </c>
      <c r="J1892" s="9">
        <f t="shared" si="61"/>
        <v>0</v>
      </c>
    </row>
    <row r="1893" spans="1:10">
      <c r="A1893" t="s">
        <v>2583</v>
      </c>
      <c r="B1893" t="s">
        <v>44</v>
      </c>
      <c r="C1893" t="s">
        <v>52</v>
      </c>
      <c r="D1893" t="s">
        <v>2584</v>
      </c>
      <c r="E1893" s="9">
        <f t="shared" si="60"/>
        <v>603848.70603848703</v>
      </c>
      <c r="F1893" s="3">
        <v>21</v>
      </c>
      <c r="G1893" s="9">
        <v>1001000</v>
      </c>
      <c r="H1893" s="4" t="s">
        <v>16</v>
      </c>
      <c r="J1893" s="9">
        <f t="shared" si="61"/>
        <v>0</v>
      </c>
    </row>
    <row r="1894" spans="1:10">
      <c r="A1894" t="s">
        <v>4479</v>
      </c>
      <c r="B1894" t="s">
        <v>44</v>
      </c>
      <c r="C1894" t="s">
        <v>52</v>
      </c>
      <c r="D1894" t="s">
        <v>4480</v>
      </c>
      <c r="E1894" s="9">
        <f t="shared" si="60"/>
        <v>785425.58967243775</v>
      </c>
      <c r="F1894" s="3">
        <v>21</v>
      </c>
      <c r="G1894" s="9">
        <v>1302000</v>
      </c>
      <c r="H1894" s="6" t="s">
        <v>45</v>
      </c>
      <c r="J1894" s="9">
        <f t="shared" si="61"/>
        <v>0</v>
      </c>
    </row>
    <row r="1895" spans="1:10">
      <c r="A1895" t="s">
        <v>3894</v>
      </c>
      <c r="B1895" t="s">
        <v>44</v>
      </c>
      <c r="C1895" t="s">
        <v>52</v>
      </c>
      <c r="D1895" t="s">
        <v>3895</v>
      </c>
      <c r="E1895" s="9">
        <f t="shared" si="60"/>
        <v>675634.91584725829</v>
      </c>
      <c r="F1895" s="3">
        <v>21</v>
      </c>
      <c r="G1895" s="9">
        <v>1120000</v>
      </c>
      <c r="H1895" s="4" t="s">
        <v>16</v>
      </c>
      <c r="J1895" s="9">
        <f t="shared" si="61"/>
        <v>0</v>
      </c>
    </row>
    <row r="1896" spans="1:10">
      <c r="A1896" t="s">
        <v>3507</v>
      </c>
      <c r="B1896" t="s">
        <v>44</v>
      </c>
      <c r="C1896" t="s">
        <v>52</v>
      </c>
      <c r="D1896" t="s">
        <v>3508</v>
      </c>
      <c r="E1896" s="9">
        <f t="shared" si="60"/>
        <v>928998.00928998005</v>
      </c>
      <c r="F1896" s="3">
        <v>21</v>
      </c>
      <c r="G1896" s="9">
        <v>1540000</v>
      </c>
      <c r="H1896" s="4" t="s">
        <v>16</v>
      </c>
      <c r="J1896" s="9">
        <f t="shared" si="61"/>
        <v>0</v>
      </c>
    </row>
    <row r="1897" spans="1:10">
      <c r="A1897" t="s">
        <v>4391</v>
      </c>
      <c r="B1897" t="s">
        <v>44</v>
      </c>
      <c r="C1897" t="s">
        <v>52</v>
      </c>
      <c r="D1897" t="s">
        <v>4392</v>
      </c>
      <c r="E1897" s="9">
        <f t="shared" si="60"/>
        <v>582735.11491826025</v>
      </c>
      <c r="F1897" s="3">
        <v>21</v>
      </c>
      <c r="G1897" s="9">
        <v>966000</v>
      </c>
      <c r="H1897" s="6" t="s">
        <v>45</v>
      </c>
      <c r="J1897" s="9">
        <f t="shared" si="61"/>
        <v>0</v>
      </c>
    </row>
    <row r="1898" spans="1:10">
      <c r="A1898" t="s">
        <v>4393</v>
      </c>
      <c r="B1898" t="s">
        <v>44</v>
      </c>
      <c r="C1898" t="s">
        <v>52</v>
      </c>
      <c r="D1898" t="s">
        <v>4394</v>
      </c>
      <c r="E1898" s="9">
        <f t="shared" si="60"/>
        <v>684080.352295349</v>
      </c>
      <c r="F1898" s="3">
        <v>21</v>
      </c>
      <c r="G1898" s="9">
        <v>1134000</v>
      </c>
      <c r="H1898" s="6" t="s">
        <v>45</v>
      </c>
      <c r="J1898" s="9">
        <f t="shared" si="61"/>
        <v>0</v>
      </c>
    </row>
    <row r="1899" spans="1:10">
      <c r="A1899" t="s">
        <v>3041</v>
      </c>
      <c r="B1899" t="s">
        <v>44</v>
      </c>
      <c r="C1899" t="s">
        <v>52</v>
      </c>
      <c r="D1899" t="s">
        <v>3042</v>
      </c>
      <c r="E1899" s="9">
        <f t="shared" si="60"/>
        <v>565844.24202207872</v>
      </c>
      <c r="F1899" s="3">
        <v>21</v>
      </c>
      <c r="G1899" s="9">
        <v>938000</v>
      </c>
      <c r="H1899" s="4" t="s">
        <v>16</v>
      </c>
      <c r="J1899" s="9">
        <f t="shared" si="61"/>
        <v>0</v>
      </c>
    </row>
    <row r="1900" spans="1:10">
      <c r="A1900" t="s">
        <v>4903</v>
      </c>
      <c r="B1900" t="s">
        <v>44</v>
      </c>
      <c r="C1900" t="s">
        <v>52</v>
      </c>
      <c r="D1900" t="s">
        <v>4904</v>
      </c>
      <c r="E1900" s="9">
        <f t="shared" si="60"/>
        <v>185799.60185799602</v>
      </c>
      <c r="F1900" s="3">
        <v>21</v>
      </c>
      <c r="G1900" s="9">
        <v>308000</v>
      </c>
      <c r="H1900" s="6" t="s">
        <v>45</v>
      </c>
      <c r="J1900" s="9">
        <f t="shared" si="61"/>
        <v>0</v>
      </c>
    </row>
    <row r="1901" spans="1:10">
      <c r="A1901" t="s">
        <v>4905</v>
      </c>
      <c r="B1901" t="s">
        <v>44</v>
      </c>
      <c r="C1901" t="s">
        <v>52</v>
      </c>
      <c r="D1901" t="s">
        <v>4906</v>
      </c>
      <c r="E1901" s="9">
        <f t="shared" si="60"/>
        <v>287144.83923508477</v>
      </c>
      <c r="F1901" s="3">
        <v>21</v>
      </c>
      <c r="G1901" s="9">
        <v>476000</v>
      </c>
      <c r="H1901" s="6" t="s">
        <v>45</v>
      </c>
      <c r="J1901" s="9">
        <f t="shared" si="61"/>
        <v>0</v>
      </c>
    </row>
    <row r="1902" spans="1:10">
      <c r="A1902" t="s">
        <v>2158</v>
      </c>
      <c r="B1902" t="s">
        <v>44</v>
      </c>
      <c r="C1902" t="s">
        <v>52</v>
      </c>
      <c r="D1902" t="s">
        <v>2159</v>
      </c>
      <c r="E1902" s="9">
        <f t="shared" si="60"/>
        <v>1635036.4963503648</v>
      </c>
      <c r="F1902" s="3">
        <v>10.5</v>
      </c>
      <c r="G1902" s="9">
        <v>2475200</v>
      </c>
      <c r="H1902" s="5" t="s">
        <v>5080</v>
      </c>
      <c r="J1902" s="9">
        <f t="shared" si="61"/>
        <v>0</v>
      </c>
    </row>
    <row r="1903" spans="1:10">
      <c r="A1903" t="s">
        <v>50</v>
      </c>
      <c r="B1903" t="s">
        <v>44</v>
      </c>
      <c r="C1903" t="s">
        <v>52</v>
      </c>
      <c r="D1903" t="s">
        <v>51</v>
      </c>
      <c r="E1903" s="9">
        <f t="shared" si="60"/>
        <v>1361404.3554322252</v>
      </c>
      <c r="F1903" s="3">
        <v>21</v>
      </c>
      <c r="G1903" s="9">
        <v>2256800</v>
      </c>
      <c r="H1903" s="4" t="s">
        <v>16</v>
      </c>
      <c r="J1903" s="9">
        <f t="shared" si="61"/>
        <v>0</v>
      </c>
    </row>
    <row r="1904" spans="1:10">
      <c r="A1904" t="s">
        <v>2136</v>
      </c>
      <c r="B1904" t="s">
        <v>44</v>
      </c>
      <c r="C1904" t="s">
        <v>52</v>
      </c>
      <c r="D1904" t="s">
        <v>2137</v>
      </c>
      <c r="E1904" s="9">
        <f t="shared" si="60"/>
        <v>37509660.798626013</v>
      </c>
      <c r="F1904" s="3">
        <v>10.5</v>
      </c>
      <c r="G1904" s="9">
        <v>56784000</v>
      </c>
      <c r="H1904" s="5" t="s">
        <v>5080</v>
      </c>
      <c r="J1904" s="9">
        <f t="shared" si="61"/>
        <v>0</v>
      </c>
    </row>
    <row r="1905" spans="1:10">
      <c r="A1905" t="s">
        <v>2903</v>
      </c>
      <c r="B1905" t="s">
        <v>44</v>
      </c>
      <c r="C1905" t="s">
        <v>52</v>
      </c>
      <c r="D1905" t="s">
        <v>2904</v>
      </c>
      <c r="E1905" s="9">
        <f t="shared" si="60"/>
        <v>498280.75043735292</v>
      </c>
      <c r="F1905" s="3">
        <v>21</v>
      </c>
      <c r="G1905" s="9">
        <v>826000</v>
      </c>
      <c r="H1905" s="4" t="s">
        <v>16</v>
      </c>
      <c r="J1905" s="9">
        <f t="shared" si="61"/>
        <v>0</v>
      </c>
    </row>
    <row r="1906" spans="1:10">
      <c r="A1906" t="s">
        <v>2167</v>
      </c>
      <c r="B1906" t="s">
        <v>44</v>
      </c>
      <c r="C1906" t="s">
        <v>52</v>
      </c>
      <c r="D1906" t="s">
        <v>2168</v>
      </c>
      <c r="E1906" s="9">
        <f t="shared" si="60"/>
        <v>1923532.605417144</v>
      </c>
      <c r="F1906" s="3">
        <v>21</v>
      </c>
      <c r="G1906" s="9">
        <v>3188640</v>
      </c>
      <c r="H1906" s="4" t="s">
        <v>16</v>
      </c>
      <c r="J1906" s="9">
        <f t="shared" si="61"/>
        <v>0</v>
      </c>
    </row>
    <row r="1907" spans="1:10">
      <c r="A1907" t="s">
        <v>2169</v>
      </c>
      <c r="B1907" t="s">
        <v>44</v>
      </c>
      <c r="C1907" t="s">
        <v>52</v>
      </c>
      <c r="D1907" t="s">
        <v>2170</v>
      </c>
      <c r="E1907" s="9">
        <f t="shared" si="60"/>
        <v>4119346.0819207341</v>
      </c>
      <c r="F1907" s="3">
        <v>21</v>
      </c>
      <c r="G1907" s="9">
        <v>6828640.0000000009</v>
      </c>
      <c r="H1907" s="5" t="s">
        <v>5080</v>
      </c>
      <c r="J1907" s="9">
        <f t="shared" si="61"/>
        <v>0</v>
      </c>
    </row>
    <row r="1908" spans="1:10">
      <c r="A1908" t="s">
        <v>190</v>
      </c>
      <c r="B1908" t="s">
        <v>44</v>
      </c>
      <c r="C1908" t="s">
        <v>52</v>
      </c>
      <c r="D1908" t="s">
        <v>191</v>
      </c>
      <c r="E1908" s="9">
        <f t="shared" si="60"/>
        <v>66068.649333413763</v>
      </c>
      <c r="F1908" s="3">
        <v>21</v>
      </c>
      <c r="G1908" s="9">
        <v>109522</v>
      </c>
      <c r="H1908" s="4" t="s">
        <v>16</v>
      </c>
      <c r="J1908" s="9">
        <f t="shared" si="61"/>
        <v>0</v>
      </c>
    </row>
    <row r="1909" spans="1:10" hidden="1">
      <c r="A1909" t="s">
        <v>2177</v>
      </c>
      <c r="B1909" t="s">
        <v>44</v>
      </c>
      <c r="C1909" t="s">
        <v>52</v>
      </c>
      <c r="D1909" t="s">
        <v>2178</v>
      </c>
      <c r="E1909" s="9">
        <f t="shared" si="60"/>
        <v>8.445436448090728</v>
      </c>
      <c r="F1909" s="3">
        <v>21</v>
      </c>
      <c r="G1909" s="9">
        <v>14</v>
      </c>
      <c r="H1909" s="5" t="s">
        <v>24</v>
      </c>
      <c r="J1909" s="9">
        <f t="shared" si="61"/>
        <v>0</v>
      </c>
    </row>
    <row r="1910" spans="1:10">
      <c r="A1910" t="s">
        <v>2132</v>
      </c>
      <c r="B1910" t="s">
        <v>44</v>
      </c>
      <c r="C1910" t="s">
        <v>52</v>
      </c>
      <c r="D1910" t="s">
        <v>2133</v>
      </c>
      <c r="E1910" s="9">
        <f t="shared" si="60"/>
        <v>2646835.5517389434</v>
      </c>
      <c r="F1910" s="3">
        <v>10.5</v>
      </c>
      <c r="G1910" s="9">
        <v>4006912</v>
      </c>
      <c r="H1910" s="5" t="s">
        <v>5080</v>
      </c>
      <c r="J1910" s="9">
        <f t="shared" si="61"/>
        <v>0</v>
      </c>
    </row>
    <row r="1911" spans="1:10">
      <c r="A1911" t="s">
        <v>2130</v>
      </c>
      <c r="B1911" t="s">
        <v>44</v>
      </c>
      <c r="C1911" t="s">
        <v>52</v>
      </c>
      <c r="D1911" t="s">
        <v>2131</v>
      </c>
      <c r="E1911" s="9">
        <f t="shared" si="60"/>
        <v>2789179.9055388574</v>
      </c>
      <c r="F1911" s="3">
        <v>10.5</v>
      </c>
      <c r="G1911" s="9">
        <v>4222400</v>
      </c>
      <c r="H1911" s="5" t="s">
        <v>5080</v>
      </c>
      <c r="J1911" s="9">
        <f t="shared" si="61"/>
        <v>0</v>
      </c>
    </row>
    <row r="1912" spans="1:10">
      <c r="A1912" t="s">
        <v>2134</v>
      </c>
      <c r="B1912" t="s">
        <v>44</v>
      </c>
      <c r="C1912" t="s">
        <v>52</v>
      </c>
      <c r="D1912" t="s">
        <v>2135</v>
      </c>
      <c r="E1912" s="9">
        <f t="shared" si="60"/>
        <v>5658188.0635465868</v>
      </c>
      <c r="F1912" s="3">
        <v>10.5</v>
      </c>
      <c r="G1912" s="9">
        <v>8565648</v>
      </c>
      <c r="H1912" s="5" t="s">
        <v>5080</v>
      </c>
      <c r="J1912" s="9">
        <f t="shared" si="61"/>
        <v>0</v>
      </c>
    </row>
    <row r="1913" spans="1:10" hidden="1">
      <c r="A1913" t="s">
        <v>1100</v>
      </c>
      <c r="B1913" t="s">
        <v>44</v>
      </c>
      <c r="C1913" t="s">
        <v>52</v>
      </c>
      <c r="D1913" t="s">
        <v>1101</v>
      </c>
      <c r="E1913" s="9">
        <f t="shared" si="60"/>
        <v>8.445436448090728</v>
      </c>
      <c r="F1913" s="3">
        <v>21</v>
      </c>
      <c r="G1913" s="9">
        <v>14</v>
      </c>
      <c r="H1913" s="4" t="s">
        <v>16</v>
      </c>
      <c r="J1913" s="9">
        <f t="shared" si="61"/>
        <v>0</v>
      </c>
    </row>
    <row r="1914" spans="1:10">
      <c r="A1914" t="s">
        <v>2905</v>
      </c>
      <c r="B1914" t="s">
        <v>44</v>
      </c>
      <c r="C1914" t="s">
        <v>52</v>
      </c>
      <c r="D1914" t="s">
        <v>2906</v>
      </c>
      <c r="E1914" s="9">
        <f t="shared" si="60"/>
        <v>1248472.4378240909</v>
      </c>
      <c r="F1914" s="3">
        <v>10.5</v>
      </c>
      <c r="G1914" s="9">
        <v>1890000</v>
      </c>
      <c r="H1914" s="4" t="s">
        <v>16</v>
      </c>
      <c r="J1914" s="9">
        <f t="shared" si="61"/>
        <v>0</v>
      </c>
    </row>
    <row r="1915" spans="1:10">
      <c r="A1915" t="s">
        <v>3308</v>
      </c>
      <c r="B1915" t="s">
        <v>44</v>
      </c>
      <c r="C1915" t="s">
        <v>52</v>
      </c>
      <c r="D1915" t="s">
        <v>3309</v>
      </c>
      <c r="E1915" s="9">
        <f t="shared" si="60"/>
        <v>1008025.8942431549</v>
      </c>
      <c r="F1915" s="3">
        <v>10.5</v>
      </c>
      <c r="G1915" s="9">
        <v>1526000</v>
      </c>
      <c r="H1915" s="5" t="s">
        <v>5080</v>
      </c>
      <c r="J1915" s="9">
        <f t="shared" si="61"/>
        <v>0</v>
      </c>
    </row>
    <row r="1916" spans="1:10">
      <c r="A1916" t="s">
        <v>3520</v>
      </c>
      <c r="B1916" t="s">
        <v>44</v>
      </c>
      <c r="C1916" t="s">
        <v>52</v>
      </c>
      <c r="D1916" t="s">
        <v>3521</v>
      </c>
      <c r="E1916" s="9">
        <f t="shared" si="60"/>
        <v>1202232.7179046799</v>
      </c>
      <c r="F1916" s="3">
        <v>10.5</v>
      </c>
      <c r="G1916" s="9">
        <v>1820000</v>
      </c>
      <c r="H1916" s="6" t="s">
        <v>45</v>
      </c>
      <c r="J1916" s="9">
        <f t="shared" si="61"/>
        <v>0</v>
      </c>
    </row>
    <row r="1917" spans="1:10">
      <c r="A1917" t="s">
        <v>2260</v>
      </c>
      <c r="B1917" t="s">
        <v>44</v>
      </c>
      <c r="C1917" t="s">
        <v>52</v>
      </c>
      <c r="D1917" t="s">
        <v>2261</v>
      </c>
      <c r="E1917" s="9">
        <f t="shared" si="60"/>
        <v>1942068.2366152524</v>
      </c>
      <c r="F1917" s="3">
        <v>10.5</v>
      </c>
      <c r="G1917" s="9">
        <v>2940000</v>
      </c>
      <c r="H1917" s="4" t="s">
        <v>16</v>
      </c>
      <c r="J1917" s="9">
        <f t="shared" si="61"/>
        <v>0</v>
      </c>
    </row>
    <row r="1918" spans="1:10">
      <c r="A1918" t="s">
        <v>3477</v>
      </c>
      <c r="B1918" t="s">
        <v>44</v>
      </c>
      <c r="C1918" t="s">
        <v>52</v>
      </c>
      <c r="D1918" t="s">
        <v>2261</v>
      </c>
      <c r="E1918" s="9">
        <f t="shared" si="60"/>
        <v>2219506.5561317173</v>
      </c>
      <c r="F1918" s="3">
        <v>10.5</v>
      </c>
      <c r="G1918" s="9">
        <v>3360000</v>
      </c>
      <c r="H1918" s="6" t="s">
        <v>45</v>
      </c>
      <c r="J1918" s="9">
        <f t="shared" si="61"/>
        <v>0</v>
      </c>
    </row>
    <row r="1919" spans="1:10">
      <c r="A1919" t="s">
        <v>2593</v>
      </c>
      <c r="B1919" t="s">
        <v>44</v>
      </c>
      <c r="C1919" t="s">
        <v>52</v>
      </c>
      <c r="D1919" t="s">
        <v>2594</v>
      </c>
      <c r="E1919" s="9">
        <f t="shared" si="60"/>
        <v>2404465.4358093599</v>
      </c>
      <c r="F1919" s="3">
        <v>10.5</v>
      </c>
      <c r="G1919" s="9">
        <v>3640000</v>
      </c>
      <c r="H1919" s="5" t="s">
        <v>5080</v>
      </c>
      <c r="J1919" s="9">
        <f t="shared" si="61"/>
        <v>0</v>
      </c>
    </row>
    <row r="1920" spans="1:10">
      <c r="A1920" t="s">
        <v>3643</v>
      </c>
      <c r="B1920" t="s">
        <v>44</v>
      </c>
      <c r="C1920" t="s">
        <v>52</v>
      </c>
      <c r="D1920" t="s">
        <v>3644</v>
      </c>
      <c r="E1920" s="9">
        <f t="shared" si="60"/>
        <v>3329259.8341975752</v>
      </c>
      <c r="F1920" s="3">
        <v>10.5</v>
      </c>
      <c r="G1920" s="9">
        <v>5040000</v>
      </c>
      <c r="H1920" s="5" t="s">
        <v>5080</v>
      </c>
      <c r="J1920" s="9">
        <f t="shared" si="61"/>
        <v>0</v>
      </c>
    </row>
    <row r="1921" spans="1:10">
      <c r="A1921" t="s">
        <v>2080</v>
      </c>
      <c r="B1921" t="s">
        <v>44</v>
      </c>
      <c r="C1921" t="s">
        <v>52</v>
      </c>
      <c r="D1921" t="s">
        <v>2081</v>
      </c>
      <c r="E1921" s="9">
        <f t="shared" si="60"/>
        <v>17312151.137827393</v>
      </c>
      <c r="F1921" s="3">
        <v>10.5</v>
      </c>
      <c r="G1921" s="9">
        <v>26208000</v>
      </c>
      <c r="H1921" s="5" t="s">
        <v>5080</v>
      </c>
      <c r="J1921" s="9">
        <f t="shared" si="61"/>
        <v>0</v>
      </c>
    </row>
    <row r="1922" spans="1:10">
      <c r="A1922" t="s">
        <v>2074</v>
      </c>
      <c r="B1922" t="s">
        <v>44</v>
      </c>
      <c r="C1922" t="s">
        <v>52</v>
      </c>
      <c r="D1922" t="s">
        <v>2075</v>
      </c>
      <c r="E1922" s="9">
        <f t="shared" si="60"/>
        <v>1308704.8319961391</v>
      </c>
      <c r="F1922" s="3">
        <v>21</v>
      </c>
      <c r="G1922" s="9">
        <v>2169440</v>
      </c>
      <c r="H1922" s="4" t="s">
        <v>16</v>
      </c>
      <c r="J1922" s="9">
        <f t="shared" si="61"/>
        <v>0</v>
      </c>
    </row>
    <row r="1923" spans="1:10">
      <c r="A1923" t="s">
        <v>2076</v>
      </c>
      <c r="B1923" t="s">
        <v>44</v>
      </c>
      <c r="C1923" t="s">
        <v>52</v>
      </c>
      <c r="D1923" t="s">
        <v>2077</v>
      </c>
      <c r="E1923" s="9">
        <f t="shared" si="60"/>
        <v>834409.1210713638</v>
      </c>
      <c r="F1923" s="3">
        <v>21</v>
      </c>
      <c r="G1923" s="9">
        <v>1383200</v>
      </c>
      <c r="H1923" s="4" t="s">
        <v>16</v>
      </c>
      <c r="J1923" s="9">
        <f t="shared" si="61"/>
        <v>0</v>
      </c>
    </row>
    <row r="1924" spans="1:10">
      <c r="A1924" t="s">
        <v>2078</v>
      </c>
      <c r="B1924" t="s">
        <v>44</v>
      </c>
      <c r="C1924" t="s">
        <v>52</v>
      </c>
      <c r="D1924" t="s">
        <v>2079</v>
      </c>
      <c r="E1924" s="9">
        <f t="shared" si="60"/>
        <v>834409.1210713638</v>
      </c>
      <c r="F1924" s="3">
        <v>21</v>
      </c>
      <c r="G1924" s="9">
        <v>1383200</v>
      </c>
      <c r="H1924" s="4" t="s">
        <v>16</v>
      </c>
      <c r="J1924" s="9">
        <f t="shared" si="61"/>
        <v>0</v>
      </c>
    </row>
    <row r="1925" spans="1:10">
      <c r="A1925" t="s">
        <v>3304</v>
      </c>
      <c r="B1925" t="s">
        <v>44</v>
      </c>
      <c r="C1925" t="s">
        <v>52</v>
      </c>
      <c r="D1925" t="s">
        <v>3305</v>
      </c>
      <c r="E1925" s="9">
        <f t="shared" si="60"/>
        <v>2219506.5561317173</v>
      </c>
      <c r="F1925" s="3">
        <v>10.5</v>
      </c>
      <c r="G1925" s="9">
        <v>3360000</v>
      </c>
      <c r="H1925" s="4" t="s">
        <v>16</v>
      </c>
      <c r="J1925" s="9">
        <f t="shared" si="61"/>
        <v>0</v>
      </c>
    </row>
    <row r="1926" spans="1:10">
      <c r="A1926" t="s">
        <v>3636</v>
      </c>
      <c r="B1926" t="s">
        <v>44</v>
      </c>
      <c r="C1926" t="s">
        <v>52</v>
      </c>
      <c r="D1926" t="s">
        <v>3637</v>
      </c>
      <c r="E1926" s="9">
        <f t="shared" si="60"/>
        <v>4716451.4317798987</v>
      </c>
      <c r="F1926" s="3">
        <v>10.5</v>
      </c>
      <c r="G1926" s="9">
        <v>7140000</v>
      </c>
      <c r="H1926" s="4" t="s">
        <v>16</v>
      </c>
      <c r="J1926" s="9">
        <f t="shared" si="61"/>
        <v>0</v>
      </c>
    </row>
    <row r="1927" spans="1:10">
      <c r="A1927" t="s">
        <v>3694</v>
      </c>
      <c r="B1927" t="s">
        <v>44</v>
      </c>
      <c r="C1927" t="s">
        <v>52</v>
      </c>
      <c r="D1927" t="s">
        <v>3305</v>
      </c>
      <c r="E1927" s="9">
        <f t="shared" si="60"/>
        <v>647356.07887175074</v>
      </c>
      <c r="F1927" s="3">
        <v>10.5</v>
      </c>
      <c r="G1927" s="9">
        <v>980000</v>
      </c>
      <c r="H1927" s="4" t="s">
        <v>16</v>
      </c>
      <c r="J1927" s="9">
        <f t="shared" si="61"/>
        <v>0</v>
      </c>
    </row>
    <row r="1928" spans="1:10">
      <c r="A1928" t="s">
        <v>3039</v>
      </c>
      <c r="B1928" t="s">
        <v>44</v>
      </c>
      <c r="C1928" t="s">
        <v>52</v>
      </c>
      <c r="D1928" t="s">
        <v>3040</v>
      </c>
      <c r="E1928" s="9">
        <f t="shared" si="60"/>
        <v>388413.64732305048</v>
      </c>
      <c r="F1928" s="3">
        <v>10.5</v>
      </c>
      <c r="G1928" s="9">
        <v>588000</v>
      </c>
      <c r="H1928" s="6" t="s">
        <v>45</v>
      </c>
      <c r="J1928" s="9">
        <f t="shared" si="61"/>
        <v>0</v>
      </c>
    </row>
    <row r="1929" spans="1:10" hidden="1">
      <c r="A1929" t="s">
        <v>2213</v>
      </c>
      <c r="B1929" t="s">
        <v>44</v>
      </c>
      <c r="C1929" t="s">
        <v>52</v>
      </c>
      <c r="D1929" t="s">
        <v>2214</v>
      </c>
      <c r="E1929" s="9">
        <f t="shared" ref="E1929:E1992" si="62">SUM(G1929/(1+(F1929/100)) /(1+(37/100)))</f>
        <v>8.445436448090728</v>
      </c>
      <c r="F1929" s="3">
        <v>21</v>
      </c>
      <c r="G1929" s="9">
        <v>14</v>
      </c>
      <c r="H1929" s="5" t="s">
        <v>24</v>
      </c>
      <c r="J1929" s="9">
        <f t="shared" ref="J1929:J1992" si="63">SUM(E1929* I1929)</f>
        <v>0</v>
      </c>
    </row>
    <row r="1930" spans="1:10" hidden="1">
      <c r="A1930" t="s">
        <v>854</v>
      </c>
      <c r="B1930" t="s">
        <v>22</v>
      </c>
      <c r="C1930" t="s">
        <v>23</v>
      </c>
      <c r="D1930" t="s">
        <v>855</v>
      </c>
      <c r="E1930" s="9">
        <f t="shared" si="62"/>
        <v>8.445436448090728</v>
      </c>
      <c r="F1930" s="3">
        <v>21</v>
      </c>
      <c r="G1930" s="9">
        <v>14</v>
      </c>
      <c r="H1930" s="4" t="s">
        <v>16</v>
      </c>
      <c r="J1930" s="9">
        <f t="shared" si="63"/>
        <v>0</v>
      </c>
    </row>
    <row r="1931" spans="1:10" hidden="1">
      <c r="A1931" t="s">
        <v>1854</v>
      </c>
      <c r="B1931" t="s">
        <v>22</v>
      </c>
      <c r="C1931" t="s">
        <v>23</v>
      </c>
      <c r="D1931" t="s">
        <v>1855</v>
      </c>
      <c r="E1931" s="9">
        <f t="shared" si="62"/>
        <v>8.445436448090728</v>
      </c>
      <c r="F1931" s="3">
        <v>21</v>
      </c>
      <c r="G1931" s="9">
        <v>14</v>
      </c>
      <c r="H1931" s="4" t="s">
        <v>16</v>
      </c>
      <c r="J1931" s="9">
        <f t="shared" si="63"/>
        <v>0</v>
      </c>
    </row>
    <row r="1932" spans="1:10" hidden="1">
      <c r="A1932" t="s">
        <v>1476</v>
      </c>
      <c r="B1932" t="s">
        <v>22</v>
      </c>
      <c r="C1932" t="s">
        <v>23</v>
      </c>
      <c r="D1932" t="s">
        <v>1477</v>
      </c>
      <c r="E1932" s="9">
        <f t="shared" si="62"/>
        <v>8.445436448090728</v>
      </c>
      <c r="F1932" s="3">
        <v>21</v>
      </c>
      <c r="G1932" s="9">
        <v>14</v>
      </c>
      <c r="H1932" s="4" t="s">
        <v>16</v>
      </c>
      <c r="J1932" s="9">
        <f t="shared" si="63"/>
        <v>0</v>
      </c>
    </row>
    <row r="1933" spans="1:10" hidden="1">
      <c r="A1933" t="s">
        <v>1852</v>
      </c>
      <c r="B1933" t="s">
        <v>22</v>
      </c>
      <c r="C1933" t="s">
        <v>23</v>
      </c>
      <c r="D1933" t="s">
        <v>1853</v>
      </c>
      <c r="E1933" s="9">
        <f t="shared" si="62"/>
        <v>8.445436448090728</v>
      </c>
      <c r="F1933" s="3">
        <v>21</v>
      </c>
      <c r="G1933" s="9">
        <v>14</v>
      </c>
      <c r="H1933" s="5" t="s">
        <v>24</v>
      </c>
      <c r="J1933" s="9">
        <f t="shared" si="63"/>
        <v>0</v>
      </c>
    </row>
    <row r="1934" spans="1:10">
      <c r="A1934" t="s">
        <v>2007</v>
      </c>
      <c r="B1934" t="s">
        <v>22</v>
      </c>
      <c r="C1934" t="s">
        <v>23</v>
      </c>
      <c r="D1934" t="s">
        <v>2008</v>
      </c>
      <c r="E1934" s="9">
        <f t="shared" si="62"/>
        <v>15809.857030825842</v>
      </c>
      <c r="F1934" s="3">
        <v>21</v>
      </c>
      <c r="G1934" s="9">
        <v>26208</v>
      </c>
      <c r="H1934" s="4" t="s">
        <v>16</v>
      </c>
      <c r="J1934" s="9">
        <f t="shared" si="63"/>
        <v>0</v>
      </c>
    </row>
    <row r="1935" spans="1:10">
      <c r="A1935" t="s">
        <v>1488</v>
      </c>
      <c r="B1935" t="s">
        <v>22</v>
      </c>
      <c r="C1935" t="s">
        <v>23</v>
      </c>
      <c r="D1935" t="s">
        <v>1489</v>
      </c>
      <c r="E1935" s="9">
        <f t="shared" si="62"/>
        <v>11418.230077818664</v>
      </c>
      <c r="F1935" s="3">
        <v>21</v>
      </c>
      <c r="G1935" s="9">
        <v>18928</v>
      </c>
      <c r="H1935" s="6" t="s">
        <v>45</v>
      </c>
      <c r="J1935" s="9">
        <f t="shared" si="63"/>
        <v>0</v>
      </c>
    </row>
    <row r="1936" spans="1:10">
      <c r="A1936" t="s">
        <v>1094</v>
      </c>
      <c r="B1936" t="s">
        <v>22</v>
      </c>
      <c r="C1936" t="s">
        <v>23</v>
      </c>
      <c r="D1936" t="s">
        <v>1095</v>
      </c>
      <c r="E1936" s="9">
        <f t="shared" si="62"/>
        <v>14053.20624962297</v>
      </c>
      <c r="F1936" s="3">
        <v>21</v>
      </c>
      <c r="G1936" s="9">
        <v>23296</v>
      </c>
      <c r="H1936" s="5" t="s">
        <v>5080</v>
      </c>
      <c r="J1936" s="9">
        <f t="shared" si="63"/>
        <v>0</v>
      </c>
    </row>
    <row r="1937" spans="1:10">
      <c r="A1937" t="s">
        <v>1830</v>
      </c>
      <c r="B1937" t="s">
        <v>22</v>
      </c>
      <c r="C1937" t="s">
        <v>23</v>
      </c>
      <c r="D1937" t="s">
        <v>1831</v>
      </c>
      <c r="E1937" s="9">
        <f t="shared" si="62"/>
        <v>11418.230077818664</v>
      </c>
      <c r="F1937" s="3">
        <v>21</v>
      </c>
      <c r="G1937" s="9">
        <v>18928</v>
      </c>
      <c r="H1937" s="6" t="s">
        <v>45</v>
      </c>
      <c r="J1937" s="9">
        <f t="shared" si="63"/>
        <v>0</v>
      </c>
    </row>
    <row r="1938" spans="1:10">
      <c r="A1938" t="s">
        <v>966</v>
      </c>
      <c r="B1938" t="s">
        <v>22</v>
      </c>
      <c r="C1938" t="s">
        <v>23</v>
      </c>
      <c r="D1938" t="s">
        <v>967</v>
      </c>
      <c r="E1938" s="9">
        <f t="shared" si="62"/>
        <v>12296.5554684201</v>
      </c>
      <c r="F1938" s="3">
        <v>21</v>
      </c>
      <c r="G1938" s="9">
        <v>20384</v>
      </c>
      <c r="H1938" s="6" t="s">
        <v>45</v>
      </c>
      <c r="J1938" s="9">
        <f t="shared" si="63"/>
        <v>0</v>
      </c>
    </row>
    <row r="1939" spans="1:10">
      <c r="A1939" t="s">
        <v>1978</v>
      </c>
      <c r="B1939" t="s">
        <v>22</v>
      </c>
      <c r="C1939" t="s">
        <v>23</v>
      </c>
      <c r="D1939" t="s">
        <v>1979</v>
      </c>
      <c r="E1939" s="9">
        <f t="shared" si="62"/>
        <v>7904.9285154129211</v>
      </c>
      <c r="F1939" s="3">
        <v>21</v>
      </c>
      <c r="G1939" s="9">
        <v>13104</v>
      </c>
      <c r="H1939" s="6" t="s">
        <v>45</v>
      </c>
      <c r="J1939" s="9">
        <f t="shared" si="63"/>
        <v>0</v>
      </c>
    </row>
    <row r="1940" spans="1:10">
      <c r="A1940" t="s">
        <v>2015</v>
      </c>
      <c r="B1940" t="s">
        <v>22</v>
      </c>
      <c r="C1940" t="s">
        <v>23</v>
      </c>
      <c r="D1940" t="s">
        <v>2016</v>
      </c>
      <c r="E1940" s="9">
        <f t="shared" si="62"/>
        <v>6148.2777342100499</v>
      </c>
      <c r="F1940" s="3">
        <v>21</v>
      </c>
      <c r="G1940" s="9">
        <v>10192</v>
      </c>
      <c r="H1940" s="4" t="s">
        <v>16</v>
      </c>
      <c r="J1940" s="9">
        <f t="shared" si="63"/>
        <v>0</v>
      </c>
    </row>
    <row r="1941" spans="1:10" hidden="1">
      <c r="A1941" t="s">
        <v>1960</v>
      </c>
      <c r="B1941" t="s">
        <v>22</v>
      </c>
      <c r="C1941" t="s">
        <v>23</v>
      </c>
      <c r="D1941" t="s">
        <v>1961</v>
      </c>
      <c r="E1941" s="9">
        <f t="shared" si="62"/>
        <v>8.445436448090728</v>
      </c>
      <c r="F1941" s="3">
        <v>21</v>
      </c>
      <c r="G1941" s="9">
        <v>14</v>
      </c>
      <c r="H1941" s="6" t="s">
        <v>45</v>
      </c>
      <c r="J1941" s="9">
        <f t="shared" si="63"/>
        <v>0</v>
      </c>
    </row>
    <row r="1942" spans="1:10">
      <c r="A1942" t="s">
        <v>1862</v>
      </c>
      <c r="B1942" t="s">
        <v>22</v>
      </c>
      <c r="C1942" t="s">
        <v>23</v>
      </c>
      <c r="D1942" t="s">
        <v>1863</v>
      </c>
      <c r="E1942" s="9">
        <f t="shared" si="62"/>
        <v>5269.9523436086147</v>
      </c>
      <c r="F1942" s="3">
        <v>21</v>
      </c>
      <c r="G1942" s="9">
        <v>8736</v>
      </c>
      <c r="H1942" s="6" t="s">
        <v>45</v>
      </c>
      <c r="J1942" s="9">
        <f t="shared" si="63"/>
        <v>0</v>
      </c>
    </row>
    <row r="1943" spans="1:10">
      <c r="A1943" t="s">
        <v>1486</v>
      </c>
      <c r="B1943" t="s">
        <v>22</v>
      </c>
      <c r="C1943" t="s">
        <v>23</v>
      </c>
      <c r="D1943" t="s">
        <v>1487</v>
      </c>
      <c r="E1943" s="9">
        <f t="shared" si="62"/>
        <v>14053.20624962297</v>
      </c>
      <c r="F1943" s="3">
        <v>21</v>
      </c>
      <c r="G1943" s="9">
        <v>23296</v>
      </c>
      <c r="H1943" s="4" t="s">
        <v>16</v>
      </c>
      <c r="J1943" s="9">
        <f t="shared" si="63"/>
        <v>0</v>
      </c>
    </row>
    <row r="1944" spans="1:10" hidden="1">
      <c r="A1944" t="s">
        <v>885</v>
      </c>
      <c r="B1944" t="s">
        <v>22</v>
      </c>
      <c r="C1944" t="s">
        <v>23</v>
      </c>
      <c r="D1944" t="s">
        <v>886</v>
      </c>
      <c r="E1944" s="9">
        <f t="shared" si="62"/>
        <v>8.445436448090728</v>
      </c>
      <c r="F1944" s="3">
        <v>21</v>
      </c>
      <c r="G1944" s="9">
        <v>14</v>
      </c>
      <c r="H1944" s="4" t="s">
        <v>16</v>
      </c>
      <c r="J1944" s="9">
        <f t="shared" si="63"/>
        <v>0</v>
      </c>
    </row>
    <row r="1945" spans="1:10">
      <c r="A1945" t="s">
        <v>1430</v>
      </c>
      <c r="B1945" t="s">
        <v>22</v>
      </c>
      <c r="C1945" t="s">
        <v>23</v>
      </c>
      <c r="D1945" t="s">
        <v>1431</v>
      </c>
      <c r="E1945" s="9">
        <f t="shared" si="62"/>
        <v>52699.523436086143</v>
      </c>
      <c r="F1945" s="3">
        <v>21</v>
      </c>
      <c r="G1945" s="9">
        <v>87360</v>
      </c>
      <c r="H1945" s="5" t="s">
        <v>5080</v>
      </c>
      <c r="J1945" s="9">
        <f t="shared" si="63"/>
        <v>0</v>
      </c>
    </row>
    <row r="1946" spans="1:10">
      <c r="A1946" t="s">
        <v>843</v>
      </c>
      <c r="B1946" t="s">
        <v>22</v>
      </c>
      <c r="C1946" t="s">
        <v>23</v>
      </c>
      <c r="D1946" t="s">
        <v>844</v>
      </c>
      <c r="E1946" s="9">
        <f t="shared" si="62"/>
        <v>39524.642577064602</v>
      </c>
      <c r="F1946" s="3">
        <v>21</v>
      </c>
      <c r="G1946" s="9">
        <v>65519.999999999993</v>
      </c>
      <c r="H1946" s="6" t="s">
        <v>45</v>
      </c>
      <c r="J1946" s="9">
        <f t="shared" si="63"/>
        <v>0</v>
      </c>
    </row>
    <row r="1947" spans="1:10">
      <c r="A1947" t="s">
        <v>847</v>
      </c>
      <c r="B1947" t="s">
        <v>22</v>
      </c>
      <c r="C1947" t="s">
        <v>23</v>
      </c>
      <c r="D1947" t="s">
        <v>848</v>
      </c>
      <c r="E1947" s="9">
        <f t="shared" si="62"/>
        <v>46483.682210291365</v>
      </c>
      <c r="F1947" s="3">
        <v>21</v>
      </c>
      <c r="G1947" s="9">
        <v>77056</v>
      </c>
      <c r="H1947" s="4" t="s">
        <v>16</v>
      </c>
      <c r="J1947" s="9">
        <f t="shared" si="63"/>
        <v>0</v>
      </c>
    </row>
    <row r="1948" spans="1:10">
      <c r="A1948" t="s">
        <v>858</v>
      </c>
      <c r="B1948" t="s">
        <v>22</v>
      </c>
      <c r="C1948" t="s">
        <v>23</v>
      </c>
      <c r="D1948" t="s">
        <v>859</v>
      </c>
      <c r="E1948" s="9">
        <f t="shared" si="62"/>
        <v>6587.4404295107679</v>
      </c>
      <c r="F1948" s="3">
        <v>21</v>
      </c>
      <c r="G1948" s="9">
        <v>10920</v>
      </c>
      <c r="H1948" s="6" t="s">
        <v>45</v>
      </c>
      <c r="J1948" s="9">
        <f t="shared" si="63"/>
        <v>0</v>
      </c>
    </row>
    <row r="1949" spans="1:10" hidden="1">
      <c r="A1949" t="s">
        <v>903</v>
      </c>
      <c r="B1949" t="s">
        <v>22</v>
      </c>
      <c r="C1949" t="s">
        <v>23</v>
      </c>
      <c r="D1949" t="s">
        <v>904</v>
      </c>
      <c r="E1949" s="9">
        <f t="shared" si="62"/>
        <v>8.445436448090728</v>
      </c>
      <c r="F1949" s="3">
        <v>21</v>
      </c>
      <c r="G1949" s="9">
        <v>14</v>
      </c>
      <c r="H1949" s="4" t="s">
        <v>16</v>
      </c>
      <c r="J1949" s="9">
        <f t="shared" si="63"/>
        <v>0</v>
      </c>
    </row>
    <row r="1950" spans="1:10" hidden="1">
      <c r="A1950" t="s">
        <v>845</v>
      </c>
      <c r="B1950" t="s">
        <v>22</v>
      </c>
      <c r="C1950" t="s">
        <v>23</v>
      </c>
      <c r="D1950" t="s">
        <v>846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2017</v>
      </c>
      <c r="B1951" t="s">
        <v>22</v>
      </c>
      <c r="C1951" t="s">
        <v>23</v>
      </c>
      <c r="D1951" t="s">
        <v>2018</v>
      </c>
      <c r="E1951" s="9">
        <f t="shared" si="62"/>
        <v>7465.7658201122031</v>
      </c>
      <c r="F1951" s="3">
        <v>21</v>
      </c>
      <c r="G1951" s="9">
        <v>12376</v>
      </c>
      <c r="H1951" s="4" t="s">
        <v>16</v>
      </c>
      <c r="J1951" s="9">
        <f t="shared" si="63"/>
        <v>0</v>
      </c>
    </row>
    <row r="1952" spans="1:10" hidden="1">
      <c r="A1952" t="s">
        <v>866</v>
      </c>
      <c r="B1952" t="s">
        <v>22</v>
      </c>
      <c r="C1952" t="s">
        <v>23</v>
      </c>
      <c r="D1952" t="s">
        <v>867</v>
      </c>
      <c r="E1952" s="9">
        <f t="shared" si="62"/>
        <v>8.445436448090728</v>
      </c>
      <c r="F1952" s="3">
        <v>21</v>
      </c>
      <c r="G1952" s="9">
        <v>14</v>
      </c>
      <c r="H1952" s="4" t="s">
        <v>16</v>
      </c>
      <c r="J1952" s="9">
        <f t="shared" si="63"/>
        <v>0</v>
      </c>
    </row>
    <row r="1953" spans="1:10" hidden="1">
      <c r="A1953" t="s">
        <v>1497</v>
      </c>
      <c r="B1953" t="s">
        <v>22</v>
      </c>
      <c r="C1953" t="s">
        <v>23</v>
      </c>
      <c r="D1953" t="s">
        <v>1498</v>
      </c>
      <c r="E1953" s="9">
        <f t="shared" si="62"/>
        <v>8.445436448090728</v>
      </c>
      <c r="F1953" s="3">
        <v>21</v>
      </c>
      <c r="G1953" s="9">
        <v>14</v>
      </c>
      <c r="H1953" s="4" t="s">
        <v>16</v>
      </c>
      <c r="J1953" s="9">
        <f t="shared" si="63"/>
        <v>0</v>
      </c>
    </row>
    <row r="1954" spans="1:10">
      <c r="A1954" t="s">
        <v>2148</v>
      </c>
      <c r="B1954" t="s">
        <v>22</v>
      </c>
      <c r="C1954" t="s">
        <v>23</v>
      </c>
      <c r="D1954" t="s">
        <v>2149</v>
      </c>
      <c r="E1954" s="9">
        <f t="shared" si="62"/>
        <v>105399.04687217229</v>
      </c>
      <c r="F1954" s="3">
        <v>21</v>
      </c>
      <c r="G1954" s="9">
        <v>174720</v>
      </c>
      <c r="H1954" s="4" t="s">
        <v>16</v>
      </c>
      <c r="J1954" s="9">
        <f t="shared" si="63"/>
        <v>0</v>
      </c>
    </row>
    <row r="1955" spans="1:10">
      <c r="A1955" t="s">
        <v>2150</v>
      </c>
      <c r="B1955" t="s">
        <v>22</v>
      </c>
      <c r="C1955" t="s">
        <v>23</v>
      </c>
      <c r="D1955" t="s">
        <v>2149</v>
      </c>
      <c r="E1955" s="9">
        <f t="shared" si="62"/>
        <v>105399.04687217229</v>
      </c>
      <c r="F1955" s="3">
        <v>21</v>
      </c>
      <c r="G1955" s="9">
        <v>174720</v>
      </c>
      <c r="H1955" s="4" t="s">
        <v>16</v>
      </c>
      <c r="J1955" s="9">
        <f t="shared" si="63"/>
        <v>0</v>
      </c>
    </row>
    <row r="1956" spans="1:10">
      <c r="A1956" t="s">
        <v>2151</v>
      </c>
      <c r="B1956" t="s">
        <v>22</v>
      </c>
      <c r="C1956" t="s">
        <v>23</v>
      </c>
      <c r="D1956" t="s">
        <v>2149</v>
      </c>
      <c r="E1956" s="9">
        <f t="shared" si="62"/>
        <v>105399.04687217229</v>
      </c>
      <c r="F1956" s="3">
        <v>21</v>
      </c>
      <c r="G1956" s="9">
        <v>174720</v>
      </c>
      <c r="H1956" s="4" t="s">
        <v>16</v>
      </c>
      <c r="J1956" s="9">
        <f t="shared" si="63"/>
        <v>0</v>
      </c>
    </row>
    <row r="1957" spans="1:10" hidden="1">
      <c r="A1957" t="s">
        <v>2106</v>
      </c>
      <c r="B1957" t="s">
        <v>22</v>
      </c>
      <c r="C1957" t="s">
        <v>23</v>
      </c>
      <c r="D1957" t="s">
        <v>2107</v>
      </c>
      <c r="E1957" s="9">
        <f t="shared" si="62"/>
        <v>8.445436448090728</v>
      </c>
      <c r="F1957" s="3">
        <v>21</v>
      </c>
      <c r="G1957" s="9">
        <v>14</v>
      </c>
      <c r="H1957" s="4" t="s">
        <v>16</v>
      </c>
      <c r="J1957" s="9">
        <f t="shared" si="63"/>
        <v>0</v>
      </c>
    </row>
    <row r="1958" spans="1:10" hidden="1">
      <c r="A1958" t="s">
        <v>878</v>
      </c>
      <c r="B1958" t="s">
        <v>22</v>
      </c>
      <c r="C1958" t="s">
        <v>23</v>
      </c>
      <c r="D1958" t="s">
        <v>877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>
      <c r="A1959" t="s">
        <v>874</v>
      </c>
      <c r="B1959" t="s">
        <v>22</v>
      </c>
      <c r="C1959" t="s">
        <v>23</v>
      </c>
      <c r="D1959" t="s">
        <v>875</v>
      </c>
      <c r="E1959" s="9">
        <f t="shared" si="62"/>
        <v>56913.796223683421</v>
      </c>
      <c r="F1959" s="3">
        <v>21</v>
      </c>
      <c r="G1959" s="9">
        <v>94346</v>
      </c>
      <c r="H1959" s="6" t="s">
        <v>45</v>
      </c>
      <c r="J1959" s="9">
        <f t="shared" si="63"/>
        <v>0</v>
      </c>
    </row>
    <row r="1960" spans="1:10">
      <c r="A1960" t="s">
        <v>872</v>
      </c>
      <c r="B1960" t="s">
        <v>22</v>
      </c>
      <c r="C1960" t="s">
        <v>23</v>
      </c>
      <c r="D1960" t="s">
        <v>873</v>
      </c>
      <c r="E1960" s="9">
        <f t="shared" si="62"/>
        <v>23714.785546238763</v>
      </c>
      <c r="F1960" s="3">
        <v>21</v>
      </c>
      <c r="G1960" s="9">
        <v>39312</v>
      </c>
      <c r="H1960" s="6" t="s">
        <v>45</v>
      </c>
      <c r="J1960" s="9">
        <f t="shared" si="63"/>
        <v>0</v>
      </c>
    </row>
    <row r="1961" spans="1:10">
      <c r="A1961" t="s">
        <v>870</v>
      </c>
      <c r="B1961" t="s">
        <v>22</v>
      </c>
      <c r="C1961" t="s">
        <v>23</v>
      </c>
      <c r="D1961" t="s">
        <v>871</v>
      </c>
      <c r="E1961" s="9">
        <f t="shared" si="62"/>
        <v>23714.785546238763</v>
      </c>
      <c r="F1961" s="3">
        <v>21</v>
      </c>
      <c r="G1961" s="9">
        <v>39312</v>
      </c>
      <c r="H1961" s="6" t="s">
        <v>45</v>
      </c>
      <c r="J1961" s="9">
        <f t="shared" si="63"/>
        <v>0</v>
      </c>
    </row>
    <row r="1962" spans="1:10">
      <c r="A1962" t="s">
        <v>1303</v>
      </c>
      <c r="B1962" t="s">
        <v>22</v>
      </c>
      <c r="C1962" t="s">
        <v>23</v>
      </c>
      <c r="D1962" t="s">
        <v>1304</v>
      </c>
      <c r="E1962" s="9">
        <f t="shared" si="62"/>
        <v>56913.796223683421</v>
      </c>
      <c r="F1962" s="3">
        <v>21</v>
      </c>
      <c r="G1962" s="9">
        <v>94346</v>
      </c>
      <c r="H1962" s="6" t="s">
        <v>45</v>
      </c>
      <c r="J1962" s="9">
        <f t="shared" si="63"/>
        <v>0</v>
      </c>
    </row>
    <row r="1963" spans="1:10">
      <c r="A1963" t="s">
        <v>1268</v>
      </c>
      <c r="B1963" t="s">
        <v>22</v>
      </c>
      <c r="C1963" t="s">
        <v>23</v>
      </c>
      <c r="D1963" t="s">
        <v>1269</v>
      </c>
      <c r="E1963" s="9">
        <f t="shared" si="62"/>
        <v>23714.785546238763</v>
      </c>
      <c r="F1963" s="3">
        <v>21</v>
      </c>
      <c r="G1963" s="9">
        <v>39312</v>
      </c>
      <c r="H1963" s="4" t="s">
        <v>16</v>
      </c>
      <c r="J1963" s="9">
        <f t="shared" si="63"/>
        <v>0</v>
      </c>
    </row>
    <row r="1964" spans="1:10">
      <c r="A1964" t="s">
        <v>876</v>
      </c>
      <c r="B1964" t="s">
        <v>22</v>
      </c>
      <c r="C1964" t="s">
        <v>23</v>
      </c>
      <c r="D1964" t="s">
        <v>877</v>
      </c>
      <c r="E1964" s="9">
        <f t="shared" si="62"/>
        <v>11384.448332026301</v>
      </c>
      <c r="F1964" s="3">
        <v>21</v>
      </c>
      <c r="G1964" s="9">
        <v>18872</v>
      </c>
      <c r="H1964" s="4" t="s">
        <v>16</v>
      </c>
      <c r="J1964" s="9">
        <f t="shared" si="63"/>
        <v>0</v>
      </c>
    </row>
    <row r="1965" spans="1:10">
      <c r="A1965" t="s">
        <v>868</v>
      </c>
      <c r="B1965" t="s">
        <v>22</v>
      </c>
      <c r="C1965" t="s">
        <v>23</v>
      </c>
      <c r="D1965" t="s">
        <v>869</v>
      </c>
      <c r="E1965" s="9">
        <f t="shared" si="62"/>
        <v>10539.904687217229</v>
      </c>
      <c r="F1965" s="3">
        <v>21</v>
      </c>
      <c r="G1965" s="9">
        <v>17472</v>
      </c>
      <c r="H1965" s="4" t="s">
        <v>16</v>
      </c>
      <c r="J1965" s="9">
        <f t="shared" si="63"/>
        <v>0</v>
      </c>
    </row>
    <row r="1966" spans="1:10">
      <c r="A1966" t="s">
        <v>896</v>
      </c>
      <c r="B1966" t="s">
        <v>22</v>
      </c>
      <c r="C1966" t="s">
        <v>23</v>
      </c>
      <c r="D1966" t="s">
        <v>890</v>
      </c>
      <c r="E1966" s="9">
        <f t="shared" si="62"/>
        <v>131748.80859021537</v>
      </c>
      <c r="F1966" s="3">
        <v>21</v>
      </c>
      <c r="G1966" s="9">
        <v>218400</v>
      </c>
      <c r="H1966" s="4" t="s">
        <v>16</v>
      </c>
      <c r="J1966" s="9">
        <f t="shared" si="63"/>
        <v>0</v>
      </c>
    </row>
    <row r="1967" spans="1:10">
      <c r="A1967" t="s">
        <v>895</v>
      </c>
      <c r="B1967" t="s">
        <v>22</v>
      </c>
      <c r="C1967" t="s">
        <v>23</v>
      </c>
      <c r="D1967" t="s">
        <v>890</v>
      </c>
      <c r="E1967" s="9">
        <f t="shared" si="62"/>
        <v>131748.80859021537</v>
      </c>
      <c r="F1967" s="3">
        <v>21</v>
      </c>
      <c r="G1967" s="9">
        <v>218400</v>
      </c>
      <c r="H1967" s="4" t="s">
        <v>16</v>
      </c>
      <c r="J1967" s="9">
        <f t="shared" si="63"/>
        <v>0</v>
      </c>
    </row>
    <row r="1968" spans="1:10">
      <c r="A1968" t="s">
        <v>894</v>
      </c>
      <c r="B1968" t="s">
        <v>22</v>
      </c>
      <c r="C1968" t="s">
        <v>23</v>
      </c>
      <c r="D1968" t="s">
        <v>890</v>
      </c>
      <c r="E1968" s="9">
        <f t="shared" si="62"/>
        <v>263497.61718043074</v>
      </c>
      <c r="F1968" s="3">
        <v>21</v>
      </c>
      <c r="G1968" s="9">
        <v>436800</v>
      </c>
      <c r="H1968" s="4" t="s">
        <v>16</v>
      </c>
      <c r="J1968" s="9">
        <f t="shared" si="63"/>
        <v>0</v>
      </c>
    </row>
    <row r="1969" spans="1:10">
      <c r="A1969" t="s">
        <v>893</v>
      </c>
      <c r="B1969" t="s">
        <v>22</v>
      </c>
      <c r="C1969" t="s">
        <v>23</v>
      </c>
      <c r="D1969" t="s">
        <v>890</v>
      </c>
      <c r="E1969" s="9">
        <f t="shared" si="62"/>
        <v>131748.80859021537</v>
      </c>
      <c r="F1969" s="3">
        <v>21</v>
      </c>
      <c r="G1969" s="9">
        <v>218400</v>
      </c>
      <c r="H1969" s="6" t="s">
        <v>45</v>
      </c>
      <c r="J1969" s="9">
        <f t="shared" si="63"/>
        <v>0</v>
      </c>
    </row>
    <row r="1970" spans="1:10">
      <c r="A1970" t="s">
        <v>892</v>
      </c>
      <c r="B1970" t="s">
        <v>22</v>
      </c>
      <c r="C1970" t="s">
        <v>23</v>
      </c>
      <c r="D1970" t="s">
        <v>890</v>
      </c>
      <c r="E1970" s="9">
        <f t="shared" si="62"/>
        <v>131748.80859021537</v>
      </c>
      <c r="F1970" s="3">
        <v>21</v>
      </c>
      <c r="G1970" s="9">
        <v>218400</v>
      </c>
      <c r="H1970" s="5" t="s">
        <v>5080</v>
      </c>
      <c r="J1970" s="9">
        <f t="shared" si="63"/>
        <v>0</v>
      </c>
    </row>
    <row r="1971" spans="1:10">
      <c r="A1971" t="s">
        <v>891</v>
      </c>
      <c r="B1971" t="s">
        <v>22</v>
      </c>
      <c r="C1971" t="s">
        <v>23</v>
      </c>
      <c r="D1971" t="s">
        <v>890</v>
      </c>
      <c r="E1971" s="9">
        <f t="shared" si="62"/>
        <v>131748.80859021537</v>
      </c>
      <c r="F1971" s="3">
        <v>21</v>
      </c>
      <c r="G1971" s="9">
        <v>218400</v>
      </c>
      <c r="H1971" s="4" t="s">
        <v>16</v>
      </c>
      <c r="J1971" s="9">
        <f t="shared" si="63"/>
        <v>0</v>
      </c>
    </row>
    <row r="1972" spans="1:10">
      <c r="A1972" t="s">
        <v>889</v>
      </c>
      <c r="B1972" t="s">
        <v>22</v>
      </c>
      <c r="C1972" t="s">
        <v>23</v>
      </c>
      <c r="D1972" t="s">
        <v>890</v>
      </c>
      <c r="E1972" s="9">
        <f t="shared" si="62"/>
        <v>263497.61718043074</v>
      </c>
      <c r="F1972" s="3">
        <v>21</v>
      </c>
      <c r="G1972" s="9">
        <v>436800</v>
      </c>
      <c r="H1972" s="4" t="s">
        <v>16</v>
      </c>
      <c r="J1972" s="9">
        <f t="shared" si="63"/>
        <v>0</v>
      </c>
    </row>
    <row r="1973" spans="1:10" hidden="1">
      <c r="A1973" t="s">
        <v>898</v>
      </c>
      <c r="B1973" t="s">
        <v>22</v>
      </c>
      <c r="C1973" t="s">
        <v>23</v>
      </c>
      <c r="D1973" t="s">
        <v>890</v>
      </c>
      <c r="E1973" s="9">
        <f t="shared" si="62"/>
        <v>8.445436448090728</v>
      </c>
      <c r="F1973" s="3">
        <v>21</v>
      </c>
      <c r="G1973" s="9">
        <v>14</v>
      </c>
      <c r="H1973" s="5" t="s">
        <v>24</v>
      </c>
      <c r="J1973" s="9">
        <f t="shared" si="63"/>
        <v>0</v>
      </c>
    </row>
    <row r="1974" spans="1:10">
      <c r="A1974" t="s">
        <v>1611</v>
      </c>
      <c r="B1974" t="s">
        <v>22</v>
      </c>
      <c r="C1974" t="s">
        <v>23</v>
      </c>
      <c r="D1974" t="s">
        <v>1612</v>
      </c>
      <c r="E1974" s="9">
        <f t="shared" si="62"/>
        <v>122965.55468420098</v>
      </c>
      <c r="F1974" s="3">
        <v>21</v>
      </c>
      <c r="G1974" s="9">
        <v>203840</v>
      </c>
      <c r="H1974" s="4" t="s">
        <v>16</v>
      </c>
      <c r="J1974" s="9">
        <f t="shared" si="63"/>
        <v>0</v>
      </c>
    </row>
    <row r="1975" spans="1:10">
      <c r="A1975" t="s">
        <v>897</v>
      </c>
      <c r="B1975" t="s">
        <v>22</v>
      </c>
      <c r="C1975" t="s">
        <v>23</v>
      </c>
      <c r="D1975" t="s">
        <v>890</v>
      </c>
      <c r="E1975" s="9">
        <f t="shared" si="62"/>
        <v>94859.142184955053</v>
      </c>
      <c r="F1975" s="3">
        <v>21</v>
      </c>
      <c r="G1975" s="9">
        <v>157248</v>
      </c>
      <c r="H1975" s="5" t="s">
        <v>5080</v>
      </c>
      <c r="J1975" s="9">
        <f t="shared" si="63"/>
        <v>0</v>
      </c>
    </row>
    <row r="1976" spans="1:10">
      <c r="A1976" t="s">
        <v>1066</v>
      </c>
      <c r="B1976" t="s">
        <v>22</v>
      </c>
      <c r="C1976" t="s">
        <v>23</v>
      </c>
      <c r="D1976" t="s">
        <v>1067</v>
      </c>
      <c r="E1976" s="9">
        <f t="shared" si="62"/>
        <v>96615.792966157911</v>
      </c>
      <c r="F1976" s="3">
        <v>21</v>
      </c>
      <c r="G1976" s="9">
        <v>160160</v>
      </c>
      <c r="H1976" s="4" t="s">
        <v>16</v>
      </c>
      <c r="J1976" s="9">
        <f t="shared" si="63"/>
        <v>0</v>
      </c>
    </row>
    <row r="1977" spans="1:10" hidden="1">
      <c r="A1977" t="s">
        <v>1790</v>
      </c>
      <c r="B1977" t="s">
        <v>22</v>
      </c>
      <c r="C1977" t="s">
        <v>23</v>
      </c>
      <c r="D1977" t="s">
        <v>472</v>
      </c>
      <c r="E1977" s="9">
        <f t="shared" si="62"/>
        <v>8.445436448090728</v>
      </c>
      <c r="F1977" s="3">
        <v>21</v>
      </c>
      <c r="G1977" s="9">
        <v>14</v>
      </c>
      <c r="H1977" s="5" t="s">
        <v>24</v>
      </c>
      <c r="J1977" s="9">
        <f t="shared" si="63"/>
        <v>0</v>
      </c>
    </row>
    <row r="1978" spans="1:10">
      <c r="A1978" t="s">
        <v>965</v>
      </c>
      <c r="B1978" t="s">
        <v>22</v>
      </c>
      <c r="C1978" t="s">
        <v>23</v>
      </c>
      <c r="D1978" t="s">
        <v>437</v>
      </c>
      <c r="E1978" s="9">
        <f t="shared" si="62"/>
        <v>96615.792966157911</v>
      </c>
      <c r="F1978" s="3">
        <v>21</v>
      </c>
      <c r="G1978" s="9">
        <v>160160</v>
      </c>
      <c r="H1978" s="5" t="s">
        <v>5080</v>
      </c>
      <c r="J1978" s="9">
        <f t="shared" si="63"/>
        <v>0</v>
      </c>
    </row>
    <row r="1979" spans="1:10">
      <c r="A1979" t="s">
        <v>2146</v>
      </c>
      <c r="B1979" t="s">
        <v>22</v>
      </c>
      <c r="C1979" t="s">
        <v>23</v>
      </c>
      <c r="D1979" t="s">
        <v>2014</v>
      </c>
      <c r="E1979" s="9">
        <f t="shared" si="62"/>
        <v>105399.04687217229</v>
      </c>
      <c r="F1979" s="3">
        <v>21</v>
      </c>
      <c r="G1979" s="9">
        <v>174720</v>
      </c>
      <c r="H1979" s="4" t="s">
        <v>16</v>
      </c>
      <c r="J1979" s="9">
        <f t="shared" si="63"/>
        <v>0</v>
      </c>
    </row>
    <row r="1980" spans="1:10">
      <c r="A1980" t="s">
        <v>2147</v>
      </c>
      <c r="B1980" t="s">
        <v>22</v>
      </c>
      <c r="C1980" t="s">
        <v>23</v>
      </c>
      <c r="D1980" t="s">
        <v>2014</v>
      </c>
      <c r="E1980" s="9">
        <f t="shared" si="62"/>
        <v>105399.04687217229</v>
      </c>
      <c r="F1980" s="3">
        <v>21</v>
      </c>
      <c r="G1980" s="9">
        <v>174720</v>
      </c>
      <c r="H1980" s="4" t="s">
        <v>16</v>
      </c>
      <c r="J1980" s="9">
        <f t="shared" si="63"/>
        <v>0</v>
      </c>
    </row>
    <row r="1981" spans="1:10">
      <c r="A1981" t="s">
        <v>2013</v>
      </c>
      <c r="B1981" t="s">
        <v>22</v>
      </c>
      <c r="C1981" t="s">
        <v>23</v>
      </c>
      <c r="D1981" t="s">
        <v>2014</v>
      </c>
      <c r="E1981" s="9">
        <f t="shared" si="62"/>
        <v>114182.30077818663</v>
      </c>
      <c r="F1981" s="3">
        <v>21</v>
      </c>
      <c r="G1981" s="9">
        <v>189280</v>
      </c>
      <c r="H1981" s="4" t="s">
        <v>16</v>
      </c>
      <c r="J1981" s="9">
        <f t="shared" si="63"/>
        <v>0</v>
      </c>
    </row>
    <row r="1982" spans="1:10">
      <c r="A1982" t="s">
        <v>471</v>
      </c>
      <c r="B1982" t="s">
        <v>22</v>
      </c>
      <c r="C1982" t="s">
        <v>23</v>
      </c>
      <c r="D1982" t="s">
        <v>472</v>
      </c>
      <c r="E1982" s="9">
        <f t="shared" si="62"/>
        <v>105399.04687217229</v>
      </c>
      <c r="F1982" s="3">
        <v>21</v>
      </c>
      <c r="G1982" s="9">
        <v>174720</v>
      </c>
      <c r="H1982" s="4" t="s">
        <v>16</v>
      </c>
      <c r="J1982" s="9">
        <f t="shared" si="63"/>
        <v>0</v>
      </c>
    </row>
    <row r="1983" spans="1:10">
      <c r="A1983" t="s">
        <v>436</v>
      </c>
      <c r="B1983" t="s">
        <v>22</v>
      </c>
      <c r="C1983" t="s">
        <v>23</v>
      </c>
      <c r="D1983" t="s">
        <v>437</v>
      </c>
      <c r="E1983" s="9">
        <f t="shared" si="62"/>
        <v>105399.04687217229</v>
      </c>
      <c r="F1983" s="3">
        <v>21</v>
      </c>
      <c r="G1983" s="9">
        <v>174720</v>
      </c>
      <c r="H1983" s="4" t="s">
        <v>16</v>
      </c>
      <c r="J1983" s="9">
        <f t="shared" si="63"/>
        <v>0</v>
      </c>
    </row>
    <row r="1984" spans="1:10" hidden="1">
      <c r="A1984" t="s">
        <v>4344</v>
      </c>
      <c r="B1984" t="s">
        <v>22</v>
      </c>
      <c r="C1984" t="s">
        <v>23</v>
      </c>
      <c r="E1984" s="9">
        <f t="shared" si="62"/>
        <v>8.445436448090728</v>
      </c>
      <c r="F1984" s="3">
        <v>21</v>
      </c>
      <c r="G1984" s="9">
        <v>14</v>
      </c>
      <c r="H1984" s="4" t="s">
        <v>16</v>
      </c>
      <c r="J1984" s="9">
        <f t="shared" si="63"/>
        <v>0</v>
      </c>
    </row>
    <row r="1985" spans="1:10">
      <c r="A1985" t="s">
        <v>2145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5" t="s">
        <v>5080</v>
      </c>
      <c r="J1985" s="9">
        <f t="shared" si="63"/>
        <v>0</v>
      </c>
    </row>
    <row r="1986" spans="1:10">
      <c r="A1986" t="s">
        <v>438</v>
      </c>
      <c r="B1986" t="s">
        <v>22</v>
      </c>
      <c r="C1986" t="s">
        <v>23</v>
      </c>
      <c r="D1986" t="s">
        <v>437</v>
      </c>
      <c r="E1986" s="9">
        <f t="shared" si="62"/>
        <v>66068.649333413763</v>
      </c>
      <c r="F1986" s="3">
        <v>21</v>
      </c>
      <c r="G1986" s="9">
        <v>109522</v>
      </c>
      <c r="H1986" s="6" t="s">
        <v>45</v>
      </c>
      <c r="J1986" s="9">
        <f t="shared" si="63"/>
        <v>0</v>
      </c>
    </row>
    <row r="1987" spans="1:10" hidden="1">
      <c r="A1987" t="s">
        <v>1499</v>
      </c>
      <c r="B1987" t="s">
        <v>22</v>
      </c>
      <c r="C1987" t="s">
        <v>23</v>
      </c>
      <c r="D1987" t="s">
        <v>1498</v>
      </c>
      <c r="E1987" s="9">
        <f t="shared" si="62"/>
        <v>8.445436448090728</v>
      </c>
      <c r="F1987" s="3">
        <v>21</v>
      </c>
      <c r="G1987" s="9">
        <v>14</v>
      </c>
      <c r="H1987" s="4" t="s">
        <v>16</v>
      </c>
      <c r="J1987" s="9">
        <f t="shared" si="63"/>
        <v>0</v>
      </c>
    </row>
    <row r="1988" spans="1:10" hidden="1">
      <c r="A1988" t="s">
        <v>864</v>
      </c>
      <c r="B1988" t="s">
        <v>22</v>
      </c>
      <c r="C1988" t="s">
        <v>23</v>
      </c>
      <c r="D1988" t="s">
        <v>865</v>
      </c>
      <c r="E1988" s="9">
        <f t="shared" si="62"/>
        <v>8.445436448090728</v>
      </c>
      <c r="F1988" s="3">
        <v>21</v>
      </c>
      <c r="G1988" s="9">
        <v>14</v>
      </c>
      <c r="H1988" s="4" t="s">
        <v>16</v>
      </c>
      <c r="J1988" s="9">
        <f t="shared" si="63"/>
        <v>0</v>
      </c>
    </row>
    <row r="1989" spans="1:10" hidden="1">
      <c r="A1989" t="s">
        <v>1494</v>
      </c>
      <c r="B1989" t="s">
        <v>22</v>
      </c>
      <c r="C1989" t="s">
        <v>23</v>
      </c>
      <c r="D1989" t="s">
        <v>1495</v>
      </c>
      <c r="E1989" s="9">
        <f t="shared" si="62"/>
        <v>8.445436448090728</v>
      </c>
      <c r="F1989" s="3">
        <v>21</v>
      </c>
      <c r="G1989" s="9">
        <v>14</v>
      </c>
      <c r="H1989" s="4" t="s">
        <v>16</v>
      </c>
      <c r="J1989" s="9">
        <f t="shared" si="63"/>
        <v>0</v>
      </c>
    </row>
    <row r="1990" spans="1:10" hidden="1">
      <c r="A1990" t="s">
        <v>2419</v>
      </c>
      <c r="B1990" t="s">
        <v>22</v>
      </c>
      <c r="C1990" t="s">
        <v>23</v>
      </c>
      <c r="D1990" t="s">
        <v>2420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 hidden="1">
      <c r="A1991" t="s">
        <v>883</v>
      </c>
      <c r="B1991" t="s">
        <v>22</v>
      </c>
      <c r="C1991" t="s">
        <v>23</v>
      </c>
      <c r="D1991" t="s">
        <v>884</v>
      </c>
      <c r="E1991" s="9">
        <f t="shared" si="62"/>
        <v>8.445436448090728</v>
      </c>
      <c r="F1991" s="3">
        <v>21</v>
      </c>
      <c r="G1991" s="9">
        <v>14</v>
      </c>
      <c r="H1991" s="4" t="s">
        <v>16</v>
      </c>
      <c r="J1991" s="9">
        <f t="shared" si="63"/>
        <v>0</v>
      </c>
    </row>
    <row r="1992" spans="1:10" hidden="1">
      <c r="A1992" t="s">
        <v>881</v>
      </c>
      <c r="B1992" t="s">
        <v>22</v>
      </c>
      <c r="C1992" t="s">
        <v>23</v>
      </c>
      <c r="D1992" t="s">
        <v>882</v>
      </c>
      <c r="E1992" s="9">
        <f t="shared" si="62"/>
        <v>8.445436448090728</v>
      </c>
      <c r="F1992" s="3">
        <v>21</v>
      </c>
      <c r="G1992" s="9">
        <v>14</v>
      </c>
      <c r="H1992" s="4" t="s">
        <v>16</v>
      </c>
      <c r="J1992" s="9">
        <f t="shared" si="63"/>
        <v>0</v>
      </c>
    </row>
    <row r="1993" spans="1:10">
      <c r="A1993" t="s">
        <v>899</v>
      </c>
      <c r="B1993" t="s">
        <v>22</v>
      </c>
      <c r="C1993" t="s">
        <v>23</v>
      </c>
      <c r="D1993" t="s">
        <v>900</v>
      </c>
      <c r="E1993" s="9">
        <f t="shared" ref="E1993:E2056" si="64">SUM(G1993/(1+(F1993/100)) /(1+(37/100)))</f>
        <v>3513.3015624057425</v>
      </c>
      <c r="F1993" s="3">
        <v>21</v>
      </c>
      <c r="G1993" s="9">
        <v>5824</v>
      </c>
      <c r="H1993" s="6" t="s">
        <v>45</v>
      </c>
      <c r="J1993" s="9">
        <f t="shared" ref="J1993:J2056" si="65">SUM(E1993* I1993)</f>
        <v>0</v>
      </c>
    </row>
    <row r="1994" spans="1:10" hidden="1">
      <c r="A1994" t="s">
        <v>862</v>
      </c>
      <c r="B1994" t="s">
        <v>22</v>
      </c>
      <c r="C1994" t="s">
        <v>23</v>
      </c>
      <c r="D1994" t="s">
        <v>863</v>
      </c>
      <c r="E1994" s="9">
        <f t="shared" si="64"/>
        <v>8.445436448090728</v>
      </c>
      <c r="F1994" s="3">
        <v>21</v>
      </c>
      <c r="G1994" s="9">
        <v>14</v>
      </c>
      <c r="H1994" s="4" t="s">
        <v>16</v>
      </c>
      <c r="J1994" s="9">
        <f t="shared" si="65"/>
        <v>0</v>
      </c>
    </row>
    <row r="1995" spans="1:10">
      <c r="A1995" t="s">
        <v>901</v>
      </c>
      <c r="B1995" t="s">
        <v>22</v>
      </c>
      <c r="C1995" t="s">
        <v>23</v>
      </c>
      <c r="D1995" t="s">
        <v>902</v>
      </c>
      <c r="E1995" s="9">
        <f t="shared" si="64"/>
        <v>2634.9761718043073</v>
      </c>
      <c r="F1995" s="3">
        <v>21</v>
      </c>
      <c r="G1995" s="9">
        <v>4368</v>
      </c>
      <c r="H1995" s="4" t="s">
        <v>16</v>
      </c>
      <c r="J1995" s="9">
        <f t="shared" si="65"/>
        <v>0</v>
      </c>
    </row>
    <row r="1996" spans="1:10">
      <c r="A1996" t="s">
        <v>20</v>
      </c>
      <c r="B1996" t="s">
        <v>22</v>
      </c>
      <c r="C1996" t="s">
        <v>23</v>
      </c>
      <c r="D1996" t="s">
        <v>21</v>
      </c>
      <c r="E1996" s="9">
        <f t="shared" si="64"/>
        <v>75510.647282379199</v>
      </c>
      <c r="F1996" s="3">
        <v>21</v>
      </c>
      <c r="G1996" s="9">
        <v>125174</v>
      </c>
      <c r="H1996" s="5" t="s">
        <v>5080</v>
      </c>
      <c r="J1996" s="9">
        <f t="shared" si="65"/>
        <v>0</v>
      </c>
    </row>
    <row r="1997" spans="1:10">
      <c r="A1997" t="s">
        <v>365</v>
      </c>
      <c r="B1997" t="s">
        <v>22</v>
      </c>
      <c r="C1997" t="s">
        <v>23</v>
      </c>
      <c r="D1997" t="s">
        <v>366</v>
      </c>
      <c r="E1997" s="9">
        <f t="shared" si="64"/>
        <v>75510.647282379199</v>
      </c>
      <c r="F1997" s="3">
        <v>21</v>
      </c>
      <c r="G1997" s="9">
        <v>125174</v>
      </c>
      <c r="H1997" s="4" t="s">
        <v>16</v>
      </c>
      <c r="J1997" s="9">
        <f t="shared" si="65"/>
        <v>0</v>
      </c>
    </row>
    <row r="1998" spans="1:10">
      <c r="A1998" t="s">
        <v>223</v>
      </c>
      <c r="B1998" t="s">
        <v>22</v>
      </c>
      <c r="C1998" t="s">
        <v>23</v>
      </c>
      <c r="D1998" t="s">
        <v>224</v>
      </c>
      <c r="E1998" s="9">
        <f t="shared" si="64"/>
        <v>75510.647282379199</v>
      </c>
      <c r="F1998" s="3">
        <v>21</v>
      </c>
      <c r="G1998" s="9">
        <v>125174</v>
      </c>
      <c r="H1998" s="5" t="s">
        <v>5080</v>
      </c>
      <c r="J1998" s="9">
        <f t="shared" si="65"/>
        <v>0</v>
      </c>
    </row>
    <row r="1999" spans="1:10">
      <c r="A1999" t="s">
        <v>38</v>
      </c>
      <c r="B1999" t="s">
        <v>22</v>
      </c>
      <c r="C1999" t="s">
        <v>23</v>
      </c>
      <c r="D1999" t="s">
        <v>39</v>
      </c>
      <c r="E1999" s="9">
        <f t="shared" si="64"/>
        <v>75510.647282379199</v>
      </c>
      <c r="F1999" s="3">
        <v>21</v>
      </c>
      <c r="G1999" s="9">
        <v>125174</v>
      </c>
      <c r="H1999" s="4" t="s">
        <v>16</v>
      </c>
      <c r="J1999" s="9">
        <f t="shared" si="65"/>
        <v>0</v>
      </c>
    </row>
    <row r="2000" spans="1:10">
      <c r="A2000" t="s">
        <v>363</v>
      </c>
      <c r="B2000" t="s">
        <v>22</v>
      </c>
      <c r="C2000" t="s">
        <v>23</v>
      </c>
      <c r="D2000" t="s">
        <v>364</v>
      </c>
      <c r="E2000" s="9">
        <f t="shared" si="64"/>
        <v>94386.197743861965</v>
      </c>
      <c r="F2000" s="3">
        <v>21</v>
      </c>
      <c r="G2000" s="9">
        <v>156464</v>
      </c>
      <c r="H2000" s="5" t="s">
        <v>5080</v>
      </c>
      <c r="J2000" s="9">
        <f t="shared" si="65"/>
        <v>0</v>
      </c>
    </row>
    <row r="2001" spans="1:10">
      <c r="A2001" t="s">
        <v>851</v>
      </c>
      <c r="B2001" t="s">
        <v>22</v>
      </c>
      <c r="C2001" t="s">
        <v>23</v>
      </c>
      <c r="D2001" t="s">
        <v>852</v>
      </c>
      <c r="E2001" s="9">
        <f t="shared" si="64"/>
        <v>79049.285154129218</v>
      </c>
      <c r="F2001" s="3">
        <v>21</v>
      </c>
      <c r="G2001" s="9">
        <v>131040</v>
      </c>
      <c r="H2001" s="6" t="s">
        <v>45</v>
      </c>
      <c r="J2001" s="9">
        <f t="shared" si="65"/>
        <v>0</v>
      </c>
    </row>
    <row r="2002" spans="1:10">
      <c r="A2002" t="s">
        <v>853</v>
      </c>
      <c r="B2002" t="s">
        <v>22</v>
      </c>
      <c r="C2002" t="s">
        <v>23</v>
      </c>
      <c r="D2002" t="s">
        <v>852</v>
      </c>
      <c r="E2002" s="9">
        <f t="shared" si="64"/>
        <v>79049.285154129218</v>
      </c>
      <c r="F2002" s="3">
        <v>21</v>
      </c>
      <c r="G2002" s="9">
        <v>131040</v>
      </c>
      <c r="H2002" s="6" t="s">
        <v>45</v>
      </c>
      <c r="J2002" s="9">
        <f t="shared" si="65"/>
        <v>0</v>
      </c>
    </row>
    <row r="2003" spans="1:10">
      <c r="A2003" t="s">
        <v>849</v>
      </c>
      <c r="B2003" t="s">
        <v>22</v>
      </c>
      <c r="C2003" t="s">
        <v>23</v>
      </c>
      <c r="D2003" t="s">
        <v>850</v>
      </c>
      <c r="E2003" s="9">
        <f t="shared" si="64"/>
        <v>87832.539060143565</v>
      </c>
      <c r="F2003" s="3">
        <v>21</v>
      </c>
      <c r="G2003" s="9">
        <v>145600</v>
      </c>
      <c r="H2003" s="6" t="s">
        <v>45</v>
      </c>
      <c r="J2003" s="9">
        <f t="shared" si="65"/>
        <v>0</v>
      </c>
    </row>
    <row r="2004" spans="1:10">
      <c r="A2004" t="s">
        <v>225</v>
      </c>
      <c r="B2004" t="s">
        <v>22</v>
      </c>
      <c r="C2004" t="s">
        <v>23</v>
      </c>
      <c r="D2004" t="s">
        <v>226</v>
      </c>
      <c r="E2004" s="9">
        <f t="shared" si="64"/>
        <v>9441.9979489654343</v>
      </c>
      <c r="F2004" s="3">
        <v>21</v>
      </c>
      <c r="G2004" s="9">
        <v>15652</v>
      </c>
      <c r="H2004" s="4" t="s">
        <v>16</v>
      </c>
      <c r="J2004" s="9">
        <f t="shared" si="65"/>
        <v>0</v>
      </c>
    </row>
    <row r="2005" spans="1:10" hidden="1">
      <c r="A2005" t="s">
        <v>2144</v>
      </c>
      <c r="B2005" t="s">
        <v>22</v>
      </c>
      <c r="C2005" t="s">
        <v>23</v>
      </c>
      <c r="D2005" t="s">
        <v>2014</v>
      </c>
      <c r="E2005" s="9">
        <f t="shared" si="64"/>
        <v>8.445436448090728</v>
      </c>
      <c r="F2005" s="3">
        <v>21</v>
      </c>
      <c r="G2005" s="9">
        <v>14</v>
      </c>
      <c r="H2005" s="6" t="s">
        <v>45</v>
      </c>
      <c r="J2005" s="9">
        <f t="shared" si="65"/>
        <v>0</v>
      </c>
    </row>
    <row r="2006" spans="1:10">
      <c r="A2006" t="s">
        <v>1282</v>
      </c>
      <c r="B2006" t="s">
        <v>22</v>
      </c>
      <c r="C2006" t="s">
        <v>23</v>
      </c>
      <c r="D2006" t="s">
        <v>1283</v>
      </c>
      <c r="E2006" s="9">
        <f t="shared" si="64"/>
        <v>193231.58593231582</v>
      </c>
      <c r="F2006" s="3">
        <v>21</v>
      </c>
      <c r="G2006" s="9">
        <v>320320</v>
      </c>
      <c r="H2006" s="6" t="s">
        <v>45</v>
      </c>
      <c r="J2006" s="9">
        <f t="shared" si="65"/>
        <v>0</v>
      </c>
    </row>
    <row r="2007" spans="1:10" hidden="1">
      <c r="A2007" t="s">
        <v>860</v>
      </c>
      <c r="B2007" t="s">
        <v>22</v>
      </c>
      <c r="C2007" t="s">
        <v>23</v>
      </c>
      <c r="D2007" t="s">
        <v>861</v>
      </c>
      <c r="E2007" s="9">
        <f t="shared" si="64"/>
        <v>8.445436448090728</v>
      </c>
      <c r="F2007" s="3">
        <v>21</v>
      </c>
      <c r="G2007" s="9">
        <v>14</v>
      </c>
      <c r="H2007" s="4" t="s">
        <v>16</v>
      </c>
      <c r="J2007" s="9">
        <f t="shared" si="65"/>
        <v>0</v>
      </c>
    </row>
    <row r="2008" spans="1:10" hidden="1">
      <c r="A2008" t="s">
        <v>887</v>
      </c>
      <c r="B2008" t="s">
        <v>22</v>
      </c>
      <c r="C2008" t="s">
        <v>23</v>
      </c>
      <c r="D2008" t="s">
        <v>888</v>
      </c>
      <c r="E2008" s="9">
        <f t="shared" si="64"/>
        <v>8.445436448090728</v>
      </c>
      <c r="F2008" s="3">
        <v>21</v>
      </c>
      <c r="G2008" s="9">
        <v>14</v>
      </c>
      <c r="H2008" s="5" t="s">
        <v>24</v>
      </c>
      <c r="J2008" s="9">
        <f t="shared" si="65"/>
        <v>0</v>
      </c>
    </row>
    <row r="2009" spans="1:10">
      <c r="A2009" t="s">
        <v>2011</v>
      </c>
      <c r="B2009" t="s">
        <v>22</v>
      </c>
      <c r="C2009" t="s">
        <v>23</v>
      </c>
      <c r="D2009" t="s">
        <v>2012</v>
      </c>
      <c r="E2009" s="9">
        <f t="shared" si="64"/>
        <v>526995.23436086148</v>
      </c>
      <c r="F2009" s="3">
        <v>21</v>
      </c>
      <c r="G2009" s="9">
        <v>873600</v>
      </c>
      <c r="H2009" s="4" t="s">
        <v>16</v>
      </c>
      <c r="J2009" s="9">
        <f t="shared" si="65"/>
        <v>0</v>
      </c>
    </row>
    <row r="2010" spans="1:10">
      <c r="A2010" t="s">
        <v>2009</v>
      </c>
      <c r="B2010" t="s">
        <v>22</v>
      </c>
      <c r="C2010" t="s">
        <v>23</v>
      </c>
      <c r="D2010" t="s">
        <v>2010</v>
      </c>
      <c r="E2010" s="9">
        <f t="shared" si="64"/>
        <v>526995.23436086148</v>
      </c>
      <c r="F2010" s="3">
        <v>21</v>
      </c>
      <c r="G2010" s="9">
        <v>873600</v>
      </c>
      <c r="H2010" s="4" t="s">
        <v>16</v>
      </c>
      <c r="J2010" s="9">
        <f t="shared" si="65"/>
        <v>0</v>
      </c>
    </row>
    <row r="2011" spans="1:10">
      <c r="A2011" t="s">
        <v>40</v>
      </c>
      <c r="B2011" t="s">
        <v>22</v>
      </c>
      <c r="C2011" t="s">
        <v>28</v>
      </c>
      <c r="D2011" t="s">
        <v>41</v>
      </c>
      <c r="E2011" s="9">
        <f t="shared" si="64"/>
        <v>3470364.9635036495</v>
      </c>
      <c r="F2011" s="3">
        <v>21</v>
      </c>
      <c r="G2011" s="9">
        <v>5752824</v>
      </c>
      <c r="H2011" s="4" t="s">
        <v>16</v>
      </c>
      <c r="J2011" s="9">
        <f t="shared" si="65"/>
        <v>0</v>
      </c>
    </row>
    <row r="2012" spans="1:10">
      <c r="A2012" t="s">
        <v>272</v>
      </c>
      <c r="B2012" t="s">
        <v>22</v>
      </c>
      <c r="C2012" t="s">
        <v>28</v>
      </c>
      <c r="D2012" t="s">
        <v>273</v>
      </c>
      <c r="E2012" s="9">
        <f t="shared" si="64"/>
        <v>1239410.0259395549</v>
      </c>
      <c r="F2012" s="3">
        <v>21</v>
      </c>
      <c r="G2012" s="9">
        <v>2054570</v>
      </c>
      <c r="H2012" s="4" t="s">
        <v>16</v>
      </c>
      <c r="J2012" s="9">
        <f t="shared" si="65"/>
        <v>0</v>
      </c>
    </row>
    <row r="2013" spans="1:10" hidden="1">
      <c r="A2013" t="s">
        <v>856</v>
      </c>
      <c r="B2013" t="s">
        <v>22</v>
      </c>
      <c r="C2013" t="s">
        <v>28</v>
      </c>
      <c r="D2013" t="s">
        <v>857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>
      <c r="A2014" t="s">
        <v>1613</v>
      </c>
      <c r="B2014" t="s">
        <v>22</v>
      </c>
      <c r="C2014" t="s">
        <v>28</v>
      </c>
      <c r="D2014" t="s">
        <v>1614</v>
      </c>
      <c r="E2014" s="9">
        <f t="shared" si="64"/>
        <v>5269952.3436086141</v>
      </c>
      <c r="F2014" s="3">
        <v>21</v>
      </c>
      <c r="G2014" s="9">
        <v>8736000</v>
      </c>
      <c r="H2014" s="4" t="s">
        <v>16</v>
      </c>
      <c r="J2014" s="9">
        <f t="shared" si="65"/>
        <v>0</v>
      </c>
    </row>
    <row r="2015" spans="1:10">
      <c r="A2015" t="s">
        <v>32</v>
      </c>
      <c r="B2015" t="s">
        <v>22</v>
      </c>
      <c r="C2015" t="s">
        <v>28</v>
      </c>
      <c r="D2015" t="s">
        <v>33</v>
      </c>
      <c r="E2015" s="9">
        <f t="shared" si="64"/>
        <v>1090677.4446522288</v>
      </c>
      <c r="F2015" s="3">
        <v>21</v>
      </c>
      <c r="G2015" s="9">
        <v>1808016</v>
      </c>
      <c r="H2015" s="4" t="s">
        <v>16</v>
      </c>
      <c r="J2015" s="9">
        <f t="shared" si="65"/>
        <v>0</v>
      </c>
    </row>
    <row r="2016" spans="1:10">
      <c r="A2016" t="s">
        <v>34</v>
      </c>
      <c r="B2016" t="s">
        <v>22</v>
      </c>
      <c r="C2016" t="s">
        <v>28</v>
      </c>
      <c r="D2016" t="s">
        <v>35</v>
      </c>
      <c r="E2016" s="9">
        <f t="shared" si="64"/>
        <v>1774842.2513120589</v>
      </c>
      <c r="F2016" s="3">
        <v>21</v>
      </c>
      <c r="G2016" s="9">
        <v>2942156</v>
      </c>
      <c r="H2016" s="5" t="s">
        <v>5080</v>
      </c>
      <c r="J2016" s="9">
        <f t="shared" si="65"/>
        <v>0</v>
      </c>
    </row>
    <row r="2017" spans="1:10" hidden="1">
      <c r="A2017" t="s">
        <v>629</v>
      </c>
      <c r="B2017" t="s">
        <v>22</v>
      </c>
      <c r="C2017" t="s">
        <v>28</v>
      </c>
      <c r="D2017" t="s">
        <v>26</v>
      </c>
      <c r="E2017" s="9">
        <f t="shared" si="64"/>
        <v>8.445436448090728</v>
      </c>
      <c r="F2017" s="3">
        <v>21</v>
      </c>
      <c r="G2017" s="9">
        <v>14</v>
      </c>
      <c r="H2017" s="4" t="s">
        <v>16</v>
      </c>
      <c r="J2017" s="9">
        <f t="shared" si="65"/>
        <v>0</v>
      </c>
    </row>
    <row r="2018" spans="1:10">
      <c r="A2018" t="s">
        <v>2565</v>
      </c>
      <c r="B2018" t="s">
        <v>22</v>
      </c>
      <c r="C2018" t="s">
        <v>28</v>
      </c>
      <c r="D2018" t="s">
        <v>2566</v>
      </c>
      <c r="E2018" s="9">
        <f t="shared" si="64"/>
        <v>15201785.606563311</v>
      </c>
      <c r="F2018" s="3">
        <v>21</v>
      </c>
      <c r="G2018" s="9">
        <v>25200000</v>
      </c>
      <c r="H2018" s="4" t="s">
        <v>16</v>
      </c>
      <c r="J2018" s="9">
        <f t="shared" si="65"/>
        <v>0</v>
      </c>
    </row>
    <row r="2019" spans="1:10">
      <c r="A2019" t="s">
        <v>434</v>
      </c>
      <c r="B2019" t="s">
        <v>22</v>
      </c>
      <c r="C2019" t="s">
        <v>28</v>
      </c>
      <c r="D2019" t="s">
        <v>435</v>
      </c>
      <c r="E2019" s="9">
        <f t="shared" si="64"/>
        <v>711443.56638716289</v>
      </c>
      <c r="F2019" s="3">
        <v>21</v>
      </c>
      <c r="G2019" s="9">
        <v>1179360</v>
      </c>
      <c r="H2019" s="4" t="s">
        <v>16</v>
      </c>
      <c r="J2019" s="9">
        <f t="shared" si="65"/>
        <v>0</v>
      </c>
    </row>
    <row r="2020" spans="1:10" hidden="1">
      <c r="A2020" t="s">
        <v>622</v>
      </c>
      <c r="B2020" t="s">
        <v>22</v>
      </c>
      <c r="C2020" t="s">
        <v>28</v>
      </c>
      <c r="D2020" t="s">
        <v>394</v>
      </c>
      <c r="E2020" s="9">
        <f t="shared" si="64"/>
        <v>8.445436448090728</v>
      </c>
      <c r="F2020" s="3">
        <v>21</v>
      </c>
      <c r="G2020" s="9">
        <v>14</v>
      </c>
      <c r="H2020" s="4" t="s">
        <v>16</v>
      </c>
      <c r="J2020" s="9">
        <f t="shared" si="65"/>
        <v>0</v>
      </c>
    </row>
    <row r="2021" spans="1:10">
      <c r="A2021" t="s">
        <v>46</v>
      </c>
      <c r="B2021" t="s">
        <v>22</v>
      </c>
      <c r="C2021" t="s">
        <v>28</v>
      </c>
      <c r="D2021" t="s">
        <v>47</v>
      </c>
      <c r="E2021" s="9">
        <f t="shared" si="64"/>
        <v>5445617.4217289006</v>
      </c>
      <c r="F2021" s="3">
        <v>21</v>
      </c>
      <c r="G2021" s="9">
        <v>9027200</v>
      </c>
      <c r="H2021" s="4" t="s">
        <v>16</v>
      </c>
      <c r="J2021" s="9">
        <f t="shared" si="65"/>
        <v>0</v>
      </c>
    </row>
    <row r="2022" spans="1:10">
      <c r="A2022" t="s">
        <v>795</v>
      </c>
      <c r="B2022" t="s">
        <v>22</v>
      </c>
      <c r="C2022" t="s">
        <v>28</v>
      </c>
      <c r="D2022" t="s">
        <v>394</v>
      </c>
      <c r="E2022" s="9">
        <f t="shared" si="64"/>
        <v>5094287.2654883265</v>
      </c>
      <c r="F2022" s="3">
        <v>21</v>
      </c>
      <c r="G2022" s="9">
        <v>8444800</v>
      </c>
      <c r="H2022" s="4" t="s">
        <v>16</v>
      </c>
      <c r="J2022" s="9">
        <f t="shared" si="65"/>
        <v>0</v>
      </c>
    </row>
    <row r="2023" spans="1:10">
      <c r="A2023" t="s">
        <v>1276</v>
      </c>
      <c r="B2023" t="s">
        <v>22</v>
      </c>
      <c r="C2023" t="s">
        <v>28</v>
      </c>
      <c r="D2023" t="s">
        <v>1277</v>
      </c>
      <c r="E2023" s="9">
        <f t="shared" si="64"/>
        <v>5445617.4217289006</v>
      </c>
      <c r="F2023" s="3">
        <v>21</v>
      </c>
      <c r="G2023" s="9">
        <v>9027200</v>
      </c>
      <c r="H2023" s="5" t="s">
        <v>5080</v>
      </c>
      <c r="J2023" s="9">
        <f t="shared" si="65"/>
        <v>0</v>
      </c>
    </row>
    <row r="2024" spans="1:10">
      <c r="A2024" t="s">
        <v>2247</v>
      </c>
      <c r="B2024" t="s">
        <v>22</v>
      </c>
      <c r="C2024" t="s">
        <v>28</v>
      </c>
      <c r="D2024" t="s">
        <v>2248</v>
      </c>
      <c r="E2024" s="9">
        <f t="shared" si="64"/>
        <v>5742896.7847016947</v>
      </c>
      <c r="F2024" s="3">
        <v>21</v>
      </c>
      <c r="G2024" s="9">
        <v>9520000</v>
      </c>
      <c r="H2024" s="5" t="s">
        <v>5080</v>
      </c>
      <c r="J2024" s="9">
        <f t="shared" si="65"/>
        <v>0</v>
      </c>
    </row>
    <row r="2025" spans="1:10">
      <c r="A2025" t="s">
        <v>796</v>
      </c>
      <c r="B2025" t="s">
        <v>22</v>
      </c>
      <c r="C2025" t="s">
        <v>28</v>
      </c>
      <c r="D2025" t="s">
        <v>797</v>
      </c>
      <c r="E2025" s="9">
        <f t="shared" si="64"/>
        <v>3699506.5452132467</v>
      </c>
      <c r="F2025" s="3">
        <v>21</v>
      </c>
      <c r="G2025" s="9">
        <v>6132671.9999999991</v>
      </c>
      <c r="H2025" s="4" t="s">
        <v>16</v>
      </c>
      <c r="J2025" s="9">
        <f t="shared" si="65"/>
        <v>0</v>
      </c>
    </row>
    <row r="2026" spans="1:10">
      <c r="A2026" t="s">
        <v>270</v>
      </c>
      <c r="B2026" t="s">
        <v>22</v>
      </c>
      <c r="C2026" t="s">
        <v>28</v>
      </c>
      <c r="D2026" t="s">
        <v>271</v>
      </c>
      <c r="E2026" s="9">
        <f t="shared" si="64"/>
        <v>4667066.4173252098</v>
      </c>
      <c r="F2026" s="3">
        <v>21</v>
      </c>
      <c r="G2026" s="9">
        <v>7736596</v>
      </c>
      <c r="H2026" s="5" t="s">
        <v>5080</v>
      </c>
      <c r="J2026" s="9">
        <f t="shared" si="65"/>
        <v>0</v>
      </c>
    </row>
    <row r="2027" spans="1:10" hidden="1">
      <c r="A2027" t="s">
        <v>1866</v>
      </c>
      <c r="B2027" t="s">
        <v>22</v>
      </c>
      <c r="C2027" t="s">
        <v>28</v>
      </c>
      <c r="D2027" t="s">
        <v>1867</v>
      </c>
      <c r="E2027" s="9">
        <f t="shared" si="64"/>
        <v>8.445436448090728</v>
      </c>
      <c r="F2027" s="3">
        <v>21</v>
      </c>
      <c r="G2027" s="9">
        <v>14</v>
      </c>
      <c r="H2027" s="4" t="s">
        <v>16</v>
      </c>
      <c r="J2027" s="9">
        <f t="shared" si="65"/>
        <v>0</v>
      </c>
    </row>
    <row r="2028" spans="1:10">
      <c r="A2028" t="s">
        <v>2141</v>
      </c>
      <c r="B2028" t="s">
        <v>22</v>
      </c>
      <c r="C2028" t="s">
        <v>28</v>
      </c>
      <c r="D2028" t="s">
        <v>1281</v>
      </c>
      <c r="E2028" s="9">
        <f t="shared" si="64"/>
        <v>7026603.1248114845</v>
      </c>
      <c r="F2028" s="3">
        <v>21</v>
      </c>
      <c r="G2028" s="9">
        <v>11648000</v>
      </c>
      <c r="H2028" s="4" t="s">
        <v>16</v>
      </c>
      <c r="J2028" s="9">
        <f t="shared" si="65"/>
        <v>0</v>
      </c>
    </row>
    <row r="2029" spans="1:10">
      <c r="A2029" t="s">
        <v>2142</v>
      </c>
      <c r="B2029" t="s">
        <v>22</v>
      </c>
      <c r="C2029" t="s">
        <v>28</v>
      </c>
      <c r="D2029" t="s">
        <v>2143</v>
      </c>
      <c r="E2029" s="9">
        <f t="shared" si="64"/>
        <v>7377933.2810520604</v>
      </c>
      <c r="F2029" s="3">
        <v>21</v>
      </c>
      <c r="G2029" s="9">
        <v>12230400</v>
      </c>
      <c r="H2029" s="5" t="s">
        <v>5080</v>
      </c>
      <c r="J2029" s="9">
        <f t="shared" si="65"/>
        <v>0</v>
      </c>
    </row>
    <row r="2030" spans="1:10">
      <c r="A2030" t="s">
        <v>1012</v>
      </c>
      <c r="B2030" t="s">
        <v>22</v>
      </c>
      <c r="C2030" t="s">
        <v>28</v>
      </c>
      <c r="D2030" t="s">
        <v>1013</v>
      </c>
      <c r="E2030" s="9">
        <f t="shared" si="64"/>
        <v>5976125.9576521683</v>
      </c>
      <c r="F2030" s="3">
        <v>21</v>
      </c>
      <c r="G2030" s="9">
        <v>9906624</v>
      </c>
      <c r="H2030" s="4" t="s">
        <v>16</v>
      </c>
      <c r="J2030" s="9">
        <f t="shared" si="65"/>
        <v>0</v>
      </c>
    </row>
    <row r="2031" spans="1:10">
      <c r="A2031" t="s">
        <v>2140</v>
      </c>
      <c r="B2031" t="s">
        <v>22</v>
      </c>
      <c r="C2031" t="s">
        <v>28</v>
      </c>
      <c r="D2031" t="s">
        <v>1281</v>
      </c>
      <c r="E2031" s="9">
        <f t="shared" si="64"/>
        <v>8783253.9060143568</v>
      </c>
      <c r="F2031" s="3">
        <v>21</v>
      </c>
      <c r="G2031" s="9">
        <v>14560000</v>
      </c>
      <c r="H2031" s="4" t="s">
        <v>16</v>
      </c>
      <c r="J2031" s="9">
        <f t="shared" si="65"/>
        <v>0</v>
      </c>
    </row>
    <row r="2032" spans="1:10">
      <c r="A2032" t="s">
        <v>304</v>
      </c>
      <c r="B2032" t="s">
        <v>22</v>
      </c>
      <c r="C2032" t="s">
        <v>28</v>
      </c>
      <c r="D2032" t="s">
        <v>178</v>
      </c>
      <c r="E2032" s="9">
        <f t="shared" si="64"/>
        <v>1774842.2513120589</v>
      </c>
      <c r="F2032" s="3">
        <v>21</v>
      </c>
      <c r="G2032" s="9">
        <v>2942156</v>
      </c>
      <c r="H2032" s="4" t="s">
        <v>16</v>
      </c>
      <c r="J2032" s="9">
        <f t="shared" si="65"/>
        <v>0</v>
      </c>
    </row>
    <row r="2033" spans="1:10">
      <c r="A2033" t="s">
        <v>2302</v>
      </c>
      <c r="B2033" t="s">
        <v>22</v>
      </c>
      <c r="C2033" t="s">
        <v>28</v>
      </c>
      <c r="D2033" t="s">
        <v>178</v>
      </c>
      <c r="E2033" s="9">
        <f t="shared" si="64"/>
        <v>1140133.9204922481</v>
      </c>
      <c r="F2033" s="3">
        <v>21</v>
      </c>
      <c r="G2033" s="9">
        <v>1890000</v>
      </c>
      <c r="H2033" s="4" t="s">
        <v>16</v>
      </c>
      <c r="J2033" s="9">
        <f t="shared" si="65"/>
        <v>0</v>
      </c>
    </row>
    <row r="2034" spans="1:10">
      <c r="A2034" t="s">
        <v>662</v>
      </c>
      <c r="B2034" t="s">
        <v>22</v>
      </c>
      <c r="C2034" t="s">
        <v>28</v>
      </c>
      <c r="D2034" t="s">
        <v>663</v>
      </c>
      <c r="E2034" s="9">
        <f t="shared" si="64"/>
        <v>739904.6872172287</v>
      </c>
      <c r="F2034" s="3">
        <v>21</v>
      </c>
      <c r="G2034" s="9">
        <v>1226540</v>
      </c>
      <c r="H2034" s="4" t="s">
        <v>16</v>
      </c>
      <c r="J2034" s="9">
        <f t="shared" si="65"/>
        <v>0</v>
      </c>
    </row>
    <row r="2035" spans="1:10">
      <c r="A2035" t="s">
        <v>1130</v>
      </c>
      <c r="B2035" t="s">
        <v>22</v>
      </c>
      <c r="C2035" t="s">
        <v>28</v>
      </c>
      <c r="D2035" t="s">
        <v>178</v>
      </c>
      <c r="E2035" s="9">
        <f t="shared" si="64"/>
        <v>992507.69137962232</v>
      </c>
      <c r="F2035" s="3">
        <v>21</v>
      </c>
      <c r="G2035" s="9">
        <v>1645280</v>
      </c>
      <c r="H2035" s="4" t="s">
        <v>16</v>
      </c>
      <c r="J2035" s="9">
        <f t="shared" si="65"/>
        <v>0</v>
      </c>
    </row>
    <row r="2036" spans="1:10">
      <c r="A2036" t="s">
        <v>2533</v>
      </c>
      <c r="B2036" t="s">
        <v>22</v>
      </c>
      <c r="C2036" t="s">
        <v>28</v>
      </c>
      <c r="D2036" t="s">
        <v>1281</v>
      </c>
      <c r="E2036" s="9">
        <f t="shared" si="64"/>
        <v>633407.73360680451</v>
      </c>
      <c r="F2036" s="3">
        <v>21</v>
      </c>
      <c r="G2036" s="9">
        <v>1050000</v>
      </c>
      <c r="H2036" s="4" t="s">
        <v>16</v>
      </c>
      <c r="J2036" s="9">
        <f t="shared" si="65"/>
        <v>0</v>
      </c>
    </row>
    <row r="2037" spans="1:10">
      <c r="A2037" t="s">
        <v>2306</v>
      </c>
      <c r="B2037" t="s">
        <v>22</v>
      </c>
      <c r="C2037" t="s">
        <v>28</v>
      </c>
      <c r="D2037" t="s">
        <v>2307</v>
      </c>
      <c r="E2037" s="9">
        <f t="shared" si="64"/>
        <v>1258370.0307655185</v>
      </c>
      <c r="F2037" s="3">
        <v>21</v>
      </c>
      <c r="G2037" s="9">
        <v>2086000</v>
      </c>
      <c r="H2037" s="5" t="s">
        <v>5080</v>
      </c>
      <c r="J2037" s="9">
        <f t="shared" si="65"/>
        <v>0</v>
      </c>
    </row>
    <row r="2038" spans="1:10">
      <c r="A2038" t="s">
        <v>2308</v>
      </c>
      <c r="B2038" t="s">
        <v>22</v>
      </c>
      <c r="C2038" t="s">
        <v>28</v>
      </c>
      <c r="D2038" t="s">
        <v>2309</v>
      </c>
      <c r="E2038" s="9">
        <f t="shared" si="64"/>
        <v>1342824.3952464256</v>
      </c>
      <c r="F2038" s="3">
        <v>21</v>
      </c>
      <c r="G2038" s="9">
        <v>2226000</v>
      </c>
      <c r="H2038" s="6" t="s">
        <v>45</v>
      </c>
      <c r="J2038" s="9">
        <f t="shared" si="65"/>
        <v>0</v>
      </c>
    </row>
    <row r="2039" spans="1:10">
      <c r="A2039" t="s">
        <v>2305</v>
      </c>
      <c r="B2039" t="s">
        <v>22</v>
      </c>
      <c r="C2039" t="s">
        <v>28</v>
      </c>
      <c r="D2039" t="s">
        <v>1444</v>
      </c>
      <c r="E2039" s="9">
        <f t="shared" si="64"/>
        <v>5827351.1491826028</v>
      </c>
      <c r="F2039" s="3">
        <v>21</v>
      </c>
      <c r="G2039" s="9">
        <v>9660000</v>
      </c>
      <c r="H2039" s="5" t="s">
        <v>5080</v>
      </c>
      <c r="J2039" s="9">
        <f t="shared" si="65"/>
        <v>0</v>
      </c>
    </row>
    <row r="2040" spans="1:10" hidden="1">
      <c r="A2040" t="s">
        <v>759</v>
      </c>
      <c r="B2040" t="s">
        <v>22</v>
      </c>
      <c r="C2040" t="s">
        <v>28</v>
      </c>
      <c r="D2040" t="s">
        <v>760</v>
      </c>
      <c r="E2040" s="9">
        <f t="shared" si="64"/>
        <v>8.445436448090728</v>
      </c>
      <c r="F2040" s="3">
        <v>21</v>
      </c>
      <c r="G2040" s="9">
        <v>14</v>
      </c>
      <c r="H2040" s="4" t="s">
        <v>16</v>
      </c>
      <c r="J2040" s="9">
        <f t="shared" si="65"/>
        <v>0</v>
      </c>
    </row>
    <row r="2041" spans="1:10">
      <c r="A2041" t="s">
        <v>1443</v>
      </c>
      <c r="B2041" t="s">
        <v>22</v>
      </c>
      <c r="C2041" t="s">
        <v>28</v>
      </c>
      <c r="D2041" t="s">
        <v>1444</v>
      </c>
      <c r="E2041" s="9">
        <f t="shared" si="64"/>
        <v>10134523.737708872</v>
      </c>
      <c r="F2041" s="3">
        <v>21</v>
      </c>
      <c r="G2041" s="9">
        <v>16800000</v>
      </c>
      <c r="H2041" s="4" t="s">
        <v>16</v>
      </c>
      <c r="J2041" s="9">
        <f t="shared" si="65"/>
        <v>0</v>
      </c>
    </row>
    <row r="2042" spans="1:10">
      <c r="A2042" t="s">
        <v>793</v>
      </c>
      <c r="B2042" t="s">
        <v>22</v>
      </c>
      <c r="C2042" t="s">
        <v>28</v>
      </c>
      <c r="D2042" t="s">
        <v>794</v>
      </c>
      <c r="E2042" s="9">
        <f t="shared" si="64"/>
        <v>1942450.3830608672</v>
      </c>
      <c r="F2042" s="3">
        <v>21</v>
      </c>
      <c r="G2042" s="9">
        <v>3220000</v>
      </c>
      <c r="H2042" s="4" t="s">
        <v>16</v>
      </c>
      <c r="J2042" s="9">
        <f t="shared" si="65"/>
        <v>0</v>
      </c>
    </row>
    <row r="2043" spans="1:10">
      <c r="A2043" t="s">
        <v>2298</v>
      </c>
      <c r="B2043" t="s">
        <v>22</v>
      </c>
      <c r="C2043" t="s">
        <v>28</v>
      </c>
      <c r="D2043" t="s">
        <v>2299</v>
      </c>
      <c r="E2043" s="9">
        <f t="shared" si="64"/>
        <v>1393497.0139349701</v>
      </c>
      <c r="F2043" s="3">
        <v>21</v>
      </c>
      <c r="G2043" s="9">
        <v>2310000</v>
      </c>
      <c r="H2043" s="6" t="s">
        <v>45</v>
      </c>
      <c r="J2043" s="9">
        <f t="shared" si="65"/>
        <v>0</v>
      </c>
    </row>
    <row r="2044" spans="1:10">
      <c r="A2044" t="s">
        <v>660</v>
      </c>
      <c r="B2044" t="s">
        <v>22</v>
      </c>
      <c r="C2044" t="s">
        <v>28</v>
      </c>
      <c r="D2044" t="s">
        <v>661</v>
      </c>
      <c r="E2044" s="9">
        <f t="shared" si="64"/>
        <v>455327.26066236349</v>
      </c>
      <c r="F2044" s="3">
        <v>21</v>
      </c>
      <c r="G2044" s="9">
        <v>754796</v>
      </c>
      <c r="H2044" s="4" t="s">
        <v>16</v>
      </c>
      <c r="J2044" s="9">
        <f t="shared" si="65"/>
        <v>0</v>
      </c>
    </row>
    <row r="2045" spans="1:10">
      <c r="A2045" t="s">
        <v>1129</v>
      </c>
      <c r="B2045" t="s">
        <v>22</v>
      </c>
      <c r="C2045" t="s">
        <v>28</v>
      </c>
      <c r="D2045" t="s">
        <v>37</v>
      </c>
      <c r="E2045" s="9">
        <f t="shared" si="64"/>
        <v>483078.96483078966</v>
      </c>
      <c r="F2045" s="3">
        <v>21</v>
      </c>
      <c r="G2045" s="9">
        <v>800800</v>
      </c>
      <c r="H2045" s="4" t="s">
        <v>16</v>
      </c>
      <c r="J2045" s="9">
        <f t="shared" si="65"/>
        <v>0</v>
      </c>
    </row>
    <row r="2046" spans="1:10">
      <c r="A2046" t="s">
        <v>36</v>
      </c>
      <c r="B2046" t="s">
        <v>22</v>
      </c>
      <c r="C2046" t="s">
        <v>28</v>
      </c>
      <c r="D2046" t="s">
        <v>37</v>
      </c>
      <c r="E2046" s="9">
        <f t="shared" si="64"/>
        <v>793220.72751402552</v>
      </c>
      <c r="F2046" s="3">
        <v>21</v>
      </c>
      <c r="G2046" s="9">
        <v>1314922</v>
      </c>
      <c r="H2046" s="4" t="s">
        <v>16</v>
      </c>
      <c r="J2046" s="9">
        <f t="shared" si="65"/>
        <v>0</v>
      </c>
    </row>
    <row r="2047" spans="1:10">
      <c r="A2047" t="s">
        <v>2764</v>
      </c>
      <c r="B2047" t="s">
        <v>22</v>
      </c>
      <c r="C2047" t="s">
        <v>28</v>
      </c>
      <c r="D2047" t="s">
        <v>2765</v>
      </c>
      <c r="E2047" s="9">
        <f t="shared" si="64"/>
        <v>785425.58967243775</v>
      </c>
      <c r="F2047" s="3">
        <v>21</v>
      </c>
      <c r="G2047" s="9">
        <v>1302000</v>
      </c>
      <c r="H2047" s="5" t="s">
        <v>5080</v>
      </c>
      <c r="J2047" s="9">
        <f t="shared" si="65"/>
        <v>0</v>
      </c>
    </row>
    <row r="2048" spans="1:10">
      <c r="A2048" t="s">
        <v>2766</v>
      </c>
      <c r="B2048" t="s">
        <v>22</v>
      </c>
      <c r="C2048" t="s">
        <v>28</v>
      </c>
      <c r="D2048" t="s">
        <v>2767</v>
      </c>
      <c r="E2048" s="9">
        <f t="shared" si="64"/>
        <v>819207.33546480059</v>
      </c>
      <c r="F2048" s="3">
        <v>21</v>
      </c>
      <c r="G2048" s="9">
        <v>1358000</v>
      </c>
      <c r="H2048" s="4" t="s">
        <v>16</v>
      </c>
      <c r="J2048" s="9">
        <f t="shared" si="65"/>
        <v>0</v>
      </c>
    </row>
    <row r="2049" spans="1:10">
      <c r="A2049" t="s">
        <v>1132</v>
      </c>
      <c r="B2049" t="s">
        <v>22</v>
      </c>
      <c r="C2049" t="s">
        <v>28</v>
      </c>
      <c r="D2049" t="s">
        <v>1133</v>
      </c>
      <c r="E2049" s="9">
        <f t="shared" si="64"/>
        <v>559670.62797852454</v>
      </c>
      <c r="F2049" s="3">
        <v>21</v>
      </c>
      <c r="G2049" s="9">
        <v>927766.00000000012</v>
      </c>
      <c r="H2049" s="4" t="s">
        <v>16</v>
      </c>
      <c r="J2049" s="9">
        <f t="shared" si="65"/>
        <v>0</v>
      </c>
    </row>
    <row r="2050" spans="1:10">
      <c r="A2050" t="s">
        <v>2300</v>
      </c>
      <c r="B2050" t="s">
        <v>22</v>
      </c>
      <c r="C2050" t="s">
        <v>28</v>
      </c>
      <c r="D2050" t="s">
        <v>2301</v>
      </c>
      <c r="E2050" s="9">
        <f t="shared" si="64"/>
        <v>1731314.4718585995</v>
      </c>
      <c r="F2050" s="3">
        <v>21</v>
      </c>
      <c r="G2050" s="9">
        <v>2870000</v>
      </c>
      <c r="H2050" s="4" t="s">
        <v>16</v>
      </c>
      <c r="J2050" s="9">
        <f t="shared" si="65"/>
        <v>0</v>
      </c>
    </row>
    <row r="2051" spans="1:10">
      <c r="A2051" t="s">
        <v>2768</v>
      </c>
      <c r="B2051" t="s">
        <v>22</v>
      </c>
      <c r="C2051" t="s">
        <v>28</v>
      </c>
      <c r="D2051" t="s">
        <v>2769</v>
      </c>
      <c r="E2051" s="9">
        <f t="shared" si="64"/>
        <v>1511733.1242082403</v>
      </c>
      <c r="F2051" s="3">
        <v>21</v>
      </c>
      <c r="G2051" s="9">
        <v>2506000</v>
      </c>
      <c r="H2051" s="5" t="s">
        <v>5080</v>
      </c>
      <c r="J2051" s="9">
        <f t="shared" si="65"/>
        <v>0</v>
      </c>
    </row>
    <row r="2052" spans="1:10">
      <c r="A2052" t="s">
        <v>982</v>
      </c>
      <c r="B2052" t="s">
        <v>22</v>
      </c>
      <c r="C2052" t="s">
        <v>28</v>
      </c>
      <c r="D2052" t="s">
        <v>983</v>
      </c>
      <c r="E2052" s="9">
        <f t="shared" si="64"/>
        <v>1308704.8319961391</v>
      </c>
      <c r="F2052" s="3">
        <v>21</v>
      </c>
      <c r="G2052" s="9">
        <v>2169440</v>
      </c>
      <c r="H2052" s="5" t="s">
        <v>5080</v>
      </c>
      <c r="J2052" s="9">
        <f t="shared" si="65"/>
        <v>0</v>
      </c>
    </row>
    <row r="2053" spans="1:10">
      <c r="A2053" t="s">
        <v>773</v>
      </c>
      <c r="B2053" t="s">
        <v>22</v>
      </c>
      <c r="C2053" t="s">
        <v>28</v>
      </c>
      <c r="D2053" t="s">
        <v>26</v>
      </c>
      <c r="E2053" s="9">
        <f t="shared" si="64"/>
        <v>417381.91470109182</v>
      </c>
      <c r="F2053" s="3">
        <v>21</v>
      </c>
      <c r="G2053" s="9">
        <v>691894</v>
      </c>
      <c r="H2053" s="4" t="s">
        <v>16</v>
      </c>
      <c r="J2053" s="9">
        <f t="shared" si="65"/>
        <v>0</v>
      </c>
    </row>
    <row r="2054" spans="1:10">
      <c r="A2054" t="s">
        <v>705</v>
      </c>
      <c r="B2054" t="s">
        <v>22</v>
      </c>
      <c r="C2054" t="s">
        <v>28</v>
      </c>
      <c r="D2054" t="s">
        <v>26</v>
      </c>
      <c r="E2054" s="9">
        <f t="shared" si="64"/>
        <v>417381.91470109182</v>
      </c>
      <c r="F2054" s="3">
        <v>21</v>
      </c>
      <c r="G2054" s="9">
        <v>691894</v>
      </c>
      <c r="H2054" s="4" t="s">
        <v>16</v>
      </c>
      <c r="J2054" s="9">
        <f t="shared" si="65"/>
        <v>0</v>
      </c>
    </row>
    <row r="2055" spans="1:10" hidden="1">
      <c r="A2055" t="s">
        <v>1884</v>
      </c>
      <c r="B2055" t="s">
        <v>22</v>
      </c>
      <c r="C2055" t="s">
        <v>28</v>
      </c>
      <c r="D2055" t="s">
        <v>26</v>
      </c>
      <c r="E2055" s="9">
        <f t="shared" si="64"/>
        <v>8.445436448090728</v>
      </c>
      <c r="F2055" s="3">
        <v>21</v>
      </c>
      <c r="G2055" s="9">
        <v>14</v>
      </c>
      <c r="H2055" s="4" t="s">
        <v>16</v>
      </c>
      <c r="J2055" s="9">
        <f t="shared" si="65"/>
        <v>0</v>
      </c>
    </row>
    <row r="2056" spans="1:10">
      <c r="A2056" t="s">
        <v>1572</v>
      </c>
      <c r="B2056" t="s">
        <v>22</v>
      </c>
      <c r="C2056" t="s">
        <v>28</v>
      </c>
      <c r="D2056" t="s">
        <v>26</v>
      </c>
      <c r="E2056" s="9">
        <f t="shared" si="64"/>
        <v>518211.98045484704</v>
      </c>
      <c r="F2056" s="3">
        <v>21</v>
      </c>
      <c r="G2056" s="9">
        <v>859040</v>
      </c>
      <c r="H2056" s="4" t="s">
        <v>16</v>
      </c>
      <c r="J2056" s="9">
        <f t="shared" si="65"/>
        <v>0</v>
      </c>
    </row>
    <row r="2057" spans="1:10">
      <c r="A2057" t="s">
        <v>1337</v>
      </c>
      <c r="B2057" t="s">
        <v>22</v>
      </c>
      <c r="C2057" t="s">
        <v>28</v>
      </c>
      <c r="D2057" t="s">
        <v>26</v>
      </c>
      <c r="E2057" s="9">
        <f t="shared" ref="E2057:E2120" si="66">SUM(G2057/(1+(F2057/100)) /(1+(37/100)))</f>
        <v>509428.72654883278</v>
      </c>
      <c r="F2057" s="3">
        <v>21</v>
      </c>
      <c r="G2057" s="9">
        <v>844480.00000000012</v>
      </c>
      <c r="H2057" s="4" t="s">
        <v>16</v>
      </c>
      <c r="J2057" s="9">
        <f t="shared" ref="J2057:J2120" si="67">SUM(E2057* I2057)</f>
        <v>0</v>
      </c>
    </row>
    <row r="2058" spans="1:10" hidden="1">
      <c r="A2058" t="s">
        <v>590</v>
      </c>
      <c r="B2058" t="s">
        <v>22</v>
      </c>
      <c r="C2058" t="s">
        <v>28</v>
      </c>
      <c r="D2058" t="s">
        <v>591</v>
      </c>
      <c r="E2058" s="9">
        <f t="shared" si="66"/>
        <v>8.445436448090728</v>
      </c>
      <c r="F2058" s="3">
        <v>21</v>
      </c>
      <c r="G2058" s="9">
        <v>14</v>
      </c>
      <c r="H2058" s="4" t="s">
        <v>16</v>
      </c>
      <c r="J2058" s="9">
        <f t="shared" si="67"/>
        <v>0</v>
      </c>
    </row>
    <row r="2059" spans="1:10" hidden="1">
      <c r="A2059" t="s">
        <v>1920</v>
      </c>
      <c r="B2059" t="s">
        <v>22</v>
      </c>
      <c r="C2059" t="s">
        <v>28</v>
      </c>
      <c r="D2059" t="s">
        <v>1921</v>
      </c>
      <c r="E2059" s="9">
        <f t="shared" si="66"/>
        <v>8.445436448090728</v>
      </c>
      <c r="F2059" s="3">
        <v>21</v>
      </c>
      <c r="G2059" s="9">
        <v>14</v>
      </c>
      <c r="H2059" s="4" t="s">
        <v>16</v>
      </c>
      <c r="J2059" s="9">
        <f t="shared" si="67"/>
        <v>0</v>
      </c>
    </row>
    <row r="2060" spans="1:10">
      <c r="A2060" t="s">
        <v>1619</v>
      </c>
      <c r="B2060" t="s">
        <v>22</v>
      </c>
      <c r="C2060" t="s">
        <v>28</v>
      </c>
      <c r="D2060" t="s">
        <v>1620</v>
      </c>
      <c r="E2060" s="9">
        <f t="shared" si="66"/>
        <v>281064.12499245943</v>
      </c>
      <c r="F2060" s="3">
        <v>21</v>
      </c>
      <c r="G2060" s="9">
        <v>465920</v>
      </c>
      <c r="H2060" s="4" t="s">
        <v>16</v>
      </c>
      <c r="J2060" s="9">
        <f t="shared" si="67"/>
        <v>0</v>
      </c>
    </row>
    <row r="2061" spans="1:10">
      <c r="A2061" t="s">
        <v>1615</v>
      </c>
      <c r="B2061" t="s">
        <v>22</v>
      </c>
      <c r="C2061" t="s">
        <v>28</v>
      </c>
      <c r="D2061" t="s">
        <v>1616</v>
      </c>
      <c r="E2061" s="9">
        <f t="shared" si="66"/>
        <v>281064.12499245943</v>
      </c>
      <c r="F2061" s="3">
        <v>21</v>
      </c>
      <c r="G2061" s="9">
        <v>465920</v>
      </c>
      <c r="H2061" s="4" t="s">
        <v>16</v>
      </c>
      <c r="J2061" s="9">
        <f t="shared" si="67"/>
        <v>0</v>
      </c>
    </row>
    <row r="2062" spans="1:10" hidden="1">
      <c r="A2062" t="s">
        <v>1922</v>
      </c>
      <c r="B2062" t="s">
        <v>22</v>
      </c>
      <c r="C2062" t="s">
        <v>28</v>
      </c>
      <c r="D2062" t="s">
        <v>1923</v>
      </c>
      <c r="E2062" s="9">
        <f t="shared" si="66"/>
        <v>8.445436448090728</v>
      </c>
      <c r="F2062" s="3">
        <v>21</v>
      </c>
      <c r="G2062" s="9">
        <v>14</v>
      </c>
      <c r="H2062" s="5" t="s">
        <v>24</v>
      </c>
      <c r="J2062" s="9">
        <f t="shared" si="67"/>
        <v>0</v>
      </c>
    </row>
    <row r="2063" spans="1:10">
      <c r="A2063" t="s">
        <v>1617</v>
      </c>
      <c r="B2063" t="s">
        <v>22</v>
      </c>
      <c r="C2063" t="s">
        <v>28</v>
      </c>
      <c r="D2063" t="s">
        <v>1618</v>
      </c>
      <c r="E2063" s="9">
        <f t="shared" si="66"/>
        <v>281064.12499245943</v>
      </c>
      <c r="F2063" s="3">
        <v>21</v>
      </c>
      <c r="G2063" s="9">
        <v>465920</v>
      </c>
      <c r="H2063" s="6" t="s">
        <v>45</v>
      </c>
      <c r="J2063" s="9">
        <f t="shared" si="67"/>
        <v>0</v>
      </c>
    </row>
    <row r="2064" spans="1:10">
      <c r="A2064" t="s">
        <v>2152</v>
      </c>
      <c r="B2064" t="s">
        <v>22</v>
      </c>
      <c r="C2064" t="s">
        <v>28</v>
      </c>
      <c r="D2064" t="s">
        <v>2153</v>
      </c>
      <c r="E2064" s="9">
        <f t="shared" si="66"/>
        <v>606044.51951499062</v>
      </c>
      <c r="F2064" s="3">
        <v>21</v>
      </c>
      <c r="G2064" s="9">
        <v>1004640</v>
      </c>
      <c r="H2064" s="6" t="s">
        <v>45</v>
      </c>
      <c r="J2064" s="9">
        <f t="shared" si="67"/>
        <v>0</v>
      </c>
    </row>
    <row r="2065" spans="1:10">
      <c r="A2065" t="s">
        <v>266</v>
      </c>
      <c r="B2065" t="s">
        <v>22</v>
      </c>
      <c r="C2065" t="s">
        <v>28</v>
      </c>
      <c r="D2065" t="s">
        <v>267</v>
      </c>
      <c r="E2065" s="9">
        <f t="shared" si="66"/>
        <v>1437725.7646136212</v>
      </c>
      <c r="F2065" s="3">
        <v>21</v>
      </c>
      <c r="G2065" s="9">
        <v>2383318</v>
      </c>
      <c r="H2065" s="4" t="s">
        <v>16</v>
      </c>
      <c r="J2065" s="9">
        <f t="shared" si="67"/>
        <v>0</v>
      </c>
    </row>
    <row r="2066" spans="1:10">
      <c r="A2066" t="s">
        <v>2303</v>
      </c>
      <c r="B2066" t="s">
        <v>22</v>
      </c>
      <c r="C2066" t="s">
        <v>28</v>
      </c>
      <c r="D2066" t="s">
        <v>2304</v>
      </c>
      <c r="E2066" s="9">
        <f t="shared" si="66"/>
        <v>1097906.7382517946</v>
      </c>
      <c r="F2066" s="3">
        <v>21</v>
      </c>
      <c r="G2066" s="9">
        <v>1820000</v>
      </c>
      <c r="H2066" s="4" t="s">
        <v>16</v>
      </c>
      <c r="J2066" s="9">
        <f t="shared" si="67"/>
        <v>0</v>
      </c>
    </row>
    <row r="2067" spans="1:10">
      <c r="A2067" t="s">
        <v>2516</v>
      </c>
      <c r="B2067" t="s">
        <v>22</v>
      </c>
      <c r="C2067" t="s">
        <v>28</v>
      </c>
      <c r="D2067" t="s">
        <v>2517</v>
      </c>
      <c r="E2067" s="9">
        <f t="shared" si="66"/>
        <v>1199251.9756288833</v>
      </c>
      <c r="F2067" s="3">
        <v>21</v>
      </c>
      <c r="G2067" s="9">
        <v>1988000</v>
      </c>
      <c r="H2067" s="4" t="s">
        <v>16</v>
      </c>
      <c r="J2067" s="9">
        <f t="shared" si="67"/>
        <v>0</v>
      </c>
    </row>
    <row r="2068" spans="1:10">
      <c r="A2068" t="s">
        <v>1782</v>
      </c>
      <c r="B2068" t="s">
        <v>22</v>
      </c>
      <c r="C2068" t="s">
        <v>28</v>
      </c>
      <c r="D2068" t="s">
        <v>1783</v>
      </c>
      <c r="E2068" s="9">
        <f t="shared" si="66"/>
        <v>1229655.54684201</v>
      </c>
      <c r="F2068" s="3">
        <v>21</v>
      </c>
      <c r="G2068" s="9">
        <v>2038400</v>
      </c>
      <c r="H2068" s="4" t="s">
        <v>16</v>
      </c>
      <c r="J2068" s="9">
        <f t="shared" si="67"/>
        <v>0</v>
      </c>
    </row>
    <row r="2069" spans="1:10">
      <c r="A2069" t="s">
        <v>1496</v>
      </c>
      <c r="B2069" t="s">
        <v>22</v>
      </c>
      <c r="C2069" t="s">
        <v>28</v>
      </c>
      <c r="D2069" t="s">
        <v>394</v>
      </c>
      <c r="E2069" s="9">
        <f t="shared" si="66"/>
        <v>2810641.2499245941</v>
      </c>
      <c r="F2069" s="3">
        <v>21</v>
      </c>
      <c r="G2069" s="9">
        <v>4659200</v>
      </c>
      <c r="H2069" s="4" t="s">
        <v>16</v>
      </c>
      <c r="J2069" s="9">
        <f t="shared" si="67"/>
        <v>0</v>
      </c>
    </row>
    <row r="2070" spans="1:10">
      <c r="A2070" t="s">
        <v>268</v>
      </c>
      <c r="B2070" t="s">
        <v>22</v>
      </c>
      <c r="C2070" t="s">
        <v>28</v>
      </c>
      <c r="D2070" t="s">
        <v>269</v>
      </c>
      <c r="E2070" s="9">
        <f t="shared" si="66"/>
        <v>1223684.6232732097</v>
      </c>
      <c r="F2070" s="3">
        <v>21</v>
      </c>
      <c r="G2070" s="9">
        <v>2028502</v>
      </c>
      <c r="H2070" s="5" t="s">
        <v>5080</v>
      </c>
      <c r="J2070" s="9">
        <f t="shared" si="67"/>
        <v>0</v>
      </c>
    </row>
    <row r="2071" spans="1:10">
      <c r="A2071" t="s">
        <v>305</v>
      </c>
      <c r="B2071" t="s">
        <v>22</v>
      </c>
      <c r="C2071" t="s">
        <v>28</v>
      </c>
      <c r="D2071" t="s">
        <v>306</v>
      </c>
      <c r="E2071" s="9">
        <f t="shared" si="66"/>
        <v>1288984.7378898475</v>
      </c>
      <c r="F2071" s="3">
        <v>21</v>
      </c>
      <c r="G2071" s="9">
        <v>2136750</v>
      </c>
      <c r="H2071" s="5" t="s">
        <v>5080</v>
      </c>
      <c r="J2071" s="9">
        <f t="shared" si="67"/>
        <v>0</v>
      </c>
    </row>
    <row r="2072" spans="1:10">
      <c r="A2072" t="s">
        <v>393</v>
      </c>
      <c r="B2072" t="s">
        <v>22</v>
      </c>
      <c r="C2072" t="s">
        <v>28</v>
      </c>
      <c r="D2072" t="s">
        <v>394</v>
      </c>
      <c r="E2072" s="9">
        <f t="shared" si="66"/>
        <v>1368304.2770103153</v>
      </c>
      <c r="F2072" s="3">
        <v>21</v>
      </c>
      <c r="G2072" s="9">
        <v>2268238</v>
      </c>
      <c r="H2072" s="4" t="s">
        <v>16</v>
      </c>
      <c r="J2072" s="9">
        <f t="shared" si="67"/>
        <v>0</v>
      </c>
    </row>
    <row r="2073" spans="1:10">
      <c r="A2073" t="s">
        <v>984</v>
      </c>
      <c r="B2073" t="s">
        <v>22</v>
      </c>
      <c r="C2073" t="s">
        <v>28</v>
      </c>
      <c r="D2073" t="s">
        <v>394</v>
      </c>
      <c r="E2073" s="9">
        <f t="shared" si="66"/>
        <v>711443.56638716289</v>
      </c>
      <c r="F2073" s="3">
        <v>21</v>
      </c>
      <c r="G2073" s="9">
        <v>1179360</v>
      </c>
      <c r="H2073" s="5" t="s">
        <v>5080</v>
      </c>
      <c r="J2073" s="9">
        <f t="shared" si="67"/>
        <v>0</v>
      </c>
    </row>
    <row r="2074" spans="1:10">
      <c r="A2074" t="s">
        <v>1011</v>
      </c>
      <c r="B2074" t="s">
        <v>22</v>
      </c>
      <c r="C2074" t="s">
        <v>28</v>
      </c>
      <c r="D2074" t="s">
        <v>394</v>
      </c>
      <c r="E2074" s="9">
        <f t="shared" si="66"/>
        <v>939808.16794353607</v>
      </c>
      <c r="F2074" s="3">
        <v>21</v>
      </c>
      <c r="G2074" s="9">
        <v>1557920</v>
      </c>
      <c r="H2074" s="4" t="s">
        <v>16</v>
      </c>
      <c r="J2074" s="9">
        <f t="shared" si="67"/>
        <v>0</v>
      </c>
    </row>
    <row r="2075" spans="1:10">
      <c r="A2075" t="s">
        <v>981</v>
      </c>
      <c r="B2075" t="s">
        <v>22</v>
      </c>
      <c r="C2075" t="s">
        <v>28</v>
      </c>
      <c r="D2075" t="s">
        <v>394</v>
      </c>
      <c r="E2075" s="9">
        <f t="shared" si="66"/>
        <v>939808.16794353607</v>
      </c>
      <c r="F2075" s="3">
        <v>21</v>
      </c>
      <c r="G2075" s="9">
        <v>1557920</v>
      </c>
      <c r="H2075" s="4" t="s">
        <v>16</v>
      </c>
      <c r="J2075" s="9">
        <f t="shared" si="67"/>
        <v>0</v>
      </c>
    </row>
    <row r="2076" spans="1:10">
      <c r="A2076" t="s">
        <v>2292</v>
      </c>
      <c r="B2076" t="s">
        <v>22</v>
      </c>
      <c r="C2076" t="s">
        <v>28</v>
      </c>
      <c r="D2076" t="s">
        <v>2293</v>
      </c>
      <c r="E2076" s="9">
        <f t="shared" si="66"/>
        <v>751643.8438800748</v>
      </c>
      <c r="F2076" s="3">
        <v>21</v>
      </c>
      <c r="G2076" s="9">
        <v>1246000</v>
      </c>
      <c r="H2076" s="4" t="s">
        <v>16</v>
      </c>
      <c r="J2076" s="9">
        <f t="shared" si="67"/>
        <v>0</v>
      </c>
    </row>
    <row r="2077" spans="1:10">
      <c r="A2077" t="s">
        <v>2762</v>
      </c>
      <c r="B2077" t="s">
        <v>22</v>
      </c>
      <c r="C2077" t="s">
        <v>28</v>
      </c>
      <c r="D2077" t="s">
        <v>2763</v>
      </c>
      <c r="E2077" s="9">
        <f t="shared" si="66"/>
        <v>582735.11491826025</v>
      </c>
      <c r="F2077" s="3">
        <v>21</v>
      </c>
      <c r="G2077" s="9">
        <v>966000</v>
      </c>
      <c r="H2077" s="4" t="s">
        <v>16</v>
      </c>
      <c r="J2077" s="9">
        <f t="shared" si="67"/>
        <v>0</v>
      </c>
    </row>
    <row r="2078" spans="1:10">
      <c r="A2078" t="s">
        <v>658</v>
      </c>
      <c r="B2078" t="s">
        <v>22</v>
      </c>
      <c r="C2078" t="s">
        <v>28</v>
      </c>
      <c r="D2078" t="s">
        <v>659</v>
      </c>
      <c r="E2078" s="9">
        <f t="shared" si="66"/>
        <v>374690.23345599324</v>
      </c>
      <c r="F2078" s="3">
        <v>21</v>
      </c>
      <c r="G2078" s="9">
        <v>621124</v>
      </c>
      <c r="H2078" s="4" t="s">
        <v>16</v>
      </c>
      <c r="J2078" s="9">
        <f t="shared" si="67"/>
        <v>0</v>
      </c>
    </row>
    <row r="2079" spans="1:10">
      <c r="A2079" t="s">
        <v>1131</v>
      </c>
      <c r="B2079" t="s">
        <v>22</v>
      </c>
      <c r="C2079" t="s">
        <v>28</v>
      </c>
      <c r="D2079" t="s">
        <v>394</v>
      </c>
      <c r="E2079" s="9">
        <f t="shared" si="66"/>
        <v>606044.51951499062</v>
      </c>
      <c r="F2079" s="3">
        <v>21</v>
      </c>
      <c r="G2079" s="9">
        <v>1004640</v>
      </c>
      <c r="H2079" s="4" t="s">
        <v>16</v>
      </c>
      <c r="J2079" s="9">
        <f t="shared" si="67"/>
        <v>0</v>
      </c>
    </row>
    <row r="2080" spans="1:10" hidden="1">
      <c r="A2080" t="s">
        <v>3442</v>
      </c>
      <c r="B2080" t="s">
        <v>22</v>
      </c>
      <c r="C2080" t="s">
        <v>28</v>
      </c>
      <c r="D2080" t="s">
        <v>394</v>
      </c>
      <c r="E2080" s="9">
        <f t="shared" si="66"/>
        <v>8.445436448090728</v>
      </c>
      <c r="F2080" s="3">
        <v>21</v>
      </c>
      <c r="G2080" s="9">
        <v>14</v>
      </c>
      <c r="H2080" s="4" t="s">
        <v>16</v>
      </c>
      <c r="J2080" s="9">
        <f t="shared" si="67"/>
        <v>0</v>
      </c>
    </row>
    <row r="2081" spans="1:10">
      <c r="A2081" t="s">
        <v>1239</v>
      </c>
      <c r="B2081" t="s">
        <v>22</v>
      </c>
      <c r="C2081" t="s">
        <v>28</v>
      </c>
      <c r="D2081" t="s">
        <v>267</v>
      </c>
      <c r="E2081" s="9">
        <f t="shared" si="66"/>
        <v>1273571.8163720816</v>
      </c>
      <c r="F2081" s="3">
        <v>21</v>
      </c>
      <c r="G2081" s="9">
        <v>2111200</v>
      </c>
      <c r="H2081" s="4" t="s">
        <v>16</v>
      </c>
      <c r="J2081" s="9">
        <f t="shared" si="67"/>
        <v>0</v>
      </c>
    </row>
    <row r="2082" spans="1:10">
      <c r="A2082" t="s">
        <v>2573</v>
      </c>
      <c r="B2082" t="s">
        <v>22</v>
      </c>
      <c r="C2082" t="s">
        <v>28</v>
      </c>
      <c r="D2082" t="s">
        <v>2574</v>
      </c>
      <c r="E2082" s="9">
        <f t="shared" si="66"/>
        <v>2955902.7568317545</v>
      </c>
      <c r="F2082" s="3">
        <v>21</v>
      </c>
      <c r="G2082" s="9">
        <v>4900000</v>
      </c>
      <c r="H2082" s="4" t="s">
        <v>16</v>
      </c>
      <c r="J2082" s="9">
        <f t="shared" si="67"/>
        <v>0</v>
      </c>
    </row>
    <row r="2083" spans="1:10">
      <c r="A2083" t="s">
        <v>2296</v>
      </c>
      <c r="B2083" t="s">
        <v>22</v>
      </c>
      <c r="C2083" t="s">
        <v>28</v>
      </c>
      <c r="D2083" t="s">
        <v>2297</v>
      </c>
      <c r="E2083" s="9">
        <f t="shared" si="66"/>
        <v>1342824.3952464256</v>
      </c>
      <c r="F2083" s="3">
        <v>21</v>
      </c>
      <c r="G2083" s="9">
        <v>2226000</v>
      </c>
      <c r="H2083" s="5" t="s">
        <v>5080</v>
      </c>
      <c r="J2083" s="9">
        <f t="shared" si="67"/>
        <v>0</v>
      </c>
    </row>
    <row r="2084" spans="1:10" hidden="1">
      <c r="A2084" t="s">
        <v>2062</v>
      </c>
      <c r="B2084" t="s">
        <v>523</v>
      </c>
      <c r="C2084" t="s">
        <v>23</v>
      </c>
      <c r="D2084" t="s">
        <v>2063</v>
      </c>
      <c r="E2084" s="9">
        <f t="shared" si="66"/>
        <v>8.445436448090728</v>
      </c>
      <c r="F2084" s="3">
        <v>21</v>
      </c>
      <c r="G2084" s="9">
        <v>14</v>
      </c>
      <c r="H2084" s="6" t="s">
        <v>45</v>
      </c>
      <c r="J2084" s="9">
        <f t="shared" si="67"/>
        <v>0</v>
      </c>
    </row>
    <row r="2085" spans="1:10" hidden="1">
      <c r="A2085" t="s">
        <v>2108</v>
      </c>
      <c r="B2085" t="s">
        <v>523</v>
      </c>
      <c r="C2085" t="s">
        <v>23</v>
      </c>
      <c r="D2085" t="s">
        <v>2109</v>
      </c>
      <c r="E2085" s="9">
        <f t="shared" si="66"/>
        <v>8.445436448090728</v>
      </c>
      <c r="F2085" s="3">
        <v>21</v>
      </c>
      <c r="G2085" s="9">
        <v>14</v>
      </c>
      <c r="H2085" s="6" t="s">
        <v>45</v>
      </c>
      <c r="J2085" s="9">
        <f t="shared" si="67"/>
        <v>0</v>
      </c>
    </row>
    <row r="2086" spans="1:10">
      <c r="A2086" t="s">
        <v>605</v>
      </c>
      <c r="B2086" t="s">
        <v>523</v>
      </c>
      <c r="C2086" t="s">
        <v>23</v>
      </c>
      <c r="D2086" t="s">
        <v>606</v>
      </c>
      <c r="E2086" s="9">
        <f t="shared" si="66"/>
        <v>7592.447366833564</v>
      </c>
      <c r="F2086" s="3">
        <v>21</v>
      </c>
      <c r="G2086" s="9">
        <v>12586</v>
      </c>
      <c r="H2086" s="4" t="s">
        <v>16</v>
      </c>
      <c r="J2086" s="9">
        <f t="shared" si="67"/>
        <v>0</v>
      </c>
    </row>
    <row r="2087" spans="1:10" hidden="1">
      <c r="A2087" t="s">
        <v>4197</v>
      </c>
      <c r="B2087" t="s">
        <v>523</v>
      </c>
      <c r="C2087" t="s">
        <v>23</v>
      </c>
      <c r="D2087" t="s">
        <v>4198</v>
      </c>
      <c r="E2087" s="9">
        <f t="shared" si="66"/>
        <v>8.445436448090728</v>
      </c>
      <c r="F2087" s="3">
        <v>21</v>
      </c>
      <c r="G2087" s="9">
        <v>14</v>
      </c>
      <c r="H2087" s="4" t="s">
        <v>16</v>
      </c>
      <c r="J2087" s="9">
        <f t="shared" si="67"/>
        <v>0</v>
      </c>
    </row>
    <row r="2088" spans="1:10">
      <c r="A2088" t="s">
        <v>1142</v>
      </c>
      <c r="B2088" t="s">
        <v>523</v>
      </c>
      <c r="C2088" t="s">
        <v>140</v>
      </c>
      <c r="D2088" t="s">
        <v>1143</v>
      </c>
      <c r="E2088" s="9">
        <f t="shared" si="66"/>
        <v>939808.16794353607</v>
      </c>
      <c r="F2088" s="3">
        <v>21</v>
      </c>
      <c r="G2088" s="9">
        <v>1557920</v>
      </c>
      <c r="H2088" s="4" t="s">
        <v>16</v>
      </c>
      <c r="J2088" s="9">
        <f t="shared" si="67"/>
        <v>0</v>
      </c>
    </row>
    <row r="2089" spans="1:10">
      <c r="A2089" t="s">
        <v>1366</v>
      </c>
      <c r="B2089" t="s">
        <v>523</v>
      </c>
      <c r="C2089" t="s">
        <v>140</v>
      </c>
      <c r="D2089" t="s">
        <v>1367</v>
      </c>
      <c r="E2089" s="9">
        <f t="shared" si="66"/>
        <v>939808.16794353607</v>
      </c>
      <c r="F2089" s="3">
        <v>21</v>
      </c>
      <c r="G2089" s="9">
        <v>1557920</v>
      </c>
      <c r="H2089" s="5" t="s">
        <v>5080</v>
      </c>
      <c r="J2089" s="9">
        <f t="shared" si="67"/>
        <v>0</v>
      </c>
    </row>
    <row r="2090" spans="1:10">
      <c r="A2090" t="s">
        <v>1365</v>
      </c>
      <c r="B2090" t="s">
        <v>523</v>
      </c>
      <c r="C2090" t="s">
        <v>140</v>
      </c>
      <c r="D2090" t="s">
        <v>522</v>
      </c>
      <c r="E2090" s="9">
        <f t="shared" si="66"/>
        <v>939808.16794353607</v>
      </c>
      <c r="F2090" s="3">
        <v>21</v>
      </c>
      <c r="G2090" s="9">
        <v>1557920</v>
      </c>
      <c r="H2090" s="6" t="s">
        <v>45</v>
      </c>
      <c r="J2090" s="9">
        <f t="shared" si="67"/>
        <v>0</v>
      </c>
    </row>
    <row r="2091" spans="1:10">
      <c r="A2091" t="s">
        <v>1609</v>
      </c>
      <c r="B2091" t="s">
        <v>523</v>
      </c>
      <c r="C2091" t="s">
        <v>140</v>
      </c>
      <c r="D2091" t="s">
        <v>1610</v>
      </c>
      <c r="E2091" s="9">
        <f t="shared" si="66"/>
        <v>404029.67967666039</v>
      </c>
      <c r="F2091" s="3">
        <v>21</v>
      </c>
      <c r="G2091" s="9">
        <v>669760</v>
      </c>
      <c r="H2091" s="5" t="s">
        <v>5080</v>
      </c>
      <c r="J2091" s="9">
        <f t="shared" si="67"/>
        <v>0</v>
      </c>
    </row>
    <row r="2092" spans="1:10">
      <c r="A2092" t="s">
        <v>1607</v>
      </c>
      <c r="B2092" t="s">
        <v>523</v>
      </c>
      <c r="C2092" t="s">
        <v>140</v>
      </c>
      <c r="D2092" t="s">
        <v>1608</v>
      </c>
      <c r="E2092" s="9">
        <f t="shared" si="66"/>
        <v>404029.67967666039</v>
      </c>
      <c r="F2092" s="3">
        <v>21</v>
      </c>
      <c r="G2092" s="9">
        <v>669760</v>
      </c>
      <c r="H2092" s="5" t="s">
        <v>5080</v>
      </c>
      <c r="J2092" s="9">
        <f t="shared" si="67"/>
        <v>0</v>
      </c>
    </row>
    <row r="2093" spans="1:10">
      <c r="A2093" t="s">
        <v>1144</v>
      </c>
      <c r="B2093" t="s">
        <v>523</v>
      </c>
      <c r="C2093" t="s">
        <v>140</v>
      </c>
      <c r="D2093" t="s">
        <v>1145</v>
      </c>
      <c r="E2093" s="9">
        <f t="shared" si="66"/>
        <v>404029.67967666039</v>
      </c>
      <c r="F2093" s="3">
        <v>21</v>
      </c>
      <c r="G2093" s="9">
        <v>669760</v>
      </c>
      <c r="H2093" s="4" t="s">
        <v>16</v>
      </c>
      <c r="J2093" s="9">
        <f t="shared" si="67"/>
        <v>0</v>
      </c>
    </row>
    <row r="2094" spans="1:10">
      <c r="A2094" t="s">
        <v>1146</v>
      </c>
      <c r="B2094" t="s">
        <v>523</v>
      </c>
      <c r="C2094" t="s">
        <v>140</v>
      </c>
      <c r="D2094" t="s">
        <v>1147</v>
      </c>
      <c r="E2094" s="9">
        <f t="shared" si="66"/>
        <v>702660.31248114852</v>
      </c>
      <c r="F2094" s="3">
        <v>21</v>
      </c>
      <c r="G2094" s="9">
        <v>1164800</v>
      </c>
      <c r="H2094" s="6" t="s">
        <v>45</v>
      </c>
      <c r="J2094" s="9">
        <f t="shared" si="67"/>
        <v>0</v>
      </c>
    </row>
    <row r="2095" spans="1:10">
      <c r="A2095" t="s">
        <v>1140</v>
      </c>
      <c r="B2095" t="s">
        <v>523</v>
      </c>
      <c r="C2095" t="s">
        <v>140</v>
      </c>
      <c r="D2095" t="s">
        <v>1141</v>
      </c>
      <c r="E2095" s="9">
        <f t="shared" si="66"/>
        <v>189718.28436991011</v>
      </c>
      <c r="F2095" s="3">
        <v>21</v>
      </c>
      <c r="G2095" s="9">
        <v>314496</v>
      </c>
      <c r="H2095" s="4" t="s">
        <v>16</v>
      </c>
      <c r="J2095" s="9">
        <f t="shared" si="67"/>
        <v>0</v>
      </c>
    </row>
    <row r="2096" spans="1:10">
      <c r="A2096" t="s">
        <v>1136</v>
      </c>
      <c r="B2096" t="s">
        <v>523</v>
      </c>
      <c r="C2096" t="s">
        <v>140</v>
      </c>
      <c r="D2096" t="s">
        <v>601</v>
      </c>
      <c r="E2096" s="9">
        <f t="shared" si="66"/>
        <v>101345.23737708872</v>
      </c>
      <c r="F2096" s="3">
        <v>21</v>
      </c>
      <c r="G2096" s="9">
        <v>168000</v>
      </c>
      <c r="H2096" s="4" t="s">
        <v>16</v>
      </c>
      <c r="J2096" s="9">
        <f t="shared" si="67"/>
        <v>0</v>
      </c>
    </row>
    <row r="2097" spans="1:10">
      <c r="A2097" t="s">
        <v>1137</v>
      </c>
      <c r="B2097" t="s">
        <v>523</v>
      </c>
      <c r="C2097" t="s">
        <v>140</v>
      </c>
      <c r="D2097" t="s">
        <v>608</v>
      </c>
      <c r="E2097" s="9">
        <f t="shared" si="66"/>
        <v>101345.23737708872</v>
      </c>
      <c r="F2097" s="3">
        <v>21</v>
      </c>
      <c r="G2097" s="9">
        <v>168000</v>
      </c>
      <c r="H2097" s="4" t="s">
        <v>16</v>
      </c>
      <c r="J2097" s="9">
        <f t="shared" si="67"/>
        <v>0</v>
      </c>
    </row>
    <row r="2098" spans="1:10">
      <c r="A2098" t="s">
        <v>1135</v>
      </c>
      <c r="B2098" t="s">
        <v>523</v>
      </c>
      <c r="C2098" t="s">
        <v>140</v>
      </c>
      <c r="D2098" t="s">
        <v>597</v>
      </c>
      <c r="E2098" s="9">
        <f t="shared" si="66"/>
        <v>101345.23737708872</v>
      </c>
      <c r="F2098" s="3">
        <v>21</v>
      </c>
      <c r="G2098" s="9">
        <v>168000</v>
      </c>
      <c r="H2098" s="5" t="s">
        <v>5080</v>
      </c>
      <c r="J2098" s="9">
        <f t="shared" si="67"/>
        <v>0</v>
      </c>
    </row>
    <row r="2099" spans="1:10">
      <c r="A2099" t="s">
        <v>1134</v>
      </c>
      <c r="B2099" t="s">
        <v>523</v>
      </c>
      <c r="C2099" t="s">
        <v>140</v>
      </c>
      <c r="D2099" t="s">
        <v>595</v>
      </c>
      <c r="E2099" s="9">
        <f t="shared" si="66"/>
        <v>101345.23737708872</v>
      </c>
      <c r="F2099" s="3">
        <v>21</v>
      </c>
      <c r="G2099" s="9">
        <v>168000</v>
      </c>
      <c r="H2099" s="5" t="s">
        <v>5080</v>
      </c>
      <c r="J2099" s="9">
        <f t="shared" si="67"/>
        <v>0</v>
      </c>
    </row>
    <row r="2100" spans="1:10">
      <c r="A2100" t="s">
        <v>1138</v>
      </c>
      <c r="B2100" t="s">
        <v>523</v>
      </c>
      <c r="C2100" t="s">
        <v>140</v>
      </c>
      <c r="D2100" t="s">
        <v>1139</v>
      </c>
      <c r="E2100" s="9">
        <f t="shared" si="66"/>
        <v>369952.34360861435</v>
      </c>
      <c r="F2100" s="3">
        <v>21</v>
      </c>
      <c r="G2100" s="9">
        <v>613270</v>
      </c>
      <c r="H2100" s="4" t="s">
        <v>16</v>
      </c>
      <c r="J2100" s="9">
        <f t="shared" si="67"/>
        <v>0</v>
      </c>
    </row>
    <row r="2101" spans="1:10">
      <c r="A2101" t="s">
        <v>594</v>
      </c>
      <c r="B2101" t="s">
        <v>523</v>
      </c>
      <c r="C2101" t="s">
        <v>140</v>
      </c>
      <c r="D2101" t="s">
        <v>595</v>
      </c>
      <c r="E2101" s="9">
        <f t="shared" si="66"/>
        <v>113827.59244736684</v>
      </c>
      <c r="F2101" s="3">
        <v>21</v>
      </c>
      <c r="G2101" s="9">
        <v>188692</v>
      </c>
      <c r="H2101" s="4" t="s">
        <v>16</v>
      </c>
      <c r="J2101" s="9">
        <f t="shared" si="67"/>
        <v>0</v>
      </c>
    </row>
    <row r="2102" spans="1:10">
      <c r="A2102" t="s">
        <v>602</v>
      </c>
      <c r="B2102" t="s">
        <v>523</v>
      </c>
      <c r="C2102" t="s">
        <v>140</v>
      </c>
      <c r="D2102" t="s">
        <v>595</v>
      </c>
      <c r="E2102" s="9">
        <f t="shared" si="66"/>
        <v>426866.13983229769</v>
      </c>
      <c r="F2102" s="3">
        <v>21</v>
      </c>
      <c r="G2102" s="9">
        <v>707616</v>
      </c>
      <c r="H2102" s="5" t="s">
        <v>5080</v>
      </c>
      <c r="J2102" s="9">
        <f t="shared" si="67"/>
        <v>0</v>
      </c>
    </row>
    <row r="2103" spans="1:10">
      <c r="A2103" t="s">
        <v>596</v>
      </c>
      <c r="B2103" t="s">
        <v>523</v>
      </c>
      <c r="C2103" t="s">
        <v>140</v>
      </c>
      <c r="D2103" t="s">
        <v>597</v>
      </c>
      <c r="E2103" s="9">
        <f t="shared" si="66"/>
        <v>113827.59244736684</v>
      </c>
      <c r="F2103" s="3">
        <v>21</v>
      </c>
      <c r="G2103" s="9">
        <v>188692</v>
      </c>
      <c r="H2103" s="4" t="s">
        <v>16</v>
      </c>
      <c r="J2103" s="9">
        <f t="shared" si="67"/>
        <v>0</v>
      </c>
    </row>
    <row r="2104" spans="1:10">
      <c r="A2104" t="s">
        <v>598</v>
      </c>
      <c r="B2104" t="s">
        <v>523</v>
      </c>
      <c r="C2104" t="s">
        <v>140</v>
      </c>
      <c r="D2104" t="s">
        <v>599</v>
      </c>
      <c r="E2104" s="9">
        <f t="shared" si="66"/>
        <v>104343.36731616093</v>
      </c>
      <c r="F2104" s="3">
        <v>21</v>
      </c>
      <c r="G2104" s="9">
        <v>172970</v>
      </c>
      <c r="H2104" s="4" t="s">
        <v>16</v>
      </c>
      <c r="J2104" s="9">
        <f t="shared" si="67"/>
        <v>0</v>
      </c>
    </row>
    <row r="2105" spans="1:10">
      <c r="A2105" t="s">
        <v>600</v>
      </c>
      <c r="B2105" t="s">
        <v>523</v>
      </c>
      <c r="C2105" t="s">
        <v>140</v>
      </c>
      <c r="D2105" t="s">
        <v>601</v>
      </c>
      <c r="E2105" s="9">
        <f t="shared" si="66"/>
        <v>104343.36731616093</v>
      </c>
      <c r="F2105" s="3">
        <v>21</v>
      </c>
      <c r="G2105" s="9">
        <v>172970</v>
      </c>
      <c r="H2105" s="4" t="s">
        <v>16</v>
      </c>
      <c r="J2105" s="9">
        <f t="shared" si="67"/>
        <v>0</v>
      </c>
    </row>
    <row r="2106" spans="1:10">
      <c r="A2106" t="s">
        <v>607</v>
      </c>
      <c r="B2106" t="s">
        <v>523</v>
      </c>
      <c r="C2106" t="s">
        <v>140</v>
      </c>
      <c r="D2106" t="s">
        <v>608</v>
      </c>
      <c r="E2106" s="9">
        <f t="shared" si="66"/>
        <v>94859.142184955053</v>
      </c>
      <c r="F2106" s="3">
        <v>21</v>
      </c>
      <c r="G2106" s="9">
        <v>157248</v>
      </c>
      <c r="H2106" s="4" t="s">
        <v>16</v>
      </c>
      <c r="J2106" s="9">
        <f t="shared" si="67"/>
        <v>0</v>
      </c>
    </row>
    <row r="2107" spans="1:10">
      <c r="A2107" t="s">
        <v>592</v>
      </c>
      <c r="B2107" t="s">
        <v>523</v>
      </c>
      <c r="C2107" t="s">
        <v>140</v>
      </c>
      <c r="D2107" t="s">
        <v>593</v>
      </c>
      <c r="E2107" s="9">
        <f t="shared" si="66"/>
        <v>199202.509501116</v>
      </c>
      <c r="F2107" s="3">
        <v>21</v>
      </c>
      <c r="G2107" s="9">
        <v>330218</v>
      </c>
      <c r="H2107" s="5" t="s">
        <v>5080</v>
      </c>
      <c r="J2107" s="9">
        <f t="shared" si="67"/>
        <v>0</v>
      </c>
    </row>
    <row r="2108" spans="1:10">
      <c r="A2108" t="s">
        <v>761</v>
      </c>
      <c r="B2108" t="s">
        <v>523</v>
      </c>
      <c r="C2108" t="s">
        <v>140</v>
      </c>
      <c r="D2108" t="s">
        <v>762</v>
      </c>
      <c r="E2108" s="9">
        <f t="shared" si="66"/>
        <v>426866.13983229769</v>
      </c>
      <c r="F2108" s="3">
        <v>21</v>
      </c>
      <c r="G2108" s="9">
        <v>707616</v>
      </c>
      <c r="H2108" s="4" t="s">
        <v>16</v>
      </c>
      <c r="J2108" s="9">
        <f t="shared" si="67"/>
        <v>0</v>
      </c>
    </row>
    <row r="2109" spans="1:10">
      <c r="A2109" t="s">
        <v>603</v>
      </c>
      <c r="B2109" t="s">
        <v>523</v>
      </c>
      <c r="C2109" t="s">
        <v>140</v>
      </c>
      <c r="D2109" t="s">
        <v>604</v>
      </c>
      <c r="E2109" s="9">
        <f t="shared" si="66"/>
        <v>464811.48579356936</v>
      </c>
      <c r="F2109" s="3">
        <v>21</v>
      </c>
      <c r="G2109" s="9">
        <v>770518</v>
      </c>
      <c r="H2109" s="6" t="s">
        <v>45</v>
      </c>
      <c r="J2109" s="9">
        <f t="shared" si="67"/>
        <v>0</v>
      </c>
    </row>
    <row r="2110" spans="1:10">
      <c r="A2110" t="s">
        <v>521</v>
      </c>
      <c r="B2110" t="s">
        <v>523</v>
      </c>
      <c r="C2110" t="s">
        <v>140</v>
      </c>
      <c r="D2110" t="s">
        <v>522</v>
      </c>
      <c r="E2110" s="9">
        <f t="shared" si="66"/>
        <v>749388.91234843456</v>
      </c>
      <c r="F2110" s="3">
        <v>21</v>
      </c>
      <c r="G2110" s="9">
        <v>1242262</v>
      </c>
      <c r="H2110" s="4" t="s">
        <v>16</v>
      </c>
      <c r="J2110" s="9">
        <f t="shared" si="67"/>
        <v>0</v>
      </c>
    </row>
    <row r="2111" spans="1:10" hidden="1">
      <c r="A2111" t="s">
        <v>1500</v>
      </c>
      <c r="B2111" t="s">
        <v>523</v>
      </c>
      <c r="C2111" t="s">
        <v>140</v>
      </c>
      <c r="D2111" t="s">
        <v>1501</v>
      </c>
      <c r="E2111" s="9">
        <f t="shared" si="66"/>
        <v>8.445436448090728</v>
      </c>
      <c r="F2111" s="3">
        <v>21</v>
      </c>
      <c r="G2111" s="9">
        <v>14</v>
      </c>
      <c r="H2111" s="4" t="s">
        <v>16</v>
      </c>
      <c r="J2111" s="9">
        <f t="shared" si="67"/>
        <v>0</v>
      </c>
    </row>
    <row r="2112" spans="1:10">
      <c r="A2112" t="s">
        <v>432</v>
      </c>
      <c r="B2112" t="s">
        <v>137</v>
      </c>
      <c r="C2112" t="s">
        <v>23</v>
      </c>
      <c r="D2112" t="s">
        <v>433</v>
      </c>
      <c r="E2112" s="9">
        <f t="shared" si="66"/>
        <v>18875.550461482777</v>
      </c>
      <c r="F2112" s="3">
        <v>21</v>
      </c>
      <c r="G2112" s="9">
        <v>31290</v>
      </c>
      <c r="H2112" s="4" t="s">
        <v>16</v>
      </c>
      <c r="J2112" s="9">
        <f t="shared" si="67"/>
        <v>0</v>
      </c>
    </row>
    <row r="2113" spans="1:10">
      <c r="A2113" t="s">
        <v>141</v>
      </c>
      <c r="B2113" t="s">
        <v>137</v>
      </c>
      <c r="C2113" t="s">
        <v>23</v>
      </c>
      <c r="D2113" t="s">
        <v>142</v>
      </c>
      <c r="E2113" s="9">
        <f t="shared" si="66"/>
        <v>278437.59425710322</v>
      </c>
      <c r="F2113" s="3">
        <v>21</v>
      </c>
      <c r="G2113" s="9">
        <v>461566</v>
      </c>
      <c r="H2113" s="6" t="s">
        <v>45</v>
      </c>
      <c r="J2113" s="9">
        <f t="shared" si="67"/>
        <v>0</v>
      </c>
    </row>
    <row r="2114" spans="1:10">
      <c r="A2114" t="s">
        <v>143</v>
      </c>
      <c r="B2114" t="s">
        <v>137</v>
      </c>
      <c r="C2114" t="s">
        <v>23</v>
      </c>
      <c r="D2114" t="s">
        <v>142</v>
      </c>
      <c r="E2114" s="9">
        <f t="shared" si="66"/>
        <v>372823.79200096522</v>
      </c>
      <c r="F2114" s="3">
        <v>21</v>
      </c>
      <c r="G2114" s="9">
        <v>618030</v>
      </c>
      <c r="H2114" s="6" t="s">
        <v>45</v>
      </c>
      <c r="J2114" s="9">
        <f t="shared" si="67"/>
        <v>0</v>
      </c>
    </row>
    <row r="2115" spans="1:10">
      <c r="A2115" t="s">
        <v>144</v>
      </c>
      <c r="B2115" t="s">
        <v>137</v>
      </c>
      <c r="C2115" t="s">
        <v>23</v>
      </c>
      <c r="D2115" t="s">
        <v>142</v>
      </c>
      <c r="E2115" s="9">
        <f t="shared" si="66"/>
        <v>481356.09579537914</v>
      </c>
      <c r="F2115" s="3">
        <v>21</v>
      </c>
      <c r="G2115" s="9">
        <v>797944</v>
      </c>
      <c r="H2115" s="6" t="s">
        <v>45</v>
      </c>
      <c r="J2115" s="9">
        <f t="shared" si="67"/>
        <v>0</v>
      </c>
    </row>
    <row r="2116" spans="1:10">
      <c r="A2116" t="s">
        <v>247</v>
      </c>
      <c r="B2116" t="s">
        <v>137</v>
      </c>
      <c r="C2116" t="s">
        <v>23</v>
      </c>
      <c r="D2116" t="s">
        <v>248</v>
      </c>
      <c r="E2116" s="9">
        <f t="shared" si="66"/>
        <v>613501.83989865473</v>
      </c>
      <c r="F2116" s="3">
        <v>21</v>
      </c>
      <c r="G2116" s="9">
        <v>1017002</v>
      </c>
      <c r="H2116" s="4" t="s">
        <v>16</v>
      </c>
      <c r="J2116" s="9">
        <f t="shared" si="67"/>
        <v>0</v>
      </c>
    </row>
    <row r="2117" spans="1:10">
      <c r="A2117" t="s">
        <v>135</v>
      </c>
      <c r="B2117" t="s">
        <v>137</v>
      </c>
      <c r="C2117" t="s">
        <v>23</v>
      </c>
      <c r="D2117" t="s">
        <v>136</v>
      </c>
      <c r="E2117" s="9">
        <f t="shared" si="66"/>
        <v>707888.03764251666</v>
      </c>
      <c r="F2117" s="3">
        <v>21</v>
      </c>
      <c r="G2117" s="9">
        <v>1173466</v>
      </c>
      <c r="H2117" s="4" t="s">
        <v>16</v>
      </c>
      <c r="J2117" s="9">
        <f t="shared" si="67"/>
        <v>0</v>
      </c>
    </row>
    <row r="2118" spans="1:10" hidden="1">
      <c r="A2118" t="s">
        <v>953</v>
      </c>
      <c r="B2118" t="s">
        <v>137</v>
      </c>
      <c r="C2118" t="s">
        <v>23</v>
      </c>
      <c r="D2118" t="s">
        <v>954</v>
      </c>
      <c r="E2118" s="9">
        <f t="shared" si="66"/>
        <v>8.445436448090728</v>
      </c>
      <c r="F2118" s="3">
        <v>21</v>
      </c>
      <c r="G2118" s="9">
        <v>14</v>
      </c>
      <c r="H2118" s="4" t="s">
        <v>16</v>
      </c>
      <c r="J2118" s="9">
        <f t="shared" si="67"/>
        <v>0</v>
      </c>
    </row>
    <row r="2119" spans="1:10">
      <c r="A2119" t="s">
        <v>234</v>
      </c>
      <c r="B2119" t="s">
        <v>137</v>
      </c>
      <c r="C2119" t="s">
        <v>23</v>
      </c>
      <c r="D2119" t="s">
        <v>235</v>
      </c>
      <c r="E2119" s="9">
        <f t="shared" si="66"/>
        <v>14154.551487000061</v>
      </c>
      <c r="F2119" s="3">
        <v>21</v>
      </c>
      <c r="G2119" s="9">
        <v>23464</v>
      </c>
      <c r="H2119" s="6" t="s">
        <v>45</v>
      </c>
      <c r="J2119" s="9">
        <f t="shared" si="67"/>
        <v>0</v>
      </c>
    </row>
    <row r="2120" spans="1:10">
      <c r="A2120" t="s">
        <v>138</v>
      </c>
      <c r="B2120" t="s">
        <v>137</v>
      </c>
      <c r="C2120" t="s">
        <v>140</v>
      </c>
      <c r="D2120" t="s">
        <v>139</v>
      </c>
      <c r="E2120" s="9">
        <f t="shared" si="66"/>
        <v>662569.8256620618</v>
      </c>
      <c r="F2120" s="3">
        <v>21</v>
      </c>
      <c r="G2120" s="9">
        <v>1098342</v>
      </c>
      <c r="H2120" s="4" t="s">
        <v>16</v>
      </c>
      <c r="J2120" s="9">
        <f t="shared" si="67"/>
        <v>0</v>
      </c>
    </row>
    <row r="2121" spans="1:10">
      <c r="A2121" t="s">
        <v>274</v>
      </c>
      <c r="B2121" t="s">
        <v>137</v>
      </c>
      <c r="C2121" t="s">
        <v>140</v>
      </c>
      <c r="D2121" t="s">
        <v>139</v>
      </c>
      <c r="E2121" s="9">
        <f t="shared" ref="E2121:E2184" si="68">SUM(G2121/(1+(F2121/100)) /(1+(37/100)))</f>
        <v>662569.8256620618</v>
      </c>
      <c r="F2121" s="3">
        <v>21</v>
      </c>
      <c r="G2121" s="9">
        <v>1098342</v>
      </c>
      <c r="H2121" s="4" t="s">
        <v>16</v>
      </c>
      <c r="J2121" s="9">
        <f t="shared" ref="J2121:J2184" si="69">SUM(E2121* I2121)</f>
        <v>0</v>
      </c>
    </row>
    <row r="2122" spans="1:10">
      <c r="A2122" t="s">
        <v>350</v>
      </c>
      <c r="B2122" t="s">
        <v>137</v>
      </c>
      <c r="C2122" t="s">
        <v>140</v>
      </c>
      <c r="D2122" t="s">
        <v>351</v>
      </c>
      <c r="E2122" s="9">
        <f t="shared" si="68"/>
        <v>2265226.5186704467</v>
      </c>
      <c r="F2122" s="3">
        <v>21</v>
      </c>
      <c r="G2122" s="9">
        <v>3755066</v>
      </c>
      <c r="H2122" s="4" t="s">
        <v>16</v>
      </c>
      <c r="J2122" s="9">
        <f t="shared" si="69"/>
        <v>0</v>
      </c>
    </row>
    <row r="2123" spans="1:10">
      <c r="A2123" t="s">
        <v>787</v>
      </c>
      <c r="B2123" t="s">
        <v>137</v>
      </c>
      <c r="C2123" t="s">
        <v>140</v>
      </c>
      <c r="D2123" t="s">
        <v>788</v>
      </c>
      <c r="E2123" s="9">
        <f t="shared" si="68"/>
        <v>379436.56873982021</v>
      </c>
      <c r="F2123" s="3">
        <v>21</v>
      </c>
      <c r="G2123" s="9">
        <v>628992</v>
      </c>
      <c r="H2123" s="4" t="s">
        <v>16</v>
      </c>
      <c r="J2123" s="9">
        <f t="shared" si="69"/>
        <v>0</v>
      </c>
    </row>
    <row r="2124" spans="1:10">
      <c r="A2124" t="s">
        <v>943</v>
      </c>
      <c r="B2124" t="s">
        <v>137</v>
      </c>
      <c r="C2124" t="s">
        <v>140</v>
      </c>
      <c r="D2124" t="s">
        <v>944</v>
      </c>
      <c r="E2124" s="9">
        <f t="shared" si="68"/>
        <v>170749.83410749835</v>
      </c>
      <c r="F2124" s="3">
        <v>21</v>
      </c>
      <c r="G2124" s="9">
        <v>283052</v>
      </c>
      <c r="H2124" s="4" t="s">
        <v>16</v>
      </c>
      <c r="J2124" s="9">
        <f t="shared" si="69"/>
        <v>0</v>
      </c>
    </row>
    <row r="2125" spans="1:10">
      <c r="A2125" t="s">
        <v>746</v>
      </c>
      <c r="B2125" t="s">
        <v>137</v>
      </c>
      <c r="C2125" t="s">
        <v>140</v>
      </c>
      <c r="D2125" t="s">
        <v>747</v>
      </c>
      <c r="E2125" s="9">
        <f t="shared" si="68"/>
        <v>123320.2630150208</v>
      </c>
      <c r="F2125" s="3">
        <v>21</v>
      </c>
      <c r="G2125" s="9">
        <v>204428</v>
      </c>
      <c r="H2125" s="4" t="s">
        <v>16</v>
      </c>
      <c r="J2125" s="9">
        <f t="shared" si="69"/>
        <v>0</v>
      </c>
    </row>
    <row r="2126" spans="1:10">
      <c r="A2126" t="s">
        <v>748</v>
      </c>
      <c r="B2126" t="s">
        <v>137</v>
      </c>
      <c r="C2126" t="s">
        <v>140</v>
      </c>
      <c r="D2126" t="s">
        <v>749</v>
      </c>
      <c r="E2126" s="9">
        <f t="shared" si="68"/>
        <v>151772.93840863847</v>
      </c>
      <c r="F2126" s="3">
        <v>21</v>
      </c>
      <c r="G2126" s="9">
        <v>251594</v>
      </c>
      <c r="H2126" s="4" t="s">
        <v>16</v>
      </c>
      <c r="J2126" s="9">
        <f t="shared" si="69"/>
        <v>0</v>
      </c>
    </row>
    <row r="2127" spans="1:10">
      <c r="A2127" t="s">
        <v>785</v>
      </c>
      <c r="B2127" t="s">
        <v>137</v>
      </c>
      <c r="C2127" t="s">
        <v>140</v>
      </c>
      <c r="D2127" t="s">
        <v>786</v>
      </c>
      <c r="E2127" s="9">
        <f t="shared" si="68"/>
        <v>303545.87681727693</v>
      </c>
      <c r="F2127" s="3">
        <v>21</v>
      </c>
      <c r="G2127" s="9">
        <v>503188</v>
      </c>
      <c r="H2127" s="4" t="s">
        <v>16</v>
      </c>
      <c r="J2127" s="9">
        <f t="shared" si="69"/>
        <v>0</v>
      </c>
    </row>
    <row r="2128" spans="1:10">
      <c r="A2128" t="s">
        <v>789</v>
      </c>
      <c r="B2128" t="s">
        <v>137</v>
      </c>
      <c r="C2128" t="s">
        <v>140</v>
      </c>
      <c r="D2128" t="s">
        <v>790</v>
      </c>
      <c r="E2128" s="9">
        <f t="shared" si="68"/>
        <v>303545.87681727693</v>
      </c>
      <c r="F2128" s="3">
        <v>21</v>
      </c>
      <c r="G2128" s="9">
        <v>503188</v>
      </c>
      <c r="H2128" s="4" t="s">
        <v>16</v>
      </c>
      <c r="J2128" s="9">
        <f t="shared" si="69"/>
        <v>0</v>
      </c>
    </row>
    <row r="2129" spans="1:10" hidden="1">
      <c r="A2129" t="s">
        <v>838</v>
      </c>
      <c r="B2129" t="s">
        <v>137</v>
      </c>
      <c r="C2129" t="s">
        <v>140</v>
      </c>
      <c r="D2129" t="s">
        <v>749</v>
      </c>
      <c r="E2129" s="9">
        <f t="shared" si="68"/>
        <v>8.445436448090728</v>
      </c>
      <c r="F2129" s="3">
        <v>21</v>
      </c>
      <c r="G2129" s="9">
        <v>14</v>
      </c>
      <c r="H2129" s="5" t="s">
        <v>24</v>
      </c>
      <c r="J2129" s="9">
        <f t="shared" si="69"/>
        <v>0</v>
      </c>
    </row>
    <row r="2130" spans="1:10">
      <c r="A2130" t="s">
        <v>161</v>
      </c>
      <c r="B2130" t="s">
        <v>137</v>
      </c>
      <c r="C2130" t="s">
        <v>140</v>
      </c>
      <c r="D2130" t="s">
        <v>162</v>
      </c>
      <c r="E2130" s="9">
        <f t="shared" si="68"/>
        <v>203864.39042046209</v>
      </c>
      <c r="F2130" s="3">
        <v>21</v>
      </c>
      <c r="G2130" s="9">
        <v>337946</v>
      </c>
      <c r="H2130" s="4" t="s">
        <v>16</v>
      </c>
      <c r="J2130" s="9">
        <f t="shared" si="69"/>
        <v>0</v>
      </c>
    </row>
    <row r="2131" spans="1:10" hidden="1">
      <c r="A2131" t="s">
        <v>972</v>
      </c>
      <c r="B2131" t="s">
        <v>137</v>
      </c>
      <c r="C2131" t="s">
        <v>140</v>
      </c>
      <c r="D2131" t="s">
        <v>971</v>
      </c>
      <c r="E2131" s="9">
        <f t="shared" si="68"/>
        <v>8.445436448090728</v>
      </c>
      <c r="F2131" s="3">
        <v>21</v>
      </c>
      <c r="G2131" s="9">
        <v>14</v>
      </c>
      <c r="H2131" s="4" t="s">
        <v>16</v>
      </c>
      <c r="J2131" s="9">
        <f t="shared" si="69"/>
        <v>0</v>
      </c>
    </row>
    <row r="2132" spans="1:10" hidden="1">
      <c r="A2132" t="s">
        <v>970</v>
      </c>
      <c r="B2132" t="s">
        <v>137</v>
      </c>
      <c r="C2132" t="s">
        <v>140</v>
      </c>
      <c r="D2132" t="s">
        <v>971</v>
      </c>
      <c r="E2132" s="9">
        <f t="shared" si="68"/>
        <v>8.445436448090728</v>
      </c>
      <c r="F2132" s="3">
        <v>21</v>
      </c>
      <c r="G2132" s="9">
        <v>14</v>
      </c>
      <c r="H2132" s="4" t="s">
        <v>16</v>
      </c>
      <c r="J2132" s="9">
        <f t="shared" si="69"/>
        <v>0</v>
      </c>
    </row>
    <row r="2133" spans="1:10">
      <c r="A2133" t="s">
        <v>145</v>
      </c>
      <c r="B2133" t="s">
        <v>137</v>
      </c>
      <c r="C2133" t="s">
        <v>82</v>
      </c>
      <c r="D2133" t="s">
        <v>146</v>
      </c>
      <c r="E2133" s="9">
        <f t="shared" si="68"/>
        <v>347335.46480062738</v>
      </c>
      <c r="F2133" s="3">
        <v>21</v>
      </c>
      <c r="G2133" s="9">
        <v>575778</v>
      </c>
      <c r="H2133" s="5" t="s">
        <v>5080</v>
      </c>
      <c r="J2133" s="9">
        <f t="shared" si="69"/>
        <v>0</v>
      </c>
    </row>
    <row r="2134" spans="1:10">
      <c r="A2134" t="s">
        <v>147</v>
      </c>
      <c r="B2134" t="s">
        <v>137</v>
      </c>
      <c r="C2134" t="s">
        <v>28</v>
      </c>
      <c r="D2134" t="s">
        <v>148</v>
      </c>
      <c r="E2134" s="9">
        <f t="shared" si="68"/>
        <v>12668.15467213609</v>
      </c>
      <c r="F2134" s="3">
        <v>21</v>
      </c>
      <c r="G2134" s="9">
        <v>21000</v>
      </c>
      <c r="H2134" s="6" t="s">
        <v>45</v>
      </c>
      <c r="J2134" s="9">
        <f t="shared" si="69"/>
        <v>0</v>
      </c>
    </row>
    <row r="2135" spans="1:10">
      <c r="A2135" t="s">
        <v>1995</v>
      </c>
      <c r="B2135" t="s">
        <v>137</v>
      </c>
      <c r="C2135" t="s">
        <v>28</v>
      </c>
      <c r="D2135" t="s">
        <v>1996</v>
      </c>
      <c r="E2135" s="9">
        <f t="shared" si="68"/>
        <v>14357.241961754238</v>
      </c>
      <c r="F2135" s="3">
        <v>21</v>
      </c>
      <c r="G2135" s="9">
        <v>23800</v>
      </c>
      <c r="H2135" s="6" t="s">
        <v>45</v>
      </c>
      <c r="J2135" s="9">
        <f t="shared" si="69"/>
        <v>0</v>
      </c>
    </row>
    <row r="2136" spans="1:10">
      <c r="A2136" t="s">
        <v>1987</v>
      </c>
      <c r="B2136" t="s">
        <v>137</v>
      </c>
      <c r="C2136" t="s">
        <v>28</v>
      </c>
      <c r="D2136" t="s">
        <v>1988</v>
      </c>
      <c r="E2136" s="9">
        <f t="shared" si="68"/>
        <v>14357.241961754238</v>
      </c>
      <c r="F2136" s="3">
        <v>21</v>
      </c>
      <c r="G2136" s="9">
        <v>23800</v>
      </c>
      <c r="H2136" s="6" t="s">
        <v>45</v>
      </c>
      <c r="J2136" s="9">
        <f t="shared" si="69"/>
        <v>0</v>
      </c>
    </row>
    <row r="2137" spans="1:10">
      <c r="A2137" t="s">
        <v>1993</v>
      </c>
      <c r="B2137" t="s">
        <v>137</v>
      </c>
      <c r="C2137" t="s">
        <v>28</v>
      </c>
      <c r="D2137" t="s">
        <v>1994</v>
      </c>
      <c r="E2137" s="9">
        <f t="shared" si="68"/>
        <v>14357.241961754238</v>
      </c>
      <c r="F2137" s="3">
        <v>21</v>
      </c>
      <c r="G2137" s="9">
        <v>23800</v>
      </c>
      <c r="H2137" s="6" t="s">
        <v>45</v>
      </c>
      <c r="J2137" s="9">
        <f t="shared" si="69"/>
        <v>0</v>
      </c>
    </row>
    <row r="2138" spans="1:10">
      <c r="A2138" t="s">
        <v>1989</v>
      </c>
      <c r="B2138" t="s">
        <v>137</v>
      </c>
      <c r="C2138" t="s">
        <v>28</v>
      </c>
      <c r="D2138" t="s">
        <v>1990</v>
      </c>
      <c r="E2138" s="9">
        <f t="shared" si="68"/>
        <v>14357.241961754238</v>
      </c>
      <c r="F2138" s="3">
        <v>21</v>
      </c>
      <c r="G2138" s="9">
        <v>23800</v>
      </c>
      <c r="H2138" s="6" t="s">
        <v>45</v>
      </c>
      <c r="J2138" s="9">
        <f t="shared" si="69"/>
        <v>0</v>
      </c>
    </row>
    <row r="2139" spans="1:10">
      <c r="A2139" t="s">
        <v>4753</v>
      </c>
      <c r="B2139" t="s">
        <v>137</v>
      </c>
      <c r="C2139" t="s">
        <v>28</v>
      </c>
      <c r="D2139" t="s">
        <v>4754</v>
      </c>
      <c r="E2139" s="9">
        <f t="shared" si="68"/>
        <v>14357.241961754238</v>
      </c>
      <c r="F2139" s="3">
        <v>21</v>
      </c>
      <c r="G2139" s="9">
        <v>23800</v>
      </c>
      <c r="H2139" s="6" t="s">
        <v>45</v>
      </c>
      <c r="J2139" s="9">
        <f t="shared" si="69"/>
        <v>0</v>
      </c>
    </row>
    <row r="2140" spans="1:10">
      <c r="A2140" t="s">
        <v>1991</v>
      </c>
      <c r="B2140" t="s">
        <v>137</v>
      </c>
      <c r="C2140" t="s">
        <v>28</v>
      </c>
      <c r="D2140" t="s">
        <v>1992</v>
      </c>
      <c r="E2140" s="9">
        <f t="shared" si="68"/>
        <v>14357.241961754238</v>
      </c>
      <c r="F2140" s="3">
        <v>21</v>
      </c>
      <c r="G2140" s="9">
        <v>23800</v>
      </c>
      <c r="H2140" s="6" t="s">
        <v>45</v>
      </c>
      <c r="J2140" s="9">
        <f t="shared" si="69"/>
        <v>0</v>
      </c>
    </row>
    <row r="2141" spans="1:10">
      <c r="A2141" t="s">
        <v>1532</v>
      </c>
      <c r="B2141" t="s">
        <v>137</v>
      </c>
      <c r="C2141" t="s">
        <v>28</v>
      </c>
      <c r="D2141" t="s">
        <v>1533</v>
      </c>
      <c r="E2141" s="9">
        <f t="shared" si="68"/>
        <v>61482.777342100489</v>
      </c>
      <c r="F2141" s="3">
        <v>21</v>
      </c>
      <c r="G2141" s="9">
        <v>101920</v>
      </c>
      <c r="H2141" s="5" t="s">
        <v>5080</v>
      </c>
      <c r="J2141" s="9">
        <f t="shared" si="69"/>
        <v>0</v>
      </c>
    </row>
    <row r="2142" spans="1:10">
      <c r="A2142" t="s">
        <v>1530</v>
      </c>
      <c r="B2142" t="s">
        <v>137</v>
      </c>
      <c r="C2142" t="s">
        <v>28</v>
      </c>
      <c r="D2142" t="s">
        <v>1531</v>
      </c>
      <c r="E2142" s="9">
        <f t="shared" si="68"/>
        <v>61482.777342100489</v>
      </c>
      <c r="F2142" s="3">
        <v>21</v>
      </c>
      <c r="G2142" s="9">
        <v>101920</v>
      </c>
      <c r="H2142" s="4" t="s">
        <v>16</v>
      </c>
      <c r="J2142" s="9">
        <f t="shared" si="69"/>
        <v>0</v>
      </c>
    </row>
    <row r="2143" spans="1:10">
      <c r="A2143" t="s">
        <v>1536</v>
      </c>
      <c r="B2143" t="s">
        <v>137</v>
      </c>
      <c r="C2143" t="s">
        <v>28</v>
      </c>
      <c r="D2143" t="s">
        <v>1537</v>
      </c>
      <c r="E2143" s="9">
        <f t="shared" si="68"/>
        <v>61482.777342100489</v>
      </c>
      <c r="F2143" s="3">
        <v>21</v>
      </c>
      <c r="G2143" s="9">
        <v>101920</v>
      </c>
      <c r="H2143" s="5" t="s">
        <v>5080</v>
      </c>
      <c r="J2143" s="9">
        <f t="shared" si="69"/>
        <v>0</v>
      </c>
    </row>
    <row r="2144" spans="1:10">
      <c r="A2144" t="s">
        <v>1538</v>
      </c>
      <c r="B2144" t="s">
        <v>137</v>
      </c>
      <c r="C2144" t="s">
        <v>28</v>
      </c>
      <c r="D2144" t="s">
        <v>1539</v>
      </c>
      <c r="E2144" s="9">
        <f t="shared" si="68"/>
        <v>61482.777342100489</v>
      </c>
      <c r="F2144" s="3">
        <v>21</v>
      </c>
      <c r="G2144" s="9">
        <v>101920</v>
      </c>
      <c r="H2144" s="6" t="s">
        <v>45</v>
      </c>
      <c r="J2144" s="9">
        <f t="shared" si="69"/>
        <v>0</v>
      </c>
    </row>
    <row r="2145" spans="1:10" hidden="1">
      <c r="A2145" t="s">
        <v>4334</v>
      </c>
      <c r="B2145" t="s">
        <v>137</v>
      </c>
      <c r="C2145" t="s">
        <v>28</v>
      </c>
      <c r="D2145" t="s">
        <v>310</v>
      </c>
      <c r="E2145" s="9">
        <f t="shared" si="68"/>
        <v>8.445436448090728</v>
      </c>
      <c r="F2145" s="3">
        <v>21</v>
      </c>
      <c r="G2145" s="9">
        <v>14</v>
      </c>
      <c r="H2145" s="6" t="s">
        <v>45</v>
      </c>
      <c r="J2145" s="9">
        <f t="shared" si="69"/>
        <v>0</v>
      </c>
    </row>
    <row r="2146" spans="1:10">
      <c r="A2146" t="s">
        <v>1534</v>
      </c>
      <c r="B2146" t="s">
        <v>137</v>
      </c>
      <c r="C2146" t="s">
        <v>28</v>
      </c>
      <c r="D2146" t="s">
        <v>1535</v>
      </c>
      <c r="E2146" s="9">
        <f t="shared" si="68"/>
        <v>61482.777342100489</v>
      </c>
      <c r="F2146" s="3">
        <v>21</v>
      </c>
      <c r="G2146" s="9">
        <v>101920</v>
      </c>
      <c r="H2146" s="6" t="s">
        <v>45</v>
      </c>
      <c r="J2146" s="9">
        <f t="shared" si="69"/>
        <v>0</v>
      </c>
    </row>
    <row r="2147" spans="1:10">
      <c r="A2147" t="s">
        <v>230</v>
      </c>
      <c r="B2147" t="s">
        <v>137</v>
      </c>
      <c r="C2147" t="s">
        <v>28</v>
      </c>
      <c r="D2147" t="s">
        <v>231</v>
      </c>
      <c r="E2147" s="9">
        <f t="shared" si="68"/>
        <v>12668.15467213609</v>
      </c>
      <c r="F2147" s="3">
        <v>21</v>
      </c>
      <c r="G2147" s="9">
        <v>21000</v>
      </c>
      <c r="H2147" s="5" t="s">
        <v>5080</v>
      </c>
      <c r="J2147" s="9">
        <f t="shared" si="69"/>
        <v>0</v>
      </c>
    </row>
    <row r="2148" spans="1:10">
      <c r="A2148" t="s">
        <v>4771</v>
      </c>
      <c r="B2148" t="s">
        <v>137</v>
      </c>
      <c r="C2148" t="s">
        <v>28</v>
      </c>
      <c r="D2148" t="s">
        <v>4772</v>
      </c>
      <c r="E2148" s="9">
        <f t="shared" si="68"/>
        <v>12668.15467213609</v>
      </c>
      <c r="F2148" s="3">
        <v>21</v>
      </c>
      <c r="G2148" s="9">
        <v>21000</v>
      </c>
      <c r="H2148" s="6" t="s">
        <v>45</v>
      </c>
      <c r="J2148" s="9">
        <f t="shared" si="69"/>
        <v>0</v>
      </c>
    </row>
    <row r="2149" spans="1:10">
      <c r="A2149" t="s">
        <v>4751</v>
      </c>
      <c r="B2149" t="s">
        <v>137</v>
      </c>
      <c r="C2149" t="s">
        <v>28</v>
      </c>
      <c r="D2149" t="s">
        <v>4752</v>
      </c>
      <c r="E2149" s="9">
        <f t="shared" si="68"/>
        <v>12668.15467213609</v>
      </c>
      <c r="F2149" s="3">
        <v>21</v>
      </c>
      <c r="G2149" s="9">
        <v>21000</v>
      </c>
      <c r="H2149" s="6" t="s">
        <v>45</v>
      </c>
      <c r="J2149" s="9">
        <f t="shared" si="69"/>
        <v>0</v>
      </c>
    </row>
    <row r="2150" spans="1:10">
      <c r="A2150" t="s">
        <v>1016</v>
      </c>
      <c r="B2150" t="s">
        <v>137</v>
      </c>
      <c r="C2150" t="s">
        <v>28</v>
      </c>
      <c r="D2150" t="s">
        <v>1017</v>
      </c>
      <c r="E2150" s="9">
        <f t="shared" si="68"/>
        <v>58273.511491826022</v>
      </c>
      <c r="F2150" s="3">
        <v>21</v>
      </c>
      <c r="G2150" s="9">
        <v>96600</v>
      </c>
      <c r="H2150" s="4" t="s">
        <v>16</v>
      </c>
      <c r="J2150" s="9">
        <f t="shared" si="69"/>
        <v>0</v>
      </c>
    </row>
    <row r="2151" spans="1:10">
      <c r="A2151" t="s">
        <v>4332</v>
      </c>
      <c r="B2151" t="s">
        <v>137</v>
      </c>
      <c r="C2151" t="s">
        <v>28</v>
      </c>
      <c r="D2151" t="s">
        <v>310</v>
      </c>
      <c r="E2151" s="9">
        <f t="shared" si="68"/>
        <v>58273.511491826022</v>
      </c>
      <c r="F2151" s="3">
        <v>21</v>
      </c>
      <c r="G2151" s="9">
        <v>96600</v>
      </c>
      <c r="H2151" s="4" t="s">
        <v>16</v>
      </c>
      <c r="J2151" s="9">
        <f t="shared" si="69"/>
        <v>0</v>
      </c>
    </row>
    <row r="2152" spans="1:10">
      <c r="A2152" t="s">
        <v>4331</v>
      </c>
      <c r="B2152" t="s">
        <v>137</v>
      </c>
      <c r="C2152" t="s">
        <v>28</v>
      </c>
      <c r="D2152" t="s">
        <v>310</v>
      </c>
      <c r="E2152" s="9">
        <f t="shared" si="68"/>
        <v>58273.511491826022</v>
      </c>
      <c r="F2152" s="3">
        <v>21</v>
      </c>
      <c r="G2152" s="9">
        <v>96600</v>
      </c>
      <c r="H2152" s="4" t="s">
        <v>16</v>
      </c>
      <c r="J2152" s="9">
        <f t="shared" si="69"/>
        <v>0</v>
      </c>
    </row>
    <row r="2153" spans="1:10">
      <c r="A2153" t="s">
        <v>2001</v>
      </c>
      <c r="B2153" t="s">
        <v>137</v>
      </c>
      <c r="C2153" t="s">
        <v>28</v>
      </c>
      <c r="D2153" t="s">
        <v>2002</v>
      </c>
      <c r="E2153" s="9">
        <f t="shared" si="68"/>
        <v>58273.511491826022</v>
      </c>
      <c r="F2153" s="3">
        <v>21</v>
      </c>
      <c r="G2153" s="9">
        <v>96600</v>
      </c>
      <c r="H2153" s="4" t="s">
        <v>16</v>
      </c>
      <c r="J2153" s="9">
        <f t="shared" si="69"/>
        <v>0</v>
      </c>
    </row>
    <row r="2154" spans="1:10">
      <c r="A2154" t="s">
        <v>1058</v>
      </c>
      <c r="B2154" t="s">
        <v>137</v>
      </c>
      <c r="C2154" t="s">
        <v>28</v>
      </c>
      <c r="D2154" t="s">
        <v>1059</v>
      </c>
      <c r="E2154" s="9">
        <f t="shared" si="68"/>
        <v>58273.511491826022</v>
      </c>
      <c r="F2154" s="3">
        <v>21</v>
      </c>
      <c r="G2154" s="9">
        <v>96600</v>
      </c>
      <c r="H2154" s="6" t="s">
        <v>45</v>
      </c>
      <c r="J2154" s="9">
        <f t="shared" si="69"/>
        <v>0</v>
      </c>
    </row>
    <row r="2155" spans="1:10">
      <c r="A2155" t="s">
        <v>4333</v>
      </c>
      <c r="B2155" t="s">
        <v>137</v>
      </c>
      <c r="C2155" t="s">
        <v>28</v>
      </c>
      <c r="D2155" t="s">
        <v>310</v>
      </c>
      <c r="E2155" s="9">
        <f t="shared" si="68"/>
        <v>58273.511491826022</v>
      </c>
      <c r="F2155" s="3">
        <v>21</v>
      </c>
      <c r="G2155" s="9">
        <v>96600</v>
      </c>
      <c r="H2155" s="6" t="s">
        <v>45</v>
      </c>
      <c r="J2155" s="9">
        <f t="shared" si="69"/>
        <v>0</v>
      </c>
    </row>
    <row r="2156" spans="1:10">
      <c r="A2156" t="s">
        <v>1060</v>
      </c>
      <c r="B2156" t="s">
        <v>137</v>
      </c>
      <c r="C2156" t="s">
        <v>28</v>
      </c>
      <c r="D2156" t="s">
        <v>1061</v>
      </c>
      <c r="E2156" s="9">
        <f t="shared" si="68"/>
        <v>58273.511491826022</v>
      </c>
      <c r="F2156" s="3">
        <v>21</v>
      </c>
      <c r="G2156" s="9">
        <v>96600</v>
      </c>
      <c r="H2156" s="6" t="s">
        <v>45</v>
      </c>
      <c r="J2156" s="9">
        <f t="shared" si="69"/>
        <v>0</v>
      </c>
    </row>
    <row r="2157" spans="1:10">
      <c r="A2157" t="s">
        <v>2114</v>
      </c>
      <c r="B2157" t="s">
        <v>137</v>
      </c>
      <c r="C2157" t="s">
        <v>28</v>
      </c>
      <c r="D2157" t="s">
        <v>2115</v>
      </c>
      <c r="E2157" s="9">
        <f t="shared" si="68"/>
        <v>131748.80859021537</v>
      </c>
      <c r="F2157" s="3">
        <v>21</v>
      </c>
      <c r="G2157" s="9">
        <v>218400</v>
      </c>
      <c r="H2157" s="4" t="s">
        <v>16</v>
      </c>
      <c r="J2157" s="9">
        <f t="shared" si="69"/>
        <v>0</v>
      </c>
    </row>
    <row r="2158" spans="1:10">
      <c r="A2158" t="s">
        <v>4327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6" t="s">
        <v>45</v>
      </c>
      <c r="J2158" s="9">
        <f t="shared" si="69"/>
        <v>0</v>
      </c>
    </row>
    <row r="2159" spans="1:10">
      <c r="A2159" t="s">
        <v>4325</v>
      </c>
      <c r="B2159" t="s">
        <v>137</v>
      </c>
      <c r="C2159" t="s">
        <v>28</v>
      </c>
      <c r="D2159" t="s">
        <v>310</v>
      </c>
      <c r="E2159" s="9">
        <f t="shared" si="68"/>
        <v>58273.511491826022</v>
      </c>
      <c r="F2159" s="3">
        <v>21</v>
      </c>
      <c r="G2159" s="9">
        <v>96600</v>
      </c>
      <c r="H2159" s="6" t="s">
        <v>45</v>
      </c>
      <c r="J2159" s="9">
        <f t="shared" si="69"/>
        <v>0</v>
      </c>
    </row>
    <row r="2160" spans="1:10">
      <c r="A2160" t="s">
        <v>4328</v>
      </c>
      <c r="B2160" t="s">
        <v>137</v>
      </c>
      <c r="C2160" t="s">
        <v>28</v>
      </c>
      <c r="D2160" t="s">
        <v>310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4329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4330</v>
      </c>
      <c r="B2162" t="s">
        <v>137</v>
      </c>
      <c r="C2162" t="s">
        <v>28</v>
      </c>
      <c r="D2162" t="s">
        <v>310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4326</v>
      </c>
      <c r="B2163" t="s">
        <v>137</v>
      </c>
      <c r="C2163" t="s">
        <v>28</v>
      </c>
      <c r="D2163" t="s">
        <v>310</v>
      </c>
      <c r="E2163" s="9">
        <f t="shared" si="68"/>
        <v>58273.511491826022</v>
      </c>
      <c r="F2163" s="3">
        <v>21</v>
      </c>
      <c r="G2163" s="9">
        <v>96600</v>
      </c>
      <c r="H2163" s="6" t="s">
        <v>45</v>
      </c>
      <c r="J2163" s="9">
        <f t="shared" si="69"/>
        <v>0</v>
      </c>
    </row>
    <row r="2164" spans="1:10">
      <c r="A2164" t="s">
        <v>2831</v>
      </c>
      <c r="B2164" t="s">
        <v>137</v>
      </c>
      <c r="C2164" t="s">
        <v>28</v>
      </c>
      <c r="D2164" t="s">
        <v>2832</v>
      </c>
      <c r="E2164" s="9">
        <f t="shared" si="68"/>
        <v>126681.54672136092</v>
      </c>
      <c r="F2164" s="3">
        <v>21</v>
      </c>
      <c r="G2164" s="9">
        <v>210000</v>
      </c>
      <c r="H2164" s="4" t="s">
        <v>16</v>
      </c>
      <c r="J2164" s="9">
        <f t="shared" si="69"/>
        <v>0</v>
      </c>
    </row>
    <row r="2165" spans="1:10">
      <c r="A2165" t="s">
        <v>2245</v>
      </c>
      <c r="B2165" t="s">
        <v>137</v>
      </c>
      <c r="C2165" t="s">
        <v>28</v>
      </c>
      <c r="D2165" t="s">
        <v>2246</v>
      </c>
      <c r="E2165" s="9">
        <f t="shared" si="68"/>
        <v>57091.150389093309</v>
      </c>
      <c r="F2165" s="3">
        <v>21</v>
      </c>
      <c r="G2165" s="9">
        <v>94639.999999999985</v>
      </c>
      <c r="H2165" s="4" t="s">
        <v>16</v>
      </c>
      <c r="J2165" s="9">
        <f t="shared" si="69"/>
        <v>0</v>
      </c>
    </row>
    <row r="2166" spans="1:10">
      <c r="A2166" t="s">
        <v>1024</v>
      </c>
      <c r="B2166" t="s">
        <v>137</v>
      </c>
      <c r="C2166" t="s">
        <v>28</v>
      </c>
      <c r="D2166" t="s">
        <v>1025</v>
      </c>
      <c r="E2166" s="9">
        <f t="shared" si="68"/>
        <v>38004.464016408274</v>
      </c>
      <c r="F2166" s="3">
        <v>21</v>
      </c>
      <c r="G2166" s="9">
        <v>63000</v>
      </c>
      <c r="H2166" s="6" t="s">
        <v>45</v>
      </c>
      <c r="J2166" s="9">
        <f t="shared" si="69"/>
        <v>0</v>
      </c>
    </row>
    <row r="2167" spans="1:10">
      <c r="A2167" t="s">
        <v>1050</v>
      </c>
      <c r="B2167" t="s">
        <v>137</v>
      </c>
      <c r="C2167" t="s">
        <v>28</v>
      </c>
      <c r="D2167" t="s">
        <v>1051</v>
      </c>
      <c r="E2167" s="9">
        <f t="shared" si="68"/>
        <v>38004.464016408274</v>
      </c>
      <c r="F2167" s="3">
        <v>21</v>
      </c>
      <c r="G2167" s="9">
        <v>63000</v>
      </c>
      <c r="H2167" s="5" t="s">
        <v>5080</v>
      </c>
      <c r="J2167" s="9">
        <f t="shared" si="69"/>
        <v>0</v>
      </c>
    </row>
    <row r="2168" spans="1:10">
      <c r="A2168" t="s">
        <v>1018</v>
      </c>
      <c r="B2168" t="s">
        <v>137</v>
      </c>
      <c r="C2168" t="s">
        <v>28</v>
      </c>
      <c r="D2168" t="s">
        <v>1019</v>
      </c>
      <c r="E2168" s="9">
        <f t="shared" si="68"/>
        <v>38004.464016408274</v>
      </c>
      <c r="F2168" s="3">
        <v>21</v>
      </c>
      <c r="G2168" s="9">
        <v>63000</v>
      </c>
      <c r="H2168" s="4" t="s">
        <v>16</v>
      </c>
      <c r="J2168" s="9">
        <f t="shared" si="69"/>
        <v>0</v>
      </c>
    </row>
    <row r="2169" spans="1:10">
      <c r="A2169" t="s">
        <v>1028</v>
      </c>
      <c r="B2169" t="s">
        <v>137</v>
      </c>
      <c r="C2169" t="s">
        <v>28</v>
      </c>
      <c r="D2169" t="s">
        <v>1029</v>
      </c>
      <c r="E2169" s="9">
        <f t="shared" si="68"/>
        <v>38004.464016408274</v>
      </c>
      <c r="F2169" s="3">
        <v>21</v>
      </c>
      <c r="G2169" s="9">
        <v>63000</v>
      </c>
      <c r="H2169" s="6" t="s">
        <v>45</v>
      </c>
      <c r="J2169" s="9">
        <f t="shared" si="69"/>
        <v>0</v>
      </c>
    </row>
    <row r="2170" spans="1:10">
      <c r="A2170" t="s">
        <v>1022</v>
      </c>
      <c r="B2170" t="s">
        <v>137</v>
      </c>
      <c r="C2170" t="s">
        <v>28</v>
      </c>
      <c r="D2170" t="s">
        <v>1023</v>
      </c>
      <c r="E2170" s="9">
        <f t="shared" si="68"/>
        <v>38004.464016408274</v>
      </c>
      <c r="F2170" s="3">
        <v>21</v>
      </c>
      <c r="G2170" s="9">
        <v>63000</v>
      </c>
      <c r="H2170" s="6" t="s">
        <v>45</v>
      </c>
      <c r="J2170" s="9">
        <f t="shared" si="69"/>
        <v>0</v>
      </c>
    </row>
    <row r="2171" spans="1:10">
      <c r="A2171" t="s">
        <v>1026</v>
      </c>
      <c r="B2171" t="s">
        <v>137</v>
      </c>
      <c r="C2171" t="s">
        <v>28</v>
      </c>
      <c r="D2171" t="s">
        <v>1027</v>
      </c>
      <c r="E2171" s="9">
        <f t="shared" si="68"/>
        <v>38004.464016408274</v>
      </c>
      <c r="F2171" s="3">
        <v>21</v>
      </c>
      <c r="G2171" s="9">
        <v>63000</v>
      </c>
      <c r="H2171" s="6" t="s">
        <v>45</v>
      </c>
      <c r="J2171" s="9">
        <f t="shared" si="69"/>
        <v>0</v>
      </c>
    </row>
    <row r="2172" spans="1:10">
      <c r="A2172" t="s">
        <v>1020</v>
      </c>
      <c r="B2172" t="s">
        <v>137</v>
      </c>
      <c r="C2172" t="s">
        <v>28</v>
      </c>
      <c r="D2172" t="s">
        <v>1021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232</v>
      </c>
      <c r="B2173" t="s">
        <v>137</v>
      </c>
      <c r="C2173" t="s">
        <v>28</v>
      </c>
      <c r="D2173" t="s">
        <v>233</v>
      </c>
      <c r="E2173" s="9">
        <f t="shared" si="68"/>
        <v>36889.666405260301</v>
      </c>
      <c r="F2173" s="3">
        <v>21</v>
      </c>
      <c r="G2173" s="9">
        <v>61152</v>
      </c>
      <c r="H2173" s="4" t="s">
        <v>16</v>
      </c>
      <c r="J2173" s="9">
        <f t="shared" si="69"/>
        <v>0</v>
      </c>
    </row>
    <row r="2174" spans="1:10">
      <c r="A2174" t="s">
        <v>1054</v>
      </c>
      <c r="B2174" t="s">
        <v>137</v>
      </c>
      <c r="C2174" t="s">
        <v>28</v>
      </c>
      <c r="D2174" t="s">
        <v>1055</v>
      </c>
      <c r="E2174" s="9">
        <f t="shared" si="68"/>
        <v>36889.666405260301</v>
      </c>
      <c r="F2174" s="3">
        <v>21</v>
      </c>
      <c r="G2174" s="9">
        <v>61152</v>
      </c>
      <c r="H2174" s="4" t="s">
        <v>16</v>
      </c>
      <c r="J2174" s="9">
        <f t="shared" si="69"/>
        <v>0</v>
      </c>
    </row>
    <row r="2175" spans="1:10">
      <c r="A2175" t="s">
        <v>1062</v>
      </c>
      <c r="B2175" t="s">
        <v>137</v>
      </c>
      <c r="C2175" t="s">
        <v>28</v>
      </c>
      <c r="D2175" t="s">
        <v>1063</v>
      </c>
      <c r="E2175" s="9">
        <f t="shared" si="68"/>
        <v>61482.777342100489</v>
      </c>
      <c r="F2175" s="3">
        <v>21</v>
      </c>
      <c r="G2175" s="9">
        <v>101920</v>
      </c>
      <c r="H2175" s="4" t="s">
        <v>16</v>
      </c>
      <c r="J2175" s="9">
        <f t="shared" si="69"/>
        <v>0</v>
      </c>
    </row>
    <row r="2176" spans="1:10">
      <c r="A2176" t="s">
        <v>1048</v>
      </c>
      <c r="B2176" t="s">
        <v>137</v>
      </c>
      <c r="C2176" t="s">
        <v>28</v>
      </c>
      <c r="D2176" t="s">
        <v>1049</v>
      </c>
      <c r="E2176" s="9">
        <f t="shared" si="68"/>
        <v>61482.777342100489</v>
      </c>
      <c r="F2176" s="3">
        <v>21</v>
      </c>
      <c r="G2176" s="9">
        <v>101920</v>
      </c>
      <c r="H2176" s="4" t="s">
        <v>16</v>
      </c>
      <c r="J2176" s="9">
        <f t="shared" si="69"/>
        <v>0</v>
      </c>
    </row>
    <row r="2177" spans="1:10">
      <c r="A2177" t="s">
        <v>1036</v>
      </c>
      <c r="B2177" t="s">
        <v>137</v>
      </c>
      <c r="C2177" t="s">
        <v>28</v>
      </c>
      <c r="D2177" t="s">
        <v>1037</v>
      </c>
      <c r="E2177" s="9">
        <f t="shared" si="68"/>
        <v>61651.686071062315</v>
      </c>
      <c r="F2177" s="3">
        <v>21</v>
      </c>
      <c r="G2177" s="9">
        <v>102200</v>
      </c>
      <c r="H2177" s="6" t="s">
        <v>45</v>
      </c>
      <c r="J2177" s="9">
        <f t="shared" si="69"/>
        <v>0</v>
      </c>
    </row>
    <row r="2178" spans="1:10">
      <c r="A2178" t="s">
        <v>1056</v>
      </c>
      <c r="B2178" t="s">
        <v>137</v>
      </c>
      <c r="C2178" t="s">
        <v>28</v>
      </c>
      <c r="D2178" t="s">
        <v>1057</v>
      </c>
      <c r="E2178" s="9">
        <f t="shared" si="68"/>
        <v>61651.686071062315</v>
      </c>
      <c r="F2178" s="3">
        <v>21</v>
      </c>
      <c r="G2178" s="9">
        <v>102200</v>
      </c>
      <c r="H2178" s="6" t="s">
        <v>45</v>
      </c>
      <c r="J2178" s="9">
        <f t="shared" si="69"/>
        <v>0</v>
      </c>
    </row>
    <row r="2179" spans="1:10">
      <c r="A2179" t="s">
        <v>1030</v>
      </c>
      <c r="B2179" t="s">
        <v>137</v>
      </c>
      <c r="C2179" t="s">
        <v>28</v>
      </c>
      <c r="D2179" t="s">
        <v>1031</v>
      </c>
      <c r="E2179" s="9">
        <f t="shared" si="68"/>
        <v>61651.686071062315</v>
      </c>
      <c r="F2179" s="3">
        <v>21</v>
      </c>
      <c r="G2179" s="9">
        <v>102200</v>
      </c>
      <c r="H2179" s="4" t="s">
        <v>16</v>
      </c>
      <c r="J2179" s="9">
        <f t="shared" si="69"/>
        <v>0</v>
      </c>
    </row>
    <row r="2180" spans="1:10">
      <c r="A2180" t="s">
        <v>1040</v>
      </c>
      <c r="B2180" t="s">
        <v>137</v>
      </c>
      <c r="C2180" t="s">
        <v>28</v>
      </c>
      <c r="D2180" t="s">
        <v>1041</v>
      </c>
      <c r="E2180" s="9">
        <f t="shared" si="68"/>
        <v>61651.686071062315</v>
      </c>
      <c r="F2180" s="3">
        <v>21</v>
      </c>
      <c r="G2180" s="9">
        <v>102200</v>
      </c>
      <c r="H2180" s="5" t="s">
        <v>5080</v>
      </c>
      <c r="J2180" s="9">
        <f t="shared" si="69"/>
        <v>0</v>
      </c>
    </row>
    <row r="2181" spans="1:10">
      <c r="A2181" t="s">
        <v>1034</v>
      </c>
      <c r="B2181" t="s">
        <v>137</v>
      </c>
      <c r="C2181" t="s">
        <v>28</v>
      </c>
      <c r="D2181" t="s">
        <v>1035</v>
      </c>
      <c r="E2181" s="9">
        <f t="shared" si="68"/>
        <v>61651.686071062315</v>
      </c>
      <c r="F2181" s="3">
        <v>21</v>
      </c>
      <c r="G2181" s="9">
        <v>102200</v>
      </c>
      <c r="H2181" s="4" t="s">
        <v>16</v>
      </c>
      <c r="J2181" s="9">
        <f t="shared" si="69"/>
        <v>0</v>
      </c>
    </row>
    <row r="2182" spans="1:10">
      <c r="A2182" t="s">
        <v>1038</v>
      </c>
      <c r="B2182" t="s">
        <v>137</v>
      </c>
      <c r="C2182" t="s">
        <v>28</v>
      </c>
      <c r="D2182" t="s">
        <v>1039</v>
      </c>
      <c r="E2182" s="9">
        <f t="shared" si="68"/>
        <v>61651.686071062315</v>
      </c>
      <c r="F2182" s="3">
        <v>21</v>
      </c>
      <c r="G2182" s="9">
        <v>102200</v>
      </c>
      <c r="H2182" s="4" t="s">
        <v>16</v>
      </c>
      <c r="J2182" s="9">
        <f t="shared" si="69"/>
        <v>0</v>
      </c>
    </row>
    <row r="2183" spans="1:10">
      <c r="A2183" t="s">
        <v>1032</v>
      </c>
      <c r="B2183" t="s">
        <v>137</v>
      </c>
      <c r="C2183" t="s">
        <v>28</v>
      </c>
      <c r="D2183" t="s">
        <v>1033</v>
      </c>
      <c r="E2183" s="9">
        <f t="shared" si="68"/>
        <v>61651.686071062315</v>
      </c>
      <c r="F2183" s="3">
        <v>21</v>
      </c>
      <c r="G2183" s="9">
        <v>102200</v>
      </c>
      <c r="H2183" s="5" t="s">
        <v>5080</v>
      </c>
      <c r="J2183" s="9">
        <f t="shared" si="69"/>
        <v>0</v>
      </c>
    </row>
    <row r="2184" spans="1:10">
      <c r="A2184" t="s">
        <v>1042</v>
      </c>
      <c r="B2184" t="s">
        <v>137</v>
      </c>
      <c r="C2184" t="s">
        <v>28</v>
      </c>
      <c r="D2184" t="s">
        <v>1043</v>
      </c>
      <c r="E2184" s="9">
        <f t="shared" si="68"/>
        <v>94859.142184955053</v>
      </c>
      <c r="F2184" s="3">
        <v>21</v>
      </c>
      <c r="G2184" s="9">
        <v>157248</v>
      </c>
      <c r="H2184" s="4" t="s">
        <v>16</v>
      </c>
      <c r="J2184" s="9">
        <f t="shared" si="69"/>
        <v>0</v>
      </c>
    </row>
    <row r="2185" spans="1:10">
      <c r="A2185" t="s">
        <v>1482</v>
      </c>
      <c r="B2185" t="s">
        <v>137</v>
      </c>
      <c r="C2185" t="s">
        <v>28</v>
      </c>
      <c r="D2185" t="s">
        <v>310</v>
      </c>
      <c r="E2185" s="9">
        <f t="shared" ref="E2185:E2248" si="70">SUM(G2185/(1+(F2185/100)) /(1+(37/100)))</f>
        <v>131748.80859021537</v>
      </c>
      <c r="F2185" s="3">
        <v>21</v>
      </c>
      <c r="G2185" s="9">
        <v>218400</v>
      </c>
      <c r="H2185" s="4" t="s">
        <v>16</v>
      </c>
      <c r="J2185" s="9">
        <f t="shared" ref="J2185:J2248" si="71">SUM(E2185* I2185)</f>
        <v>0</v>
      </c>
    </row>
    <row r="2186" spans="1:10">
      <c r="A2186" t="s">
        <v>1044</v>
      </c>
      <c r="B2186" t="s">
        <v>137</v>
      </c>
      <c r="C2186" t="s">
        <v>28</v>
      </c>
      <c r="D2186" t="s">
        <v>1045</v>
      </c>
      <c r="E2186" s="9">
        <f t="shared" si="70"/>
        <v>131748.80859021537</v>
      </c>
      <c r="F2186" s="3">
        <v>21</v>
      </c>
      <c r="G2186" s="9">
        <v>218400</v>
      </c>
      <c r="H2186" s="4" t="s">
        <v>16</v>
      </c>
      <c r="J2186" s="9">
        <f t="shared" si="71"/>
        <v>0</v>
      </c>
    </row>
    <row r="2187" spans="1:10">
      <c r="A2187" t="s">
        <v>1046</v>
      </c>
      <c r="B2187" t="s">
        <v>137</v>
      </c>
      <c r="C2187" t="s">
        <v>28</v>
      </c>
      <c r="D2187" t="s">
        <v>1047</v>
      </c>
      <c r="E2187" s="9">
        <f t="shared" si="70"/>
        <v>131748.80859021537</v>
      </c>
      <c r="F2187" s="3">
        <v>21</v>
      </c>
      <c r="G2187" s="9">
        <v>218400</v>
      </c>
      <c r="H2187" s="4" t="s">
        <v>16</v>
      </c>
      <c r="J2187" s="9">
        <f t="shared" si="71"/>
        <v>0</v>
      </c>
    </row>
    <row r="2188" spans="1:10">
      <c r="A2188" t="s">
        <v>1052</v>
      </c>
      <c r="B2188" t="s">
        <v>137</v>
      </c>
      <c r="C2188" t="s">
        <v>28</v>
      </c>
      <c r="D2188" t="s">
        <v>1053</v>
      </c>
      <c r="E2188" s="9">
        <f t="shared" si="70"/>
        <v>131748.80859021537</v>
      </c>
      <c r="F2188" s="3">
        <v>21</v>
      </c>
      <c r="G2188" s="9">
        <v>218400</v>
      </c>
      <c r="H2188" s="4" t="s">
        <v>16</v>
      </c>
      <c r="J2188" s="9">
        <f t="shared" si="71"/>
        <v>0</v>
      </c>
    </row>
    <row r="2189" spans="1:10">
      <c r="A2189" t="s">
        <v>1490</v>
      </c>
      <c r="B2189" t="s">
        <v>137</v>
      </c>
      <c r="C2189" t="s">
        <v>28</v>
      </c>
      <c r="D2189" t="s">
        <v>1491</v>
      </c>
      <c r="E2189" s="9">
        <f t="shared" si="70"/>
        <v>50672.61868854436</v>
      </c>
      <c r="F2189" s="3">
        <v>21</v>
      </c>
      <c r="G2189" s="9">
        <v>84000</v>
      </c>
      <c r="H2189" s="6" t="s">
        <v>45</v>
      </c>
      <c r="J2189" s="9">
        <f t="shared" si="71"/>
        <v>0</v>
      </c>
    </row>
    <row r="2190" spans="1:10">
      <c r="A2190" t="s">
        <v>2221</v>
      </c>
      <c r="B2190" t="s">
        <v>137</v>
      </c>
      <c r="C2190" t="s">
        <v>28</v>
      </c>
      <c r="D2190" t="s">
        <v>1491</v>
      </c>
      <c r="E2190" s="9">
        <f t="shared" si="70"/>
        <v>59118.055136635099</v>
      </c>
      <c r="F2190" s="3">
        <v>21</v>
      </c>
      <c r="G2190" s="9">
        <v>98000</v>
      </c>
      <c r="H2190" s="6" t="s">
        <v>45</v>
      </c>
      <c r="J2190" s="9">
        <f t="shared" si="71"/>
        <v>0</v>
      </c>
    </row>
    <row r="2191" spans="1:10">
      <c r="A2191" t="s">
        <v>2727</v>
      </c>
      <c r="B2191" t="s">
        <v>137</v>
      </c>
      <c r="C2191" t="s">
        <v>28</v>
      </c>
      <c r="D2191" t="s">
        <v>2728</v>
      </c>
      <c r="E2191" s="9">
        <f t="shared" si="70"/>
        <v>10134.523737708872</v>
      </c>
      <c r="F2191" s="3">
        <v>21</v>
      </c>
      <c r="G2191" s="9">
        <v>16800</v>
      </c>
      <c r="H2191" s="4" t="s">
        <v>16</v>
      </c>
      <c r="J2191" s="9">
        <f t="shared" si="71"/>
        <v>0</v>
      </c>
    </row>
    <row r="2192" spans="1:10">
      <c r="A2192" t="s">
        <v>3057</v>
      </c>
      <c r="B2192" t="s">
        <v>137</v>
      </c>
      <c r="C2192" t="s">
        <v>28</v>
      </c>
      <c r="D2192" t="s">
        <v>3058</v>
      </c>
      <c r="E2192" s="9">
        <f t="shared" si="70"/>
        <v>456053.56819689932</v>
      </c>
      <c r="F2192" s="3">
        <v>21</v>
      </c>
      <c r="G2192" s="9">
        <v>756000</v>
      </c>
      <c r="H2192" s="4" t="s">
        <v>16</v>
      </c>
      <c r="J2192" s="9">
        <f t="shared" si="71"/>
        <v>0</v>
      </c>
    </row>
    <row r="2193" spans="1:10">
      <c r="A2193" t="s">
        <v>2829</v>
      </c>
      <c r="B2193" t="s">
        <v>137</v>
      </c>
      <c r="C2193" t="s">
        <v>28</v>
      </c>
      <c r="D2193" t="s">
        <v>2830</v>
      </c>
      <c r="E2193" s="9">
        <f t="shared" si="70"/>
        <v>760089.28032816551</v>
      </c>
      <c r="F2193" s="3">
        <v>21</v>
      </c>
      <c r="G2193" s="9">
        <v>1260000</v>
      </c>
      <c r="H2193" s="5" t="s">
        <v>5080</v>
      </c>
      <c r="J2193" s="9">
        <f t="shared" si="71"/>
        <v>0</v>
      </c>
    </row>
    <row r="2194" spans="1:10">
      <c r="A2194" t="s">
        <v>3061</v>
      </c>
      <c r="B2194" t="s">
        <v>137</v>
      </c>
      <c r="C2194" t="s">
        <v>28</v>
      </c>
      <c r="D2194" t="s">
        <v>3062</v>
      </c>
      <c r="E2194" s="9">
        <f t="shared" si="70"/>
        <v>945888.88218616159</v>
      </c>
      <c r="F2194" s="3">
        <v>21</v>
      </c>
      <c r="G2194" s="9">
        <v>1568000</v>
      </c>
      <c r="H2194" s="4" t="s">
        <v>16</v>
      </c>
      <c r="J2194" s="9">
        <f t="shared" si="71"/>
        <v>0</v>
      </c>
    </row>
    <row r="2195" spans="1:10">
      <c r="A2195" t="s">
        <v>3059</v>
      </c>
      <c r="B2195" t="s">
        <v>137</v>
      </c>
      <c r="C2195" t="s">
        <v>28</v>
      </c>
      <c r="D2195" t="s">
        <v>3060</v>
      </c>
      <c r="E2195" s="9">
        <f t="shared" si="70"/>
        <v>861434.51770525414</v>
      </c>
      <c r="F2195" s="3">
        <v>21</v>
      </c>
      <c r="G2195" s="9">
        <v>1428000</v>
      </c>
      <c r="H2195" s="5" t="s">
        <v>5080</v>
      </c>
      <c r="J2195" s="9">
        <f t="shared" si="71"/>
        <v>0</v>
      </c>
    </row>
    <row r="2196" spans="1:10">
      <c r="A2196" t="s">
        <v>155</v>
      </c>
      <c r="B2196" t="s">
        <v>137</v>
      </c>
      <c r="C2196" t="s">
        <v>28</v>
      </c>
      <c r="D2196" t="s">
        <v>156</v>
      </c>
      <c r="E2196" s="9">
        <f t="shared" si="70"/>
        <v>122703.7461543102</v>
      </c>
      <c r="F2196" s="3">
        <v>21</v>
      </c>
      <c r="G2196" s="9">
        <v>203406</v>
      </c>
      <c r="H2196" s="5" t="s">
        <v>5080</v>
      </c>
      <c r="J2196" s="9">
        <f t="shared" si="71"/>
        <v>0</v>
      </c>
    </row>
    <row r="2197" spans="1:10">
      <c r="A2197" t="s">
        <v>157</v>
      </c>
      <c r="B2197" t="s">
        <v>137</v>
      </c>
      <c r="C2197" t="s">
        <v>28</v>
      </c>
      <c r="D2197" t="s">
        <v>158</v>
      </c>
      <c r="E2197" s="9">
        <f t="shared" si="70"/>
        <v>386969.89805151714</v>
      </c>
      <c r="F2197" s="3">
        <v>21</v>
      </c>
      <c r="G2197" s="9">
        <v>641480</v>
      </c>
      <c r="H2197" s="4" t="s">
        <v>16</v>
      </c>
      <c r="J2197" s="9">
        <f t="shared" si="71"/>
        <v>0</v>
      </c>
    </row>
    <row r="2198" spans="1:10">
      <c r="A2198" t="s">
        <v>675</v>
      </c>
      <c r="B2198" t="s">
        <v>137</v>
      </c>
      <c r="C2198" t="s">
        <v>28</v>
      </c>
      <c r="D2198" t="s">
        <v>676</v>
      </c>
      <c r="E2198" s="9">
        <f t="shared" si="70"/>
        <v>253363.09344272185</v>
      </c>
      <c r="F2198" s="3">
        <v>21</v>
      </c>
      <c r="G2198" s="9">
        <v>420000</v>
      </c>
      <c r="H2198" s="6" t="s">
        <v>45</v>
      </c>
      <c r="J2198" s="9">
        <f t="shared" si="71"/>
        <v>0</v>
      </c>
    </row>
    <row r="2199" spans="1:10">
      <c r="A2199" t="s">
        <v>677</v>
      </c>
      <c r="B2199" t="s">
        <v>137</v>
      </c>
      <c r="C2199" t="s">
        <v>28</v>
      </c>
      <c r="D2199" t="s">
        <v>678</v>
      </c>
      <c r="E2199" s="9">
        <f t="shared" si="70"/>
        <v>354708.33081981057</v>
      </c>
      <c r="F2199" s="3">
        <v>21</v>
      </c>
      <c r="G2199" s="9">
        <v>588000</v>
      </c>
      <c r="H2199" s="4" t="s">
        <v>16</v>
      </c>
      <c r="J2199" s="9">
        <f t="shared" si="71"/>
        <v>0</v>
      </c>
    </row>
    <row r="2200" spans="1:10">
      <c r="A2200" t="s">
        <v>167</v>
      </c>
      <c r="B2200" t="s">
        <v>137</v>
      </c>
      <c r="C2200" t="s">
        <v>28</v>
      </c>
      <c r="D2200" t="s">
        <v>168</v>
      </c>
      <c r="E2200" s="9">
        <f t="shared" si="70"/>
        <v>7077.2757435000303</v>
      </c>
      <c r="F2200" s="3">
        <v>21</v>
      </c>
      <c r="G2200" s="9">
        <v>11732</v>
      </c>
      <c r="H2200" s="5" t="s">
        <v>5080</v>
      </c>
      <c r="J2200" s="9">
        <f t="shared" si="71"/>
        <v>0</v>
      </c>
    </row>
    <row r="2201" spans="1:10">
      <c r="A2201" t="s">
        <v>199</v>
      </c>
      <c r="B2201" t="s">
        <v>137</v>
      </c>
      <c r="C2201" t="s">
        <v>28</v>
      </c>
      <c r="D2201" t="s">
        <v>200</v>
      </c>
      <c r="E2201" s="9">
        <f t="shared" si="70"/>
        <v>4746.3352838269893</v>
      </c>
      <c r="F2201" s="3">
        <v>21</v>
      </c>
      <c r="G2201" s="9">
        <v>7868</v>
      </c>
      <c r="H2201" s="4" t="s">
        <v>16</v>
      </c>
      <c r="J2201" s="9">
        <f t="shared" si="71"/>
        <v>0</v>
      </c>
    </row>
    <row r="2202" spans="1:10">
      <c r="A2202" t="s">
        <v>2858</v>
      </c>
      <c r="B2202" t="s">
        <v>137</v>
      </c>
      <c r="C2202" t="s">
        <v>28</v>
      </c>
      <c r="D2202" t="s">
        <v>2859</v>
      </c>
      <c r="E2202" s="9">
        <f t="shared" si="70"/>
        <v>46449.900464499005</v>
      </c>
      <c r="F2202" s="3">
        <v>21</v>
      </c>
      <c r="G2202" s="9">
        <v>77000</v>
      </c>
      <c r="H2202" s="6" t="s">
        <v>45</v>
      </c>
      <c r="J2202" s="9">
        <f t="shared" si="71"/>
        <v>0</v>
      </c>
    </row>
    <row r="2203" spans="1:10">
      <c r="A2203" t="s">
        <v>2856</v>
      </c>
      <c r="B2203" t="s">
        <v>137</v>
      </c>
      <c r="C2203" t="s">
        <v>28</v>
      </c>
      <c r="D2203" t="s">
        <v>2857</v>
      </c>
      <c r="E2203" s="9">
        <f t="shared" si="70"/>
        <v>46449.900464499005</v>
      </c>
      <c r="F2203" s="3">
        <v>21</v>
      </c>
      <c r="G2203" s="9">
        <v>77000</v>
      </c>
      <c r="H2203" s="6" t="s">
        <v>45</v>
      </c>
      <c r="J2203" s="9">
        <f t="shared" si="71"/>
        <v>0</v>
      </c>
    </row>
    <row r="2204" spans="1:10">
      <c r="A2204" t="s">
        <v>2854</v>
      </c>
      <c r="B2204" t="s">
        <v>137</v>
      </c>
      <c r="C2204" t="s">
        <v>28</v>
      </c>
      <c r="D2204" t="s">
        <v>2855</v>
      </c>
      <c r="E2204" s="9">
        <f t="shared" si="70"/>
        <v>46449.900464499005</v>
      </c>
      <c r="F2204" s="3">
        <v>21</v>
      </c>
      <c r="G2204" s="9">
        <v>77000</v>
      </c>
      <c r="H2204" s="4" t="s">
        <v>16</v>
      </c>
      <c r="J2204" s="9">
        <f t="shared" si="71"/>
        <v>0</v>
      </c>
    </row>
    <row r="2205" spans="1:10">
      <c r="A2205" t="s">
        <v>524</v>
      </c>
      <c r="B2205" t="s">
        <v>137</v>
      </c>
      <c r="C2205" t="s">
        <v>28</v>
      </c>
      <c r="D2205" t="s">
        <v>310</v>
      </c>
      <c r="E2205" s="9">
        <f t="shared" si="70"/>
        <v>14230.560415032876</v>
      </c>
      <c r="F2205" s="3">
        <v>21</v>
      </c>
      <c r="G2205" s="9">
        <v>23590</v>
      </c>
      <c r="H2205" s="4" t="s">
        <v>16</v>
      </c>
      <c r="J2205" s="9">
        <f t="shared" si="71"/>
        <v>0</v>
      </c>
    </row>
    <row r="2206" spans="1:10">
      <c r="A2206" t="s">
        <v>309</v>
      </c>
      <c r="B2206" t="s">
        <v>137</v>
      </c>
      <c r="C2206" t="s">
        <v>28</v>
      </c>
      <c r="D2206" t="s">
        <v>310</v>
      </c>
      <c r="E2206" s="9">
        <f t="shared" si="70"/>
        <v>16122.338179405198</v>
      </c>
      <c r="F2206" s="3">
        <v>21</v>
      </c>
      <c r="G2206" s="9">
        <v>26726</v>
      </c>
      <c r="H2206" s="4" t="s">
        <v>16</v>
      </c>
      <c r="J2206" s="9">
        <f t="shared" si="71"/>
        <v>0</v>
      </c>
    </row>
    <row r="2207" spans="1:10">
      <c r="A2207" t="s">
        <v>610</v>
      </c>
      <c r="B2207" t="s">
        <v>137</v>
      </c>
      <c r="C2207" t="s">
        <v>612</v>
      </c>
      <c r="D2207" t="s">
        <v>611</v>
      </c>
      <c r="E2207" s="9">
        <f t="shared" si="70"/>
        <v>218179.40519997579</v>
      </c>
      <c r="F2207" s="3">
        <v>21</v>
      </c>
      <c r="G2207" s="9">
        <v>361675.99999999988</v>
      </c>
      <c r="H2207" s="5" t="s">
        <v>5080</v>
      </c>
      <c r="J2207" s="9">
        <f t="shared" si="71"/>
        <v>0</v>
      </c>
    </row>
    <row r="2208" spans="1:10">
      <c r="A2208" t="s">
        <v>613</v>
      </c>
      <c r="B2208" t="s">
        <v>137</v>
      </c>
      <c r="C2208" t="s">
        <v>612</v>
      </c>
      <c r="D2208" t="s">
        <v>611</v>
      </c>
      <c r="E2208" s="9">
        <f t="shared" si="70"/>
        <v>250424.08155878625</v>
      </c>
      <c r="F2208" s="3">
        <v>21</v>
      </c>
      <c r="G2208" s="9">
        <v>415128</v>
      </c>
      <c r="H2208" s="4" t="s">
        <v>16</v>
      </c>
      <c r="J2208" s="9">
        <f t="shared" si="71"/>
        <v>0</v>
      </c>
    </row>
    <row r="2209" spans="1:10" hidden="1">
      <c r="A2209" t="s">
        <v>1354</v>
      </c>
      <c r="B2209" t="s">
        <v>137</v>
      </c>
      <c r="C2209" t="s">
        <v>506</v>
      </c>
      <c r="D2209" t="s">
        <v>1097</v>
      </c>
      <c r="E2209" s="9">
        <f t="shared" si="70"/>
        <v>8.445436448090728</v>
      </c>
      <c r="F2209" s="3">
        <v>21</v>
      </c>
      <c r="G2209" s="9">
        <v>14</v>
      </c>
      <c r="H2209" s="4" t="s">
        <v>16</v>
      </c>
      <c r="J2209" s="9">
        <f t="shared" si="71"/>
        <v>0</v>
      </c>
    </row>
    <row r="2210" spans="1:10">
      <c r="A2210" t="s">
        <v>609</v>
      </c>
      <c r="B2210" t="s">
        <v>137</v>
      </c>
      <c r="C2210" t="s">
        <v>506</v>
      </c>
      <c r="D2210" t="s">
        <v>505</v>
      </c>
      <c r="E2210" s="9">
        <f t="shared" si="70"/>
        <v>996020.9929420281</v>
      </c>
      <c r="F2210" s="3">
        <v>21</v>
      </c>
      <c r="G2210" s="9">
        <v>1651104</v>
      </c>
      <c r="H2210" s="4" t="s">
        <v>16</v>
      </c>
      <c r="J2210" s="9">
        <f t="shared" si="71"/>
        <v>0</v>
      </c>
    </row>
    <row r="2211" spans="1:10" hidden="1">
      <c r="A2211" t="s">
        <v>3931</v>
      </c>
      <c r="B2211" t="s">
        <v>1160</v>
      </c>
      <c r="C2211" t="s">
        <v>23</v>
      </c>
      <c r="D2211" t="s">
        <v>3901</v>
      </c>
      <c r="E2211" s="9">
        <f t="shared" si="70"/>
        <v>8.445436448090728</v>
      </c>
      <c r="F2211" s="3">
        <v>21</v>
      </c>
      <c r="G2211" s="9">
        <v>14</v>
      </c>
      <c r="H2211" s="4" t="s">
        <v>16</v>
      </c>
      <c r="J2211" s="9">
        <f t="shared" si="71"/>
        <v>0</v>
      </c>
    </row>
    <row r="2212" spans="1:10">
      <c r="A2212" t="s">
        <v>3163</v>
      </c>
      <c r="B2212" t="s">
        <v>1160</v>
      </c>
      <c r="C2212" t="s">
        <v>23</v>
      </c>
      <c r="D2212" t="s">
        <v>3164</v>
      </c>
      <c r="E2212" s="9">
        <f t="shared" si="70"/>
        <v>71786.209808771193</v>
      </c>
      <c r="F2212" s="3">
        <v>21</v>
      </c>
      <c r="G2212" s="9">
        <v>119000</v>
      </c>
      <c r="H2212" s="4" t="s">
        <v>16</v>
      </c>
      <c r="J2212" s="9">
        <f t="shared" si="71"/>
        <v>0</v>
      </c>
    </row>
    <row r="2213" spans="1:10">
      <c r="A2213" t="s">
        <v>2758</v>
      </c>
      <c r="B2213" t="s">
        <v>1160</v>
      </c>
      <c r="C2213" t="s">
        <v>23</v>
      </c>
      <c r="D2213" t="s">
        <v>2759</v>
      </c>
      <c r="E2213" s="9">
        <f t="shared" si="70"/>
        <v>118236.1102732702</v>
      </c>
      <c r="F2213" s="3">
        <v>21</v>
      </c>
      <c r="G2213" s="9">
        <v>196000</v>
      </c>
      <c r="H2213" s="5" t="s">
        <v>5080</v>
      </c>
      <c r="J2213" s="9">
        <f t="shared" si="71"/>
        <v>0</v>
      </c>
    </row>
    <row r="2214" spans="1:10">
      <c r="A2214" t="s">
        <v>2066</v>
      </c>
      <c r="B2214" t="s">
        <v>1160</v>
      </c>
      <c r="C2214" t="s">
        <v>23</v>
      </c>
      <c r="D2214" t="s">
        <v>2067</v>
      </c>
      <c r="E2214" s="9">
        <f t="shared" si="70"/>
        <v>86075.888278940693</v>
      </c>
      <c r="F2214" s="3">
        <v>21</v>
      </c>
      <c r="G2214" s="9">
        <v>142688</v>
      </c>
      <c r="H2214" s="4" t="s">
        <v>16</v>
      </c>
      <c r="J2214" s="9">
        <f t="shared" si="71"/>
        <v>0</v>
      </c>
    </row>
    <row r="2215" spans="1:10">
      <c r="A2215" t="s">
        <v>2756</v>
      </c>
      <c r="B2215" t="s">
        <v>1160</v>
      </c>
      <c r="C2215" t="s">
        <v>23</v>
      </c>
      <c r="D2215" t="s">
        <v>2757</v>
      </c>
      <c r="E2215" s="9">
        <f t="shared" si="70"/>
        <v>82765.277191289133</v>
      </c>
      <c r="F2215" s="3">
        <v>21</v>
      </c>
      <c r="G2215" s="9">
        <v>137200</v>
      </c>
      <c r="H2215" s="4" t="s">
        <v>16</v>
      </c>
      <c r="J2215" s="9">
        <f t="shared" si="71"/>
        <v>0</v>
      </c>
    </row>
    <row r="2216" spans="1:10">
      <c r="A2216" t="s">
        <v>2034</v>
      </c>
      <c r="B2216" t="s">
        <v>1160</v>
      </c>
      <c r="C2216" t="s">
        <v>23</v>
      </c>
      <c r="D2216" t="s">
        <v>2035</v>
      </c>
      <c r="E2216" s="9">
        <f t="shared" si="70"/>
        <v>135019.98216467944</v>
      </c>
      <c r="F2216" s="3">
        <v>10.5</v>
      </c>
      <c r="G2216" s="9">
        <v>204400</v>
      </c>
      <c r="H2216" s="4" t="s">
        <v>16</v>
      </c>
      <c r="J2216" s="9">
        <f t="shared" si="71"/>
        <v>0</v>
      </c>
    </row>
    <row r="2217" spans="1:10">
      <c r="A2217" t="s">
        <v>2185</v>
      </c>
      <c r="B2217" t="s">
        <v>1160</v>
      </c>
      <c r="C2217" t="s">
        <v>23</v>
      </c>
      <c r="D2217" t="s">
        <v>2186</v>
      </c>
      <c r="E2217" s="9">
        <f t="shared" si="70"/>
        <v>48307.896483078955</v>
      </c>
      <c r="F2217" s="3">
        <v>21</v>
      </c>
      <c r="G2217" s="9">
        <v>80080</v>
      </c>
      <c r="H2217" s="4" t="s">
        <v>16</v>
      </c>
      <c r="J2217" s="9">
        <f t="shared" si="71"/>
        <v>0</v>
      </c>
    </row>
    <row r="2218" spans="1:10">
      <c r="A2218" t="s">
        <v>2187</v>
      </c>
      <c r="B2218" t="s">
        <v>1160</v>
      </c>
      <c r="C2218" t="s">
        <v>23</v>
      </c>
      <c r="D2218" t="s">
        <v>2188</v>
      </c>
      <c r="E2218" s="9">
        <f t="shared" si="70"/>
        <v>15809.857030825842</v>
      </c>
      <c r="F2218" s="3">
        <v>21</v>
      </c>
      <c r="G2218" s="9">
        <v>26208</v>
      </c>
      <c r="H2218" s="6" t="s">
        <v>45</v>
      </c>
      <c r="J2218" s="9">
        <f t="shared" si="71"/>
        <v>0</v>
      </c>
    </row>
    <row r="2219" spans="1:10">
      <c r="A2219" t="s">
        <v>1832</v>
      </c>
      <c r="B2219" t="s">
        <v>1160</v>
      </c>
      <c r="C2219" t="s">
        <v>23</v>
      </c>
      <c r="D2219" t="s">
        <v>1833</v>
      </c>
      <c r="E2219" s="9">
        <f t="shared" si="70"/>
        <v>19323.158593231583</v>
      </c>
      <c r="F2219" s="3">
        <v>21</v>
      </c>
      <c r="G2219" s="9">
        <v>32032</v>
      </c>
      <c r="H2219" s="6" t="s">
        <v>45</v>
      </c>
      <c r="J2219" s="9">
        <f t="shared" si="71"/>
        <v>0</v>
      </c>
    </row>
    <row r="2220" spans="1:10">
      <c r="A2220" t="s">
        <v>4733</v>
      </c>
      <c r="B2220" t="s">
        <v>1160</v>
      </c>
      <c r="C2220" t="s">
        <v>101</v>
      </c>
      <c r="D2220" t="s">
        <v>4734</v>
      </c>
      <c r="E2220" s="9">
        <f t="shared" si="70"/>
        <v>1182361.1027327019</v>
      </c>
      <c r="F2220" s="3">
        <v>21</v>
      </c>
      <c r="G2220" s="9">
        <v>1960000</v>
      </c>
      <c r="H2220" s="4" t="s">
        <v>16</v>
      </c>
      <c r="J2220" s="9">
        <f t="shared" si="71"/>
        <v>0</v>
      </c>
    </row>
    <row r="2221" spans="1:10">
      <c r="A2221" t="s">
        <v>1167</v>
      </c>
      <c r="B2221" t="s">
        <v>1160</v>
      </c>
      <c r="C2221" t="s">
        <v>101</v>
      </c>
      <c r="D2221" t="s">
        <v>1168</v>
      </c>
      <c r="E2221" s="9">
        <f t="shared" si="70"/>
        <v>460065.15050974238</v>
      </c>
      <c r="F2221" s="3">
        <v>21</v>
      </c>
      <c r="G2221" s="9">
        <v>762650</v>
      </c>
      <c r="H2221" s="4" t="s">
        <v>16</v>
      </c>
      <c r="J2221" s="9">
        <f t="shared" si="71"/>
        <v>0</v>
      </c>
    </row>
    <row r="2222" spans="1:10">
      <c r="A2222" t="s">
        <v>1165</v>
      </c>
      <c r="B2222" t="s">
        <v>1160</v>
      </c>
      <c r="C2222" t="s">
        <v>101</v>
      </c>
      <c r="D2222" t="s">
        <v>1166</v>
      </c>
      <c r="E2222" s="9">
        <f t="shared" si="70"/>
        <v>498010.49647101393</v>
      </c>
      <c r="F2222" s="3">
        <v>21</v>
      </c>
      <c r="G2222" s="9">
        <v>825551.99999999988</v>
      </c>
      <c r="H2222" s="5" t="s">
        <v>5080</v>
      </c>
      <c r="J2222" s="9">
        <f t="shared" si="71"/>
        <v>0</v>
      </c>
    </row>
    <row r="2223" spans="1:10">
      <c r="A2223" t="s">
        <v>4005</v>
      </c>
      <c r="B2223" t="s">
        <v>1160</v>
      </c>
      <c r="C2223" t="s">
        <v>101</v>
      </c>
      <c r="D2223" t="s">
        <v>4006</v>
      </c>
      <c r="E2223" s="9">
        <f t="shared" si="70"/>
        <v>59118.055136635099</v>
      </c>
      <c r="F2223" s="3">
        <v>21</v>
      </c>
      <c r="G2223" s="9">
        <v>98000</v>
      </c>
      <c r="H2223" s="5" t="s">
        <v>5080</v>
      </c>
      <c r="J2223" s="9">
        <f t="shared" si="71"/>
        <v>0</v>
      </c>
    </row>
    <row r="2224" spans="1:10">
      <c r="A2224" t="s">
        <v>3358</v>
      </c>
      <c r="B2224" t="s">
        <v>1160</v>
      </c>
      <c r="C2224" t="s">
        <v>101</v>
      </c>
      <c r="D2224" t="s">
        <v>3359</v>
      </c>
      <c r="E2224" s="9">
        <f t="shared" si="70"/>
        <v>342040.1761476745</v>
      </c>
      <c r="F2224" s="3">
        <v>21</v>
      </c>
      <c r="G2224" s="9">
        <v>567000</v>
      </c>
      <c r="H2224" s="4" t="s">
        <v>16</v>
      </c>
      <c r="J2224" s="9">
        <f t="shared" si="71"/>
        <v>0</v>
      </c>
    </row>
    <row r="2225" spans="1:10" hidden="1">
      <c r="A2225" t="s">
        <v>4507</v>
      </c>
      <c r="B2225" t="s">
        <v>1160</v>
      </c>
      <c r="C2225" t="s">
        <v>101</v>
      </c>
      <c r="D2225" t="s">
        <v>4508</v>
      </c>
      <c r="E2225" s="9">
        <f t="shared" si="70"/>
        <v>8.445436448090728</v>
      </c>
      <c r="F2225" s="3">
        <v>21</v>
      </c>
      <c r="G2225" s="9">
        <v>14</v>
      </c>
      <c r="H2225" s="6" t="s">
        <v>45</v>
      </c>
      <c r="J2225" s="9">
        <f t="shared" si="71"/>
        <v>0</v>
      </c>
    </row>
    <row r="2226" spans="1:10">
      <c r="A2226" t="s">
        <v>3151</v>
      </c>
      <c r="B2226" t="s">
        <v>1160</v>
      </c>
      <c r="C2226" t="s">
        <v>101</v>
      </c>
      <c r="D2226" t="s">
        <v>3152</v>
      </c>
      <c r="E2226" s="9">
        <f t="shared" si="70"/>
        <v>38004.464016408274</v>
      </c>
      <c r="F2226" s="3">
        <v>21</v>
      </c>
      <c r="G2226" s="9">
        <v>63000</v>
      </c>
      <c r="H2226" s="5" t="s">
        <v>5080</v>
      </c>
      <c r="J2226" s="9">
        <f t="shared" si="71"/>
        <v>0</v>
      </c>
    </row>
    <row r="2227" spans="1:10">
      <c r="A2227" t="s">
        <v>3149</v>
      </c>
      <c r="B2227" t="s">
        <v>1160</v>
      </c>
      <c r="C2227" t="s">
        <v>101</v>
      </c>
      <c r="D2227" t="s">
        <v>3150</v>
      </c>
      <c r="E2227" s="9">
        <f t="shared" si="70"/>
        <v>42227.182240453643</v>
      </c>
      <c r="F2227" s="3">
        <v>21</v>
      </c>
      <c r="G2227" s="9">
        <v>70000</v>
      </c>
      <c r="H2227" s="4" t="s">
        <v>16</v>
      </c>
      <c r="J2227" s="9">
        <f t="shared" si="71"/>
        <v>0</v>
      </c>
    </row>
    <row r="2228" spans="1:10">
      <c r="A2228" t="s">
        <v>3153</v>
      </c>
      <c r="B2228" t="s">
        <v>1160</v>
      </c>
      <c r="C2228" t="s">
        <v>101</v>
      </c>
      <c r="D2228" t="s">
        <v>3154</v>
      </c>
      <c r="E2228" s="9">
        <f t="shared" si="70"/>
        <v>42227.182240453643</v>
      </c>
      <c r="F2228" s="3">
        <v>21</v>
      </c>
      <c r="G2228" s="9">
        <v>70000</v>
      </c>
      <c r="H2228" s="6" t="s">
        <v>45</v>
      </c>
      <c r="J2228" s="9">
        <f t="shared" si="71"/>
        <v>0</v>
      </c>
    </row>
    <row r="2229" spans="1:10">
      <c r="A2229" t="s">
        <v>4509</v>
      </c>
      <c r="B2229" t="s">
        <v>1160</v>
      </c>
      <c r="C2229" t="s">
        <v>101</v>
      </c>
      <c r="D2229" t="s">
        <v>4510</v>
      </c>
      <c r="E2229" s="9">
        <f t="shared" si="70"/>
        <v>50672.61868854436</v>
      </c>
      <c r="F2229" s="3">
        <v>21</v>
      </c>
      <c r="G2229" s="9">
        <v>84000</v>
      </c>
      <c r="H2229" s="5" t="s">
        <v>5080</v>
      </c>
      <c r="J2229" s="9">
        <f t="shared" si="71"/>
        <v>0</v>
      </c>
    </row>
    <row r="2230" spans="1:10">
      <c r="A2230" t="s">
        <v>3896</v>
      </c>
      <c r="B2230" t="s">
        <v>1160</v>
      </c>
      <c r="C2230" t="s">
        <v>101</v>
      </c>
      <c r="D2230" t="s">
        <v>3897</v>
      </c>
      <c r="E2230" s="9">
        <f t="shared" si="70"/>
        <v>50672.61868854436</v>
      </c>
      <c r="F2230" s="3">
        <v>21</v>
      </c>
      <c r="G2230" s="9">
        <v>84000</v>
      </c>
      <c r="H2230" s="4" t="s">
        <v>16</v>
      </c>
      <c r="J2230" s="9">
        <f t="shared" si="71"/>
        <v>0</v>
      </c>
    </row>
    <row r="2231" spans="1:10">
      <c r="A2231" t="s">
        <v>3898</v>
      </c>
      <c r="B2231" t="s">
        <v>1160</v>
      </c>
      <c r="C2231" t="s">
        <v>101</v>
      </c>
      <c r="D2231" t="s">
        <v>3899</v>
      </c>
      <c r="E2231" s="9">
        <f t="shared" si="70"/>
        <v>42227.182240453643</v>
      </c>
      <c r="F2231" s="3">
        <v>21</v>
      </c>
      <c r="G2231" s="9">
        <v>70000</v>
      </c>
      <c r="H2231" s="6" t="s">
        <v>45</v>
      </c>
      <c r="J2231" s="9">
        <f t="shared" si="71"/>
        <v>0</v>
      </c>
    </row>
    <row r="2232" spans="1:10">
      <c r="A2232" t="s">
        <v>3350</v>
      </c>
      <c r="B2232" t="s">
        <v>1160</v>
      </c>
      <c r="C2232" t="s">
        <v>101</v>
      </c>
      <c r="D2232" t="s">
        <v>3351</v>
      </c>
      <c r="E2232" s="9">
        <f t="shared" si="70"/>
        <v>836098.20836098201</v>
      </c>
      <c r="F2232" s="3">
        <v>21</v>
      </c>
      <c r="G2232" s="9">
        <v>1386000</v>
      </c>
      <c r="H2232" s="4" t="s">
        <v>16</v>
      </c>
      <c r="J2232" s="9">
        <f t="shared" si="71"/>
        <v>0</v>
      </c>
    </row>
    <row r="2233" spans="1:10">
      <c r="A2233" t="s">
        <v>4025</v>
      </c>
      <c r="B2233" t="s">
        <v>1160</v>
      </c>
      <c r="C2233" t="s">
        <v>101</v>
      </c>
      <c r="D2233" t="s">
        <v>4026</v>
      </c>
      <c r="E2233" s="9">
        <f t="shared" si="70"/>
        <v>1520178.560656331</v>
      </c>
      <c r="F2233" s="3">
        <v>21</v>
      </c>
      <c r="G2233" s="9">
        <v>2520000</v>
      </c>
      <c r="H2233" s="4" t="s">
        <v>16</v>
      </c>
      <c r="J2233" s="9">
        <f t="shared" si="71"/>
        <v>0</v>
      </c>
    </row>
    <row r="2234" spans="1:10">
      <c r="A2234" t="s">
        <v>4019</v>
      </c>
      <c r="B2234" t="s">
        <v>1160</v>
      </c>
      <c r="C2234" t="s">
        <v>101</v>
      </c>
      <c r="D2234" t="s">
        <v>4020</v>
      </c>
      <c r="E2234" s="9">
        <f t="shared" si="70"/>
        <v>1520178.560656331</v>
      </c>
      <c r="F2234" s="3">
        <v>21</v>
      </c>
      <c r="G2234" s="9">
        <v>2520000</v>
      </c>
      <c r="H2234" s="4" t="s">
        <v>16</v>
      </c>
      <c r="J2234" s="9">
        <f t="shared" si="71"/>
        <v>0</v>
      </c>
    </row>
    <row r="2235" spans="1:10">
      <c r="A2235" t="s">
        <v>4021</v>
      </c>
      <c r="B2235" t="s">
        <v>1160</v>
      </c>
      <c r="C2235" t="s">
        <v>101</v>
      </c>
      <c r="D2235" t="s">
        <v>4022</v>
      </c>
      <c r="E2235" s="9">
        <f t="shared" si="70"/>
        <v>1520178.560656331</v>
      </c>
      <c r="F2235" s="3">
        <v>21</v>
      </c>
      <c r="G2235" s="9">
        <v>2520000</v>
      </c>
      <c r="H2235" s="4" t="s">
        <v>16</v>
      </c>
      <c r="J2235" s="9">
        <f t="shared" si="71"/>
        <v>0</v>
      </c>
    </row>
    <row r="2236" spans="1:10">
      <c r="A2236" t="s">
        <v>4023</v>
      </c>
      <c r="B2236" t="s">
        <v>1160</v>
      </c>
      <c r="C2236" t="s">
        <v>101</v>
      </c>
      <c r="D2236" t="s">
        <v>4024</v>
      </c>
      <c r="E2236" s="9">
        <f t="shared" si="70"/>
        <v>1520178.560656331</v>
      </c>
      <c r="F2236" s="3">
        <v>21</v>
      </c>
      <c r="G2236" s="9">
        <v>2520000</v>
      </c>
      <c r="H2236" s="4" t="s">
        <v>16</v>
      </c>
      <c r="J2236" s="9">
        <f t="shared" si="71"/>
        <v>0</v>
      </c>
    </row>
    <row r="2237" spans="1:10">
      <c r="A2237" t="s">
        <v>3900</v>
      </c>
      <c r="B2237" t="s">
        <v>1160</v>
      </c>
      <c r="C2237" t="s">
        <v>101</v>
      </c>
      <c r="D2237" t="s">
        <v>3901</v>
      </c>
      <c r="E2237" s="9">
        <f t="shared" si="70"/>
        <v>25336.30934427218</v>
      </c>
      <c r="F2237" s="3">
        <v>21</v>
      </c>
      <c r="G2237" s="9">
        <v>42000</v>
      </c>
      <c r="H2237" s="4" t="s">
        <v>16</v>
      </c>
      <c r="J2237" s="9">
        <f t="shared" si="71"/>
        <v>0</v>
      </c>
    </row>
    <row r="2238" spans="1:10">
      <c r="A2238" t="s">
        <v>4511</v>
      </c>
      <c r="B2238" t="s">
        <v>1160</v>
      </c>
      <c r="C2238" t="s">
        <v>101</v>
      </c>
      <c r="D2238" t="s">
        <v>4512</v>
      </c>
      <c r="E2238" s="9">
        <f t="shared" si="70"/>
        <v>1646860.1073776917</v>
      </c>
      <c r="F2238" s="3">
        <v>21</v>
      </c>
      <c r="G2238" s="9">
        <v>2730000</v>
      </c>
      <c r="H2238" s="4" t="s">
        <v>16</v>
      </c>
      <c r="J2238" s="9">
        <f t="shared" si="71"/>
        <v>0</v>
      </c>
    </row>
    <row r="2239" spans="1:10">
      <c r="A2239" t="s">
        <v>4027</v>
      </c>
      <c r="B2239" t="s">
        <v>1160</v>
      </c>
      <c r="C2239" t="s">
        <v>101</v>
      </c>
      <c r="D2239" t="s">
        <v>4028</v>
      </c>
      <c r="E2239" s="9">
        <f t="shared" si="70"/>
        <v>1646860.1073776917</v>
      </c>
      <c r="F2239" s="3">
        <v>21</v>
      </c>
      <c r="G2239" s="9">
        <v>2730000</v>
      </c>
      <c r="H2239" s="4" t="s">
        <v>16</v>
      </c>
      <c r="J2239" s="9">
        <f t="shared" si="71"/>
        <v>0</v>
      </c>
    </row>
    <row r="2240" spans="1:10">
      <c r="A2240" t="s">
        <v>4513</v>
      </c>
      <c r="B2240" t="s">
        <v>1160</v>
      </c>
      <c r="C2240" t="s">
        <v>101</v>
      </c>
      <c r="D2240" t="s">
        <v>4514</v>
      </c>
      <c r="E2240" s="9">
        <f t="shared" si="70"/>
        <v>1646860.1073776917</v>
      </c>
      <c r="F2240" s="3">
        <v>21</v>
      </c>
      <c r="G2240" s="9">
        <v>2730000</v>
      </c>
      <c r="H2240" s="4" t="s">
        <v>16</v>
      </c>
      <c r="J2240" s="9">
        <f t="shared" si="71"/>
        <v>0</v>
      </c>
    </row>
    <row r="2241" spans="1:10">
      <c r="A2241" t="s">
        <v>4029</v>
      </c>
      <c r="B2241" t="s">
        <v>1160</v>
      </c>
      <c r="C2241" t="s">
        <v>101</v>
      </c>
      <c r="D2241" t="s">
        <v>4030</v>
      </c>
      <c r="E2241" s="9">
        <f t="shared" si="70"/>
        <v>1646860.1073776917</v>
      </c>
      <c r="F2241" s="3">
        <v>21</v>
      </c>
      <c r="G2241" s="9">
        <v>2730000</v>
      </c>
      <c r="H2241" s="4" t="s">
        <v>16</v>
      </c>
      <c r="J2241" s="9">
        <f t="shared" si="71"/>
        <v>0</v>
      </c>
    </row>
    <row r="2242" spans="1:10">
      <c r="A2242" t="s">
        <v>4035</v>
      </c>
      <c r="B2242" t="s">
        <v>1160</v>
      </c>
      <c r="C2242" t="s">
        <v>101</v>
      </c>
      <c r="D2242" t="s">
        <v>4036</v>
      </c>
      <c r="E2242" s="9">
        <f t="shared" si="70"/>
        <v>2102913.6755745909</v>
      </c>
      <c r="F2242" s="3">
        <v>21</v>
      </c>
      <c r="G2242" s="9">
        <v>3486000</v>
      </c>
      <c r="H2242" s="4" t="s">
        <v>16</v>
      </c>
      <c r="J2242" s="9">
        <f t="shared" si="71"/>
        <v>0</v>
      </c>
    </row>
    <row r="2243" spans="1:10">
      <c r="A2243" t="s">
        <v>4515</v>
      </c>
      <c r="B2243" t="s">
        <v>1160</v>
      </c>
      <c r="C2243" t="s">
        <v>101</v>
      </c>
      <c r="D2243" t="s">
        <v>4516</v>
      </c>
      <c r="E2243" s="9">
        <f t="shared" si="70"/>
        <v>2102913.6755745909</v>
      </c>
      <c r="F2243" s="3">
        <v>21</v>
      </c>
      <c r="G2243" s="9">
        <v>3486000</v>
      </c>
      <c r="H2243" s="4" t="s">
        <v>16</v>
      </c>
      <c r="J2243" s="9">
        <f t="shared" si="71"/>
        <v>0</v>
      </c>
    </row>
    <row r="2244" spans="1:10">
      <c r="A2244" t="s">
        <v>4031</v>
      </c>
      <c r="B2244" t="s">
        <v>1160</v>
      </c>
      <c r="C2244" t="s">
        <v>101</v>
      </c>
      <c r="D2244" t="s">
        <v>4032</v>
      </c>
      <c r="E2244" s="9">
        <f t="shared" si="70"/>
        <v>2102913.6755745909</v>
      </c>
      <c r="F2244" s="3">
        <v>21</v>
      </c>
      <c r="G2244" s="9">
        <v>3486000</v>
      </c>
      <c r="H2244" s="4" t="s">
        <v>16</v>
      </c>
      <c r="J2244" s="9">
        <f t="shared" si="71"/>
        <v>0</v>
      </c>
    </row>
    <row r="2245" spans="1:10">
      <c r="A2245" t="s">
        <v>4033</v>
      </c>
      <c r="B2245" t="s">
        <v>1160</v>
      </c>
      <c r="C2245" t="s">
        <v>101</v>
      </c>
      <c r="D2245" t="s">
        <v>4034</v>
      </c>
      <c r="E2245" s="9">
        <f t="shared" si="70"/>
        <v>2102913.6755745909</v>
      </c>
      <c r="F2245" s="3">
        <v>21</v>
      </c>
      <c r="G2245" s="9">
        <v>3486000</v>
      </c>
      <c r="H2245" s="4" t="s">
        <v>16</v>
      </c>
      <c r="J2245" s="9">
        <f t="shared" si="71"/>
        <v>0</v>
      </c>
    </row>
    <row r="2246" spans="1:10">
      <c r="A2246" t="s">
        <v>4517</v>
      </c>
      <c r="B2246" t="s">
        <v>1160</v>
      </c>
      <c r="C2246" t="s">
        <v>101</v>
      </c>
      <c r="D2246" t="s">
        <v>4518</v>
      </c>
      <c r="E2246" s="9">
        <f t="shared" si="70"/>
        <v>185799.60185799602</v>
      </c>
      <c r="F2246" s="3">
        <v>21</v>
      </c>
      <c r="G2246" s="9">
        <v>308000</v>
      </c>
      <c r="H2246" s="6" t="s">
        <v>45</v>
      </c>
      <c r="J2246" s="9">
        <f t="shared" si="71"/>
        <v>0</v>
      </c>
    </row>
    <row r="2247" spans="1:10">
      <c r="A2247" t="s">
        <v>1661</v>
      </c>
      <c r="B2247" t="s">
        <v>1160</v>
      </c>
      <c r="C2247" t="s">
        <v>101</v>
      </c>
      <c r="D2247" t="s">
        <v>1662</v>
      </c>
      <c r="E2247" s="9">
        <f t="shared" si="70"/>
        <v>22836.460155637327</v>
      </c>
      <c r="F2247" s="3">
        <v>21</v>
      </c>
      <c r="G2247" s="9">
        <v>37856</v>
      </c>
      <c r="H2247" s="4" t="s">
        <v>16</v>
      </c>
      <c r="J2247" s="9">
        <f t="shared" si="71"/>
        <v>0</v>
      </c>
    </row>
    <row r="2248" spans="1:10">
      <c r="A2248" t="s">
        <v>1663</v>
      </c>
      <c r="B2248" t="s">
        <v>1160</v>
      </c>
      <c r="C2248" t="s">
        <v>101</v>
      </c>
      <c r="D2248" t="s">
        <v>1664</v>
      </c>
      <c r="E2248" s="9">
        <f t="shared" si="70"/>
        <v>67563.491584725823</v>
      </c>
      <c r="F2248" s="3">
        <v>21</v>
      </c>
      <c r="G2248" s="9">
        <v>112000</v>
      </c>
      <c r="H2248" s="4" t="s">
        <v>16</v>
      </c>
      <c r="J2248" s="9">
        <f t="shared" si="71"/>
        <v>0</v>
      </c>
    </row>
    <row r="2249" spans="1:10">
      <c r="A2249" t="s">
        <v>4080</v>
      </c>
      <c r="B2249" t="s">
        <v>1160</v>
      </c>
      <c r="C2249" t="s">
        <v>101</v>
      </c>
      <c r="D2249" t="s">
        <v>4081</v>
      </c>
      <c r="E2249" s="9">
        <f t="shared" ref="E2249:E2312" si="72">SUM(G2249/(1+(F2249/100)) /(1+(37/100)))</f>
        <v>13512.698316945165</v>
      </c>
      <c r="F2249" s="3">
        <v>21</v>
      </c>
      <c r="G2249" s="9">
        <v>22400</v>
      </c>
      <c r="H2249" s="6" t="s">
        <v>45</v>
      </c>
      <c r="J2249" s="9">
        <f t="shared" ref="J2249:J2312" si="73">SUM(E2249* I2249)</f>
        <v>0</v>
      </c>
    </row>
    <row r="2250" spans="1:10">
      <c r="A2250" t="s">
        <v>2607</v>
      </c>
      <c r="B2250" t="s">
        <v>1160</v>
      </c>
      <c r="C2250" t="s">
        <v>101</v>
      </c>
      <c r="D2250" t="s">
        <v>2608</v>
      </c>
      <c r="E2250" s="9">
        <f t="shared" si="72"/>
        <v>295590.27568317548</v>
      </c>
      <c r="F2250" s="3">
        <v>21</v>
      </c>
      <c r="G2250" s="9">
        <v>490000</v>
      </c>
      <c r="H2250" s="4" t="s">
        <v>16</v>
      </c>
      <c r="J2250" s="9">
        <f t="shared" si="73"/>
        <v>0</v>
      </c>
    </row>
    <row r="2251" spans="1:10">
      <c r="A2251" t="s">
        <v>2447</v>
      </c>
      <c r="B2251" t="s">
        <v>1160</v>
      </c>
      <c r="C2251" t="s">
        <v>101</v>
      </c>
      <c r="D2251" t="s">
        <v>2448</v>
      </c>
      <c r="E2251" s="9">
        <f t="shared" si="72"/>
        <v>413826.38595644571</v>
      </c>
      <c r="F2251" s="3">
        <v>21</v>
      </c>
      <c r="G2251" s="9">
        <v>686000</v>
      </c>
      <c r="H2251" s="5" t="s">
        <v>5080</v>
      </c>
      <c r="J2251" s="9">
        <f t="shared" si="73"/>
        <v>0</v>
      </c>
    </row>
    <row r="2252" spans="1:10">
      <c r="A2252" t="s">
        <v>2750</v>
      </c>
      <c r="B2252" t="s">
        <v>1160</v>
      </c>
      <c r="C2252" t="s">
        <v>101</v>
      </c>
      <c r="D2252" t="s">
        <v>2751</v>
      </c>
      <c r="E2252" s="9">
        <f t="shared" si="72"/>
        <v>405380.94950835488</v>
      </c>
      <c r="F2252" s="3">
        <v>21</v>
      </c>
      <c r="G2252" s="9">
        <v>672000</v>
      </c>
      <c r="H2252" s="4" t="s">
        <v>16</v>
      </c>
      <c r="J2252" s="9">
        <f t="shared" si="73"/>
        <v>0</v>
      </c>
    </row>
    <row r="2253" spans="1:10">
      <c r="A2253" t="s">
        <v>1844</v>
      </c>
      <c r="B2253" t="s">
        <v>1160</v>
      </c>
      <c r="C2253" t="s">
        <v>101</v>
      </c>
      <c r="D2253" t="s">
        <v>1845</v>
      </c>
      <c r="E2253" s="9">
        <f t="shared" si="72"/>
        <v>21079.809374434459</v>
      </c>
      <c r="F2253" s="3">
        <v>21</v>
      </c>
      <c r="G2253" s="9">
        <v>34944</v>
      </c>
      <c r="H2253" s="4" t="s">
        <v>16</v>
      </c>
      <c r="J2253" s="9">
        <f t="shared" si="73"/>
        <v>0</v>
      </c>
    </row>
    <row r="2254" spans="1:10">
      <c r="A2254" t="s">
        <v>3348</v>
      </c>
      <c r="B2254" t="s">
        <v>1160</v>
      </c>
      <c r="C2254" t="s">
        <v>101</v>
      </c>
      <c r="D2254" t="s">
        <v>3349</v>
      </c>
      <c r="E2254" s="9">
        <f t="shared" si="72"/>
        <v>413826.38595644571</v>
      </c>
      <c r="F2254" s="3">
        <v>21</v>
      </c>
      <c r="G2254" s="9">
        <v>686000</v>
      </c>
      <c r="H2254" s="4" t="s">
        <v>16</v>
      </c>
      <c r="J2254" s="9">
        <f t="shared" si="73"/>
        <v>0</v>
      </c>
    </row>
    <row r="2255" spans="1:10">
      <c r="A2255" t="s">
        <v>2609</v>
      </c>
      <c r="B2255" t="s">
        <v>1160</v>
      </c>
      <c r="C2255" t="s">
        <v>101</v>
      </c>
      <c r="D2255" t="s">
        <v>2610</v>
      </c>
      <c r="E2255" s="9">
        <f t="shared" si="72"/>
        <v>413826.38595644571</v>
      </c>
      <c r="F2255" s="3">
        <v>21</v>
      </c>
      <c r="G2255" s="9">
        <v>686000</v>
      </c>
      <c r="H2255" s="4" t="s">
        <v>16</v>
      </c>
      <c r="J2255" s="9">
        <f t="shared" si="73"/>
        <v>0</v>
      </c>
    </row>
    <row r="2256" spans="1:10">
      <c r="A2256" t="s">
        <v>4007</v>
      </c>
      <c r="B2256" t="s">
        <v>1160</v>
      </c>
      <c r="C2256" t="s">
        <v>101</v>
      </c>
      <c r="D2256" t="s">
        <v>4008</v>
      </c>
      <c r="E2256" s="9">
        <f t="shared" si="72"/>
        <v>70941.666163962116</v>
      </c>
      <c r="F2256" s="3">
        <v>21</v>
      </c>
      <c r="G2256" s="9">
        <v>117600</v>
      </c>
      <c r="H2256" s="5" t="s">
        <v>5080</v>
      </c>
      <c r="J2256" s="9">
        <f t="shared" si="73"/>
        <v>0</v>
      </c>
    </row>
    <row r="2257" spans="1:10">
      <c r="A2257" t="s">
        <v>3902</v>
      </c>
      <c r="B2257" t="s">
        <v>1160</v>
      </c>
      <c r="C2257" t="s">
        <v>101</v>
      </c>
      <c r="D2257" t="s">
        <v>693</v>
      </c>
      <c r="E2257" s="9">
        <f t="shared" si="72"/>
        <v>506726.18688544369</v>
      </c>
      <c r="F2257" s="3">
        <v>21</v>
      </c>
      <c r="G2257" s="9">
        <v>840000</v>
      </c>
      <c r="H2257" s="4" t="s">
        <v>16</v>
      </c>
      <c r="J2257" s="9">
        <f t="shared" si="73"/>
        <v>0</v>
      </c>
    </row>
    <row r="2258" spans="1:10">
      <c r="A2258" t="s">
        <v>3364</v>
      </c>
      <c r="B2258" t="s">
        <v>1160</v>
      </c>
      <c r="C2258" t="s">
        <v>101</v>
      </c>
      <c r="D2258" t="s">
        <v>3365</v>
      </c>
      <c r="E2258" s="9">
        <f t="shared" si="72"/>
        <v>295590.27568317548</v>
      </c>
      <c r="F2258" s="3">
        <v>21</v>
      </c>
      <c r="G2258" s="9">
        <v>490000</v>
      </c>
      <c r="H2258" s="4" t="s">
        <v>16</v>
      </c>
      <c r="J2258" s="9">
        <f t="shared" si="73"/>
        <v>0</v>
      </c>
    </row>
    <row r="2259" spans="1:10" hidden="1">
      <c r="A2259" t="s">
        <v>4445</v>
      </c>
      <c r="B2259" t="s">
        <v>1160</v>
      </c>
      <c r="C2259" t="s">
        <v>101</v>
      </c>
      <c r="D2259" t="s">
        <v>4446</v>
      </c>
      <c r="E2259" s="9">
        <f t="shared" si="72"/>
        <v>8.445436448090728</v>
      </c>
      <c r="F2259" s="3">
        <v>21</v>
      </c>
      <c r="G2259" s="9">
        <v>14</v>
      </c>
      <c r="H2259" s="5" t="s">
        <v>24</v>
      </c>
      <c r="J2259" s="9">
        <f t="shared" si="73"/>
        <v>0</v>
      </c>
    </row>
    <row r="2260" spans="1:10" hidden="1">
      <c r="A2260" t="s">
        <v>4190</v>
      </c>
      <c r="B2260" t="s">
        <v>1160</v>
      </c>
      <c r="C2260" t="s">
        <v>101</v>
      </c>
      <c r="E2260" s="9">
        <f t="shared" si="72"/>
        <v>8.445436448090728</v>
      </c>
      <c r="F2260" s="3">
        <v>21</v>
      </c>
      <c r="G2260" s="9">
        <v>14</v>
      </c>
      <c r="H2260" s="4" t="s">
        <v>16</v>
      </c>
      <c r="J2260" s="9">
        <f t="shared" si="73"/>
        <v>0</v>
      </c>
    </row>
    <row r="2261" spans="1:10">
      <c r="A2261" t="s">
        <v>1848</v>
      </c>
      <c r="B2261" t="s">
        <v>1160</v>
      </c>
      <c r="C2261" t="s">
        <v>101</v>
      </c>
      <c r="D2261" t="s">
        <v>1849</v>
      </c>
      <c r="E2261" s="9">
        <f t="shared" si="72"/>
        <v>73779.332810520602</v>
      </c>
      <c r="F2261" s="3">
        <v>21</v>
      </c>
      <c r="G2261" s="9">
        <v>122304</v>
      </c>
      <c r="H2261" s="4" t="s">
        <v>16</v>
      </c>
      <c r="J2261" s="9">
        <f t="shared" si="73"/>
        <v>0</v>
      </c>
    </row>
    <row r="2262" spans="1:10">
      <c r="A2262" t="s">
        <v>2042</v>
      </c>
      <c r="B2262" t="s">
        <v>1160</v>
      </c>
      <c r="C2262" t="s">
        <v>101</v>
      </c>
      <c r="D2262" t="s">
        <v>2043</v>
      </c>
      <c r="E2262" s="9">
        <f t="shared" si="72"/>
        <v>79049.285154129218</v>
      </c>
      <c r="F2262" s="3">
        <v>21</v>
      </c>
      <c r="G2262" s="9">
        <v>131040</v>
      </c>
      <c r="H2262" s="4" t="s">
        <v>16</v>
      </c>
      <c r="J2262" s="9">
        <f t="shared" si="73"/>
        <v>0</v>
      </c>
    </row>
    <row r="2263" spans="1:10">
      <c r="A2263" t="s">
        <v>2040</v>
      </c>
      <c r="B2263" t="s">
        <v>1160</v>
      </c>
      <c r="C2263" t="s">
        <v>101</v>
      </c>
      <c r="D2263" t="s">
        <v>2041</v>
      </c>
      <c r="E2263" s="9">
        <f t="shared" si="72"/>
        <v>101007.4199191651</v>
      </c>
      <c r="F2263" s="3">
        <v>21</v>
      </c>
      <c r="G2263" s="9">
        <v>167440</v>
      </c>
      <c r="H2263" s="4" t="s">
        <v>16</v>
      </c>
      <c r="J2263" s="9">
        <f t="shared" si="73"/>
        <v>0</v>
      </c>
    </row>
    <row r="2264" spans="1:10">
      <c r="A2264" t="s">
        <v>3155</v>
      </c>
      <c r="B2264" t="s">
        <v>1160</v>
      </c>
      <c r="C2264" t="s">
        <v>101</v>
      </c>
      <c r="D2264" t="s">
        <v>3156</v>
      </c>
      <c r="E2264" s="9">
        <f t="shared" si="72"/>
        <v>84454.364480907287</v>
      </c>
      <c r="F2264" s="3">
        <v>21</v>
      </c>
      <c r="G2264" s="9">
        <v>140000</v>
      </c>
      <c r="H2264" s="4" t="s">
        <v>16</v>
      </c>
      <c r="J2264" s="9">
        <f t="shared" si="73"/>
        <v>0</v>
      </c>
    </row>
    <row r="2265" spans="1:10">
      <c r="A2265" t="s">
        <v>3157</v>
      </c>
      <c r="B2265" t="s">
        <v>1160</v>
      </c>
      <c r="C2265" t="s">
        <v>101</v>
      </c>
      <c r="D2265" t="s">
        <v>3158</v>
      </c>
      <c r="E2265" s="9">
        <f t="shared" si="72"/>
        <v>135126.98316945165</v>
      </c>
      <c r="F2265" s="3">
        <v>21</v>
      </c>
      <c r="G2265" s="9">
        <v>224000</v>
      </c>
      <c r="H2265" s="4" t="s">
        <v>16</v>
      </c>
      <c r="J2265" s="9">
        <f t="shared" si="73"/>
        <v>0</v>
      </c>
    </row>
    <row r="2266" spans="1:10">
      <c r="A2266" t="s">
        <v>4519</v>
      </c>
      <c r="B2266" t="s">
        <v>1160</v>
      </c>
      <c r="C2266" t="s">
        <v>101</v>
      </c>
      <c r="D2266" t="s">
        <v>4520</v>
      </c>
      <c r="E2266" s="9">
        <f t="shared" si="72"/>
        <v>202690.47475417744</v>
      </c>
      <c r="F2266" s="3">
        <v>21</v>
      </c>
      <c r="G2266" s="9">
        <v>336000</v>
      </c>
      <c r="H2266" s="4" t="s">
        <v>16</v>
      </c>
      <c r="J2266" s="9">
        <f t="shared" si="73"/>
        <v>0</v>
      </c>
    </row>
    <row r="2267" spans="1:10">
      <c r="A2267" t="s">
        <v>3903</v>
      </c>
      <c r="B2267" t="s">
        <v>1160</v>
      </c>
      <c r="C2267" t="s">
        <v>101</v>
      </c>
      <c r="D2267" t="s">
        <v>693</v>
      </c>
      <c r="E2267" s="9">
        <f t="shared" si="72"/>
        <v>464499.00464499003</v>
      </c>
      <c r="F2267" s="3">
        <v>21</v>
      </c>
      <c r="G2267" s="9">
        <v>770000</v>
      </c>
      <c r="H2267" s="4" t="s">
        <v>16</v>
      </c>
      <c r="J2267" s="9">
        <f t="shared" si="73"/>
        <v>0</v>
      </c>
    </row>
    <row r="2268" spans="1:10">
      <c r="A2268" t="s">
        <v>3346</v>
      </c>
      <c r="B2268" t="s">
        <v>1160</v>
      </c>
      <c r="C2268" t="s">
        <v>101</v>
      </c>
      <c r="D2268" t="s">
        <v>3347</v>
      </c>
      <c r="E2268" s="9">
        <f t="shared" si="72"/>
        <v>152017.8560656331</v>
      </c>
      <c r="F2268" s="3">
        <v>21</v>
      </c>
      <c r="G2268" s="9">
        <v>252000</v>
      </c>
      <c r="H2268" s="4" t="s">
        <v>16</v>
      </c>
      <c r="J2268" s="9">
        <f t="shared" si="73"/>
        <v>0</v>
      </c>
    </row>
    <row r="2269" spans="1:10">
      <c r="A2269" t="s">
        <v>1185</v>
      </c>
      <c r="B2269" t="s">
        <v>1160</v>
      </c>
      <c r="C2269" t="s">
        <v>101</v>
      </c>
      <c r="D2269" t="s">
        <v>1186</v>
      </c>
      <c r="E2269" s="9">
        <f t="shared" si="72"/>
        <v>114182.30077818663</v>
      </c>
      <c r="F2269" s="3">
        <v>21</v>
      </c>
      <c r="G2269" s="9">
        <v>189280</v>
      </c>
      <c r="H2269" s="4" t="s">
        <v>16</v>
      </c>
      <c r="J2269" s="9">
        <f t="shared" si="73"/>
        <v>0</v>
      </c>
    </row>
    <row r="2270" spans="1:10">
      <c r="A2270" t="s">
        <v>1187</v>
      </c>
      <c r="B2270" t="s">
        <v>1160</v>
      </c>
      <c r="C2270" t="s">
        <v>101</v>
      </c>
      <c r="D2270" t="s">
        <v>1188</v>
      </c>
      <c r="E2270" s="9">
        <f t="shared" si="72"/>
        <v>131748.80859021537</v>
      </c>
      <c r="F2270" s="3">
        <v>21</v>
      </c>
      <c r="G2270" s="9">
        <v>218400</v>
      </c>
      <c r="H2270" s="4" t="s">
        <v>16</v>
      </c>
      <c r="J2270" s="9">
        <f t="shared" si="73"/>
        <v>0</v>
      </c>
    </row>
    <row r="2271" spans="1:10">
      <c r="A2271" t="s">
        <v>1189</v>
      </c>
      <c r="B2271" t="s">
        <v>1160</v>
      </c>
      <c r="C2271" t="s">
        <v>101</v>
      </c>
      <c r="D2271" t="s">
        <v>1190</v>
      </c>
      <c r="E2271" s="9">
        <f t="shared" si="72"/>
        <v>162490.1972612656</v>
      </c>
      <c r="F2271" s="3">
        <v>21</v>
      </c>
      <c r="G2271" s="9">
        <v>269360</v>
      </c>
      <c r="H2271" s="4" t="s">
        <v>16</v>
      </c>
      <c r="J2271" s="9">
        <f t="shared" si="73"/>
        <v>0</v>
      </c>
    </row>
    <row r="2272" spans="1:10">
      <c r="A2272" t="s">
        <v>2395</v>
      </c>
      <c r="B2272" t="s">
        <v>1160</v>
      </c>
      <c r="C2272" t="s">
        <v>101</v>
      </c>
      <c r="D2272" t="s">
        <v>2396</v>
      </c>
      <c r="E2272" s="9">
        <f t="shared" si="72"/>
        <v>168908.72896181457</v>
      </c>
      <c r="F2272" s="3">
        <v>21</v>
      </c>
      <c r="G2272" s="9">
        <v>280000</v>
      </c>
      <c r="H2272" s="4" t="s">
        <v>16</v>
      </c>
      <c r="J2272" s="9">
        <f t="shared" si="73"/>
        <v>0</v>
      </c>
    </row>
    <row r="2273" spans="1:10">
      <c r="A2273" t="s">
        <v>4037</v>
      </c>
      <c r="B2273" t="s">
        <v>1160</v>
      </c>
      <c r="C2273" t="s">
        <v>101</v>
      </c>
      <c r="D2273" t="s">
        <v>4038</v>
      </c>
      <c r="E2273" s="9">
        <f t="shared" si="72"/>
        <v>253363.09344272185</v>
      </c>
      <c r="F2273" s="3">
        <v>21</v>
      </c>
      <c r="G2273" s="9">
        <v>420000</v>
      </c>
      <c r="H2273" s="4" t="s">
        <v>16</v>
      </c>
      <c r="J2273" s="9">
        <f t="shared" si="73"/>
        <v>0</v>
      </c>
    </row>
    <row r="2274" spans="1:10">
      <c r="A2274" t="s">
        <v>2791</v>
      </c>
      <c r="B2274" t="s">
        <v>1160</v>
      </c>
      <c r="C2274" t="s">
        <v>101</v>
      </c>
      <c r="D2274" t="s">
        <v>2792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3904</v>
      </c>
      <c r="B2275" t="s">
        <v>1160</v>
      </c>
      <c r="C2275" t="s">
        <v>101</v>
      </c>
      <c r="D2275" t="s">
        <v>3905</v>
      </c>
      <c r="E2275" s="9">
        <f t="shared" si="72"/>
        <v>177354.16540990528</v>
      </c>
      <c r="F2275" s="3">
        <v>21</v>
      </c>
      <c r="G2275" s="9">
        <v>294000</v>
      </c>
      <c r="H2275" s="4" t="s">
        <v>16</v>
      </c>
      <c r="J2275" s="9">
        <f t="shared" si="73"/>
        <v>0</v>
      </c>
    </row>
    <row r="2276" spans="1:10">
      <c r="A2276" t="s">
        <v>2744</v>
      </c>
      <c r="B2276" t="s">
        <v>1160</v>
      </c>
      <c r="C2276" t="s">
        <v>101</v>
      </c>
      <c r="D2276" t="s">
        <v>2745</v>
      </c>
      <c r="E2276" s="9">
        <f t="shared" si="72"/>
        <v>194245.03830608673</v>
      </c>
      <c r="F2276" s="3">
        <v>21</v>
      </c>
      <c r="G2276" s="9">
        <v>322000</v>
      </c>
      <c r="H2276" s="4" t="s">
        <v>16</v>
      </c>
      <c r="J2276" s="9">
        <f t="shared" si="73"/>
        <v>0</v>
      </c>
    </row>
    <row r="2277" spans="1:10">
      <c r="A2277" t="s">
        <v>3906</v>
      </c>
      <c r="B2277" t="s">
        <v>1160</v>
      </c>
      <c r="C2277" t="s">
        <v>101</v>
      </c>
      <c r="D2277" t="s">
        <v>3907</v>
      </c>
      <c r="E2277" s="9">
        <f t="shared" si="72"/>
        <v>152017.8560656331</v>
      </c>
      <c r="F2277" s="3">
        <v>21</v>
      </c>
      <c r="G2277" s="9">
        <v>252000</v>
      </c>
      <c r="H2277" s="4" t="s">
        <v>16</v>
      </c>
      <c r="J2277" s="9">
        <f t="shared" si="73"/>
        <v>0</v>
      </c>
    </row>
    <row r="2278" spans="1:10">
      <c r="A2278" t="s">
        <v>1629</v>
      </c>
      <c r="B2278" t="s">
        <v>1160</v>
      </c>
      <c r="C2278" t="s">
        <v>101</v>
      </c>
      <c r="D2278" t="s">
        <v>1630</v>
      </c>
      <c r="E2278" s="9">
        <f t="shared" si="72"/>
        <v>219581.34765035889</v>
      </c>
      <c r="F2278" s="3">
        <v>21</v>
      </c>
      <c r="G2278" s="9">
        <v>364000</v>
      </c>
      <c r="H2278" s="4" t="s">
        <v>16</v>
      </c>
      <c r="J2278" s="9">
        <f t="shared" si="73"/>
        <v>0</v>
      </c>
    </row>
    <row r="2279" spans="1:10">
      <c r="A2279" t="s">
        <v>1305</v>
      </c>
      <c r="B2279" t="s">
        <v>1160</v>
      </c>
      <c r="C2279" t="s">
        <v>101</v>
      </c>
      <c r="D2279" t="s">
        <v>1306</v>
      </c>
      <c r="E2279" s="9">
        <f t="shared" si="72"/>
        <v>166881.82421427278</v>
      </c>
      <c r="F2279" s="3">
        <v>21</v>
      </c>
      <c r="G2279" s="9">
        <v>276640</v>
      </c>
      <c r="H2279" s="4" t="s">
        <v>16</v>
      </c>
      <c r="J2279" s="9">
        <f t="shared" si="73"/>
        <v>0</v>
      </c>
    </row>
    <row r="2280" spans="1:10">
      <c r="A2280" t="s">
        <v>3612</v>
      </c>
      <c r="B2280" t="s">
        <v>1160</v>
      </c>
      <c r="C2280" t="s">
        <v>101</v>
      </c>
      <c r="D2280" t="s">
        <v>3613</v>
      </c>
      <c r="E2280" s="9">
        <f t="shared" si="72"/>
        <v>506726.18688544369</v>
      </c>
      <c r="F2280" s="3">
        <v>21</v>
      </c>
      <c r="G2280" s="9">
        <v>840000</v>
      </c>
      <c r="H2280" s="4" t="s">
        <v>16</v>
      </c>
      <c r="J2280" s="9">
        <f t="shared" si="73"/>
        <v>0</v>
      </c>
    </row>
    <row r="2281" spans="1:10">
      <c r="A2281" t="s">
        <v>2611</v>
      </c>
      <c r="B2281" t="s">
        <v>1160</v>
      </c>
      <c r="C2281" t="s">
        <v>101</v>
      </c>
      <c r="D2281" t="s">
        <v>2612</v>
      </c>
      <c r="E2281" s="9">
        <f t="shared" si="72"/>
        <v>532062.49622971576</v>
      </c>
      <c r="F2281" s="3">
        <v>21</v>
      </c>
      <c r="G2281" s="9">
        <v>882000</v>
      </c>
      <c r="H2281" s="6" t="s">
        <v>45</v>
      </c>
      <c r="J2281" s="9">
        <f t="shared" si="73"/>
        <v>0</v>
      </c>
    </row>
    <row r="2282" spans="1:10">
      <c r="A2282" t="s">
        <v>1307</v>
      </c>
      <c r="B2282" t="s">
        <v>1160</v>
      </c>
      <c r="C2282" t="s">
        <v>101</v>
      </c>
      <c r="D2282" t="s">
        <v>1308</v>
      </c>
      <c r="E2282" s="9">
        <f t="shared" si="72"/>
        <v>351330.15624057426</v>
      </c>
      <c r="F2282" s="3">
        <v>21</v>
      </c>
      <c r="G2282" s="9">
        <v>582400</v>
      </c>
      <c r="H2282" s="4" t="s">
        <v>16</v>
      </c>
      <c r="J2282" s="9">
        <f t="shared" si="73"/>
        <v>0</v>
      </c>
    </row>
    <row r="2283" spans="1:10">
      <c r="A2283" t="s">
        <v>2746</v>
      </c>
      <c r="B2283" t="s">
        <v>1160</v>
      </c>
      <c r="C2283" t="s">
        <v>101</v>
      </c>
      <c r="D2283" t="s">
        <v>2747</v>
      </c>
      <c r="E2283" s="9">
        <f t="shared" si="72"/>
        <v>548953.3691258973</v>
      </c>
      <c r="F2283" s="3">
        <v>21</v>
      </c>
      <c r="G2283" s="9">
        <v>910000</v>
      </c>
      <c r="H2283" s="6" t="s">
        <v>45</v>
      </c>
      <c r="J2283" s="9">
        <f t="shared" si="73"/>
        <v>0</v>
      </c>
    </row>
    <row r="2284" spans="1:10">
      <c r="A2284" t="s">
        <v>3344</v>
      </c>
      <c r="B2284" t="s">
        <v>1160</v>
      </c>
      <c r="C2284" t="s">
        <v>101</v>
      </c>
      <c r="D2284" t="s">
        <v>3345</v>
      </c>
      <c r="E2284" s="9">
        <f t="shared" si="72"/>
        <v>591180.55136635096</v>
      </c>
      <c r="F2284" s="3">
        <v>21</v>
      </c>
      <c r="G2284" s="9">
        <v>980000</v>
      </c>
      <c r="H2284" s="6" t="s">
        <v>45</v>
      </c>
      <c r="J2284" s="9">
        <f t="shared" si="73"/>
        <v>0</v>
      </c>
    </row>
    <row r="2285" spans="1:10">
      <c r="A2285" t="s">
        <v>1621</v>
      </c>
      <c r="B2285" t="s">
        <v>1160</v>
      </c>
      <c r="C2285" t="s">
        <v>101</v>
      </c>
      <c r="D2285" t="s">
        <v>1622</v>
      </c>
      <c r="E2285" s="9">
        <f t="shared" si="72"/>
        <v>126681.54672136092</v>
      </c>
      <c r="F2285" s="3">
        <v>21</v>
      </c>
      <c r="G2285" s="9">
        <v>210000</v>
      </c>
      <c r="H2285" s="4" t="s">
        <v>16</v>
      </c>
      <c r="J2285" s="9">
        <f t="shared" si="73"/>
        <v>0</v>
      </c>
    </row>
    <row r="2286" spans="1:10">
      <c r="A2286" t="s">
        <v>1623</v>
      </c>
      <c r="B2286" t="s">
        <v>1160</v>
      </c>
      <c r="C2286" t="s">
        <v>101</v>
      </c>
      <c r="D2286" t="s">
        <v>1624</v>
      </c>
      <c r="E2286" s="9">
        <f t="shared" si="72"/>
        <v>329372.02147553838</v>
      </c>
      <c r="F2286" s="3">
        <v>21</v>
      </c>
      <c r="G2286" s="9">
        <v>546000</v>
      </c>
      <c r="H2286" s="4" t="s">
        <v>16</v>
      </c>
      <c r="J2286" s="9">
        <f t="shared" si="73"/>
        <v>0</v>
      </c>
    </row>
    <row r="2287" spans="1:10">
      <c r="A2287" t="s">
        <v>3845</v>
      </c>
      <c r="B2287" t="s">
        <v>1160</v>
      </c>
      <c r="C2287" t="s">
        <v>101</v>
      </c>
      <c r="D2287" t="s">
        <v>470</v>
      </c>
      <c r="E2287" s="9">
        <f t="shared" si="72"/>
        <v>84454.364480907287</v>
      </c>
      <c r="F2287" s="3">
        <v>21</v>
      </c>
      <c r="G2287" s="9">
        <v>140000</v>
      </c>
      <c r="H2287" s="4" t="s">
        <v>16</v>
      </c>
      <c r="J2287" s="9">
        <f t="shared" si="73"/>
        <v>0</v>
      </c>
    </row>
    <row r="2288" spans="1:10">
      <c r="A2288" t="s">
        <v>1181</v>
      </c>
      <c r="B2288" t="s">
        <v>1160</v>
      </c>
      <c r="C2288" t="s">
        <v>101</v>
      </c>
      <c r="D2288" t="s">
        <v>1182</v>
      </c>
      <c r="E2288" s="9">
        <f t="shared" si="72"/>
        <v>145134.82536043916</v>
      </c>
      <c r="F2288" s="3">
        <v>21</v>
      </c>
      <c r="G2288" s="9">
        <v>240590</v>
      </c>
      <c r="H2288" s="4" t="s">
        <v>16</v>
      </c>
      <c r="J2288" s="9">
        <f t="shared" si="73"/>
        <v>0</v>
      </c>
    </row>
    <row r="2289" spans="1:10">
      <c r="A2289" t="s">
        <v>1183</v>
      </c>
      <c r="B2289" t="s">
        <v>1160</v>
      </c>
      <c r="C2289" t="s">
        <v>101</v>
      </c>
      <c r="D2289" t="s">
        <v>1184</v>
      </c>
      <c r="E2289" s="9">
        <f t="shared" si="72"/>
        <v>388920.79387102614</v>
      </c>
      <c r="F2289" s="3">
        <v>21</v>
      </c>
      <c r="G2289" s="9">
        <v>644714</v>
      </c>
      <c r="H2289" s="4" t="s">
        <v>16</v>
      </c>
      <c r="J2289" s="9">
        <f t="shared" si="73"/>
        <v>0</v>
      </c>
    </row>
    <row r="2290" spans="1:10">
      <c r="A2290" t="s">
        <v>3846</v>
      </c>
      <c r="B2290" t="s">
        <v>1160</v>
      </c>
      <c r="C2290" t="s">
        <v>101</v>
      </c>
      <c r="D2290" t="s">
        <v>930</v>
      </c>
      <c r="E2290" s="9">
        <f t="shared" si="72"/>
        <v>185799.60185799602</v>
      </c>
      <c r="F2290" s="3">
        <v>21</v>
      </c>
      <c r="G2290" s="9">
        <v>308000</v>
      </c>
      <c r="H2290" s="4" t="s">
        <v>16</v>
      </c>
      <c r="J2290" s="9">
        <f t="shared" si="73"/>
        <v>0</v>
      </c>
    </row>
    <row r="2291" spans="1:10">
      <c r="A2291" t="s">
        <v>2226</v>
      </c>
      <c r="B2291" t="s">
        <v>1160</v>
      </c>
      <c r="C2291" t="s">
        <v>101</v>
      </c>
      <c r="D2291" t="s">
        <v>2227</v>
      </c>
      <c r="E2291" s="9">
        <f t="shared" si="72"/>
        <v>135126.98316945165</v>
      </c>
      <c r="F2291" s="3">
        <v>21</v>
      </c>
      <c r="G2291" s="9">
        <v>224000</v>
      </c>
      <c r="H2291" s="4" t="s">
        <v>16</v>
      </c>
      <c r="J2291" s="9">
        <f t="shared" si="73"/>
        <v>0</v>
      </c>
    </row>
    <row r="2292" spans="1:10">
      <c r="A2292" t="s">
        <v>2228</v>
      </c>
      <c r="B2292" t="s">
        <v>1160</v>
      </c>
      <c r="C2292" t="s">
        <v>101</v>
      </c>
      <c r="D2292" t="s">
        <v>2229</v>
      </c>
      <c r="E2292" s="9">
        <f t="shared" si="72"/>
        <v>413826.38595644571</v>
      </c>
      <c r="F2292" s="3">
        <v>21</v>
      </c>
      <c r="G2292" s="9">
        <v>686000</v>
      </c>
      <c r="H2292" s="4" t="s">
        <v>16</v>
      </c>
      <c r="J2292" s="9">
        <f t="shared" si="73"/>
        <v>0</v>
      </c>
    </row>
    <row r="2293" spans="1:10">
      <c r="A2293" t="s">
        <v>2847</v>
      </c>
      <c r="B2293" t="s">
        <v>1160</v>
      </c>
      <c r="C2293" t="s">
        <v>101</v>
      </c>
      <c r="D2293" t="s">
        <v>470</v>
      </c>
      <c r="E2293" s="9">
        <f t="shared" si="72"/>
        <v>168908.72896181457</v>
      </c>
      <c r="F2293" s="3">
        <v>21</v>
      </c>
      <c r="G2293" s="9">
        <v>280000</v>
      </c>
      <c r="H2293" s="4" t="s">
        <v>16</v>
      </c>
      <c r="J2293" s="9">
        <f t="shared" si="73"/>
        <v>0</v>
      </c>
    </row>
    <row r="2294" spans="1:10">
      <c r="A2294" t="s">
        <v>2038</v>
      </c>
      <c r="B2294" t="s">
        <v>1160</v>
      </c>
      <c r="C2294" t="s">
        <v>101</v>
      </c>
      <c r="D2294" t="s">
        <v>2039</v>
      </c>
      <c r="E2294" s="9">
        <f t="shared" si="72"/>
        <v>194245.03830608673</v>
      </c>
      <c r="F2294" s="3">
        <v>21</v>
      </c>
      <c r="G2294" s="9">
        <v>322000</v>
      </c>
      <c r="H2294" s="4" t="s">
        <v>16</v>
      </c>
      <c r="J2294" s="9">
        <f t="shared" si="73"/>
        <v>0</v>
      </c>
    </row>
    <row r="2295" spans="1:10">
      <c r="A2295" t="s">
        <v>2237</v>
      </c>
      <c r="B2295" t="s">
        <v>1160</v>
      </c>
      <c r="C2295" t="s">
        <v>101</v>
      </c>
      <c r="D2295" t="s">
        <v>2238</v>
      </c>
      <c r="E2295" s="9">
        <f t="shared" si="72"/>
        <v>422271.82240453636</v>
      </c>
      <c r="F2295" s="3">
        <v>21</v>
      </c>
      <c r="G2295" s="9">
        <v>700000</v>
      </c>
      <c r="H2295" s="4" t="s">
        <v>16</v>
      </c>
      <c r="J2295" s="9">
        <f t="shared" si="73"/>
        <v>0</v>
      </c>
    </row>
    <row r="2296" spans="1:10">
      <c r="A2296" t="s">
        <v>1627</v>
      </c>
      <c r="B2296" t="s">
        <v>1160</v>
      </c>
      <c r="C2296" t="s">
        <v>101</v>
      </c>
      <c r="D2296" t="s">
        <v>1628</v>
      </c>
      <c r="E2296" s="9">
        <f t="shared" si="72"/>
        <v>438284.36991011637</v>
      </c>
      <c r="F2296" s="3">
        <v>21</v>
      </c>
      <c r="G2296" s="9">
        <v>726544</v>
      </c>
      <c r="H2296" s="4" t="s">
        <v>16</v>
      </c>
      <c r="J2296" s="9">
        <f t="shared" si="73"/>
        <v>0</v>
      </c>
    </row>
    <row r="2297" spans="1:10">
      <c r="A2297" t="s">
        <v>3847</v>
      </c>
      <c r="B2297" t="s">
        <v>1160</v>
      </c>
      <c r="C2297" t="s">
        <v>101</v>
      </c>
      <c r="D2297" t="s">
        <v>3848</v>
      </c>
      <c r="E2297" s="9">
        <f t="shared" si="72"/>
        <v>6756.3491584725825</v>
      </c>
      <c r="F2297" s="3">
        <v>21</v>
      </c>
      <c r="G2297" s="9">
        <v>11200</v>
      </c>
      <c r="H2297" s="6" t="s">
        <v>45</v>
      </c>
      <c r="J2297" s="9">
        <f t="shared" si="73"/>
        <v>0</v>
      </c>
    </row>
    <row r="2298" spans="1:10">
      <c r="A2298" t="s">
        <v>3849</v>
      </c>
      <c r="B2298" t="s">
        <v>1160</v>
      </c>
      <c r="C2298" t="s">
        <v>101</v>
      </c>
      <c r="D2298" t="s">
        <v>3850</v>
      </c>
      <c r="E2298" s="9">
        <f t="shared" si="72"/>
        <v>6756.3491584725825</v>
      </c>
      <c r="F2298" s="3">
        <v>21</v>
      </c>
      <c r="G2298" s="9">
        <v>11200</v>
      </c>
      <c r="H2298" s="6" t="s">
        <v>45</v>
      </c>
      <c r="J2298" s="9">
        <f t="shared" si="73"/>
        <v>0</v>
      </c>
    </row>
    <row r="2299" spans="1:10">
      <c r="A2299" t="s">
        <v>1836</v>
      </c>
      <c r="B2299" t="s">
        <v>1160</v>
      </c>
      <c r="C2299" t="s">
        <v>101</v>
      </c>
      <c r="D2299" t="s">
        <v>1837</v>
      </c>
      <c r="E2299" s="9">
        <f t="shared" si="72"/>
        <v>272280.871086445</v>
      </c>
      <c r="F2299" s="3">
        <v>21</v>
      </c>
      <c r="G2299" s="9">
        <v>451359.99999999988</v>
      </c>
      <c r="H2299" s="4" t="s">
        <v>16</v>
      </c>
      <c r="J2299" s="9">
        <f t="shared" si="73"/>
        <v>0</v>
      </c>
    </row>
    <row r="2300" spans="1:10">
      <c r="A2300" t="s">
        <v>1691</v>
      </c>
      <c r="B2300" t="s">
        <v>1160</v>
      </c>
      <c r="C2300" t="s">
        <v>101</v>
      </c>
      <c r="D2300" t="s">
        <v>1692</v>
      </c>
      <c r="E2300" s="9">
        <f t="shared" si="72"/>
        <v>614827.773421005</v>
      </c>
      <c r="F2300" s="3">
        <v>21</v>
      </c>
      <c r="G2300" s="9">
        <v>1019200</v>
      </c>
      <c r="H2300" s="4" t="s">
        <v>16</v>
      </c>
      <c r="J2300" s="9">
        <f t="shared" si="73"/>
        <v>0</v>
      </c>
    </row>
    <row r="2301" spans="1:10">
      <c r="A2301" t="s">
        <v>4039</v>
      </c>
      <c r="B2301" t="s">
        <v>1160</v>
      </c>
      <c r="C2301" t="s">
        <v>101</v>
      </c>
      <c r="D2301" t="s">
        <v>4040</v>
      </c>
      <c r="E2301" s="9">
        <f t="shared" si="72"/>
        <v>532062.49622971576</v>
      </c>
      <c r="F2301" s="3">
        <v>21</v>
      </c>
      <c r="G2301" s="9">
        <v>882000</v>
      </c>
      <c r="H2301" s="4" t="s">
        <v>16</v>
      </c>
      <c r="J2301" s="9">
        <f t="shared" si="73"/>
        <v>0</v>
      </c>
    </row>
    <row r="2302" spans="1:10">
      <c r="A2302" t="s">
        <v>4041</v>
      </c>
      <c r="B2302" t="s">
        <v>1160</v>
      </c>
      <c r="C2302" t="s">
        <v>101</v>
      </c>
      <c r="D2302" t="s">
        <v>4042</v>
      </c>
      <c r="E2302" s="9">
        <f t="shared" si="72"/>
        <v>532062.49622971576</v>
      </c>
      <c r="F2302" s="3">
        <v>21</v>
      </c>
      <c r="G2302" s="9">
        <v>882000</v>
      </c>
      <c r="H2302" s="4" t="s">
        <v>16</v>
      </c>
      <c r="J2302" s="9">
        <f t="shared" si="73"/>
        <v>0</v>
      </c>
    </row>
    <row r="2303" spans="1:10">
      <c r="A2303" t="s">
        <v>2241</v>
      </c>
      <c r="B2303" t="s">
        <v>1160</v>
      </c>
      <c r="C2303" t="s">
        <v>101</v>
      </c>
      <c r="D2303" t="s">
        <v>2242</v>
      </c>
      <c r="E2303" s="9">
        <f t="shared" si="72"/>
        <v>329372.02147553838</v>
      </c>
      <c r="F2303" s="3">
        <v>21</v>
      </c>
      <c r="G2303" s="9">
        <v>546000</v>
      </c>
      <c r="H2303" s="4" t="s">
        <v>16</v>
      </c>
      <c r="J2303" s="9">
        <f t="shared" si="73"/>
        <v>0</v>
      </c>
    </row>
    <row r="2304" spans="1:10">
      <c r="A2304" t="s">
        <v>1315</v>
      </c>
      <c r="B2304" t="s">
        <v>1160</v>
      </c>
      <c r="C2304" t="s">
        <v>101</v>
      </c>
      <c r="D2304" t="s">
        <v>1316</v>
      </c>
      <c r="E2304" s="9">
        <f t="shared" si="72"/>
        <v>263497.61718043074</v>
      </c>
      <c r="F2304" s="3">
        <v>21</v>
      </c>
      <c r="G2304" s="9">
        <v>436800</v>
      </c>
      <c r="H2304" s="4" t="s">
        <v>16</v>
      </c>
      <c r="J2304" s="9">
        <f t="shared" si="73"/>
        <v>0</v>
      </c>
    </row>
    <row r="2305" spans="1:10">
      <c r="A2305" t="s">
        <v>1311</v>
      </c>
      <c r="B2305" t="s">
        <v>1160</v>
      </c>
      <c r="C2305" t="s">
        <v>101</v>
      </c>
      <c r="D2305" t="s">
        <v>1312</v>
      </c>
      <c r="E2305" s="9">
        <f t="shared" si="72"/>
        <v>614827.773421005</v>
      </c>
      <c r="F2305" s="3">
        <v>21</v>
      </c>
      <c r="G2305" s="9">
        <v>1019200</v>
      </c>
      <c r="H2305" s="4" t="s">
        <v>16</v>
      </c>
      <c r="J2305" s="9">
        <f t="shared" si="73"/>
        <v>0</v>
      </c>
    </row>
    <row r="2306" spans="1:10">
      <c r="A2306" t="s">
        <v>4043</v>
      </c>
      <c r="B2306" t="s">
        <v>1160</v>
      </c>
      <c r="C2306" t="s">
        <v>101</v>
      </c>
      <c r="D2306" t="s">
        <v>4044</v>
      </c>
      <c r="E2306" s="9">
        <f t="shared" si="72"/>
        <v>1182361.1027327019</v>
      </c>
      <c r="F2306" s="3">
        <v>21</v>
      </c>
      <c r="G2306" s="9">
        <v>1960000</v>
      </c>
      <c r="H2306" s="5" t="s">
        <v>5080</v>
      </c>
      <c r="J2306" s="9">
        <f t="shared" si="73"/>
        <v>0</v>
      </c>
    </row>
    <row r="2307" spans="1:10">
      <c r="A2307" t="s">
        <v>4045</v>
      </c>
      <c r="B2307" t="s">
        <v>1160</v>
      </c>
      <c r="C2307" t="s">
        <v>101</v>
      </c>
      <c r="D2307" t="s">
        <v>4044</v>
      </c>
      <c r="E2307" s="9">
        <f t="shared" si="72"/>
        <v>1182361.1027327019</v>
      </c>
      <c r="F2307" s="3">
        <v>21</v>
      </c>
      <c r="G2307" s="9">
        <v>1960000</v>
      </c>
      <c r="H2307" s="5" t="s">
        <v>5080</v>
      </c>
      <c r="J2307" s="9">
        <f t="shared" si="73"/>
        <v>0</v>
      </c>
    </row>
    <row r="2308" spans="1:10">
      <c r="A2308" t="s">
        <v>3362</v>
      </c>
      <c r="B2308" t="s">
        <v>1160</v>
      </c>
      <c r="C2308" t="s">
        <v>101</v>
      </c>
      <c r="D2308" t="s">
        <v>3363</v>
      </c>
      <c r="E2308" s="9">
        <f t="shared" si="72"/>
        <v>717862.09808771184</v>
      </c>
      <c r="F2308" s="3">
        <v>21</v>
      </c>
      <c r="G2308" s="9">
        <v>1190000</v>
      </c>
      <c r="H2308" s="4" t="s">
        <v>16</v>
      </c>
      <c r="J2308" s="9">
        <f t="shared" si="73"/>
        <v>0</v>
      </c>
    </row>
    <row r="2309" spans="1:10">
      <c r="A2309" t="s">
        <v>4521</v>
      </c>
      <c r="B2309" t="s">
        <v>1160</v>
      </c>
      <c r="C2309" t="s">
        <v>101</v>
      </c>
      <c r="D2309" t="s">
        <v>4522</v>
      </c>
      <c r="E2309" s="9">
        <f t="shared" si="72"/>
        <v>844543.64480907272</v>
      </c>
      <c r="F2309" s="3">
        <v>21</v>
      </c>
      <c r="G2309" s="9">
        <v>1400000</v>
      </c>
      <c r="H2309" s="4" t="s">
        <v>16</v>
      </c>
      <c r="J2309" s="9">
        <f t="shared" si="73"/>
        <v>0</v>
      </c>
    </row>
    <row r="2310" spans="1:10">
      <c r="A2310" t="s">
        <v>4046</v>
      </c>
      <c r="B2310" t="s">
        <v>1160</v>
      </c>
      <c r="C2310" t="s">
        <v>101</v>
      </c>
      <c r="D2310" t="s">
        <v>4047</v>
      </c>
      <c r="E2310" s="9">
        <f t="shared" si="72"/>
        <v>532062.49622971576</v>
      </c>
      <c r="F2310" s="3">
        <v>21</v>
      </c>
      <c r="G2310" s="9">
        <v>882000</v>
      </c>
      <c r="H2310" s="4" t="s">
        <v>16</v>
      </c>
      <c r="J2310" s="9">
        <f t="shared" si="73"/>
        <v>0</v>
      </c>
    </row>
    <row r="2311" spans="1:10">
      <c r="A2311" t="s">
        <v>4048</v>
      </c>
      <c r="B2311" t="s">
        <v>1160</v>
      </c>
      <c r="C2311" t="s">
        <v>101</v>
      </c>
      <c r="D2311" t="s">
        <v>4047</v>
      </c>
      <c r="E2311" s="9">
        <f t="shared" si="72"/>
        <v>532062.49622971576</v>
      </c>
      <c r="F2311" s="3">
        <v>21</v>
      </c>
      <c r="G2311" s="9">
        <v>882000</v>
      </c>
      <c r="H2311" s="4" t="s">
        <v>16</v>
      </c>
      <c r="J2311" s="9">
        <f t="shared" si="73"/>
        <v>0</v>
      </c>
    </row>
    <row r="2312" spans="1:10">
      <c r="A2312" t="s">
        <v>2389</v>
      </c>
      <c r="B2312" t="s">
        <v>1160</v>
      </c>
      <c r="C2312" t="s">
        <v>101</v>
      </c>
      <c r="D2312" t="s">
        <v>2390</v>
      </c>
      <c r="E2312" s="9">
        <f t="shared" si="72"/>
        <v>329372.02147553838</v>
      </c>
      <c r="F2312" s="3">
        <v>21</v>
      </c>
      <c r="G2312" s="9">
        <v>546000</v>
      </c>
      <c r="H2312" s="4" t="s">
        <v>16</v>
      </c>
      <c r="J2312" s="9">
        <f t="shared" si="73"/>
        <v>0</v>
      </c>
    </row>
    <row r="2313" spans="1:10">
      <c r="A2313" t="s">
        <v>1313</v>
      </c>
      <c r="B2313" t="s">
        <v>1160</v>
      </c>
      <c r="C2313" t="s">
        <v>101</v>
      </c>
      <c r="D2313" t="s">
        <v>1314</v>
      </c>
      <c r="E2313" s="9">
        <f t="shared" ref="E2313:E2376" si="74">SUM(G2313/(1+(F2313/100)) /(1+(37/100)))</f>
        <v>263497.61718043074</v>
      </c>
      <c r="F2313" s="3">
        <v>21</v>
      </c>
      <c r="G2313" s="9">
        <v>436800</v>
      </c>
      <c r="H2313" s="4" t="s">
        <v>16</v>
      </c>
      <c r="J2313" s="9">
        <f t="shared" ref="J2313:J2376" si="75">SUM(E2313* I2313)</f>
        <v>0</v>
      </c>
    </row>
    <row r="2314" spans="1:10">
      <c r="A2314" t="s">
        <v>1309</v>
      </c>
      <c r="B2314" t="s">
        <v>1160</v>
      </c>
      <c r="C2314" t="s">
        <v>101</v>
      </c>
      <c r="D2314" t="s">
        <v>1310</v>
      </c>
      <c r="E2314" s="9">
        <f t="shared" si="74"/>
        <v>588123.30337214202</v>
      </c>
      <c r="F2314" s="3">
        <v>21</v>
      </c>
      <c r="G2314" s="9">
        <v>974932</v>
      </c>
      <c r="H2314" s="4" t="s">
        <v>16</v>
      </c>
      <c r="J2314" s="9">
        <f t="shared" si="75"/>
        <v>0</v>
      </c>
    </row>
    <row r="2315" spans="1:10">
      <c r="A2315" t="s">
        <v>4049</v>
      </c>
      <c r="B2315" t="s">
        <v>1160</v>
      </c>
      <c r="C2315" t="s">
        <v>101</v>
      </c>
      <c r="D2315" t="s">
        <v>4050</v>
      </c>
      <c r="E2315" s="9">
        <f t="shared" si="74"/>
        <v>1182361.1027327019</v>
      </c>
      <c r="F2315" s="3">
        <v>21</v>
      </c>
      <c r="G2315" s="9">
        <v>1960000</v>
      </c>
      <c r="H2315" s="4" t="s">
        <v>16</v>
      </c>
      <c r="J2315" s="9">
        <f t="shared" si="75"/>
        <v>0</v>
      </c>
    </row>
    <row r="2316" spans="1:10">
      <c r="A2316" t="s">
        <v>4051</v>
      </c>
      <c r="B2316" t="s">
        <v>1160</v>
      </c>
      <c r="C2316" t="s">
        <v>101</v>
      </c>
      <c r="D2316" t="s">
        <v>4052</v>
      </c>
      <c r="E2316" s="9">
        <f t="shared" si="74"/>
        <v>1182361.1027327019</v>
      </c>
      <c r="F2316" s="3">
        <v>21</v>
      </c>
      <c r="G2316" s="9">
        <v>1960000</v>
      </c>
      <c r="H2316" s="5" t="s">
        <v>5080</v>
      </c>
      <c r="J2316" s="9">
        <f t="shared" si="75"/>
        <v>0</v>
      </c>
    </row>
    <row r="2317" spans="1:10">
      <c r="A2317" t="s">
        <v>3851</v>
      </c>
      <c r="B2317" t="s">
        <v>1160</v>
      </c>
      <c r="C2317" t="s">
        <v>101</v>
      </c>
      <c r="D2317" t="s">
        <v>3852</v>
      </c>
      <c r="E2317" s="9">
        <f t="shared" si="74"/>
        <v>717862.09808771184</v>
      </c>
      <c r="F2317" s="3">
        <v>21</v>
      </c>
      <c r="G2317" s="9">
        <v>1190000</v>
      </c>
      <c r="H2317" s="4" t="s">
        <v>16</v>
      </c>
      <c r="J2317" s="9">
        <f t="shared" si="75"/>
        <v>0</v>
      </c>
    </row>
    <row r="2318" spans="1:10" hidden="1">
      <c r="A2318" t="s">
        <v>4233</v>
      </c>
      <c r="B2318" t="s">
        <v>1160</v>
      </c>
      <c r="C2318" t="s">
        <v>101</v>
      </c>
      <c r="E2318" s="9">
        <f t="shared" si="74"/>
        <v>8.445436448090728</v>
      </c>
      <c r="F2318" s="3">
        <v>21</v>
      </c>
      <c r="G2318" s="9">
        <v>14</v>
      </c>
      <c r="H2318" s="4" t="s">
        <v>16</v>
      </c>
      <c r="J2318" s="9">
        <f t="shared" si="75"/>
        <v>0</v>
      </c>
    </row>
    <row r="2319" spans="1:10">
      <c r="A2319" t="s">
        <v>3853</v>
      </c>
      <c r="B2319" t="s">
        <v>1160</v>
      </c>
      <c r="C2319" t="s">
        <v>101</v>
      </c>
      <c r="D2319" t="s">
        <v>3848</v>
      </c>
      <c r="E2319" s="9">
        <f t="shared" si="74"/>
        <v>6756.3491584725825</v>
      </c>
      <c r="F2319" s="3">
        <v>21</v>
      </c>
      <c r="G2319" s="9">
        <v>11200</v>
      </c>
      <c r="H2319" s="6" t="s">
        <v>45</v>
      </c>
      <c r="J2319" s="9">
        <f t="shared" si="75"/>
        <v>0</v>
      </c>
    </row>
    <row r="2320" spans="1:10">
      <c r="A2320" t="s">
        <v>2391</v>
      </c>
      <c r="B2320" t="s">
        <v>1160</v>
      </c>
      <c r="C2320" t="s">
        <v>101</v>
      </c>
      <c r="D2320" t="s">
        <v>2227</v>
      </c>
      <c r="E2320" s="9">
        <f t="shared" si="74"/>
        <v>354708.33081981057</v>
      </c>
      <c r="F2320" s="3">
        <v>21</v>
      </c>
      <c r="G2320" s="9">
        <v>588000</v>
      </c>
      <c r="H2320" s="4" t="s">
        <v>16</v>
      </c>
      <c r="J2320" s="9">
        <f t="shared" si="75"/>
        <v>0</v>
      </c>
    </row>
    <row r="2321" spans="1:10">
      <c r="A2321" t="s">
        <v>1179</v>
      </c>
      <c r="B2321" t="s">
        <v>1160</v>
      </c>
      <c r="C2321" t="s">
        <v>101</v>
      </c>
      <c r="D2321" t="s">
        <v>1180</v>
      </c>
      <c r="E2321" s="9">
        <f t="shared" si="74"/>
        <v>270346.8661398323</v>
      </c>
      <c r="F2321" s="3">
        <v>21</v>
      </c>
      <c r="G2321" s="9">
        <v>448154</v>
      </c>
      <c r="H2321" s="4" t="s">
        <v>16</v>
      </c>
      <c r="J2321" s="9">
        <f t="shared" si="75"/>
        <v>0</v>
      </c>
    </row>
    <row r="2322" spans="1:10">
      <c r="A2322" t="s">
        <v>1177</v>
      </c>
      <c r="B2322" t="s">
        <v>1160</v>
      </c>
      <c r="C2322" t="s">
        <v>101</v>
      </c>
      <c r="D2322" t="s">
        <v>1178</v>
      </c>
      <c r="E2322" s="9">
        <f t="shared" si="74"/>
        <v>649960.78904506238</v>
      </c>
      <c r="F2322" s="3">
        <v>21</v>
      </c>
      <c r="G2322" s="9">
        <v>1077440</v>
      </c>
      <c r="H2322" s="4" t="s">
        <v>16</v>
      </c>
      <c r="J2322" s="9">
        <f t="shared" si="75"/>
        <v>0</v>
      </c>
    </row>
    <row r="2323" spans="1:10">
      <c r="A2323" t="s">
        <v>1834</v>
      </c>
      <c r="B2323" t="s">
        <v>1160</v>
      </c>
      <c r="C2323" t="s">
        <v>101</v>
      </c>
      <c r="D2323" t="s">
        <v>1835</v>
      </c>
      <c r="E2323" s="9">
        <f t="shared" si="74"/>
        <v>834409.1210713638</v>
      </c>
      <c r="F2323" s="3">
        <v>21</v>
      </c>
      <c r="G2323" s="9">
        <v>1383200</v>
      </c>
      <c r="H2323" s="4" t="s">
        <v>16</v>
      </c>
      <c r="J2323" s="9">
        <f t="shared" si="75"/>
        <v>0</v>
      </c>
    </row>
    <row r="2324" spans="1:10">
      <c r="A2324" t="s">
        <v>3908</v>
      </c>
      <c r="B2324" t="s">
        <v>1160</v>
      </c>
      <c r="C2324" t="s">
        <v>101</v>
      </c>
      <c r="D2324" t="s">
        <v>2229</v>
      </c>
      <c r="E2324" s="9">
        <f t="shared" si="74"/>
        <v>836098.20836098201</v>
      </c>
      <c r="F2324" s="3">
        <v>21</v>
      </c>
      <c r="G2324" s="9">
        <v>1386000</v>
      </c>
      <c r="H2324" s="4" t="s">
        <v>16</v>
      </c>
      <c r="J2324" s="9">
        <f t="shared" si="75"/>
        <v>0</v>
      </c>
    </row>
    <row r="2325" spans="1:10">
      <c r="A2325" t="s">
        <v>4523</v>
      </c>
      <c r="B2325" t="s">
        <v>1160</v>
      </c>
      <c r="C2325" t="s">
        <v>101</v>
      </c>
      <c r="D2325" t="s">
        <v>4524</v>
      </c>
      <c r="E2325" s="9">
        <f t="shared" si="74"/>
        <v>810761.89901670977</v>
      </c>
      <c r="F2325" s="3">
        <v>21</v>
      </c>
      <c r="G2325" s="9">
        <v>1344000</v>
      </c>
      <c r="H2325" s="4" t="s">
        <v>16</v>
      </c>
      <c r="J2325" s="9">
        <f t="shared" si="75"/>
        <v>0</v>
      </c>
    </row>
    <row r="2326" spans="1:10">
      <c r="A2326" t="s">
        <v>3147</v>
      </c>
      <c r="B2326" t="s">
        <v>1160</v>
      </c>
      <c r="C2326" t="s">
        <v>101</v>
      </c>
      <c r="D2326" t="s">
        <v>3148</v>
      </c>
      <c r="E2326" s="9">
        <f t="shared" si="74"/>
        <v>472944.44109308079</v>
      </c>
      <c r="F2326" s="3">
        <v>21</v>
      </c>
      <c r="G2326" s="9">
        <v>784000</v>
      </c>
      <c r="H2326" s="5" t="s">
        <v>5080</v>
      </c>
      <c r="J2326" s="9">
        <f t="shared" si="75"/>
        <v>0</v>
      </c>
    </row>
    <row r="2327" spans="1:10">
      <c r="A2327" t="s">
        <v>3909</v>
      </c>
      <c r="B2327" t="s">
        <v>1160</v>
      </c>
      <c r="C2327" t="s">
        <v>101</v>
      </c>
      <c r="D2327" t="s">
        <v>3910</v>
      </c>
      <c r="E2327" s="9">
        <f t="shared" si="74"/>
        <v>928998.00928998005</v>
      </c>
      <c r="F2327" s="3">
        <v>21</v>
      </c>
      <c r="G2327" s="9">
        <v>1540000</v>
      </c>
      <c r="H2327" s="4" t="s">
        <v>16</v>
      </c>
      <c r="J2327" s="9">
        <f t="shared" si="75"/>
        <v>0</v>
      </c>
    </row>
    <row r="2328" spans="1:10">
      <c r="A2328" t="s">
        <v>2392</v>
      </c>
      <c r="B2328" t="s">
        <v>1160</v>
      </c>
      <c r="C2328" t="s">
        <v>101</v>
      </c>
      <c r="D2328" t="s">
        <v>2393</v>
      </c>
      <c r="E2328" s="9">
        <f t="shared" si="74"/>
        <v>236472.2205465404</v>
      </c>
      <c r="F2328" s="3">
        <v>21</v>
      </c>
      <c r="G2328" s="9">
        <v>392000</v>
      </c>
      <c r="H2328" s="4" t="s">
        <v>16</v>
      </c>
      <c r="J2328" s="9">
        <f t="shared" si="75"/>
        <v>0</v>
      </c>
    </row>
    <row r="2329" spans="1:10">
      <c r="A2329" t="s">
        <v>3159</v>
      </c>
      <c r="B2329" t="s">
        <v>1160</v>
      </c>
      <c r="C2329" t="s">
        <v>101</v>
      </c>
      <c r="D2329" t="s">
        <v>3160</v>
      </c>
      <c r="E2329" s="9">
        <f t="shared" si="74"/>
        <v>126681.54672136092</v>
      </c>
      <c r="F2329" s="3">
        <v>21</v>
      </c>
      <c r="G2329" s="9">
        <v>210000</v>
      </c>
      <c r="H2329" s="4" t="s">
        <v>16</v>
      </c>
      <c r="J2329" s="9">
        <f t="shared" si="75"/>
        <v>0</v>
      </c>
    </row>
    <row r="2330" spans="1:10">
      <c r="A2330" t="s">
        <v>1596</v>
      </c>
      <c r="B2330" t="s">
        <v>1160</v>
      </c>
      <c r="C2330" t="s">
        <v>101</v>
      </c>
      <c r="D2330" t="s">
        <v>1597</v>
      </c>
      <c r="E2330" s="9">
        <f t="shared" si="74"/>
        <v>118573.92773119382</v>
      </c>
      <c r="F2330" s="3">
        <v>21</v>
      </c>
      <c r="G2330" s="9">
        <v>196560</v>
      </c>
      <c r="H2330" s="5" t="s">
        <v>5080</v>
      </c>
      <c r="J2330" s="9">
        <f t="shared" si="75"/>
        <v>0</v>
      </c>
    </row>
    <row r="2331" spans="1:10">
      <c r="A2331" t="s">
        <v>1191</v>
      </c>
      <c r="B2331" t="s">
        <v>1160</v>
      </c>
      <c r="C2331" t="s">
        <v>101</v>
      </c>
      <c r="D2331" t="s">
        <v>1192</v>
      </c>
      <c r="E2331" s="9">
        <f t="shared" si="74"/>
        <v>118573.92773119382</v>
      </c>
      <c r="F2331" s="3">
        <v>21</v>
      </c>
      <c r="G2331" s="9">
        <v>196560</v>
      </c>
      <c r="H2331" s="4" t="s">
        <v>16</v>
      </c>
      <c r="J2331" s="9">
        <f t="shared" si="75"/>
        <v>0</v>
      </c>
    </row>
    <row r="2332" spans="1:10">
      <c r="A2332" t="s">
        <v>2394</v>
      </c>
      <c r="B2332" t="s">
        <v>1160</v>
      </c>
      <c r="C2332" t="s">
        <v>101</v>
      </c>
      <c r="D2332" t="s">
        <v>2393</v>
      </c>
      <c r="E2332" s="9">
        <f t="shared" si="74"/>
        <v>194245.03830608673</v>
      </c>
      <c r="F2332" s="3">
        <v>21</v>
      </c>
      <c r="G2332" s="9">
        <v>322000</v>
      </c>
      <c r="H2332" s="6" t="s">
        <v>45</v>
      </c>
      <c r="J2332" s="9">
        <f t="shared" si="75"/>
        <v>0</v>
      </c>
    </row>
    <row r="2333" spans="1:10">
      <c r="A2333" t="s">
        <v>3342</v>
      </c>
      <c r="B2333" t="s">
        <v>1160</v>
      </c>
      <c r="C2333" t="s">
        <v>101</v>
      </c>
      <c r="D2333" t="s">
        <v>3343</v>
      </c>
      <c r="E2333" s="9">
        <f t="shared" si="74"/>
        <v>152017.8560656331</v>
      </c>
      <c r="F2333" s="3">
        <v>21</v>
      </c>
      <c r="G2333" s="9">
        <v>252000</v>
      </c>
      <c r="H2333" s="4" t="s">
        <v>16</v>
      </c>
      <c r="J2333" s="9">
        <f t="shared" si="75"/>
        <v>0</v>
      </c>
    </row>
    <row r="2334" spans="1:10">
      <c r="A2334" t="s">
        <v>2232</v>
      </c>
      <c r="B2334" t="s">
        <v>1160</v>
      </c>
      <c r="C2334" t="s">
        <v>101</v>
      </c>
      <c r="D2334" t="s">
        <v>2231</v>
      </c>
      <c r="E2334" s="9">
        <f t="shared" si="74"/>
        <v>135126.98316945165</v>
      </c>
      <c r="F2334" s="3">
        <v>21</v>
      </c>
      <c r="G2334" s="9">
        <v>224000</v>
      </c>
      <c r="H2334" s="6" t="s">
        <v>45</v>
      </c>
      <c r="J2334" s="9">
        <f t="shared" si="75"/>
        <v>0</v>
      </c>
    </row>
    <row r="2335" spans="1:10">
      <c r="A2335" t="s">
        <v>2230</v>
      </c>
      <c r="B2335" t="s">
        <v>1160</v>
      </c>
      <c r="C2335" t="s">
        <v>101</v>
      </c>
      <c r="D2335" t="s">
        <v>2231</v>
      </c>
      <c r="E2335" s="9">
        <f t="shared" si="74"/>
        <v>152017.8560656331</v>
      </c>
      <c r="F2335" s="3">
        <v>21</v>
      </c>
      <c r="G2335" s="9">
        <v>252000</v>
      </c>
      <c r="H2335" s="5" t="s">
        <v>5080</v>
      </c>
      <c r="J2335" s="9">
        <f t="shared" si="75"/>
        <v>0</v>
      </c>
    </row>
    <row r="2336" spans="1:10">
      <c r="A2336" t="s">
        <v>2235</v>
      </c>
      <c r="B2336" t="s">
        <v>1160</v>
      </c>
      <c r="C2336" t="s">
        <v>101</v>
      </c>
      <c r="D2336" t="s">
        <v>2236</v>
      </c>
      <c r="E2336" s="9">
        <f t="shared" si="74"/>
        <v>118236.1102732702</v>
      </c>
      <c r="F2336" s="3">
        <v>21</v>
      </c>
      <c r="G2336" s="9">
        <v>196000</v>
      </c>
      <c r="H2336" s="4" t="s">
        <v>16</v>
      </c>
      <c r="J2336" s="9">
        <f t="shared" si="75"/>
        <v>0</v>
      </c>
    </row>
    <row r="2337" spans="1:10">
      <c r="A2337" t="s">
        <v>3911</v>
      </c>
      <c r="B2337" t="s">
        <v>1160</v>
      </c>
      <c r="C2337" t="s">
        <v>101</v>
      </c>
      <c r="D2337" t="s">
        <v>3912</v>
      </c>
      <c r="E2337" s="9">
        <f t="shared" si="74"/>
        <v>168908.72896181457</v>
      </c>
      <c r="F2337" s="3">
        <v>21</v>
      </c>
      <c r="G2337" s="9">
        <v>280000</v>
      </c>
      <c r="H2337" s="4" t="s">
        <v>16</v>
      </c>
      <c r="J2337" s="9">
        <f t="shared" si="75"/>
        <v>0</v>
      </c>
    </row>
    <row r="2338" spans="1:10">
      <c r="A2338" t="s">
        <v>3854</v>
      </c>
      <c r="B2338" t="s">
        <v>1160</v>
      </c>
      <c r="C2338" t="s">
        <v>101</v>
      </c>
      <c r="D2338" t="s">
        <v>3855</v>
      </c>
      <c r="E2338" s="9">
        <f t="shared" si="74"/>
        <v>185799.60185799602</v>
      </c>
      <c r="F2338" s="3">
        <v>21</v>
      </c>
      <c r="G2338" s="9">
        <v>308000</v>
      </c>
      <c r="H2338" s="4" t="s">
        <v>16</v>
      </c>
      <c r="J2338" s="9">
        <f t="shared" si="75"/>
        <v>0</v>
      </c>
    </row>
    <row r="2339" spans="1:10" hidden="1">
      <c r="A2339" t="s">
        <v>4347</v>
      </c>
      <c r="B2339" t="s">
        <v>1160</v>
      </c>
      <c r="C2339" t="s">
        <v>101</v>
      </c>
      <c r="E2339" s="9">
        <f t="shared" si="74"/>
        <v>8.445436448090728</v>
      </c>
      <c r="F2339" s="3">
        <v>21</v>
      </c>
      <c r="G2339" s="9">
        <v>14</v>
      </c>
      <c r="H2339" s="4" t="s">
        <v>16</v>
      </c>
      <c r="J2339" s="9">
        <f t="shared" si="75"/>
        <v>0</v>
      </c>
    </row>
    <row r="2340" spans="1:10">
      <c r="A2340" t="s">
        <v>1842</v>
      </c>
      <c r="B2340" t="s">
        <v>1160</v>
      </c>
      <c r="C2340" t="s">
        <v>101</v>
      </c>
      <c r="D2340" t="s">
        <v>1843</v>
      </c>
      <c r="E2340" s="9">
        <f t="shared" si="74"/>
        <v>175665.07812028713</v>
      </c>
      <c r="F2340" s="3">
        <v>21</v>
      </c>
      <c r="G2340" s="9">
        <v>291200</v>
      </c>
      <c r="H2340" s="4" t="s">
        <v>16</v>
      </c>
      <c r="J2340" s="9">
        <f t="shared" si="75"/>
        <v>0</v>
      </c>
    </row>
    <row r="2341" spans="1:10">
      <c r="A2341" t="s">
        <v>3913</v>
      </c>
      <c r="B2341" t="s">
        <v>1160</v>
      </c>
      <c r="C2341" t="s">
        <v>101</v>
      </c>
      <c r="D2341" t="s">
        <v>3914</v>
      </c>
      <c r="E2341" s="9">
        <f t="shared" si="74"/>
        <v>236472.2205465404</v>
      </c>
      <c r="F2341" s="3">
        <v>21</v>
      </c>
      <c r="G2341" s="9">
        <v>392000</v>
      </c>
      <c r="H2341" s="4" t="s">
        <v>16</v>
      </c>
      <c r="J2341" s="9">
        <f t="shared" si="75"/>
        <v>0</v>
      </c>
    </row>
    <row r="2342" spans="1:10">
      <c r="A2342" t="s">
        <v>3856</v>
      </c>
      <c r="B2342" t="s">
        <v>1160</v>
      </c>
      <c r="C2342" t="s">
        <v>101</v>
      </c>
      <c r="D2342" t="s">
        <v>3857</v>
      </c>
      <c r="E2342" s="9">
        <f t="shared" si="74"/>
        <v>270253.96633890329</v>
      </c>
      <c r="F2342" s="3">
        <v>21</v>
      </c>
      <c r="G2342" s="9">
        <v>448000</v>
      </c>
      <c r="H2342" s="4" t="s">
        <v>16</v>
      </c>
      <c r="J2342" s="9">
        <f t="shared" si="75"/>
        <v>0</v>
      </c>
    </row>
    <row r="2343" spans="1:10">
      <c r="A2343" t="s">
        <v>3915</v>
      </c>
      <c r="B2343" t="s">
        <v>1160</v>
      </c>
      <c r="C2343" t="s">
        <v>101</v>
      </c>
      <c r="D2343" t="s">
        <v>3916</v>
      </c>
      <c r="E2343" s="9">
        <f t="shared" si="74"/>
        <v>329372.02147553838</v>
      </c>
      <c r="F2343" s="3">
        <v>21</v>
      </c>
      <c r="G2343" s="9">
        <v>546000</v>
      </c>
      <c r="H2343" s="6" t="s">
        <v>45</v>
      </c>
      <c r="J2343" s="9">
        <f t="shared" si="75"/>
        <v>0</v>
      </c>
    </row>
    <row r="2344" spans="1:10">
      <c r="A2344" t="s">
        <v>2943</v>
      </c>
      <c r="B2344" t="s">
        <v>1160</v>
      </c>
      <c r="C2344" t="s">
        <v>101</v>
      </c>
      <c r="D2344" t="s">
        <v>2944</v>
      </c>
      <c r="E2344" s="9">
        <f t="shared" si="74"/>
        <v>388490.07661217346</v>
      </c>
      <c r="F2344" s="3">
        <v>21</v>
      </c>
      <c r="G2344" s="9">
        <v>644000</v>
      </c>
      <c r="H2344" s="4" t="s">
        <v>16</v>
      </c>
      <c r="J2344" s="9">
        <f t="shared" si="75"/>
        <v>0</v>
      </c>
    </row>
    <row r="2345" spans="1:10">
      <c r="A2345" t="s">
        <v>3917</v>
      </c>
      <c r="B2345" t="s">
        <v>1160</v>
      </c>
      <c r="C2345" t="s">
        <v>101</v>
      </c>
      <c r="D2345" t="s">
        <v>3918</v>
      </c>
      <c r="E2345" s="9">
        <f t="shared" si="74"/>
        <v>329372.02147553838</v>
      </c>
      <c r="F2345" s="3">
        <v>21</v>
      </c>
      <c r="G2345" s="9">
        <v>546000</v>
      </c>
      <c r="H2345" s="6" t="s">
        <v>45</v>
      </c>
      <c r="J2345" s="9">
        <f t="shared" si="75"/>
        <v>0</v>
      </c>
    </row>
    <row r="2346" spans="1:10">
      <c r="A2346" t="s">
        <v>2941</v>
      </c>
      <c r="B2346" t="s">
        <v>1160</v>
      </c>
      <c r="C2346" t="s">
        <v>101</v>
      </c>
      <c r="D2346" t="s">
        <v>2942</v>
      </c>
      <c r="E2346" s="9">
        <f t="shared" si="74"/>
        <v>363153.76726790128</v>
      </c>
      <c r="F2346" s="3">
        <v>21</v>
      </c>
      <c r="G2346" s="9">
        <v>602000</v>
      </c>
      <c r="H2346" s="4" t="s">
        <v>16</v>
      </c>
      <c r="J2346" s="9">
        <f t="shared" si="75"/>
        <v>0</v>
      </c>
    </row>
    <row r="2347" spans="1:10">
      <c r="A2347" t="s">
        <v>1838</v>
      </c>
      <c r="B2347" t="s">
        <v>1160</v>
      </c>
      <c r="C2347" t="s">
        <v>101</v>
      </c>
      <c r="D2347" t="s">
        <v>1839</v>
      </c>
      <c r="E2347" s="9">
        <f t="shared" si="74"/>
        <v>316197.14061651676</v>
      </c>
      <c r="F2347" s="3">
        <v>21</v>
      </c>
      <c r="G2347" s="9">
        <v>524159.99999999988</v>
      </c>
      <c r="H2347" s="4" t="s">
        <v>16</v>
      </c>
      <c r="J2347" s="9">
        <f t="shared" si="75"/>
        <v>0</v>
      </c>
    </row>
    <row r="2348" spans="1:10">
      <c r="A2348" t="s">
        <v>2233</v>
      </c>
      <c r="B2348" t="s">
        <v>1160</v>
      </c>
      <c r="C2348" t="s">
        <v>101</v>
      </c>
      <c r="D2348" t="s">
        <v>2234</v>
      </c>
      <c r="E2348" s="9">
        <f t="shared" si="74"/>
        <v>149315.31640224406</v>
      </c>
      <c r="F2348" s="3">
        <v>21</v>
      </c>
      <c r="G2348" s="9">
        <v>247520</v>
      </c>
      <c r="H2348" s="4" t="s">
        <v>16</v>
      </c>
      <c r="J2348" s="9">
        <f t="shared" si="75"/>
        <v>0</v>
      </c>
    </row>
    <row r="2349" spans="1:10">
      <c r="A2349" t="s">
        <v>3858</v>
      </c>
      <c r="B2349" t="s">
        <v>1160</v>
      </c>
      <c r="C2349" t="s">
        <v>101</v>
      </c>
      <c r="D2349" t="s">
        <v>3859</v>
      </c>
      <c r="E2349" s="9">
        <f t="shared" si="74"/>
        <v>388490.07661217346</v>
      </c>
      <c r="F2349" s="3">
        <v>21</v>
      </c>
      <c r="G2349" s="9">
        <v>644000</v>
      </c>
      <c r="H2349" s="4" t="s">
        <v>16</v>
      </c>
      <c r="J2349" s="9">
        <f t="shared" si="75"/>
        <v>0</v>
      </c>
    </row>
    <row r="2350" spans="1:10">
      <c r="A2350" t="s">
        <v>4003</v>
      </c>
      <c r="B2350" t="s">
        <v>1160</v>
      </c>
      <c r="C2350" t="s">
        <v>101</v>
      </c>
      <c r="D2350" t="s">
        <v>4004</v>
      </c>
      <c r="E2350" s="9">
        <f t="shared" si="74"/>
        <v>591180.55136635096</v>
      </c>
      <c r="F2350" s="3">
        <v>21</v>
      </c>
      <c r="G2350" s="9">
        <v>980000</v>
      </c>
      <c r="H2350" s="4" t="s">
        <v>16</v>
      </c>
      <c r="J2350" s="9">
        <f t="shared" si="75"/>
        <v>0</v>
      </c>
    </row>
    <row r="2351" spans="1:10">
      <c r="A2351" t="s">
        <v>3919</v>
      </c>
      <c r="B2351" t="s">
        <v>1160</v>
      </c>
      <c r="C2351" t="s">
        <v>101</v>
      </c>
      <c r="D2351" t="s">
        <v>3918</v>
      </c>
      <c r="E2351" s="9">
        <f t="shared" si="74"/>
        <v>439162.69530071778</v>
      </c>
      <c r="F2351" s="3">
        <v>21</v>
      </c>
      <c r="G2351" s="9">
        <v>728000</v>
      </c>
      <c r="H2351" s="4" t="s">
        <v>16</v>
      </c>
      <c r="J2351" s="9">
        <f t="shared" si="75"/>
        <v>0</v>
      </c>
    </row>
    <row r="2352" spans="1:10">
      <c r="A2352" t="s">
        <v>1840</v>
      </c>
      <c r="B2352" t="s">
        <v>1160</v>
      </c>
      <c r="C2352" t="s">
        <v>101</v>
      </c>
      <c r="D2352" t="s">
        <v>1841</v>
      </c>
      <c r="E2352" s="9">
        <f t="shared" si="74"/>
        <v>316197.14061651676</v>
      </c>
      <c r="F2352" s="3">
        <v>21</v>
      </c>
      <c r="G2352" s="9">
        <v>524159.99999999988</v>
      </c>
      <c r="H2352" s="4" t="s">
        <v>16</v>
      </c>
      <c r="J2352" s="9">
        <f t="shared" si="75"/>
        <v>0</v>
      </c>
    </row>
    <row r="2353" spans="1:10">
      <c r="A2353" t="s">
        <v>2945</v>
      </c>
      <c r="B2353" t="s">
        <v>1160</v>
      </c>
      <c r="C2353" t="s">
        <v>101</v>
      </c>
      <c r="D2353" t="s">
        <v>2946</v>
      </c>
      <c r="E2353" s="9">
        <f t="shared" si="74"/>
        <v>177354.16540990528</v>
      </c>
      <c r="F2353" s="3">
        <v>21</v>
      </c>
      <c r="G2353" s="9">
        <v>294000</v>
      </c>
      <c r="H2353" s="4" t="s">
        <v>16</v>
      </c>
      <c r="J2353" s="9">
        <f t="shared" si="75"/>
        <v>0</v>
      </c>
    </row>
    <row r="2354" spans="1:10" hidden="1">
      <c r="A2354" t="s">
        <v>4525</v>
      </c>
      <c r="B2354" t="s">
        <v>1160</v>
      </c>
      <c r="C2354" t="s">
        <v>101</v>
      </c>
      <c r="D2354" t="s">
        <v>4526</v>
      </c>
      <c r="E2354" s="9">
        <f t="shared" si="74"/>
        <v>8.445436448090728</v>
      </c>
      <c r="F2354" s="3">
        <v>21</v>
      </c>
      <c r="G2354" s="9">
        <v>14</v>
      </c>
      <c r="H2354" s="5" t="s">
        <v>24</v>
      </c>
      <c r="J2354" s="9">
        <f t="shared" si="75"/>
        <v>0</v>
      </c>
    </row>
    <row r="2355" spans="1:10">
      <c r="A2355" t="s">
        <v>2939</v>
      </c>
      <c r="B2355" t="s">
        <v>1160</v>
      </c>
      <c r="C2355" t="s">
        <v>101</v>
      </c>
      <c r="D2355" t="s">
        <v>2940</v>
      </c>
      <c r="E2355" s="9">
        <f t="shared" si="74"/>
        <v>363153.76726790128</v>
      </c>
      <c r="F2355" s="3">
        <v>21</v>
      </c>
      <c r="G2355" s="9">
        <v>602000</v>
      </c>
      <c r="H2355" s="4" t="s">
        <v>16</v>
      </c>
      <c r="J2355" s="9">
        <f t="shared" si="75"/>
        <v>0</v>
      </c>
    </row>
    <row r="2356" spans="1:10" hidden="1">
      <c r="A2356" t="s">
        <v>1420</v>
      </c>
      <c r="B2356" t="s">
        <v>1160</v>
      </c>
      <c r="C2356" t="s">
        <v>101</v>
      </c>
      <c r="D2356" t="s">
        <v>1421</v>
      </c>
      <c r="E2356" s="9">
        <f t="shared" si="74"/>
        <v>8.445436448090728</v>
      </c>
      <c r="F2356" s="3">
        <v>21</v>
      </c>
      <c r="G2356" s="9">
        <v>14</v>
      </c>
      <c r="H2356" s="5" t="s">
        <v>24</v>
      </c>
      <c r="J2356" s="9">
        <f t="shared" si="75"/>
        <v>0</v>
      </c>
    </row>
    <row r="2357" spans="1:10">
      <c r="A2357" t="s">
        <v>3340</v>
      </c>
      <c r="B2357" t="s">
        <v>1160</v>
      </c>
      <c r="C2357" t="s">
        <v>101</v>
      </c>
      <c r="D2357" t="s">
        <v>3341</v>
      </c>
      <c r="E2357" s="9">
        <f t="shared" si="74"/>
        <v>223804.0658744043</v>
      </c>
      <c r="F2357" s="3">
        <v>21</v>
      </c>
      <c r="G2357" s="9">
        <v>371000</v>
      </c>
      <c r="H2357" s="4" t="s">
        <v>16</v>
      </c>
      <c r="J2357" s="9">
        <f t="shared" si="75"/>
        <v>0</v>
      </c>
    </row>
    <row r="2358" spans="1:10" hidden="1">
      <c r="A2358" t="s">
        <v>4527</v>
      </c>
      <c r="B2358" t="s">
        <v>1160</v>
      </c>
      <c r="C2358" t="s">
        <v>101</v>
      </c>
      <c r="D2358" t="s">
        <v>4528</v>
      </c>
      <c r="E2358" s="9">
        <f t="shared" si="74"/>
        <v>8.445436448090728</v>
      </c>
      <c r="F2358" s="3">
        <v>21</v>
      </c>
      <c r="G2358" s="9">
        <v>14</v>
      </c>
      <c r="H2358" s="5" t="s">
        <v>24</v>
      </c>
      <c r="J2358" s="9">
        <f t="shared" si="75"/>
        <v>0</v>
      </c>
    </row>
    <row r="2359" spans="1:10">
      <c r="A2359" t="s">
        <v>2239</v>
      </c>
      <c r="B2359" t="s">
        <v>1160</v>
      </c>
      <c r="C2359" t="s">
        <v>101</v>
      </c>
      <c r="D2359" t="s">
        <v>2240</v>
      </c>
      <c r="E2359" s="9">
        <f t="shared" si="74"/>
        <v>295590.27568317548</v>
      </c>
      <c r="F2359" s="3">
        <v>21</v>
      </c>
      <c r="G2359" s="9">
        <v>490000</v>
      </c>
      <c r="H2359" s="4" t="s">
        <v>16</v>
      </c>
      <c r="J2359" s="9">
        <f t="shared" si="75"/>
        <v>0</v>
      </c>
    </row>
    <row r="2360" spans="1:10">
      <c r="A2360" t="s">
        <v>4001</v>
      </c>
      <c r="B2360" t="s">
        <v>1160</v>
      </c>
      <c r="C2360" t="s">
        <v>101</v>
      </c>
      <c r="D2360" t="s">
        <v>4002</v>
      </c>
      <c r="E2360" s="9">
        <f t="shared" si="74"/>
        <v>506726.18688544369</v>
      </c>
      <c r="F2360" s="3">
        <v>21</v>
      </c>
      <c r="G2360" s="9">
        <v>840000</v>
      </c>
      <c r="H2360" s="4" t="s">
        <v>16</v>
      </c>
      <c r="J2360" s="9">
        <f t="shared" si="75"/>
        <v>0</v>
      </c>
    </row>
    <row r="2361" spans="1:10">
      <c r="A2361" t="s">
        <v>2937</v>
      </c>
      <c r="B2361" t="s">
        <v>1160</v>
      </c>
      <c r="C2361" t="s">
        <v>101</v>
      </c>
      <c r="D2361" t="s">
        <v>2938</v>
      </c>
      <c r="E2361" s="9">
        <f t="shared" si="74"/>
        <v>472944.44109308079</v>
      </c>
      <c r="F2361" s="3">
        <v>21</v>
      </c>
      <c r="G2361" s="9">
        <v>784000</v>
      </c>
      <c r="H2361" s="4" t="s">
        <v>16</v>
      </c>
      <c r="J2361" s="9">
        <f t="shared" si="75"/>
        <v>0</v>
      </c>
    </row>
    <row r="2362" spans="1:10">
      <c r="A2362" t="s">
        <v>2919</v>
      </c>
      <c r="B2362" t="s">
        <v>1160</v>
      </c>
      <c r="C2362" t="s">
        <v>101</v>
      </c>
      <c r="D2362" t="s">
        <v>2920</v>
      </c>
      <c r="E2362" s="9">
        <f t="shared" si="74"/>
        <v>591180.55136635096</v>
      </c>
      <c r="F2362" s="3">
        <v>21</v>
      </c>
      <c r="G2362" s="9">
        <v>980000</v>
      </c>
      <c r="H2362" s="4" t="s">
        <v>16</v>
      </c>
      <c r="J2362" s="9">
        <f t="shared" si="75"/>
        <v>0</v>
      </c>
    </row>
    <row r="2363" spans="1:10">
      <c r="A2363" t="s">
        <v>1398</v>
      </c>
      <c r="B2363" t="s">
        <v>1160</v>
      </c>
      <c r="C2363" t="s">
        <v>101</v>
      </c>
      <c r="D2363" t="s">
        <v>1399</v>
      </c>
      <c r="E2363" s="9">
        <f t="shared" si="74"/>
        <v>717862.09808771184</v>
      </c>
      <c r="F2363" s="3">
        <v>21</v>
      </c>
      <c r="G2363" s="9">
        <v>1190000</v>
      </c>
      <c r="H2363" s="6" t="s">
        <v>45</v>
      </c>
      <c r="J2363" s="9">
        <f t="shared" si="75"/>
        <v>0</v>
      </c>
    </row>
    <row r="2364" spans="1:10">
      <c r="A2364" t="s">
        <v>4529</v>
      </c>
      <c r="B2364" t="s">
        <v>1160</v>
      </c>
      <c r="C2364" t="s">
        <v>101</v>
      </c>
      <c r="D2364" t="s">
        <v>4530</v>
      </c>
      <c r="E2364" s="9">
        <f t="shared" si="74"/>
        <v>413826.38595644571</v>
      </c>
      <c r="F2364" s="3">
        <v>21</v>
      </c>
      <c r="G2364" s="9">
        <v>686000</v>
      </c>
      <c r="H2364" s="6" t="s">
        <v>45</v>
      </c>
      <c r="J2364" s="9">
        <f t="shared" si="75"/>
        <v>0</v>
      </c>
    </row>
    <row r="2365" spans="1:10">
      <c r="A2365" t="s">
        <v>3999</v>
      </c>
      <c r="B2365" t="s">
        <v>1160</v>
      </c>
      <c r="C2365" t="s">
        <v>101</v>
      </c>
      <c r="D2365" t="s">
        <v>4000</v>
      </c>
      <c r="E2365" s="9">
        <f t="shared" si="74"/>
        <v>658744.04295107676</v>
      </c>
      <c r="F2365" s="3">
        <v>21</v>
      </c>
      <c r="G2365" s="9">
        <v>1092000</v>
      </c>
      <c r="H2365" s="4" t="s">
        <v>16</v>
      </c>
      <c r="J2365" s="9">
        <f t="shared" si="75"/>
        <v>0</v>
      </c>
    </row>
    <row r="2366" spans="1:10">
      <c r="A2366" t="s">
        <v>2445</v>
      </c>
      <c r="B2366" t="s">
        <v>1160</v>
      </c>
      <c r="C2366" t="s">
        <v>101</v>
      </c>
      <c r="D2366" t="s">
        <v>2446</v>
      </c>
      <c r="E2366" s="9">
        <f t="shared" si="74"/>
        <v>743198.40743198409</v>
      </c>
      <c r="F2366" s="3">
        <v>21</v>
      </c>
      <c r="G2366" s="9">
        <v>1232000</v>
      </c>
      <c r="H2366" s="6" t="s">
        <v>45</v>
      </c>
      <c r="J2366" s="9">
        <f t="shared" si="75"/>
        <v>0</v>
      </c>
    </row>
    <row r="2367" spans="1:10" hidden="1">
      <c r="A2367" t="s">
        <v>4531</v>
      </c>
      <c r="B2367" t="s">
        <v>1160</v>
      </c>
      <c r="C2367" t="s">
        <v>101</v>
      </c>
      <c r="D2367" t="s">
        <v>4532</v>
      </c>
      <c r="E2367" s="9">
        <f t="shared" si="74"/>
        <v>8.445436448090728</v>
      </c>
      <c r="F2367" s="3">
        <v>21</v>
      </c>
      <c r="G2367" s="9">
        <v>14</v>
      </c>
      <c r="H2367" s="5" t="s">
        <v>24</v>
      </c>
      <c r="J2367" s="9">
        <f t="shared" si="75"/>
        <v>0</v>
      </c>
    </row>
    <row r="2368" spans="1:10">
      <c r="A2368" t="s">
        <v>4533</v>
      </c>
      <c r="B2368" t="s">
        <v>1160</v>
      </c>
      <c r="C2368" t="s">
        <v>101</v>
      </c>
      <c r="D2368" t="s">
        <v>4534</v>
      </c>
      <c r="E2368" s="9">
        <f t="shared" si="74"/>
        <v>582735.11491826025</v>
      </c>
      <c r="F2368" s="3">
        <v>21</v>
      </c>
      <c r="G2368" s="9">
        <v>966000</v>
      </c>
      <c r="H2368" s="4" t="s">
        <v>16</v>
      </c>
      <c r="J2368" s="9">
        <f t="shared" si="75"/>
        <v>0</v>
      </c>
    </row>
    <row r="2369" spans="1:10">
      <c r="A2369" t="s">
        <v>4535</v>
      </c>
      <c r="B2369" t="s">
        <v>1160</v>
      </c>
      <c r="C2369" t="s">
        <v>101</v>
      </c>
      <c r="D2369" t="s">
        <v>4536</v>
      </c>
      <c r="E2369" s="9">
        <f t="shared" si="74"/>
        <v>582735.11491826025</v>
      </c>
      <c r="F2369" s="3">
        <v>21</v>
      </c>
      <c r="G2369" s="9">
        <v>966000</v>
      </c>
      <c r="H2369" s="4" t="s">
        <v>16</v>
      </c>
      <c r="J2369" s="9">
        <f t="shared" si="75"/>
        <v>0</v>
      </c>
    </row>
    <row r="2370" spans="1:10">
      <c r="A2370" t="s">
        <v>4537</v>
      </c>
      <c r="B2370" t="s">
        <v>1160</v>
      </c>
      <c r="C2370" t="s">
        <v>101</v>
      </c>
      <c r="D2370" t="s">
        <v>4538</v>
      </c>
      <c r="E2370" s="9">
        <f t="shared" si="74"/>
        <v>751643.8438800748</v>
      </c>
      <c r="F2370" s="3">
        <v>21</v>
      </c>
      <c r="G2370" s="9">
        <v>1246000</v>
      </c>
      <c r="H2370" s="4" t="s">
        <v>16</v>
      </c>
      <c r="J2370" s="9">
        <f t="shared" si="75"/>
        <v>0</v>
      </c>
    </row>
    <row r="2371" spans="1:10">
      <c r="A2371" t="s">
        <v>4539</v>
      </c>
      <c r="B2371" t="s">
        <v>1160</v>
      </c>
      <c r="C2371" t="s">
        <v>101</v>
      </c>
      <c r="D2371" t="s">
        <v>4540</v>
      </c>
      <c r="E2371" s="9">
        <f t="shared" si="74"/>
        <v>751643.8438800748</v>
      </c>
      <c r="F2371" s="3">
        <v>21</v>
      </c>
      <c r="G2371" s="9">
        <v>1246000</v>
      </c>
      <c r="H2371" s="4" t="s">
        <v>16</v>
      </c>
      <c r="J2371" s="9">
        <f t="shared" si="75"/>
        <v>0</v>
      </c>
    </row>
    <row r="2372" spans="1:10">
      <c r="A2372" t="s">
        <v>4053</v>
      </c>
      <c r="B2372" t="s">
        <v>1160</v>
      </c>
      <c r="C2372" t="s">
        <v>101</v>
      </c>
      <c r="D2372" t="s">
        <v>3997</v>
      </c>
      <c r="E2372" s="9">
        <f t="shared" si="74"/>
        <v>886770.82704952639</v>
      </c>
      <c r="F2372" s="3">
        <v>21</v>
      </c>
      <c r="G2372" s="9">
        <v>1470000</v>
      </c>
      <c r="H2372" s="4" t="s">
        <v>16</v>
      </c>
      <c r="J2372" s="9">
        <f t="shared" si="75"/>
        <v>0</v>
      </c>
    </row>
    <row r="2373" spans="1:10">
      <c r="A2373" t="s">
        <v>3998</v>
      </c>
      <c r="B2373" t="s">
        <v>1160</v>
      </c>
      <c r="C2373" t="s">
        <v>101</v>
      </c>
      <c r="D2373" t="s">
        <v>3997</v>
      </c>
      <c r="E2373" s="9">
        <f t="shared" si="74"/>
        <v>886770.82704952639</v>
      </c>
      <c r="F2373" s="3">
        <v>21</v>
      </c>
      <c r="G2373" s="9">
        <v>1470000</v>
      </c>
      <c r="H2373" s="4" t="s">
        <v>16</v>
      </c>
      <c r="J2373" s="9">
        <f t="shared" si="75"/>
        <v>0</v>
      </c>
    </row>
    <row r="2374" spans="1:10">
      <c r="A2374" t="s">
        <v>3996</v>
      </c>
      <c r="B2374" t="s">
        <v>1160</v>
      </c>
      <c r="C2374" t="s">
        <v>101</v>
      </c>
      <c r="D2374" t="s">
        <v>3997</v>
      </c>
      <c r="E2374" s="9">
        <f t="shared" si="74"/>
        <v>886770.82704952639</v>
      </c>
      <c r="F2374" s="3">
        <v>21</v>
      </c>
      <c r="G2374" s="9">
        <v>1470000</v>
      </c>
      <c r="H2374" s="4" t="s">
        <v>16</v>
      </c>
      <c r="J2374" s="9">
        <f t="shared" si="75"/>
        <v>0</v>
      </c>
    </row>
    <row r="2375" spans="1:10">
      <c r="A2375" t="s">
        <v>4541</v>
      </c>
      <c r="B2375" t="s">
        <v>1160</v>
      </c>
      <c r="C2375" t="s">
        <v>101</v>
      </c>
      <c r="D2375" t="s">
        <v>4542</v>
      </c>
      <c r="E2375" s="9">
        <f t="shared" si="74"/>
        <v>1013452.3737708874</v>
      </c>
      <c r="F2375" s="3">
        <v>21</v>
      </c>
      <c r="G2375" s="9">
        <v>1680000</v>
      </c>
      <c r="H2375" s="4" t="s">
        <v>16</v>
      </c>
      <c r="J2375" s="9">
        <f t="shared" si="75"/>
        <v>0</v>
      </c>
    </row>
    <row r="2376" spans="1:10">
      <c r="A2376" t="s">
        <v>2852</v>
      </c>
      <c r="B2376" t="s">
        <v>1160</v>
      </c>
      <c r="C2376" t="s">
        <v>101</v>
      </c>
      <c r="D2376" t="s">
        <v>2853</v>
      </c>
      <c r="E2376" s="9">
        <f t="shared" si="74"/>
        <v>971225.1915304336</v>
      </c>
      <c r="F2376" s="3">
        <v>21</v>
      </c>
      <c r="G2376" s="9">
        <v>1610000</v>
      </c>
      <c r="H2376" s="4" t="s">
        <v>16</v>
      </c>
      <c r="J2376" s="9">
        <f t="shared" si="75"/>
        <v>0</v>
      </c>
    </row>
    <row r="2377" spans="1:10">
      <c r="A2377" t="s">
        <v>2935</v>
      </c>
      <c r="B2377" t="s">
        <v>1160</v>
      </c>
      <c r="C2377" t="s">
        <v>101</v>
      </c>
      <c r="D2377" t="s">
        <v>2936</v>
      </c>
      <c r="E2377" s="9">
        <f t="shared" ref="E2377:E2440" si="76">SUM(G2377/(1+(F2377/100)) /(1+(37/100)))</f>
        <v>439162.69530071778</v>
      </c>
      <c r="F2377" s="3">
        <v>21</v>
      </c>
      <c r="G2377" s="9">
        <v>728000</v>
      </c>
      <c r="H2377" s="4" t="s">
        <v>16</v>
      </c>
      <c r="J2377" s="9">
        <f t="shared" ref="J2377:J2440" si="77">SUM(E2377* I2377)</f>
        <v>0</v>
      </c>
    </row>
    <row r="2378" spans="1:10">
      <c r="A2378" t="s">
        <v>2850</v>
      </c>
      <c r="B2378" t="s">
        <v>1160</v>
      </c>
      <c r="C2378" t="s">
        <v>101</v>
      </c>
      <c r="D2378" t="s">
        <v>2851</v>
      </c>
      <c r="E2378" s="9">
        <f t="shared" si="76"/>
        <v>2195813.4765035892</v>
      </c>
      <c r="F2378" s="3">
        <v>21</v>
      </c>
      <c r="G2378" s="9">
        <v>3640000</v>
      </c>
      <c r="H2378" s="5" t="s">
        <v>5080</v>
      </c>
      <c r="J2378" s="9">
        <f t="shared" si="77"/>
        <v>0</v>
      </c>
    </row>
    <row r="2379" spans="1:10">
      <c r="A2379" t="s">
        <v>1396</v>
      </c>
      <c r="B2379" t="s">
        <v>1160</v>
      </c>
      <c r="C2379" t="s">
        <v>101</v>
      </c>
      <c r="D2379" t="s">
        <v>1397</v>
      </c>
      <c r="E2379" s="9">
        <f t="shared" si="76"/>
        <v>569154.85310973029</v>
      </c>
      <c r="F2379" s="3">
        <v>21</v>
      </c>
      <c r="G2379" s="9">
        <v>943488</v>
      </c>
      <c r="H2379" s="4" t="s">
        <v>16</v>
      </c>
      <c r="J2379" s="9">
        <f t="shared" si="77"/>
        <v>0</v>
      </c>
    </row>
    <row r="2380" spans="1:10" hidden="1">
      <c r="A2380" t="s">
        <v>4348</v>
      </c>
      <c r="B2380" t="s">
        <v>1160</v>
      </c>
      <c r="C2380" t="s">
        <v>101</v>
      </c>
      <c r="E2380" s="9">
        <f t="shared" si="76"/>
        <v>8.445436448090728</v>
      </c>
      <c r="F2380" s="3">
        <v>21</v>
      </c>
      <c r="G2380" s="9">
        <v>14</v>
      </c>
      <c r="H2380" s="4" t="s">
        <v>16</v>
      </c>
      <c r="J2380" s="9">
        <f t="shared" si="77"/>
        <v>0</v>
      </c>
    </row>
    <row r="2381" spans="1:10" hidden="1">
      <c r="A2381" t="s">
        <v>2931</v>
      </c>
      <c r="B2381" t="s">
        <v>1160</v>
      </c>
      <c r="C2381" t="s">
        <v>101</v>
      </c>
      <c r="D2381" t="s">
        <v>2932</v>
      </c>
      <c r="E2381" s="9">
        <f t="shared" si="76"/>
        <v>8.445436448090728</v>
      </c>
      <c r="F2381" s="3">
        <v>21</v>
      </c>
      <c r="G2381" s="9">
        <v>14</v>
      </c>
      <c r="H2381" s="4" t="s">
        <v>16</v>
      </c>
      <c r="J2381" s="9">
        <f t="shared" si="77"/>
        <v>0</v>
      </c>
    </row>
    <row r="2382" spans="1:10">
      <c r="A2382" t="s">
        <v>1742</v>
      </c>
      <c r="B2382" t="s">
        <v>1160</v>
      </c>
      <c r="C2382" t="s">
        <v>101</v>
      </c>
      <c r="D2382" t="s">
        <v>1743</v>
      </c>
      <c r="E2382" s="9">
        <f t="shared" si="76"/>
        <v>675634.91584725829</v>
      </c>
      <c r="F2382" s="3">
        <v>21</v>
      </c>
      <c r="G2382" s="9">
        <v>1120000</v>
      </c>
      <c r="H2382" s="6" t="s">
        <v>45</v>
      </c>
      <c r="J2382" s="9">
        <f t="shared" si="77"/>
        <v>0</v>
      </c>
    </row>
    <row r="2383" spans="1:10">
      <c r="A2383" t="s">
        <v>2933</v>
      </c>
      <c r="B2383" t="s">
        <v>1160</v>
      </c>
      <c r="C2383" t="s">
        <v>101</v>
      </c>
      <c r="D2383" t="s">
        <v>2934</v>
      </c>
      <c r="E2383" s="9">
        <f t="shared" si="76"/>
        <v>675634.91584725829</v>
      </c>
      <c r="F2383" s="3">
        <v>21</v>
      </c>
      <c r="G2383" s="9">
        <v>1120000</v>
      </c>
      <c r="H2383" s="4" t="s">
        <v>16</v>
      </c>
      <c r="J2383" s="9">
        <f t="shared" si="77"/>
        <v>0</v>
      </c>
    </row>
    <row r="2384" spans="1:10">
      <c r="A2384" t="s">
        <v>3994</v>
      </c>
      <c r="B2384" t="s">
        <v>1160</v>
      </c>
      <c r="C2384" t="s">
        <v>101</v>
      </c>
      <c r="D2384" t="s">
        <v>3995</v>
      </c>
      <c r="E2384" s="9">
        <f t="shared" si="76"/>
        <v>591180.55136635096</v>
      </c>
      <c r="F2384" s="3">
        <v>21</v>
      </c>
      <c r="G2384" s="9">
        <v>980000</v>
      </c>
      <c r="H2384" s="5" t="s">
        <v>5080</v>
      </c>
      <c r="J2384" s="9">
        <f t="shared" si="77"/>
        <v>0</v>
      </c>
    </row>
    <row r="2385" spans="1:10">
      <c r="A2385" t="s">
        <v>2848</v>
      </c>
      <c r="B2385" t="s">
        <v>1160</v>
      </c>
      <c r="C2385" t="s">
        <v>101</v>
      </c>
      <c r="D2385" t="s">
        <v>2849</v>
      </c>
      <c r="E2385" s="9">
        <f t="shared" si="76"/>
        <v>1857996.0185799601</v>
      </c>
      <c r="F2385" s="3">
        <v>21</v>
      </c>
      <c r="G2385" s="9">
        <v>3080000</v>
      </c>
      <c r="H2385" s="4" t="s">
        <v>16</v>
      </c>
      <c r="J2385" s="9">
        <f t="shared" si="77"/>
        <v>0</v>
      </c>
    </row>
    <row r="2386" spans="1:10">
      <c r="A2386" t="s">
        <v>3372</v>
      </c>
      <c r="B2386" t="s">
        <v>1160</v>
      </c>
      <c r="C2386" t="s">
        <v>101</v>
      </c>
      <c r="D2386" t="s">
        <v>3373</v>
      </c>
      <c r="E2386" s="9">
        <f t="shared" si="76"/>
        <v>608071.42426253238</v>
      </c>
      <c r="F2386" s="3">
        <v>21</v>
      </c>
      <c r="G2386" s="9">
        <v>1008000</v>
      </c>
      <c r="H2386" s="4" t="s">
        <v>16</v>
      </c>
      <c r="J2386" s="9">
        <f t="shared" si="77"/>
        <v>0</v>
      </c>
    </row>
    <row r="2387" spans="1:10">
      <c r="A2387" t="s">
        <v>3992</v>
      </c>
      <c r="B2387" t="s">
        <v>1160</v>
      </c>
      <c r="C2387" t="s">
        <v>101</v>
      </c>
      <c r="D2387" t="s">
        <v>3993</v>
      </c>
      <c r="E2387" s="9">
        <f t="shared" si="76"/>
        <v>354708.33081981057</v>
      </c>
      <c r="F2387" s="3">
        <v>21</v>
      </c>
      <c r="G2387" s="9">
        <v>588000</v>
      </c>
      <c r="H2387" s="4" t="s">
        <v>16</v>
      </c>
      <c r="J2387" s="9">
        <f t="shared" si="77"/>
        <v>0</v>
      </c>
    </row>
    <row r="2388" spans="1:10">
      <c r="A2388" t="s">
        <v>2044</v>
      </c>
      <c r="B2388" t="s">
        <v>1160</v>
      </c>
      <c r="C2388" t="s">
        <v>101</v>
      </c>
      <c r="D2388" t="s">
        <v>2045</v>
      </c>
      <c r="E2388" s="9">
        <f t="shared" si="76"/>
        <v>3241020.691319298</v>
      </c>
      <c r="F2388" s="3">
        <v>21</v>
      </c>
      <c r="G2388" s="9">
        <v>5372640</v>
      </c>
      <c r="H2388" s="4" t="s">
        <v>16</v>
      </c>
      <c r="J2388" s="9">
        <f t="shared" si="77"/>
        <v>0</v>
      </c>
    </row>
    <row r="2389" spans="1:10">
      <c r="A2389" t="s">
        <v>2423</v>
      </c>
      <c r="B2389" t="s">
        <v>1160</v>
      </c>
      <c r="C2389" t="s">
        <v>101</v>
      </c>
      <c r="D2389" t="s">
        <v>2424</v>
      </c>
      <c r="E2389" s="9">
        <f t="shared" si="76"/>
        <v>3378174.5792362909</v>
      </c>
      <c r="F2389" s="3">
        <v>21</v>
      </c>
      <c r="G2389" s="9">
        <v>5600000</v>
      </c>
      <c r="H2389" s="4" t="s">
        <v>16</v>
      </c>
      <c r="J2389" s="9">
        <f t="shared" si="77"/>
        <v>0</v>
      </c>
    </row>
    <row r="2390" spans="1:10">
      <c r="A2390" t="s">
        <v>2421</v>
      </c>
      <c r="B2390" t="s">
        <v>1160</v>
      </c>
      <c r="C2390" t="s">
        <v>101</v>
      </c>
      <c r="D2390" t="s">
        <v>2422</v>
      </c>
      <c r="E2390" s="9">
        <f t="shared" si="76"/>
        <v>3378174.5792362909</v>
      </c>
      <c r="F2390" s="3">
        <v>21</v>
      </c>
      <c r="G2390" s="9">
        <v>5600000</v>
      </c>
      <c r="H2390" s="4" t="s">
        <v>16</v>
      </c>
      <c r="J2390" s="9">
        <f t="shared" si="77"/>
        <v>0</v>
      </c>
    </row>
    <row r="2391" spans="1:10" hidden="1">
      <c r="A2391" t="s">
        <v>2363</v>
      </c>
      <c r="B2391" t="s">
        <v>1160</v>
      </c>
      <c r="C2391" t="s">
        <v>101</v>
      </c>
      <c r="D2391" t="s">
        <v>2364</v>
      </c>
      <c r="E2391" s="9">
        <f t="shared" si="76"/>
        <v>8.445436448090728</v>
      </c>
      <c r="F2391" s="3">
        <v>21</v>
      </c>
      <c r="G2391" s="9">
        <v>14</v>
      </c>
      <c r="H2391" s="5" t="s">
        <v>24</v>
      </c>
      <c r="J2391" s="9">
        <f t="shared" si="77"/>
        <v>0</v>
      </c>
    </row>
    <row r="2392" spans="1:10" hidden="1">
      <c r="A2392" t="s">
        <v>2365</v>
      </c>
      <c r="B2392" t="s">
        <v>1160</v>
      </c>
      <c r="C2392" t="s">
        <v>101</v>
      </c>
      <c r="D2392" t="s">
        <v>2366</v>
      </c>
      <c r="E2392" s="9">
        <f t="shared" si="76"/>
        <v>8.445436448090728</v>
      </c>
      <c r="F2392" s="3">
        <v>21</v>
      </c>
      <c r="G2392" s="9">
        <v>14</v>
      </c>
      <c r="H2392" s="5" t="s">
        <v>24</v>
      </c>
      <c r="J2392" s="9">
        <f t="shared" si="77"/>
        <v>0</v>
      </c>
    </row>
    <row r="2393" spans="1:10" hidden="1">
      <c r="A2393" t="s">
        <v>4117</v>
      </c>
      <c r="B2393" t="s">
        <v>1160</v>
      </c>
      <c r="C2393" t="s">
        <v>101</v>
      </c>
      <c r="D2393" t="s">
        <v>4118</v>
      </c>
      <c r="E2393" s="9">
        <f t="shared" si="76"/>
        <v>8.445436448090728</v>
      </c>
      <c r="F2393" s="3">
        <v>21</v>
      </c>
      <c r="G2393" s="9">
        <v>14</v>
      </c>
      <c r="H2393" s="4" t="s">
        <v>16</v>
      </c>
      <c r="J2393" s="9">
        <f t="shared" si="77"/>
        <v>0</v>
      </c>
    </row>
    <row r="2394" spans="1:10" hidden="1">
      <c r="A2394" t="s">
        <v>2367</v>
      </c>
      <c r="B2394" t="s">
        <v>1160</v>
      </c>
      <c r="C2394" t="s">
        <v>101</v>
      </c>
      <c r="D2394" t="s">
        <v>2368</v>
      </c>
      <c r="E2394" s="9">
        <f t="shared" si="76"/>
        <v>8.445436448090728</v>
      </c>
      <c r="F2394" s="3">
        <v>21</v>
      </c>
      <c r="G2394" s="9">
        <v>14</v>
      </c>
      <c r="H2394" s="5" t="s">
        <v>24</v>
      </c>
      <c r="J2394" s="9">
        <f t="shared" si="77"/>
        <v>0</v>
      </c>
    </row>
    <row r="2395" spans="1:10">
      <c r="A2395" t="s">
        <v>4115</v>
      </c>
      <c r="B2395" t="s">
        <v>1160</v>
      </c>
      <c r="C2395" t="s">
        <v>101</v>
      </c>
      <c r="D2395" t="s">
        <v>4116</v>
      </c>
      <c r="E2395" s="9">
        <f t="shared" si="76"/>
        <v>1857996.0185799601</v>
      </c>
      <c r="F2395" s="3">
        <v>21</v>
      </c>
      <c r="G2395" s="9">
        <v>3080000</v>
      </c>
      <c r="H2395" s="4" t="s">
        <v>16</v>
      </c>
      <c r="J2395" s="9">
        <f t="shared" si="77"/>
        <v>0</v>
      </c>
    </row>
    <row r="2396" spans="1:10" hidden="1">
      <c r="A2396" t="s">
        <v>2375</v>
      </c>
      <c r="B2396" t="s">
        <v>1160</v>
      </c>
      <c r="C2396" t="s">
        <v>101</v>
      </c>
      <c r="D2396" t="s">
        <v>2376</v>
      </c>
      <c r="E2396" s="9">
        <f t="shared" si="76"/>
        <v>8.445436448090728</v>
      </c>
      <c r="F2396" s="3">
        <v>21</v>
      </c>
      <c r="G2396" s="9">
        <v>14</v>
      </c>
      <c r="H2396" s="5" t="s">
        <v>24</v>
      </c>
      <c r="J2396" s="9">
        <f t="shared" si="77"/>
        <v>0</v>
      </c>
    </row>
    <row r="2397" spans="1:10" hidden="1">
      <c r="A2397" t="s">
        <v>4090</v>
      </c>
      <c r="B2397" t="s">
        <v>1160</v>
      </c>
      <c r="C2397" t="s">
        <v>101</v>
      </c>
      <c r="D2397" t="s">
        <v>4091</v>
      </c>
      <c r="E2397" s="9">
        <f t="shared" si="76"/>
        <v>8.445436448090728</v>
      </c>
      <c r="F2397" s="3">
        <v>21</v>
      </c>
      <c r="G2397" s="9">
        <v>14</v>
      </c>
      <c r="H2397" s="4" t="s">
        <v>16</v>
      </c>
      <c r="J2397" s="9">
        <f t="shared" si="77"/>
        <v>0</v>
      </c>
    </row>
    <row r="2398" spans="1:10" hidden="1">
      <c r="A2398" t="s">
        <v>4092</v>
      </c>
      <c r="B2398" t="s">
        <v>1160</v>
      </c>
      <c r="C2398" t="s">
        <v>101</v>
      </c>
      <c r="D2398" t="s">
        <v>4093</v>
      </c>
      <c r="E2398" s="9">
        <f t="shared" si="76"/>
        <v>8.445436448090728</v>
      </c>
      <c r="F2398" s="3">
        <v>21</v>
      </c>
      <c r="G2398" s="9">
        <v>14</v>
      </c>
      <c r="H2398" s="4" t="s">
        <v>16</v>
      </c>
      <c r="J2398" s="9">
        <f t="shared" si="77"/>
        <v>0</v>
      </c>
    </row>
    <row r="2399" spans="1:10" hidden="1">
      <c r="A2399" t="s">
        <v>2377</v>
      </c>
      <c r="B2399" t="s">
        <v>1160</v>
      </c>
      <c r="C2399" t="s">
        <v>101</v>
      </c>
      <c r="D2399" t="s">
        <v>2378</v>
      </c>
      <c r="E2399" s="9">
        <f t="shared" si="76"/>
        <v>8.445436448090728</v>
      </c>
      <c r="F2399" s="3">
        <v>21</v>
      </c>
      <c r="G2399" s="9">
        <v>14</v>
      </c>
      <c r="H2399" s="5" t="s">
        <v>24</v>
      </c>
      <c r="J2399" s="9">
        <f t="shared" si="77"/>
        <v>0</v>
      </c>
    </row>
    <row r="2400" spans="1:10" hidden="1">
      <c r="A2400" t="s">
        <v>4094</v>
      </c>
      <c r="B2400" t="s">
        <v>1160</v>
      </c>
      <c r="C2400" t="s">
        <v>101</v>
      </c>
      <c r="D2400" t="s">
        <v>4095</v>
      </c>
      <c r="E2400" s="9">
        <f t="shared" si="76"/>
        <v>8.445436448090728</v>
      </c>
      <c r="F2400" s="3">
        <v>21</v>
      </c>
      <c r="G2400" s="9">
        <v>14</v>
      </c>
      <c r="H2400" s="4" t="s">
        <v>16</v>
      </c>
      <c r="J2400" s="9">
        <f t="shared" si="77"/>
        <v>0</v>
      </c>
    </row>
    <row r="2401" spans="1:10" hidden="1">
      <c r="A2401" t="s">
        <v>4096</v>
      </c>
      <c r="B2401" t="s">
        <v>1160</v>
      </c>
      <c r="C2401" t="s">
        <v>101</v>
      </c>
      <c r="D2401" t="s">
        <v>4097</v>
      </c>
      <c r="E2401" s="9">
        <f t="shared" si="76"/>
        <v>8.445436448090728</v>
      </c>
      <c r="F2401" s="3">
        <v>21</v>
      </c>
      <c r="G2401" s="9">
        <v>14</v>
      </c>
      <c r="H2401" s="4" t="s">
        <v>16</v>
      </c>
      <c r="J2401" s="9">
        <f t="shared" si="77"/>
        <v>0</v>
      </c>
    </row>
    <row r="2402" spans="1:10" hidden="1">
      <c r="A2402" t="s">
        <v>2379</v>
      </c>
      <c r="B2402" t="s">
        <v>1160</v>
      </c>
      <c r="C2402" t="s">
        <v>101</v>
      </c>
      <c r="D2402" t="s">
        <v>2380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4098</v>
      </c>
      <c r="B2403" t="s">
        <v>1160</v>
      </c>
      <c r="C2403" t="s">
        <v>101</v>
      </c>
      <c r="D2403" t="s">
        <v>4099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>
      <c r="A2404" t="s">
        <v>4543</v>
      </c>
      <c r="B2404" t="s">
        <v>1160</v>
      </c>
      <c r="C2404" t="s">
        <v>101</v>
      </c>
      <c r="D2404" t="s">
        <v>4544</v>
      </c>
      <c r="E2404" s="9">
        <f t="shared" si="76"/>
        <v>1182361.1027327019</v>
      </c>
      <c r="F2404" s="3">
        <v>21</v>
      </c>
      <c r="G2404" s="9">
        <v>1960000</v>
      </c>
      <c r="H2404" s="4" t="s">
        <v>16</v>
      </c>
      <c r="J2404" s="9">
        <f t="shared" si="77"/>
        <v>0</v>
      </c>
    </row>
    <row r="2405" spans="1:10" hidden="1">
      <c r="A2405" t="s">
        <v>2373</v>
      </c>
      <c r="B2405" t="s">
        <v>1160</v>
      </c>
      <c r="C2405" t="s">
        <v>101</v>
      </c>
      <c r="D2405" t="s">
        <v>2374</v>
      </c>
      <c r="E2405" s="9">
        <f t="shared" si="76"/>
        <v>8.445436448090728</v>
      </c>
      <c r="F2405" s="3">
        <v>21</v>
      </c>
      <c r="G2405" s="9">
        <v>14</v>
      </c>
      <c r="H2405" s="4" t="s">
        <v>16</v>
      </c>
      <c r="J2405" s="9">
        <f t="shared" si="77"/>
        <v>0</v>
      </c>
    </row>
    <row r="2406" spans="1:10" hidden="1">
      <c r="A2406" t="s">
        <v>4070</v>
      </c>
      <c r="B2406" t="s">
        <v>1160</v>
      </c>
      <c r="C2406" t="s">
        <v>101</v>
      </c>
      <c r="D2406" t="s">
        <v>4071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3366</v>
      </c>
      <c r="B2407" t="s">
        <v>1160</v>
      </c>
      <c r="C2407" t="s">
        <v>101</v>
      </c>
      <c r="D2407" t="s">
        <v>3367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4100</v>
      </c>
      <c r="B2408" t="s">
        <v>1160</v>
      </c>
      <c r="C2408" t="s">
        <v>101</v>
      </c>
      <c r="D2408" t="s">
        <v>4101</v>
      </c>
      <c r="E2408" s="9">
        <f t="shared" si="76"/>
        <v>8.445436448090728</v>
      </c>
      <c r="F2408" s="3">
        <v>21</v>
      </c>
      <c r="G2408" s="9">
        <v>14</v>
      </c>
      <c r="H2408" s="4" t="s">
        <v>16</v>
      </c>
      <c r="J2408" s="9">
        <f t="shared" si="77"/>
        <v>0</v>
      </c>
    </row>
    <row r="2409" spans="1:10" hidden="1">
      <c r="A2409" t="s">
        <v>2387</v>
      </c>
      <c r="B2409" t="s">
        <v>1160</v>
      </c>
      <c r="C2409" t="s">
        <v>101</v>
      </c>
      <c r="D2409" t="s">
        <v>2388</v>
      </c>
      <c r="E2409" s="9">
        <f t="shared" si="76"/>
        <v>8.445436448090728</v>
      </c>
      <c r="F2409" s="3">
        <v>21</v>
      </c>
      <c r="G2409" s="9">
        <v>14</v>
      </c>
      <c r="H2409" s="5" t="s">
        <v>24</v>
      </c>
      <c r="J2409" s="9">
        <f t="shared" si="77"/>
        <v>0</v>
      </c>
    </row>
    <row r="2410" spans="1:10" hidden="1">
      <c r="A2410" t="s">
        <v>3360</v>
      </c>
      <c r="B2410" t="s">
        <v>1160</v>
      </c>
      <c r="C2410" t="s">
        <v>101</v>
      </c>
      <c r="D2410" t="s">
        <v>3361</v>
      </c>
      <c r="E2410" s="9">
        <f t="shared" si="76"/>
        <v>8.445436448090728</v>
      </c>
      <c r="F2410" s="3">
        <v>21</v>
      </c>
      <c r="G2410" s="9">
        <v>14</v>
      </c>
      <c r="H2410" s="4" t="s">
        <v>16</v>
      </c>
      <c r="J2410" s="9">
        <f t="shared" si="77"/>
        <v>0</v>
      </c>
    </row>
    <row r="2411" spans="1:10" hidden="1">
      <c r="A2411" t="s">
        <v>4104</v>
      </c>
      <c r="B2411" t="s">
        <v>1160</v>
      </c>
      <c r="C2411" t="s">
        <v>101</v>
      </c>
      <c r="D2411" t="s">
        <v>4105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2385</v>
      </c>
      <c r="B2412" t="s">
        <v>1160</v>
      </c>
      <c r="C2412" t="s">
        <v>101</v>
      </c>
      <c r="D2412" t="s">
        <v>2386</v>
      </c>
      <c r="E2412" s="9">
        <f t="shared" si="76"/>
        <v>8.445436448090728</v>
      </c>
      <c r="F2412" s="3">
        <v>21</v>
      </c>
      <c r="G2412" s="9">
        <v>14</v>
      </c>
      <c r="H2412" s="6" t="s">
        <v>45</v>
      </c>
      <c r="J2412" s="9">
        <f t="shared" si="77"/>
        <v>0</v>
      </c>
    </row>
    <row r="2413" spans="1:10" hidden="1">
      <c r="A2413" t="s">
        <v>4107</v>
      </c>
      <c r="B2413" t="s">
        <v>1160</v>
      </c>
      <c r="C2413" t="s">
        <v>101</v>
      </c>
      <c r="D2413" t="s">
        <v>4108</v>
      </c>
      <c r="E2413" s="9">
        <f t="shared" si="76"/>
        <v>8.445436448090728</v>
      </c>
      <c r="F2413" s="3">
        <v>21</v>
      </c>
      <c r="G2413" s="9">
        <v>14</v>
      </c>
      <c r="H2413" s="5" t="s">
        <v>24</v>
      </c>
      <c r="J2413" s="9">
        <f t="shared" si="77"/>
        <v>0</v>
      </c>
    </row>
    <row r="2414" spans="1:10" hidden="1">
      <c r="A2414" t="s">
        <v>4106</v>
      </c>
      <c r="B2414" t="s">
        <v>1160</v>
      </c>
      <c r="C2414" t="s">
        <v>101</v>
      </c>
      <c r="D2414" t="s">
        <v>4103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4109</v>
      </c>
      <c r="B2415" t="s">
        <v>1160</v>
      </c>
      <c r="C2415" t="s">
        <v>101</v>
      </c>
      <c r="D2415" t="s">
        <v>4110</v>
      </c>
      <c r="E2415" s="9">
        <f t="shared" si="76"/>
        <v>8.445436448090728</v>
      </c>
      <c r="F2415" s="3">
        <v>21</v>
      </c>
      <c r="G2415" s="9">
        <v>14</v>
      </c>
      <c r="H2415" s="4" t="s">
        <v>16</v>
      </c>
      <c r="J2415" s="9">
        <f t="shared" si="77"/>
        <v>0</v>
      </c>
    </row>
    <row r="2416" spans="1:10" hidden="1">
      <c r="A2416" t="s">
        <v>2383</v>
      </c>
      <c r="B2416" t="s">
        <v>1160</v>
      </c>
      <c r="C2416" t="s">
        <v>101</v>
      </c>
      <c r="D2416" t="s">
        <v>2384</v>
      </c>
      <c r="E2416" s="9">
        <f t="shared" si="76"/>
        <v>8.445436448090728</v>
      </c>
      <c r="F2416" s="3">
        <v>21</v>
      </c>
      <c r="G2416" s="9">
        <v>14</v>
      </c>
      <c r="H2416" s="5" t="s">
        <v>24</v>
      </c>
      <c r="J2416" s="9">
        <f t="shared" si="77"/>
        <v>0</v>
      </c>
    </row>
    <row r="2417" spans="1:10" hidden="1">
      <c r="A2417" t="s">
        <v>4111</v>
      </c>
      <c r="B2417" t="s">
        <v>1160</v>
      </c>
      <c r="C2417" t="s">
        <v>101</v>
      </c>
      <c r="D2417" t="s">
        <v>4112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4113</v>
      </c>
      <c r="B2418" t="s">
        <v>1160</v>
      </c>
      <c r="C2418" t="s">
        <v>101</v>
      </c>
      <c r="D2418" t="s">
        <v>4114</v>
      </c>
      <c r="E2418" s="9">
        <f t="shared" si="76"/>
        <v>8.445436448090728</v>
      </c>
      <c r="F2418" s="3">
        <v>21</v>
      </c>
      <c r="G2418" s="9">
        <v>14</v>
      </c>
      <c r="H2418" s="4" t="s">
        <v>16</v>
      </c>
      <c r="J2418" s="9">
        <f t="shared" si="77"/>
        <v>0</v>
      </c>
    </row>
    <row r="2419" spans="1:10" hidden="1">
      <c r="A2419" t="s">
        <v>2381</v>
      </c>
      <c r="B2419" t="s">
        <v>1160</v>
      </c>
      <c r="C2419" t="s">
        <v>101</v>
      </c>
      <c r="D2419" t="s">
        <v>2382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>
      <c r="A2420" t="s">
        <v>4545</v>
      </c>
      <c r="B2420" t="s">
        <v>1160</v>
      </c>
      <c r="C2420" t="s">
        <v>101</v>
      </c>
      <c r="D2420" t="s">
        <v>4546</v>
      </c>
      <c r="E2420" s="9">
        <f t="shared" si="76"/>
        <v>1900223.2008204139</v>
      </c>
      <c r="F2420" s="3">
        <v>21</v>
      </c>
      <c r="G2420" s="9">
        <v>3150000</v>
      </c>
      <c r="H2420" s="4" t="s">
        <v>16</v>
      </c>
      <c r="J2420" s="9">
        <f t="shared" si="77"/>
        <v>0</v>
      </c>
    </row>
    <row r="2421" spans="1:10">
      <c r="A2421" t="s">
        <v>4547</v>
      </c>
      <c r="B2421" t="s">
        <v>1160</v>
      </c>
      <c r="C2421" t="s">
        <v>101</v>
      </c>
      <c r="D2421" t="s">
        <v>4548</v>
      </c>
      <c r="E2421" s="9">
        <f t="shared" si="76"/>
        <v>1900223.2008204139</v>
      </c>
      <c r="F2421" s="3">
        <v>21</v>
      </c>
      <c r="G2421" s="9">
        <v>3150000</v>
      </c>
      <c r="H2421" s="4" t="s">
        <v>16</v>
      </c>
      <c r="J2421" s="9">
        <f t="shared" si="77"/>
        <v>0</v>
      </c>
    </row>
    <row r="2422" spans="1:10">
      <c r="A2422" t="s">
        <v>4549</v>
      </c>
      <c r="B2422" t="s">
        <v>1160</v>
      </c>
      <c r="C2422" t="s">
        <v>101</v>
      </c>
      <c r="D2422" t="s">
        <v>4550</v>
      </c>
      <c r="E2422" s="9">
        <f t="shared" si="76"/>
        <v>2221149.7858478613</v>
      </c>
      <c r="F2422" s="3">
        <v>21</v>
      </c>
      <c r="G2422" s="9">
        <v>3682000</v>
      </c>
      <c r="H2422" s="4" t="s">
        <v>16</v>
      </c>
      <c r="J2422" s="9">
        <f t="shared" si="77"/>
        <v>0</v>
      </c>
    </row>
    <row r="2423" spans="1:10">
      <c r="A2423" t="s">
        <v>4551</v>
      </c>
      <c r="B2423" t="s">
        <v>1160</v>
      </c>
      <c r="C2423" t="s">
        <v>101</v>
      </c>
      <c r="D2423" t="s">
        <v>4552</v>
      </c>
      <c r="E2423" s="9">
        <f t="shared" si="76"/>
        <v>2221149.7858478613</v>
      </c>
      <c r="F2423" s="3">
        <v>21</v>
      </c>
      <c r="G2423" s="9">
        <v>3682000</v>
      </c>
      <c r="H2423" s="4" t="s">
        <v>16</v>
      </c>
      <c r="J2423" s="9">
        <f t="shared" si="77"/>
        <v>0</v>
      </c>
    </row>
    <row r="2424" spans="1:10" hidden="1">
      <c r="A2424" t="s">
        <v>4585</v>
      </c>
      <c r="B2424" t="s">
        <v>1160</v>
      </c>
      <c r="C2424" t="s">
        <v>101</v>
      </c>
      <c r="D2424" t="s">
        <v>4586</v>
      </c>
      <c r="E2424" s="9">
        <f t="shared" si="76"/>
        <v>8.445436448090728</v>
      </c>
      <c r="F2424" s="3">
        <v>21</v>
      </c>
      <c r="G2424" s="9">
        <v>14</v>
      </c>
      <c r="H2424" s="6" t="s">
        <v>45</v>
      </c>
      <c r="J2424" s="9">
        <f t="shared" si="77"/>
        <v>0</v>
      </c>
    </row>
    <row r="2425" spans="1:10">
      <c r="A2425" t="s">
        <v>1193</v>
      </c>
      <c r="B2425" t="s">
        <v>1160</v>
      </c>
      <c r="C2425" t="s">
        <v>101</v>
      </c>
      <c r="D2425" t="s">
        <v>1194</v>
      </c>
      <c r="E2425" s="9">
        <f t="shared" si="76"/>
        <v>50672.61868854436</v>
      </c>
      <c r="F2425" s="3">
        <v>21</v>
      </c>
      <c r="G2425" s="9">
        <v>84000</v>
      </c>
      <c r="H2425" s="6" t="s">
        <v>45</v>
      </c>
      <c r="J2425" s="9">
        <f t="shared" si="77"/>
        <v>0</v>
      </c>
    </row>
    <row r="2426" spans="1:10">
      <c r="A2426" t="s">
        <v>2224</v>
      </c>
      <c r="B2426" t="s">
        <v>1160</v>
      </c>
      <c r="C2426" t="s">
        <v>101</v>
      </c>
      <c r="D2426" t="s">
        <v>2225</v>
      </c>
      <c r="E2426" s="9">
        <f t="shared" si="76"/>
        <v>76008.928032816548</v>
      </c>
      <c r="F2426" s="3">
        <v>21</v>
      </c>
      <c r="G2426" s="9">
        <v>126000</v>
      </c>
      <c r="H2426" s="6" t="s">
        <v>45</v>
      </c>
      <c r="J2426" s="9">
        <f t="shared" si="77"/>
        <v>0</v>
      </c>
    </row>
    <row r="2427" spans="1:10">
      <c r="A2427" t="s">
        <v>4553</v>
      </c>
      <c r="B2427" t="s">
        <v>1160</v>
      </c>
      <c r="C2427" t="s">
        <v>101</v>
      </c>
      <c r="D2427" t="s">
        <v>4554</v>
      </c>
      <c r="E2427" s="9">
        <f t="shared" si="76"/>
        <v>109790.67382517944</v>
      </c>
      <c r="F2427" s="3">
        <v>21</v>
      </c>
      <c r="G2427" s="9">
        <v>182000</v>
      </c>
      <c r="H2427" s="6" t="s">
        <v>45</v>
      </c>
      <c r="J2427" s="9">
        <f t="shared" si="77"/>
        <v>0</v>
      </c>
    </row>
    <row r="2428" spans="1:10">
      <c r="A2428" t="s">
        <v>4555</v>
      </c>
      <c r="B2428" t="s">
        <v>1160</v>
      </c>
      <c r="C2428" t="s">
        <v>101</v>
      </c>
      <c r="D2428" t="s">
        <v>4556</v>
      </c>
      <c r="E2428" s="9">
        <f t="shared" si="76"/>
        <v>3631537.6726790131</v>
      </c>
      <c r="F2428" s="3">
        <v>21</v>
      </c>
      <c r="G2428" s="9">
        <v>6020000</v>
      </c>
      <c r="H2428" s="5" t="s">
        <v>5080</v>
      </c>
      <c r="J2428" s="9">
        <f t="shared" si="77"/>
        <v>0</v>
      </c>
    </row>
    <row r="2429" spans="1:10">
      <c r="A2429" t="s">
        <v>4054</v>
      </c>
      <c r="B2429" t="s">
        <v>1160</v>
      </c>
      <c r="C2429" t="s">
        <v>101</v>
      </c>
      <c r="D2429" t="s">
        <v>4055</v>
      </c>
      <c r="E2429" s="9">
        <f t="shared" si="76"/>
        <v>4881462.2669964405</v>
      </c>
      <c r="F2429" s="3">
        <v>21</v>
      </c>
      <c r="G2429" s="9">
        <v>8092000</v>
      </c>
      <c r="H2429" s="5" t="s">
        <v>5080</v>
      </c>
      <c r="J2429" s="9">
        <f t="shared" si="77"/>
        <v>0</v>
      </c>
    </row>
    <row r="2430" spans="1:10">
      <c r="A2430" t="s">
        <v>4082</v>
      </c>
      <c r="B2430" t="s">
        <v>1160</v>
      </c>
      <c r="C2430" t="s">
        <v>101</v>
      </c>
      <c r="D2430" t="s">
        <v>4083</v>
      </c>
      <c r="E2430" s="9">
        <f t="shared" si="76"/>
        <v>4881462.2669964405</v>
      </c>
      <c r="F2430" s="3">
        <v>21</v>
      </c>
      <c r="G2430" s="9">
        <v>8092000</v>
      </c>
      <c r="H2430" s="5" t="s">
        <v>5080</v>
      </c>
      <c r="J2430" s="9">
        <f t="shared" si="77"/>
        <v>0</v>
      </c>
    </row>
    <row r="2431" spans="1:10">
      <c r="A2431" t="s">
        <v>4557</v>
      </c>
      <c r="B2431" t="s">
        <v>1160</v>
      </c>
      <c r="C2431" t="s">
        <v>101</v>
      </c>
      <c r="D2431" t="s">
        <v>4558</v>
      </c>
      <c r="E2431" s="9">
        <f t="shared" si="76"/>
        <v>4881462.2669964405</v>
      </c>
      <c r="F2431" s="3">
        <v>21</v>
      </c>
      <c r="G2431" s="9">
        <v>8092000</v>
      </c>
      <c r="H2431" s="5" t="s">
        <v>5080</v>
      </c>
      <c r="J2431" s="9">
        <f t="shared" si="77"/>
        <v>0</v>
      </c>
    </row>
    <row r="2432" spans="1:10">
      <c r="A2432" t="s">
        <v>4056</v>
      </c>
      <c r="B2432" t="s">
        <v>1160</v>
      </c>
      <c r="C2432" t="s">
        <v>101</v>
      </c>
      <c r="D2432" t="s">
        <v>4057</v>
      </c>
      <c r="E2432" s="9">
        <f t="shared" si="76"/>
        <v>4881462.2669964405</v>
      </c>
      <c r="F2432" s="3">
        <v>21</v>
      </c>
      <c r="G2432" s="9">
        <v>8092000</v>
      </c>
      <c r="H2432" s="5" t="s">
        <v>5080</v>
      </c>
      <c r="J2432" s="9">
        <f t="shared" si="77"/>
        <v>0</v>
      </c>
    </row>
    <row r="2433" spans="1:10" hidden="1">
      <c r="A2433" t="s">
        <v>3672</v>
      </c>
      <c r="B2433" t="s">
        <v>1160</v>
      </c>
      <c r="C2433" t="s">
        <v>101</v>
      </c>
      <c r="D2433" t="s">
        <v>3673</v>
      </c>
      <c r="E2433" s="9">
        <f t="shared" si="76"/>
        <v>8.445436448090728</v>
      </c>
      <c r="F2433" s="3">
        <v>21</v>
      </c>
      <c r="G2433" s="9">
        <v>14</v>
      </c>
      <c r="H2433" s="5" t="s">
        <v>24</v>
      </c>
      <c r="J2433" s="9">
        <f t="shared" si="77"/>
        <v>0</v>
      </c>
    </row>
    <row r="2434" spans="1:10" hidden="1">
      <c r="A2434" t="s">
        <v>4559</v>
      </c>
      <c r="B2434" t="s">
        <v>1160</v>
      </c>
      <c r="C2434" t="s">
        <v>101</v>
      </c>
      <c r="D2434" t="s">
        <v>4560</v>
      </c>
      <c r="E2434" s="9">
        <f t="shared" si="76"/>
        <v>8.445436448090728</v>
      </c>
      <c r="F2434" s="3">
        <v>21</v>
      </c>
      <c r="G2434" s="9">
        <v>14</v>
      </c>
      <c r="H2434" s="5" t="s">
        <v>24</v>
      </c>
      <c r="J2434" s="9">
        <f t="shared" si="77"/>
        <v>0</v>
      </c>
    </row>
    <row r="2435" spans="1:10">
      <c r="A2435" t="s">
        <v>2615</v>
      </c>
      <c r="B2435" t="s">
        <v>1160</v>
      </c>
      <c r="C2435" t="s">
        <v>101</v>
      </c>
      <c r="D2435" t="s">
        <v>2616</v>
      </c>
      <c r="E2435" s="9">
        <f t="shared" si="76"/>
        <v>2153586.2942631356</v>
      </c>
      <c r="F2435" s="3">
        <v>21</v>
      </c>
      <c r="G2435" s="9">
        <v>3570000</v>
      </c>
      <c r="H2435" s="4" t="s">
        <v>16</v>
      </c>
      <c r="J2435" s="9">
        <f t="shared" si="77"/>
        <v>0</v>
      </c>
    </row>
    <row r="2436" spans="1:10">
      <c r="A2436" t="s">
        <v>3860</v>
      </c>
      <c r="B2436" t="s">
        <v>1160</v>
      </c>
      <c r="C2436" t="s">
        <v>101</v>
      </c>
      <c r="D2436" t="s">
        <v>3861</v>
      </c>
      <c r="E2436" s="9">
        <f t="shared" si="76"/>
        <v>101345.23737708872</v>
      </c>
      <c r="F2436" s="3">
        <v>21</v>
      </c>
      <c r="G2436" s="9">
        <v>168000</v>
      </c>
      <c r="H2436" s="4" t="s">
        <v>16</v>
      </c>
      <c r="J2436" s="9">
        <f t="shared" si="77"/>
        <v>0</v>
      </c>
    </row>
    <row r="2437" spans="1:10">
      <c r="A2437" t="s">
        <v>4058</v>
      </c>
      <c r="B2437" t="s">
        <v>1160</v>
      </c>
      <c r="C2437" t="s">
        <v>101</v>
      </c>
      <c r="D2437" t="s">
        <v>4059</v>
      </c>
      <c r="E2437" s="9">
        <f t="shared" si="76"/>
        <v>4602762.8642094471</v>
      </c>
      <c r="F2437" s="3">
        <v>21</v>
      </c>
      <c r="G2437" s="9">
        <v>7630000</v>
      </c>
      <c r="H2437" s="5" t="s">
        <v>5080</v>
      </c>
      <c r="J2437" s="9">
        <f t="shared" si="77"/>
        <v>0</v>
      </c>
    </row>
    <row r="2438" spans="1:10">
      <c r="A2438" t="s">
        <v>3970</v>
      </c>
      <c r="B2438" t="s">
        <v>1160</v>
      </c>
      <c r="C2438" t="s">
        <v>101</v>
      </c>
      <c r="D2438" t="s">
        <v>3971</v>
      </c>
      <c r="E2438" s="9">
        <f t="shared" si="76"/>
        <v>4602762.8642094471</v>
      </c>
      <c r="F2438" s="3">
        <v>21</v>
      </c>
      <c r="G2438" s="9">
        <v>7630000</v>
      </c>
      <c r="H2438" s="5" t="s">
        <v>5080</v>
      </c>
      <c r="J2438" s="9">
        <f t="shared" si="77"/>
        <v>0</v>
      </c>
    </row>
    <row r="2439" spans="1:10">
      <c r="A2439" t="s">
        <v>4062</v>
      </c>
      <c r="B2439" t="s">
        <v>1160</v>
      </c>
      <c r="C2439" t="s">
        <v>101</v>
      </c>
      <c r="D2439" t="s">
        <v>4063</v>
      </c>
      <c r="E2439" s="9">
        <f t="shared" si="76"/>
        <v>4602762.8642094471</v>
      </c>
      <c r="F2439" s="3">
        <v>21</v>
      </c>
      <c r="G2439" s="9">
        <v>7630000</v>
      </c>
      <c r="H2439" s="4" t="s">
        <v>16</v>
      </c>
      <c r="J2439" s="9">
        <f t="shared" si="77"/>
        <v>0</v>
      </c>
    </row>
    <row r="2440" spans="1:10">
      <c r="A2440" t="s">
        <v>4060</v>
      </c>
      <c r="B2440" t="s">
        <v>1160</v>
      </c>
      <c r="C2440" t="s">
        <v>101</v>
      </c>
      <c r="D2440" t="s">
        <v>4061</v>
      </c>
      <c r="E2440" s="9">
        <f t="shared" si="76"/>
        <v>4602762.8642094471</v>
      </c>
      <c r="F2440" s="3">
        <v>21</v>
      </c>
      <c r="G2440" s="9">
        <v>7630000</v>
      </c>
      <c r="H2440" s="5" t="s">
        <v>5080</v>
      </c>
      <c r="J2440" s="9">
        <f t="shared" si="77"/>
        <v>0</v>
      </c>
    </row>
    <row r="2441" spans="1:10" hidden="1">
      <c r="A2441" t="s">
        <v>2369</v>
      </c>
      <c r="B2441" t="s">
        <v>1160</v>
      </c>
      <c r="C2441" t="s">
        <v>101</v>
      </c>
      <c r="D2441" t="s">
        <v>2370</v>
      </c>
      <c r="E2441" s="9">
        <f t="shared" ref="E2441:E2504" si="78">SUM(G2441/(1+(F2441/100)) /(1+(37/100)))</f>
        <v>8.445436448090728</v>
      </c>
      <c r="F2441" s="3">
        <v>21</v>
      </c>
      <c r="G2441" s="9">
        <v>14</v>
      </c>
      <c r="H2441" s="4" t="s">
        <v>16</v>
      </c>
      <c r="J2441" s="9">
        <f t="shared" ref="J2441:J2504" si="79">SUM(E2441* I2441)</f>
        <v>0</v>
      </c>
    </row>
    <row r="2442" spans="1:10" hidden="1">
      <c r="A2442" t="s">
        <v>2371</v>
      </c>
      <c r="B2442" t="s">
        <v>1160</v>
      </c>
      <c r="C2442" t="s">
        <v>101</v>
      </c>
      <c r="D2442" t="s">
        <v>2372</v>
      </c>
      <c r="E2442" s="9">
        <f t="shared" si="78"/>
        <v>8.445436448090728</v>
      </c>
      <c r="F2442" s="3">
        <v>21</v>
      </c>
      <c r="G2442" s="9">
        <v>14</v>
      </c>
      <c r="H2442" s="5" t="s">
        <v>24</v>
      </c>
      <c r="J2442" s="9">
        <f t="shared" si="79"/>
        <v>0</v>
      </c>
    </row>
    <row r="2443" spans="1:10">
      <c r="A2443" t="s">
        <v>3614</v>
      </c>
      <c r="B2443" t="s">
        <v>1160</v>
      </c>
      <c r="C2443" t="s">
        <v>101</v>
      </c>
      <c r="D2443" t="s">
        <v>3615</v>
      </c>
      <c r="E2443" s="9">
        <f t="shared" si="78"/>
        <v>253363.09344272185</v>
      </c>
      <c r="F2443" s="3">
        <v>21</v>
      </c>
      <c r="G2443" s="9">
        <v>420000</v>
      </c>
      <c r="H2443" s="6" t="s">
        <v>45</v>
      </c>
      <c r="J2443" s="9">
        <f t="shared" si="79"/>
        <v>0</v>
      </c>
    </row>
    <row r="2444" spans="1:10">
      <c r="A2444" t="s">
        <v>4561</v>
      </c>
      <c r="B2444" t="s">
        <v>1160</v>
      </c>
      <c r="C2444" t="s">
        <v>101</v>
      </c>
      <c r="D2444" t="s">
        <v>4562</v>
      </c>
      <c r="E2444" s="9">
        <f t="shared" si="78"/>
        <v>211135.91120226818</v>
      </c>
      <c r="F2444" s="3">
        <v>21</v>
      </c>
      <c r="G2444" s="9">
        <v>350000</v>
      </c>
      <c r="H2444" s="6" t="s">
        <v>45</v>
      </c>
      <c r="J2444" s="9">
        <f t="shared" si="79"/>
        <v>0</v>
      </c>
    </row>
    <row r="2445" spans="1:10">
      <c r="A2445" t="s">
        <v>2222</v>
      </c>
      <c r="B2445" t="s">
        <v>1160</v>
      </c>
      <c r="C2445" t="s">
        <v>101</v>
      </c>
      <c r="D2445" t="s">
        <v>2223</v>
      </c>
      <c r="E2445" s="9">
        <f t="shared" si="78"/>
        <v>52699.523436086143</v>
      </c>
      <c r="F2445" s="3">
        <v>21</v>
      </c>
      <c r="G2445" s="9">
        <v>87360</v>
      </c>
      <c r="H2445" s="4" t="s">
        <v>16</v>
      </c>
      <c r="J2445" s="9">
        <f t="shared" si="79"/>
        <v>0</v>
      </c>
    </row>
    <row r="2446" spans="1:10">
      <c r="A2446" t="s">
        <v>1418</v>
      </c>
      <c r="B2446" t="s">
        <v>1160</v>
      </c>
      <c r="C2446" t="s">
        <v>101</v>
      </c>
      <c r="D2446" t="s">
        <v>1419</v>
      </c>
      <c r="E2446" s="9">
        <f t="shared" si="78"/>
        <v>113827.59244736684</v>
      </c>
      <c r="F2446" s="3">
        <v>21</v>
      </c>
      <c r="G2446" s="9">
        <v>188692</v>
      </c>
      <c r="H2446" s="6" t="s">
        <v>45</v>
      </c>
      <c r="J2446" s="9">
        <f t="shared" si="79"/>
        <v>0</v>
      </c>
    </row>
    <row r="2447" spans="1:10">
      <c r="A2447" t="s">
        <v>2605</v>
      </c>
      <c r="B2447" t="s">
        <v>1160</v>
      </c>
      <c r="C2447" t="s">
        <v>101</v>
      </c>
      <c r="D2447" t="s">
        <v>2606</v>
      </c>
      <c r="E2447" s="9">
        <f t="shared" si="78"/>
        <v>168908.72896181457</v>
      </c>
      <c r="F2447" s="3">
        <v>21</v>
      </c>
      <c r="G2447" s="9">
        <v>280000</v>
      </c>
      <c r="H2447" s="6" t="s">
        <v>45</v>
      </c>
      <c r="J2447" s="9">
        <f t="shared" si="79"/>
        <v>0</v>
      </c>
    </row>
    <row r="2448" spans="1:10">
      <c r="A2448" t="s">
        <v>3920</v>
      </c>
      <c r="B2448" t="s">
        <v>1160</v>
      </c>
      <c r="C2448" t="s">
        <v>101</v>
      </c>
      <c r="D2448" t="s">
        <v>3921</v>
      </c>
      <c r="E2448" s="9">
        <f t="shared" si="78"/>
        <v>194245.03830608673</v>
      </c>
      <c r="F2448" s="3">
        <v>21</v>
      </c>
      <c r="G2448" s="9">
        <v>322000</v>
      </c>
      <c r="H2448" s="5" t="s">
        <v>5080</v>
      </c>
      <c r="J2448" s="9">
        <f t="shared" si="79"/>
        <v>0</v>
      </c>
    </row>
    <row r="2449" spans="1:10" hidden="1">
      <c r="A2449" t="s">
        <v>4208</v>
      </c>
      <c r="B2449" t="s">
        <v>1160</v>
      </c>
      <c r="C2449" t="s">
        <v>101</v>
      </c>
      <c r="E2449" s="9">
        <f t="shared" si="78"/>
        <v>8.445436448090728</v>
      </c>
      <c r="F2449" s="3">
        <v>21</v>
      </c>
      <c r="G2449" s="9">
        <v>14</v>
      </c>
      <c r="H2449" s="4" t="s">
        <v>16</v>
      </c>
      <c r="J2449" s="9">
        <f t="shared" si="79"/>
        <v>0</v>
      </c>
    </row>
    <row r="2450" spans="1:10">
      <c r="A2450" t="s">
        <v>4745</v>
      </c>
      <c r="B2450" t="s">
        <v>1160</v>
      </c>
      <c r="C2450" t="s">
        <v>101</v>
      </c>
      <c r="D2450" t="s">
        <v>4746</v>
      </c>
      <c r="E2450" s="9">
        <f t="shared" si="78"/>
        <v>886770.82704952639</v>
      </c>
      <c r="F2450" s="3">
        <v>21</v>
      </c>
      <c r="G2450" s="9">
        <v>1470000</v>
      </c>
      <c r="H2450" s="4" t="s">
        <v>16</v>
      </c>
      <c r="J2450" s="9">
        <f t="shared" si="79"/>
        <v>0</v>
      </c>
    </row>
    <row r="2451" spans="1:10">
      <c r="A2451" t="s">
        <v>4735</v>
      </c>
      <c r="B2451" t="s">
        <v>1160</v>
      </c>
      <c r="C2451" t="s">
        <v>101</v>
      </c>
      <c r="D2451" t="s">
        <v>4736</v>
      </c>
      <c r="E2451" s="9">
        <f t="shared" si="78"/>
        <v>988116.06442661525</v>
      </c>
      <c r="F2451" s="3">
        <v>21</v>
      </c>
      <c r="G2451" s="9">
        <v>1638000</v>
      </c>
      <c r="H2451" s="4" t="s">
        <v>16</v>
      </c>
      <c r="J2451" s="9">
        <f t="shared" si="79"/>
        <v>0</v>
      </c>
    </row>
    <row r="2452" spans="1:10">
      <c r="A2452" t="s">
        <v>4743</v>
      </c>
      <c r="B2452" t="s">
        <v>1160</v>
      </c>
      <c r="C2452" t="s">
        <v>101</v>
      </c>
      <c r="D2452" t="s">
        <v>4744</v>
      </c>
      <c r="E2452" s="9">
        <f t="shared" si="78"/>
        <v>1013452.3737708874</v>
      </c>
      <c r="F2452" s="3">
        <v>21</v>
      </c>
      <c r="G2452" s="9">
        <v>1680000</v>
      </c>
      <c r="H2452" s="4" t="s">
        <v>16</v>
      </c>
      <c r="J2452" s="9">
        <f t="shared" si="79"/>
        <v>0</v>
      </c>
    </row>
    <row r="2453" spans="1:10">
      <c r="A2453" t="s">
        <v>4741</v>
      </c>
      <c r="B2453" t="s">
        <v>1160</v>
      </c>
      <c r="C2453" t="s">
        <v>101</v>
      </c>
      <c r="D2453" t="s">
        <v>4742</v>
      </c>
      <c r="E2453" s="9">
        <f t="shared" si="78"/>
        <v>1140133.9204922481</v>
      </c>
      <c r="F2453" s="3">
        <v>21</v>
      </c>
      <c r="G2453" s="9">
        <v>1890000</v>
      </c>
      <c r="H2453" s="4" t="s">
        <v>16</v>
      </c>
      <c r="J2453" s="9">
        <f t="shared" si="79"/>
        <v>0</v>
      </c>
    </row>
    <row r="2454" spans="1:10">
      <c r="A2454" t="s">
        <v>4737</v>
      </c>
      <c r="B2454" t="s">
        <v>1160</v>
      </c>
      <c r="C2454" t="s">
        <v>101</v>
      </c>
      <c r="D2454" t="s">
        <v>4738</v>
      </c>
      <c r="E2454" s="9">
        <f t="shared" si="78"/>
        <v>988116.06442661525</v>
      </c>
      <c r="F2454" s="3">
        <v>21</v>
      </c>
      <c r="G2454" s="9">
        <v>1638000</v>
      </c>
      <c r="H2454" s="4" t="s">
        <v>16</v>
      </c>
      <c r="J2454" s="9">
        <f t="shared" si="79"/>
        <v>0</v>
      </c>
    </row>
    <row r="2455" spans="1:10" hidden="1">
      <c r="A2455" t="s">
        <v>4342</v>
      </c>
      <c r="B2455" t="s">
        <v>1160</v>
      </c>
      <c r="C2455" t="s">
        <v>101</v>
      </c>
      <c r="D2455" t="s">
        <v>4343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4739</v>
      </c>
      <c r="B2456" t="s">
        <v>1160</v>
      </c>
      <c r="C2456" t="s">
        <v>101</v>
      </c>
      <c r="D2456" t="s">
        <v>4740</v>
      </c>
      <c r="E2456" s="9">
        <f t="shared" si="78"/>
        <v>785425.58967243775</v>
      </c>
      <c r="F2456" s="3">
        <v>21</v>
      </c>
      <c r="G2456" s="9">
        <v>1302000</v>
      </c>
      <c r="H2456" s="4" t="s">
        <v>16</v>
      </c>
      <c r="J2456" s="9">
        <f t="shared" si="79"/>
        <v>0</v>
      </c>
    </row>
    <row r="2457" spans="1:10">
      <c r="A2457" t="s">
        <v>3922</v>
      </c>
      <c r="B2457" t="s">
        <v>1160</v>
      </c>
      <c r="C2457" t="s">
        <v>101</v>
      </c>
      <c r="D2457" t="s">
        <v>3923</v>
      </c>
      <c r="E2457" s="9">
        <f t="shared" si="78"/>
        <v>25336.30934427218</v>
      </c>
      <c r="F2457" s="3">
        <v>21</v>
      </c>
      <c r="G2457" s="9">
        <v>42000</v>
      </c>
      <c r="H2457" s="4" t="s">
        <v>16</v>
      </c>
      <c r="J2457" s="9">
        <f t="shared" si="79"/>
        <v>0</v>
      </c>
    </row>
    <row r="2458" spans="1:10">
      <c r="A2458" t="s">
        <v>4009</v>
      </c>
      <c r="B2458" t="s">
        <v>1160</v>
      </c>
      <c r="C2458" t="s">
        <v>101</v>
      </c>
      <c r="D2458" t="s">
        <v>4010</v>
      </c>
      <c r="E2458" s="9">
        <f t="shared" si="78"/>
        <v>25336.30934427218</v>
      </c>
      <c r="F2458" s="3">
        <v>21</v>
      </c>
      <c r="G2458" s="9">
        <v>42000</v>
      </c>
      <c r="H2458" s="4" t="s">
        <v>16</v>
      </c>
      <c r="J2458" s="9">
        <f t="shared" si="79"/>
        <v>0</v>
      </c>
    </row>
    <row r="2459" spans="1:10">
      <c r="A2459" t="s">
        <v>4011</v>
      </c>
      <c r="B2459" t="s">
        <v>1160</v>
      </c>
      <c r="C2459" t="s">
        <v>101</v>
      </c>
      <c r="D2459" t="s">
        <v>4010</v>
      </c>
      <c r="E2459" s="9">
        <f t="shared" si="78"/>
        <v>25336.30934427218</v>
      </c>
      <c r="F2459" s="3">
        <v>21</v>
      </c>
      <c r="G2459" s="9">
        <v>42000</v>
      </c>
      <c r="H2459" s="6" t="s">
        <v>45</v>
      </c>
      <c r="J2459" s="9">
        <f t="shared" si="79"/>
        <v>0</v>
      </c>
    </row>
    <row r="2460" spans="1:10">
      <c r="A2460" t="s">
        <v>4012</v>
      </c>
      <c r="B2460" t="s">
        <v>1160</v>
      </c>
      <c r="C2460" t="s">
        <v>101</v>
      </c>
      <c r="D2460" t="s">
        <v>4013</v>
      </c>
      <c r="E2460" s="9">
        <f t="shared" si="78"/>
        <v>25336.30934427218</v>
      </c>
      <c r="F2460" s="3">
        <v>21</v>
      </c>
      <c r="G2460" s="9">
        <v>42000</v>
      </c>
      <c r="H2460" s="4" t="s">
        <v>16</v>
      </c>
      <c r="J2460" s="9">
        <f t="shared" si="79"/>
        <v>0</v>
      </c>
    </row>
    <row r="2461" spans="1:10">
      <c r="A2461" t="s">
        <v>1598</v>
      </c>
      <c r="B2461" t="s">
        <v>1160</v>
      </c>
      <c r="C2461" t="s">
        <v>101</v>
      </c>
      <c r="D2461" t="s">
        <v>1599</v>
      </c>
      <c r="E2461" s="9">
        <f t="shared" si="78"/>
        <v>5269.9523436086147</v>
      </c>
      <c r="F2461" s="3">
        <v>21</v>
      </c>
      <c r="G2461" s="9">
        <v>8736</v>
      </c>
      <c r="H2461" s="4" t="s">
        <v>16</v>
      </c>
      <c r="J2461" s="9">
        <f t="shared" si="79"/>
        <v>0</v>
      </c>
    </row>
    <row r="2462" spans="1:10">
      <c r="A2462" t="s">
        <v>3862</v>
      </c>
      <c r="B2462" t="s">
        <v>1160</v>
      </c>
      <c r="C2462" t="s">
        <v>101</v>
      </c>
      <c r="D2462" t="s">
        <v>3863</v>
      </c>
      <c r="E2462" s="9">
        <f t="shared" si="78"/>
        <v>50672.61868854436</v>
      </c>
      <c r="F2462" s="3">
        <v>21</v>
      </c>
      <c r="G2462" s="9">
        <v>84000</v>
      </c>
      <c r="H2462" s="4" t="s">
        <v>16</v>
      </c>
      <c r="J2462" s="9">
        <f t="shared" si="79"/>
        <v>0</v>
      </c>
    </row>
    <row r="2463" spans="1:10" hidden="1">
      <c r="A2463" t="s">
        <v>2415</v>
      </c>
      <c r="B2463" t="s">
        <v>1160</v>
      </c>
      <c r="C2463" t="s">
        <v>101</v>
      </c>
      <c r="D2463" t="s">
        <v>2416</v>
      </c>
      <c r="E2463" s="9">
        <f t="shared" si="78"/>
        <v>8.445436448090728</v>
      </c>
      <c r="F2463" s="3">
        <v>21</v>
      </c>
      <c r="G2463" s="9">
        <v>14</v>
      </c>
      <c r="H2463" s="5" t="s">
        <v>24</v>
      </c>
      <c r="J2463" s="9">
        <f t="shared" si="79"/>
        <v>0</v>
      </c>
    </row>
    <row r="2464" spans="1:10">
      <c r="A2464" t="s">
        <v>1910</v>
      </c>
      <c r="B2464" t="s">
        <v>1160</v>
      </c>
      <c r="C2464" t="s">
        <v>101</v>
      </c>
      <c r="D2464" t="s">
        <v>1911</v>
      </c>
      <c r="E2464" s="9">
        <f t="shared" si="78"/>
        <v>1045207.2148157083</v>
      </c>
      <c r="F2464" s="3">
        <v>21</v>
      </c>
      <c r="G2464" s="9">
        <v>1732640</v>
      </c>
      <c r="H2464" s="4" t="s">
        <v>16</v>
      </c>
      <c r="J2464" s="9">
        <f t="shared" si="79"/>
        <v>0</v>
      </c>
    </row>
    <row r="2465" spans="1:10">
      <c r="A2465" t="s">
        <v>1908</v>
      </c>
      <c r="B2465" t="s">
        <v>1160</v>
      </c>
      <c r="C2465" t="s">
        <v>101</v>
      </c>
      <c r="D2465" t="s">
        <v>1909</v>
      </c>
      <c r="E2465" s="9">
        <f t="shared" si="78"/>
        <v>1045207.2148157083</v>
      </c>
      <c r="F2465" s="3">
        <v>21</v>
      </c>
      <c r="G2465" s="9">
        <v>1732640</v>
      </c>
      <c r="H2465" s="4" t="s">
        <v>16</v>
      </c>
      <c r="J2465" s="9">
        <f t="shared" si="79"/>
        <v>0</v>
      </c>
    </row>
    <row r="2466" spans="1:10">
      <c r="A2466" t="s">
        <v>1906</v>
      </c>
      <c r="B2466" t="s">
        <v>1160</v>
      </c>
      <c r="C2466" t="s">
        <v>101</v>
      </c>
      <c r="D2466" t="s">
        <v>1907</v>
      </c>
      <c r="E2466" s="9">
        <f t="shared" si="78"/>
        <v>1045207.2148157083</v>
      </c>
      <c r="F2466" s="3">
        <v>21</v>
      </c>
      <c r="G2466" s="9">
        <v>1732640</v>
      </c>
      <c r="H2466" s="4" t="s">
        <v>16</v>
      </c>
      <c r="J2466" s="9">
        <f t="shared" si="79"/>
        <v>0</v>
      </c>
    </row>
    <row r="2467" spans="1:10">
      <c r="A2467" t="s">
        <v>3352</v>
      </c>
      <c r="B2467" t="s">
        <v>1160</v>
      </c>
      <c r="C2467" t="s">
        <v>101</v>
      </c>
      <c r="D2467" t="s">
        <v>3353</v>
      </c>
      <c r="E2467" s="9">
        <f t="shared" si="78"/>
        <v>836098.20836098201</v>
      </c>
      <c r="F2467" s="3">
        <v>21</v>
      </c>
      <c r="G2467" s="9">
        <v>1386000</v>
      </c>
      <c r="H2467" s="4" t="s">
        <v>16</v>
      </c>
      <c r="J2467" s="9">
        <f t="shared" si="79"/>
        <v>0</v>
      </c>
    </row>
    <row r="2468" spans="1:10">
      <c r="A2468" t="s">
        <v>3354</v>
      </c>
      <c r="B2468" t="s">
        <v>1160</v>
      </c>
      <c r="C2468" t="s">
        <v>101</v>
      </c>
      <c r="D2468" t="s">
        <v>3355</v>
      </c>
      <c r="E2468" s="9">
        <f t="shared" si="78"/>
        <v>836098.20836098201</v>
      </c>
      <c r="F2468" s="3">
        <v>21</v>
      </c>
      <c r="G2468" s="9">
        <v>1386000</v>
      </c>
      <c r="H2468" s="4" t="s">
        <v>16</v>
      </c>
      <c r="J2468" s="9">
        <f t="shared" si="79"/>
        <v>0</v>
      </c>
    </row>
    <row r="2469" spans="1:10">
      <c r="A2469" t="s">
        <v>3356</v>
      </c>
      <c r="B2469" t="s">
        <v>1160</v>
      </c>
      <c r="C2469" t="s">
        <v>101</v>
      </c>
      <c r="D2469" t="s">
        <v>3357</v>
      </c>
      <c r="E2469" s="9">
        <f t="shared" si="78"/>
        <v>836098.20836098201</v>
      </c>
      <c r="F2469" s="3">
        <v>21</v>
      </c>
      <c r="G2469" s="9">
        <v>1386000</v>
      </c>
      <c r="H2469" s="4" t="s">
        <v>16</v>
      </c>
      <c r="J2469" s="9">
        <f t="shared" si="79"/>
        <v>0</v>
      </c>
    </row>
    <row r="2470" spans="1:10">
      <c r="A2470" t="s">
        <v>1950</v>
      </c>
      <c r="B2470" t="s">
        <v>1160</v>
      </c>
      <c r="C2470" t="s">
        <v>101</v>
      </c>
      <c r="D2470" t="s">
        <v>1951</v>
      </c>
      <c r="E2470" s="9">
        <f t="shared" si="78"/>
        <v>869542.1366954213</v>
      </c>
      <c r="F2470" s="3">
        <v>21</v>
      </c>
      <c r="G2470" s="9">
        <v>1441440</v>
      </c>
      <c r="H2470" s="4" t="s">
        <v>16</v>
      </c>
      <c r="J2470" s="9">
        <f t="shared" si="79"/>
        <v>0</v>
      </c>
    </row>
    <row r="2471" spans="1:10">
      <c r="A2471" t="s">
        <v>2862</v>
      </c>
      <c r="B2471" t="s">
        <v>1160</v>
      </c>
      <c r="C2471" t="s">
        <v>101</v>
      </c>
      <c r="D2471" t="s">
        <v>2863</v>
      </c>
      <c r="E2471" s="9">
        <f t="shared" si="78"/>
        <v>869542.1366954213</v>
      </c>
      <c r="F2471" s="3">
        <v>21</v>
      </c>
      <c r="G2471" s="9">
        <v>1441440</v>
      </c>
      <c r="H2471" s="4" t="s">
        <v>16</v>
      </c>
      <c r="J2471" s="9">
        <f t="shared" si="79"/>
        <v>0</v>
      </c>
    </row>
    <row r="2472" spans="1:10">
      <c r="A2472" t="s">
        <v>2860</v>
      </c>
      <c r="B2472" t="s">
        <v>1160</v>
      </c>
      <c r="C2472" t="s">
        <v>101</v>
      </c>
      <c r="D2472" t="s">
        <v>2861</v>
      </c>
      <c r="E2472" s="9">
        <f t="shared" si="78"/>
        <v>869542.1366954213</v>
      </c>
      <c r="F2472" s="3">
        <v>21</v>
      </c>
      <c r="G2472" s="9">
        <v>1441440</v>
      </c>
      <c r="H2472" s="4" t="s">
        <v>16</v>
      </c>
      <c r="J2472" s="9">
        <f t="shared" si="79"/>
        <v>0</v>
      </c>
    </row>
    <row r="2473" spans="1:10">
      <c r="A2473" t="s">
        <v>2864</v>
      </c>
      <c r="B2473" t="s">
        <v>1160</v>
      </c>
      <c r="C2473" t="s">
        <v>101</v>
      </c>
      <c r="D2473" t="s">
        <v>2865</v>
      </c>
      <c r="E2473" s="9">
        <f t="shared" si="78"/>
        <v>869542.1366954213</v>
      </c>
      <c r="F2473" s="3">
        <v>21</v>
      </c>
      <c r="G2473" s="9">
        <v>1441440</v>
      </c>
      <c r="H2473" s="4" t="s">
        <v>16</v>
      </c>
      <c r="J2473" s="9">
        <f t="shared" si="79"/>
        <v>0</v>
      </c>
    </row>
    <row r="2474" spans="1:10">
      <c r="A2474" t="s">
        <v>2917</v>
      </c>
      <c r="B2474" t="s">
        <v>1160</v>
      </c>
      <c r="C2474" t="s">
        <v>101</v>
      </c>
      <c r="D2474" t="s">
        <v>2918</v>
      </c>
      <c r="E2474" s="9">
        <f t="shared" si="78"/>
        <v>168908.72896181457</v>
      </c>
      <c r="F2474" s="3">
        <v>21</v>
      </c>
      <c r="G2474" s="9">
        <v>280000</v>
      </c>
      <c r="H2474" s="4" t="s">
        <v>16</v>
      </c>
      <c r="J2474" s="9">
        <f t="shared" si="79"/>
        <v>0</v>
      </c>
    </row>
    <row r="2475" spans="1:10">
      <c r="A2475" t="s">
        <v>4563</v>
      </c>
      <c r="B2475" t="s">
        <v>1160</v>
      </c>
      <c r="C2475" t="s">
        <v>101</v>
      </c>
      <c r="D2475" t="s">
        <v>4564</v>
      </c>
      <c r="E2475" s="9">
        <f t="shared" si="78"/>
        <v>20269.047475417745</v>
      </c>
      <c r="F2475" s="3">
        <v>21</v>
      </c>
      <c r="G2475" s="9">
        <v>33600</v>
      </c>
      <c r="H2475" s="6" t="s">
        <v>45</v>
      </c>
      <c r="J2475" s="9">
        <f t="shared" si="79"/>
        <v>0</v>
      </c>
    </row>
    <row r="2476" spans="1:10">
      <c r="A2476" t="s">
        <v>1158</v>
      </c>
      <c r="B2476" t="s">
        <v>1160</v>
      </c>
      <c r="C2476" t="s">
        <v>101</v>
      </c>
      <c r="D2476" t="s">
        <v>1159</v>
      </c>
      <c r="E2476" s="9">
        <f t="shared" si="78"/>
        <v>749388.91234843456</v>
      </c>
      <c r="F2476" s="3">
        <v>21</v>
      </c>
      <c r="G2476" s="9">
        <v>1242262</v>
      </c>
      <c r="H2476" s="4" t="s">
        <v>16</v>
      </c>
      <c r="J2476" s="9">
        <f t="shared" si="79"/>
        <v>0</v>
      </c>
    </row>
    <row r="2477" spans="1:10">
      <c r="A2477" t="s">
        <v>1161</v>
      </c>
      <c r="B2477" t="s">
        <v>1160</v>
      </c>
      <c r="C2477" t="s">
        <v>101</v>
      </c>
      <c r="D2477" t="s">
        <v>1162</v>
      </c>
      <c r="E2477" s="9">
        <f t="shared" si="78"/>
        <v>749388.91234843456</v>
      </c>
      <c r="F2477" s="3">
        <v>21</v>
      </c>
      <c r="G2477" s="9">
        <v>1242262</v>
      </c>
      <c r="H2477" s="4" t="s">
        <v>16</v>
      </c>
      <c r="J2477" s="9">
        <f t="shared" si="79"/>
        <v>0</v>
      </c>
    </row>
    <row r="2478" spans="1:10">
      <c r="A2478" t="s">
        <v>4565</v>
      </c>
      <c r="B2478" t="s">
        <v>1160</v>
      </c>
      <c r="C2478" t="s">
        <v>101</v>
      </c>
      <c r="D2478" t="s">
        <v>4566</v>
      </c>
      <c r="E2478" s="9">
        <f t="shared" si="78"/>
        <v>3378.1745792362913</v>
      </c>
      <c r="F2478" s="3">
        <v>21</v>
      </c>
      <c r="G2478" s="9">
        <v>5600</v>
      </c>
      <c r="H2478" s="4" t="s">
        <v>16</v>
      </c>
      <c r="J2478" s="9">
        <f t="shared" si="79"/>
        <v>0</v>
      </c>
    </row>
    <row r="2479" spans="1:10">
      <c r="A2479" t="s">
        <v>2512</v>
      </c>
      <c r="B2479" t="s">
        <v>1160</v>
      </c>
      <c r="C2479" t="s">
        <v>101</v>
      </c>
      <c r="D2479" t="s">
        <v>2513</v>
      </c>
      <c r="E2479" s="9">
        <f t="shared" si="78"/>
        <v>886770.82704952639</v>
      </c>
      <c r="F2479" s="3">
        <v>21</v>
      </c>
      <c r="G2479" s="9">
        <v>1470000</v>
      </c>
      <c r="H2479" s="4" t="s">
        <v>16</v>
      </c>
      <c r="J2479" s="9">
        <f t="shared" si="79"/>
        <v>0</v>
      </c>
    </row>
    <row r="2480" spans="1:10">
      <c r="A2480" t="s">
        <v>4064</v>
      </c>
      <c r="B2480" t="s">
        <v>1160</v>
      </c>
      <c r="C2480" t="s">
        <v>101</v>
      </c>
      <c r="D2480" t="s">
        <v>4065</v>
      </c>
      <c r="E2480" s="9">
        <f t="shared" si="78"/>
        <v>422271.82240453636</v>
      </c>
      <c r="F2480" s="3">
        <v>21</v>
      </c>
      <c r="G2480" s="9">
        <v>700000</v>
      </c>
      <c r="H2480" s="4" t="s">
        <v>16</v>
      </c>
      <c r="J2480" s="9">
        <f t="shared" si="79"/>
        <v>0</v>
      </c>
    </row>
    <row r="2481" spans="1:10" hidden="1">
      <c r="A2481" t="s">
        <v>1952</v>
      </c>
      <c r="B2481" t="s">
        <v>1160</v>
      </c>
      <c r="C2481" t="s">
        <v>101</v>
      </c>
      <c r="D2481" t="s">
        <v>1953</v>
      </c>
      <c r="E2481" s="9">
        <f t="shared" si="78"/>
        <v>8.445436448090728</v>
      </c>
      <c r="F2481" s="3">
        <v>21</v>
      </c>
      <c r="G2481" s="9">
        <v>14</v>
      </c>
      <c r="H2481" s="5" t="s">
        <v>24</v>
      </c>
      <c r="J2481" s="9">
        <f t="shared" si="79"/>
        <v>0</v>
      </c>
    </row>
    <row r="2482" spans="1:10">
      <c r="A2482" t="s">
        <v>4014</v>
      </c>
      <c r="B2482" t="s">
        <v>1160</v>
      </c>
      <c r="C2482" t="s">
        <v>101</v>
      </c>
      <c r="D2482" t="s">
        <v>4015</v>
      </c>
      <c r="E2482" s="9">
        <f t="shared" si="78"/>
        <v>1182361.1027327019</v>
      </c>
      <c r="F2482" s="3">
        <v>21</v>
      </c>
      <c r="G2482" s="9">
        <v>1960000</v>
      </c>
      <c r="H2482" s="5" t="s">
        <v>5080</v>
      </c>
      <c r="J2482" s="9">
        <f t="shared" si="79"/>
        <v>0</v>
      </c>
    </row>
    <row r="2483" spans="1:10">
      <c r="A2483" t="s">
        <v>4603</v>
      </c>
      <c r="B2483" t="s">
        <v>1160</v>
      </c>
      <c r="C2483" t="s">
        <v>101</v>
      </c>
      <c r="D2483" t="s">
        <v>4604</v>
      </c>
      <c r="E2483" s="9">
        <f t="shared" si="78"/>
        <v>751643.8438800748</v>
      </c>
      <c r="F2483" s="3">
        <v>21</v>
      </c>
      <c r="G2483" s="9">
        <v>1246000</v>
      </c>
      <c r="H2483" s="4" t="s">
        <v>16</v>
      </c>
      <c r="J2483" s="9">
        <f t="shared" si="79"/>
        <v>0</v>
      </c>
    </row>
    <row r="2484" spans="1:10">
      <c r="A2484" t="s">
        <v>4615</v>
      </c>
      <c r="B2484" t="s">
        <v>1160</v>
      </c>
      <c r="C2484" t="s">
        <v>101</v>
      </c>
      <c r="D2484" t="s">
        <v>4616</v>
      </c>
      <c r="E2484" s="9">
        <f t="shared" si="78"/>
        <v>912107.13639379863</v>
      </c>
      <c r="F2484" s="3">
        <v>21</v>
      </c>
      <c r="G2484" s="9">
        <v>1512000</v>
      </c>
      <c r="H2484" s="4" t="s">
        <v>16</v>
      </c>
      <c r="J2484" s="9">
        <f t="shared" si="79"/>
        <v>0</v>
      </c>
    </row>
    <row r="2485" spans="1:10">
      <c r="A2485" t="s">
        <v>4611</v>
      </c>
      <c r="B2485" t="s">
        <v>1160</v>
      </c>
      <c r="C2485" t="s">
        <v>101</v>
      </c>
      <c r="D2485" t="s">
        <v>4612</v>
      </c>
      <c r="E2485" s="9">
        <f t="shared" si="78"/>
        <v>912107.13639379863</v>
      </c>
      <c r="F2485" s="3">
        <v>21</v>
      </c>
      <c r="G2485" s="9">
        <v>1512000</v>
      </c>
      <c r="H2485" s="4" t="s">
        <v>16</v>
      </c>
      <c r="J2485" s="9">
        <f t="shared" si="79"/>
        <v>0</v>
      </c>
    </row>
    <row r="2486" spans="1:10">
      <c r="A2486" t="s">
        <v>4621</v>
      </c>
      <c r="B2486" t="s">
        <v>1160</v>
      </c>
      <c r="C2486" t="s">
        <v>101</v>
      </c>
      <c r="D2486" t="s">
        <v>4622</v>
      </c>
      <c r="E2486" s="9">
        <f t="shared" si="78"/>
        <v>912107.13639379863</v>
      </c>
      <c r="F2486" s="3">
        <v>21</v>
      </c>
      <c r="G2486" s="9">
        <v>1512000</v>
      </c>
      <c r="H2486" s="4" t="s">
        <v>16</v>
      </c>
      <c r="J2486" s="9">
        <f t="shared" si="79"/>
        <v>0</v>
      </c>
    </row>
    <row r="2487" spans="1:10">
      <c r="A2487" t="s">
        <v>4599</v>
      </c>
      <c r="B2487" t="s">
        <v>1160</v>
      </c>
      <c r="C2487" t="s">
        <v>101</v>
      </c>
      <c r="D2487" t="s">
        <v>4600</v>
      </c>
      <c r="E2487" s="9">
        <f t="shared" si="78"/>
        <v>751643.8438800748</v>
      </c>
      <c r="F2487" s="3">
        <v>21</v>
      </c>
      <c r="G2487" s="9">
        <v>1246000</v>
      </c>
      <c r="H2487" s="4" t="s">
        <v>16</v>
      </c>
      <c r="J2487" s="9">
        <f t="shared" si="79"/>
        <v>0</v>
      </c>
    </row>
    <row r="2488" spans="1:10">
      <c r="A2488" t="s">
        <v>4617</v>
      </c>
      <c r="B2488" t="s">
        <v>1160</v>
      </c>
      <c r="C2488" t="s">
        <v>101</v>
      </c>
      <c r="D2488" t="s">
        <v>4618</v>
      </c>
      <c r="E2488" s="9">
        <f t="shared" si="78"/>
        <v>912107.13639379863</v>
      </c>
      <c r="F2488" s="3">
        <v>21</v>
      </c>
      <c r="G2488" s="9">
        <v>1512000</v>
      </c>
      <c r="H2488" s="4" t="s">
        <v>16</v>
      </c>
      <c r="J2488" s="9">
        <f t="shared" si="79"/>
        <v>0</v>
      </c>
    </row>
    <row r="2489" spans="1:10">
      <c r="A2489" t="s">
        <v>4613</v>
      </c>
      <c r="B2489" t="s">
        <v>1160</v>
      </c>
      <c r="C2489" t="s">
        <v>101</v>
      </c>
      <c r="D2489" t="s">
        <v>4614</v>
      </c>
      <c r="E2489" s="9">
        <f t="shared" si="78"/>
        <v>912107.13639379863</v>
      </c>
      <c r="F2489" s="3">
        <v>21</v>
      </c>
      <c r="G2489" s="9">
        <v>1512000</v>
      </c>
      <c r="H2489" s="4" t="s">
        <v>16</v>
      </c>
      <c r="J2489" s="9">
        <f t="shared" si="79"/>
        <v>0</v>
      </c>
    </row>
    <row r="2490" spans="1:10">
      <c r="A2490" t="s">
        <v>4619</v>
      </c>
      <c r="B2490" t="s">
        <v>1160</v>
      </c>
      <c r="C2490" t="s">
        <v>101</v>
      </c>
      <c r="D2490" t="s">
        <v>4620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4609</v>
      </c>
      <c r="B2491" t="s">
        <v>1160</v>
      </c>
      <c r="C2491" t="s">
        <v>101</v>
      </c>
      <c r="D2491" t="s">
        <v>4610</v>
      </c>
      <c r="E2491" s="9">
        <f t="shared" si="78"/>
        <v>751643.8438800748</v>
      </c>
      <c r="F2491" s="3">
        <v>21</v>
      </c>
      <c r="G2491" s="9">
        <v>1246000</v>
      </c>
      <c r="H2491" s="4" t="s">
        <v>16</v>
      </c>
      <c r="J2491" s="9">
        <f t="shared" si="79"/>
        <v>0</v>
      </c>
    </row>
    <row r="2492" spans="1:10">
      <c r="A2492" t="s">
        <v>4605</v>
      </c>
      <c r="B2492" t="s">
        <v>1160</v>
      </c>
      <c r="C2492" t="s">
        <v>101</v>
      </c>
      <c r="D2492" t="s">
        <v>4606</v>
      </c>
      <c r="E2492" s="9">
        <f t="shared" si="78"/>
        <v>751643.8438800748</v>
      </c>
      <c r="F2492" s="3">
        <v>21</v>
      </c>
      <c r="G2492" s="9">
        <v>1246000</v>
      </c>
      <c r="H2492" s="4" t="s">
        <v>16</v>
      </c>
      <c r="J2492" s="9">
        <f t="shared" si="79"/>
        <v>0</v>
      </c>
    </row>
    <row r="2493" spans="1:10">
      <c r="A2493" t="s">
        <v>4601</v>
      </c>
      <c r="B2493" t="s">
        <v>1160</v>
      </c>
      <c r="C2493" t="s">
        <v>101</v>
      </c>
      <c r="D2493" t="s">
        <v>4602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4607</v>
      </c>
      <c r="B2494" t="s">
        <v>1160</v>
      </c>
      <c r="C2494" t="s">
        <v>101</v>
      </c>
      <c r="D2494" t="s">
        <v>4608</v>
      </c>
      <c r="E2494" s="9">
        <f t="shared" si="78"/>
        <v>751643.8438800748</v>
      </c>
      <c r="F2494" s="3">
        <v>21</v>
      </c>
      <c r="G2494" s="9">
        <v>1246000</v>
      </c>
      <c r="H2494" s="4" t="s">
        <v>16</v>
      </c>
      <c r="J2494" s="9">
        <f t="shared" si="79"/>
        <v>0</v>
      </c>
    </row>
    <row r="2495" spans="1:10">
      <c r="A2495" t="s">
        <v>4626</v>
      </c>
      <c r="B2495" t="s">
        <v>1160</v>
      </c>
      <c r="C2495" t="s">
        <v>101</v>
      </c>
      <c r="D2495" t="s">
        <v>4624</v>
      </c>
      <c r="E2495" s="9">
        <f t="shared" si="78"/>
        <v>1097906.7382517946</v>
      </c>
      <c r="F2495" s="3">
        <v>21</v>
      </c>
      <c r="G2495" s="9">
        <v>1820000</v>
      </c>
      <c r="H2495" s="4" t="s">
        <v>16</v>
      </c>
      <c r="J2495" s="9">
        <f t="shared" si="79"/>
        <v>0</v>
      </c>
    </row>
    <row r="2496" spans="1:10">
      <c r="A2496" t="s">
        <v>4623</v>
      </c>
      <c r="B2496" t="s">
        <v>1160</v>
      </c>
      <c r="C2496" t="s">
        <v>101</v>
      </c>
      <c r="D2496" t="s">
        <v>4624</v>
      </c>
      <c r="E2496" s="9">
        <f t="shared" si="78"/>
        <v>1097906.7382517946</v>
      </c>
      <c r="F2496" s="3">
        <v>21</v>
      </c>
      <c r="G2496" s="9">
        <v>1820000</v>
      </c>
      <c r="H2496" s="4" t="s">
        <v>16</v>
      </c>
      <c r="J2496" s="9">
        <f t="shared" si="79"/>
        <v>0</v>
      </c>
    </row>
    <row r="2497" spans="1:10">
      <c r="A2497" t="s">
        <v>4630</v>
      </c>
      <c r="B2497" t="s">
        <v>1160</v>
      </c>
      <c r="C2497" t="s">
        <v>101</v>
      </c>
      <c r="D2497" t="s">
        <v>4624</v>
      </c>
      <c r="E2497" s="9">
        <f t="shared" si="78"/>
        <v>1097906.7382517946</v>
      </c>
      <c r="F2497" s="3">
        <v>21</v>
      </c>
      <c r="G2497" s="9">
        <v>1820000</v>
      </c>
      <c r="H2497" s="4" t="s">
        <v>16</v>
      </c>
      <c r="J2497" s="9">
        <f t="shared" si="79"/>
        <v>0</v>
      </c>
    </row>
    <row r="2498" spans="1:10">
      <c r="A2498" t="s">
        <v>4627</v>
      </c>
      <c r="B2498" t="s">
        <v>1160</v>
      </c>
      <c r="C2498" t="s">
        <v>101</v>
      </c>
      <c r="D2498" t="s">
        <v>4624</v>
      </c>
      <c r="E2498" s="9">
        <f t="shared" si="78"/>
        <v>1097906.7382517946</v>
      </c>
      <c r="F2498" s="3">
        <v>21</v>
      </c>
      <c r="G2498" s="9">
        <v>1820000</v>
      </c>
      <c r="H2498" s="4" t="s">
        <v>16</v>
      </c>
      <c r="J2498" s="9">
        <f t="shared" si="79"/>
        <v>0</v>
      </c>
    </row>
    <row r="2499" spans="1:10">
      <c r="A2499" t="s">
        <v>4625</v>
      </c>
      <c r="B2499" t="s">
        <v>1160</v>
      </c>
      <c r="C2499" t="s">
        <v>101</v>
      </c>
      <c r="D2499" t="s">
        <v>4624</v>
      </c>
      <c r="E2499" s="9">
        <f t="shared" si="78"/>
        <v>1097906.7382517946</v>
      </c>
      <c r="F2499" s="3">
        <v>21</v>
      </c>
      <c r="G2499" s="9">
        <v>1820000</v>
      </c>
      <c r="H2499" s="4" t="s">
        <v>16</v>
      </c>
      <c r="J2499" s="9">
        <f t="shared" si="79"/>
        <v>0</v>
      </c>
    </row>
    <row r="2500" spans="1:10">
      <c r="A2500" t="s">
        <v>4628</v>
      </c>
      <c r="B2500" t="s">
        <v>1160</v>
      </c>
      <c r="C2500" t="s">
        <v>101</v>
      </c>
      <c r="D2500" t="s">
        <v>4629</v>
      </c>
      <c r="E2500" s="9">
        <f t="shared" si="78"/>
        <v>1097906.7382517946</v>
      </c>
      <c r="F2500" s="3">
        <v>21</v>
      </c>
      <c r="G2500" s="9">
        <v>1820000</v>
      </c>
      <c r="H2500" s="4" t="s">
        <v>16</v>
      </c>
      <c r="J2500" s="9">
        <f t="shared" si="79"/>
        <v>0</v>
      </c>
    </row>
    <row r="2501" spans="1:10">
      <c r="A2501" t="s">
        <v>3864</v>
      </c>
      <c r="B2501" t="s">
        <v>1160</v>
      </c>
      <c r="C2501" t="s">
        <v>101</v>
      </c>
      <c r="D2501" t="s">
        <v>3865</v>
      </c>
      <c r="E2501" s="9">
        <f t="shared" si="78"/>
        <v>82765.277191289133</v>
      </c>
      <c r="F2501" s="3">
        <v>21</v>
      </c>
      <c r="G2501" s="9">
        <v>137200</v>
      </c>
      <c r="H2501" s="4" t="s">
        <v>16</v>
      </c>
      <c r="J2501" s="9">
        <f t="shared" si="79"/>
        <v>0</v>
      </c>
    </row>
    <row r="2502" spans="1:10">
      <c r="A2502" t="s">
        <v>4016</v>
      </c>
      <c r="B2502" t="s">
        <v>1160</v>
      </c>
      <c r="C2502" t="s">
        <v>101</v>
      </c>
      <c r="D2502" t="s">
        <v>4017</v>
      </c>
      <c r="E2502" s="9">
        <f t="shared" si="78"/>
        <v>101345.23737708872</v>
      </c>
      <c r="F2502" s="3">
        <v>21</v>
      </c>
      <c r="G2502" s="9">
        <v>168000</v>
      </c>
      <c r="H2502" s="4" t="s">
        <v>16</v>
      </c>
      <c r="J2502" s="9">
        <f t="shared" si="79"/>
        <v>0</v>
      </c>
    </row>
    <row r="2503" spans="1:10">
      <c r="A2503" t="s">
        <v>3161</v>
      </c>
      <c r="B2503" t="s">
        <v>1160</v>
      </c>
      <c r="C2503" t="s">
        <v>101</v>
      </c>
      <c r="D2503" t="s">
        <v>3162</v>
      </c>
      <c r="E2503" s="9">
        <f t="shared" si="78"/>
        <v>3378.1745792362913</v>
      </c>
      <c r="F2503" s="3">
        <v>21</v>
      </c>
      <c r="G2503" s="9">
        <v>5600</v>
      </c>
      <c r="H2503" s="6" t="s">
        <v>45</v>
      </c>
      <c r="J2503" s="9">
        <f t="shared" si="79"/>
        <v>0</v>
      </c>
    </row>
    <row r="2504" spans="1:10">
      <c r="A2504" t="s">
        <v>3616</v>
      </c>
      <c r="B2504" t="s">
        <v>1160</v>
      </c>
      <c r="C2504" t="s">
        <v>101</v>
      </c>
      <c r="D2504" t="s">
        <v>3617</v>
      </c>
      <c r="E2504" s="9">
        <f t="shared" si="78"/>
        <v>5067.2618688544362</v>
      </c>
      <c r="F2504" s="3">
        <v>21</v>
      </c>
      <c r="G2504" s="9">
        <v>8400</v>
      </c>
      <c r="H2504" s="4" t="s">
        <v>16</v>
      </c>
      <c r="J2504" s="9">
        <f t="shared" si="79"/>
        <v>0</v>
      </c>
    </row>
    <row r="2505" spans="1:10">
      <c r="A2505" t="s">
        <v>1850</v>
      </c>
      <c r="B2505" t="s">
        <v>1160</v>
      </c>
      <c r="C2505" t="s">
        <v>101</v>
      </c>
      <c r="D2505" t="s">
        <v>1851</v>
      </c>
      <c r="E2505" s="9">
        <f t="shared" ref="E2505:E2568" si="80">SUM(G2505/(1+(F2505/100)) /(1+(37/100)))</f>
        <v>6756.3491584725825</v>
      </c>
      <c r="F2505" s="3">
        <v>21</v>
      </c>
      <c r="G2505" s="9">
        <v>11200</v>
      </c>
      <c r="H2505" s="4" t="s">
        <v>16</v>
      </c>
      <c r="J2505" s="9">
        <f t="shared" ref="J2505:J2568" si="81">SUM(E2505* I2505)</f>
        <v>0</v>
      </c>
    </row>
    <row r="2506" spans="1:10">
      <c r="A2506" t="s">
        <v>3169</v>
      </c>
      <c r="B2506" t="s">
        <v>1160</v>
      </c>
      <c r="C2506" t="s">
        <v>101</v>
      </c>
      <c r="D2506" t="s">
        <v>3170</v>
      </c>
      <c r="E2506" s="9">
        <f t="shared" si="80"/>
        <v>8445.4364480907279</v>
      </c>
      <c r="F2506" s="3">
        <v>21</v>
      </c>
      <c r="G2506" s="9">
        <v>14000</v>
      </c>
      <c r="H2506" s="4" t="s">
        <v>16</v>
      </c>
      <c r="J2506" s="9">
        <f t="shared" si="81"/>
        <v>0</v>
      </c>
    </row>
    <row r="2507" spans="1:10">
      <c r="A2507" t="s">
        <v>4018</v>
      </c>
      <c r="B2507" t="s">
        <v>1160</v>
      </c>
      <c r="C2507" t="s">
        <v>101</v>
      </c>
      <c r="D2507" t="s">
        <v>3617</v>
      </c>
      <c r="E2507" s="9">
        <f t="shared" si="80"/>
        <v>9289.9800928998011</v>
      </c>
      <c r="F2507" s="3">
        <v>21</v>
      </c>
      <c r="G2507" s="9">
        <v>15400</v>
      </c>
      <c r="H2507" s="4" t="s">
        <v>16</v>
      </c>
      <c r="J2507" s="9">
        <f t="shared" si="81"/>
        <v>0</v>
      </c>
    </row>
    <row r="2508" spans="1:10">
      <c r="A2508" t="s">
        <v>3982</v>
      </c>
      <c r="B2508" t="s">
        <v>1160</v>
      </c>
      <c r="C2508" t="s">
        <v>101</v>
      </c>
      <c r="D2508" t="s">
        <v>3983</v>
      </c>
      <c r="E2508" s="9">
        <f t="shared" si="80"/>
        <v>16890.872896181456</v>
      </c>
      <c r="F2508" s="3">
        <v>21</v>
      </c>
      <c r="G2508" s="9">
        <v>28000</v>
      </c>
      <c r="H2508" s="6" t="s">
        <v>45</v>
      </c>
      <c r="J2508" s="9">
        <f t="shared" si="81"/>
        <v>0</v>
      </c>
    </row>
    <row r="2509" spans="1:10">
      <c r="A2509" t="s">
        <v>3972</v>
      </c>
      <c r="B2509" t="s">
        <v>1160</v>
      </c>
      <c r="C2509" t="s">
        <v>101</v>
      </c>
      <c r="D2509" t="s">
        <v>3973</v>
      </c>
      <c r="E2509" s="9">
        <f t="shared" si="80"/>
        <v>726307.53453580255</v>
      </c>
      <c r="F2509" s="3">
        <v>21</v>
      </c>
      <c r="G2509" s="9">
        <v>1204000</v>
      </c>
      <c r="H2509" s="4" t="s">
        <v>16</v>
      </c>
      <c r="J2509" s="9">
        <f t="shared" si="81"/>
        <v>0</v>
      </c>
    </row>
    <row r="2510" spans="1:10">
      <c r="A2510" t="s">
        <v>1846</v>
      </c>
      <c r="B2510" t="s">
        <v>1160</v>
      </c>
      <c r="C2510" t="s">
        <v>101</v>
      </c>
      <c r="D2510" t="s">
        <v>1847</v>
      </c>
      <c r="E2510" s="9">
        <f t="shared" si="80"/>
        <v>28984.73788984738</v>
      </c>
      <c r="F2510" s="3">
        <v>21</v>
      </c>
      <c r="G2510" s="9">
        <v>48048</v>
      </c>
      <c r="H2510" s="4" t="s">
        <v>16</v>
      </c>
      <c r="J2510" s="9">
        <f t="shared" si="81"/>
        <v>0</v>
      </c>
    </row>
    <row r="2511" spans="1:10">
      <c r="A2511" t="s">
        <v>3924</v>
      </c>
      <c r="B2511" t="s">
        <v>1160</v>
      </c>
      <c r="C2511" t="s">
        <v>101</v>
      </c>
      <c r="D2511" t="s">
        <v>3925</v>
      </c>
      <c r="E2511" s="9">
        <f t="shared" si="80"/>
        <v>16890.872896181456</v>
      </c>
      <c r="F2511" s="3">
        <v>21</v>
      </c>
      <c r="G2511" s="9">
        <v>28000</v>
      </c>
      <c r="H2511" s="4" t="s">
        <v>16</v>
      </c>
      <c r="J2511" s="9">
        <f t="shared" si="81"/>
        <v>0</v>
      </c>
    </row>
    <row r="2512" spans="1:10">
      <c r="A2512" t="s">
        <v>4567</v>
      </c>
      <c r="B2512" t="s">
        <v>1160</v>
      </c>
      <c r="C2512" t="s">
        <v>101</v>
      </c>
      <c r="D2512" t="s">
        <v>4568</v>
      </c>
      <c r="E2512" s="9">
        <f t="shared" si="80"/>
        <v>5067.2618688544362</v>
      </c>
      <c r="F2512" s="3">
        <v>21</v>
      </c>
      <c r="G2512" s="9">
        <v>8400</v>
      </c>
      <c r="H2512" s="4" t="s">
        <v>16</v>
      </c>
      <c r="J2512" s="9">
        <f t="shared" si="81"/>
        <v>0</v>
      </c>
    </row>
    <row r="2513" spans="1:10">
      <c r="A2513" t="s">
        <v>4569</v>
      </c>
      <c r="B2513" t="s">
        <v>1160</v>
      </c>
      <c r="C2513" t="s">
        <v>101</v>
      </c>
      <c r="D2513" t="s">
        <v>4570</v>
      </c>
      <c r="E2513" s="9">
        <f t="shared" si="80"/>
        <v>5067.2618688544362</v>
      </c>
      <c r="F2513" s="3">
        <v>21</v>
      </c>
      <c r="G2513" s="9">
        <v>8400</v>
      </c>
      <c r="H2513" s="6" t="s">
        <v>45</v>
      </c>
      <c r="J2513" s="9">
        <f t="shared" si="81"/>
        <v>0</v>
      </c>
    </row>
    <row r="2514" spans="1:10">
      <c r="A2514" t="s">
        <v>4571</v>
      </c>
      <c r="B2514" t="s">
        <v>1160</v>
      </c>
      <c r="C2514" t="s">
        <v>101</v>
      </c>
      <c r="D2514" t="s">
        <v>4572</v>
      </c>
      <c r="E2514" s="9">
        <f t="shared" si="80"/>
        <v>5067.2618688544362</v>
      </c>
      <c r="F2514" s="3">
        <v>21</v>
      </c>
      <c r="G2514" s="9">
        <v>8400</v>
      </c>
      <c r="H2514" s="6" t="s">
        <v>45</v>
      </c>
      <c r="J2514" s="9">
        <f t="shared" si="81"/>
        <v>0</v>
      </c>
    </row>
    <row r="2515" spans="1:10">
      <c r="A2515" t="s">
        <v>3974</v>
      </c>
      <c r="B2515" t="s">
        <v>1160</v>
      </c>
      <c r="C2515" t="s">
        <v>101</v>
      </c>
      <c r="D2515" t="s">
        <v>3975</v>
      </c>
      <c r="E2515" s="9">
        <f t="shared" si="80"/>
        <v>219581.34765035889</v>
      </c>
      <c r="F2515" s="3">
        <v>21</v>
      </c>
      <c r="G2515" s="9">
        <v>364000</v>
      </c>
      <c r="H2515" s="4" t="s">
        <v>16</v>
      </c>
      <c r="J2515" s="9">
        <f t="shared" si="81"/>
        <v>0</v>
      </c>
    </row>
    <row r="2516" spans="1:10">
      <c r="A2516" t="s">
        <v>1163</v>
      </c>
      <c r="B2516" t="s">
        <v>1160</v>
      </c>
      <c r="C2516" t="s">
        <v>101</v>
      </c>
      <c r="D2516" t="s">
        <v>1164</v>
      </c>
      <c r="E2516" s="9">
        <f t="shared" si="80"/>
        <v>120223.271790468</v>
      </c>
      <c r="F2516" s="3">
        <v>10.5</v>
      </c>
      <c r="G2516" s="9">
        <v>182000</v>
      </c>
      <c r="H2516" s="4" t="s">
        <v>16</v>
      </c>
      <c r="J2516" s="9">
        <f t="shared" si="81"/>
        <v>0</v>
      </c>
    </row>
    <row r="2517" spans="1:10">
      <c r="A2517" t="s">
        <v>2449</v>
      </c>
      <c r="B2517" t="s">
        <v>1160</v>
      </c>
      <c r="C2517" t="s">
        <v>101</v>
      </c>
      <c r="D2517" t="s">
        <v>2450</v>
      </c>
      <c r="E2517" s="9">
        <f t="shared" si="80"/>
        <v>147967.10374211447</v>
      </c>
      <c r="F2517" s="3">
        <v>10.5</v>
      </c>
      <c r="G2517" s="9">
        <v>224000</v>
      </c>
      <c r="H2517" s="4" t="s">
        <v>16</v>
      </c>
      <c r="J2517" s="9">
        <f t="shared" si="81"/>
        <v>0</v>
      </c>
    </row>
    <row r="2518" spans="1:10">
      <c r="A2518" t="s">
        <v>2441</v>
      </c>
      <c r="B2518" t="s">
        <v>1160</v>
      </c>
      <c r="C2518" t="s">
        <v>101</v>
      </c>
      <c r="D2518" t="s">
        <v>2442</v>
      </c>
      <c r="E2518" s="9">
        <f t="shared" si="80"/>
        <v>1072570.4289075225</v>
      </c>
      <c r="F2518" s="3">
        <v>21</v>
      </c>
      <c r="G2518" s="9">
        <v>1778000</v>
      </c>
      <c r="H2518" s="4" t="s">
        <v>16</v>
      </c>
      <c r="J2518" s="9">
        <f t="shared" si="81"/>
        <v>0</v>
      </c>
    </row>
    <row r="2519" spans="1:10">
      <c r="A2519" t="s">
        <v>2754</v>
      </c>
      <c r="B2519" t="s">
        <v>1160</v>
      </c>
      <c r="C2519" t="s">
        <v>101</v>
      </c>
      <c r="D2519" t="s">
        <v>2755</v>
      </c>
      <c r="E2519" s="9">
        <f t="shared" si="80"/>
        <v>1072570.4289075225</v>
      </c>
      <c r="F2519" s="3">
        <v>21</v>
      </c>
      <c r="G2519" s="9">
        <v>1778000</v>
      </c>
      <c r="H2519" s="4" t="s">
        <v>16</v>
      </c>
      <c r="J2519" s="9">
        <f t="shared" si="81"/>
        <v>0</v>
      </c>
    </row>
    <row r="2520" spans="1:10">
      <c r="A2520" t="s">
        <v>2752</v>
      </c>
      <c r="B2520" t="s">
        <v>1160</v>
      </c>
      <c r="C2520" t="s">
        <v>101</v>
      </c>
      <c r="D2520" t="s">
        <v>2753</v>
      </c>
      <c r="E2520" s="9">
        <f t="shared" si="80"/>
        <v>1072570.4289075225</v>
      </c>
      <c r="F2520" s="3">
        <v>21</v>
      </c>
      <c r="G2520" s="9">
        <v>1778000</v>
      </c>
      <c r="H2520" s="4" t="s">
        <v>16</v>
      </c>
      <c r="J2520" s="9">
        <f t="shared" si="81"/>
        <v>0</v>
      </c>
    </row>
    <row r="2521" spans="1:10">
      <c r="A2521" t="s">
        <v>2613</v>
      </c>
      <c r="B2521" t="s">
        <v>1160</v>
      </c>
      <c r="C2521" t="s">
        <v>101</v>
      </c>
      <c r="D2521" t="s">
        <v>2614</v>
      </c>
      <c r="E2521" s="9">
        <f t="shared" si="80"/>
        <v>1072570.4289075225</v>
      </c>
      <c r="F2521" s="3">
        <v>21</v>
      </c>
      <c r="G2521" s="9">
        <v>1778000</v>
      </c>
      <c r="H2521" s="6" t="s">
        <v>45</v>
      </c>
      <c r="J2521" s="9">
        <f t="shared" si="81"/>
        <v>0</v>
      </c>
    </row>
    <row r="2522" spans="1:10">
      <c r="A2522" t="s">
        <v>2443</v>
      </c>
      <c r="B2522" t="s">
        <v>1160</v>
      </c>
      <c r="C2522" t="s">
        <v>101</v>
      </c>
      <c r="D2522" t="s">
        <v>2444</v>
      </c>
      <c r="E2522" s="9">
        <f t="shared" si="80"/>
        <v>1072570.4289075225</v>
      </c>
      <c r="F2522" s="3">
        <v>21</v>
      </c>
      <c r="G2522" s="9">
        <v>1778000</v>
      </c>
      <c r="H2522" s="4" t="s">
        <v>16</v>
      </c>
      <c r="J2522" s="9">
        <f t="shared" si="81"/>
        <v>0</v>
      </c>
    </row>
    <row r="2523" spans="1:10">
      <c r="A2523" t="s">
        <v>2494</v>
      </c>
      <c r="B2523" t="s">
        <v>1160</v>
      </c>
      <c r="C2523" t="s">
        <v>101</v>
      </c>
      <c r="D2523" t="s">
        <v>2495</v>
      </c>
      <c r="E2523" s="9">
        <f t="shared" si="80"/>
        <v>1511733.1242082403</v>
      </c>
      <c r="F2523" s="3">
        <v>21</v>
      </c>
      <c r="G2523" s="9">
        <v>2506000</v>
      </c>
      <c r="H2523" s="4" t="s">
        <v>16</v>
      </c>
      <c r="J2523" s="9">
        <f t="shared" si="81"/>
        <v>0</v>
      </c>
    </row>
    <row r="2524" spans="1:10">
      <c r="A2524" t="s">
        <v>2496</v>
      </c>
      <c r="B2524" t="s">
        <v>1160</v>
      </c>
      <c r="C2524" t="s">
        <v>101</v>
      </c>
      <c r="D2524" t="s">
        <v>2497</v>
      </c>
      <c r="E2524" s="9">
        <f t="shared" si="80"/>
        <v>1511733.1242082403</v>
      </c>
      <c r="F2524" s="3">
        <v>21</v>
      </c>
      <c r="G2524" s="9">
        <v>2506000</v>
      </c>
      <c r="H2524" s="4" t="s">
        <v>16</v>
      </c>
      <c r="J2524" s="9">
        <f t="shared" si="81"/>
        <v>0</v>
      </c>
    </row>
    <row r="2525" spans="1:10">
      <c r="A2525" t="s">
        <v>2923</v>
      </c>
      <c r="B2525" t="s">
        <v>1160</v>
      </c>
      <c r="C2525" t="s">
        <v>101</v>
      </c>
      <c r="D2525" t="s">
        <v>2924</v>
      </c>
      <c r="E2525" s="9">
        <f t="shared" si="80"/>
        <v>928998.00928998005</v>
      </c>
      <c r="F2525" s="3">
        <v>21</v>
      </c>
      <c r="G2525" s="9">
        <v>1540000</v>
      </c>
      <c r="H2525" s="4" t="s">
        <v>16</v>
      </c>
      <c r="J2525" s="9">
        <f t="shared" si="81"/>
        <v>0</v>
      </c>
    </row>
    <row r="2526" spans="1:10">
      <c r="A2526" t="s">
        <v>2433</v>
      </c>
      <c r="B2526" t="s">
        <v>1160</v>
      </c>
      <c r="C2526" t="s">
        <v>101</v>
      </c>
      <c r="D2526" t="s">
        <v>2434</v>
      </c>
      <c r="E2526" s="9">
        <f t="shared" si="80"/>
        <v>1427278.759727333</v>
      </c>
      <c r="F2526" s="3">
        <v>21</v>
      </c>
      <c r="G2526" s="9">
        <v>2366000</v>
      </c>
      <c r="H2526" s="4" t="s">
        <v>16</v>
      </c>
      <c r="J2526" s="9">
        <f t="shared" si="81"/>
        <v>0</v>
      </c>
    </row>
    <row r="2527" spans="1:10">
      <c r="A2527" t="s">
        <v>2435</v>
      </c>
      <c r="B2527" t="s">
        <v>1160</v>
      </c>
      <c r="C2527" t="s">
        <v>101</v>
      </c>
      <c r="D2527" t="s">
        <v>2436</v>
      </c>
      <c r="E2527" s="9">
        <f t="shared" si="80"/>
        <v>1427278.759727333</v>
      </c>
      <c r="F2527" s="3">
        <v>21</v>
      </c>
      <c r="G2527" s="9">
        <v>2366000</v>
      </c>
      <c r="H2527" s="4" t="s">
        <v>16</v>
      </c>
      <c r="J2527" s="9">
        <f t="shared" si="81"/>
        <v>0</v>
      </c>
    </row>
    <row r="2528" spans="1:10">
      <c r="A2528" t="s">
        <v>2437</v>
      </c>
      <c r="B2528" t="s">
        <v>1160</v>
      </c>
      <c r="C2528" t="s">
        <v>101</v>
      </c>
      <c r="D2528" t="s">
        <v>2438</v>
      </c>
      <c r="E2528" s="9">
        <f t="shared" si="80"/>
        <v>1596187.4886891474</v>
      </c>
      <c r="F2528" s="3">
        <v>21</v>
      </c>
      <c r="G2528" s="9">
        <v>2646000</v>
      </c>
      <c r="H2528" s="4" t="s">
        <v>16</v>
      </c>
      <c r="J2528" s="9">
        <f t="shared" si="81"/>
        <v>0</v>
      </c>
    </row>
    <row r="2529" spans="1:10">
      <c r="A2529" t="s">
        <v>2439</v>
      </c>
      <c r="B2529" t="s">
        <v>1160</v>
      </c>
      <c r="C2529" t="s">
        <v>101</v>
      </c>
      <c r="D2529" t="s">
        <v>2440</v>
      </c>
      <c r="E2529" s="9">
        <f t="shared" si="80"/>
        <v>1596187.4886891474</v>
      </c>
      <c r="F2529" s="3">
        <v>21</v>
      </c>
      <c r="G2529" s="9">
        <v>2646000</v>
      </c>
      <c r="H2529" s="4" t="s">
        <v>16</v>
      </c>
      <c r="J2529" s="9">
        <f t="shared" si="81"/>
        <v>0</v>
      </c>
    </row>
    <row r="2530" spans="1:10" hidden="1">
      <c r="A2530" t="s">
        <v>4349</v>
      </c>
      <c r="B2530" t="s">
        <v>1160</v>
      </c>
      <c r="C2530" t="s">
        <v>101</v>
      </c>
      <c r="E2530" s="9">
        <f t="shared" si="80"/>
        <v>8.445436448090728</v>
      </c>
      <c r="F2530" s="3">
        <v>21</v>
      </c>
      <c r="G2530" s="9">
        <v>14</v>
      </c>
      <c r="H2530" s="4" t="s">
        <v>16</v>
      </c>
      <c r="J2530" s="9">
        <f t="shared" si="81"/>
        <v>0</v>
      </c>
    </row>
    <row r="2531" spans="1:10" hidden="1">
      <c r="A2531" t="s">
        <v>4191</v>
      </c>
      <c r="B2531" t="s">
        <v>1160</v>
      </c>
      <c r="C2531" t="s">
        <v>101</v>
      </c>
      <c r="E2531" s="9">
        <f t="shared" si="80"/>
        <v>8.445436448090728</v>
      </c>
      <c r="F2531" s="3">
        <v>21</v>
      </c>
      <c r="G2531" s="9">
        <v>14</v>
      </c>
      <c r="H2531" s="4" t="s">
        <v>16</v>
      </c>
      <c r="J2531" s="9">
        <f t="shared" si="81"/>
        <v>0</v>
      </c>
    </row>
    <row r="2532" spans="1:10">
      <c r="A2532" t="s">
        <v>1175</v>
      </c>
      <c r="B2532" t="s">
        <v>1160</v>
      </c>
      <c r="C2532" t="s">
        <v>101</v>
      </c>
      <c r="D2532" t="s">
        <v>1176</v>
      </c>
      <c r="E2532" s="9">
        <f t="shared" si="80"/>
        <v>1393497.0139349701</v>
      </c>
      <c r="F2532" s="3">
        <v>21</v>
      </c>
      <c r="G2532" s="9">
        <v>2310000</v>
      </c>
      <c r="H2532" s="5" t="s">
        <v>5080</v>
      </c>
      <c r="J2532" s="9">
        <f t="shared" si="81"/>
        <v>0</v>
      </c>
    </row>
    <row r="2533" spans="1:10">
      <c r="A2533" t="s">
        <v>1740</v>
      </c>
      <c r="B2533" t="s">
        <v>1160</v>
      </c>
      <c r="C2533" t="s">
        <v>101</v>
      </c>
      <c r="D2533" t="s">
        <v>1741</v>
      </c>
      <c r="E2533" s="9">
        <f t="shared" si="80"/>
        <v>1393497.0139349701</v>
      </c>
      <c r="F2533" s="3">
        <v>21</v>
      </c>
      <c r="G2533" s="9">
        <v>2310000</v>
      </c>
      <c r="H2533" s="4" t="s">
        <v>16</v>
      </c>
      <c r="J2533" s="9">
        <f t="shared" si="81"/>
        <v>0</v>
      </c>
    </row>
    <row r="2534" spans="1:10">
      <c r="A2534" t="s">
        <v>1400</v>
      </c>
      <c r="B2534" t="s">
        <v>1160</v>
      </c>
      <c r="C2534" t="s">
        <v>101</v>
      </c>
      <c r="D2534" t="s">
        <v>1401</v>
      </c>
      <c r="E2534" s="9">
        <f t="shared" si="80"/>
        <v>1562405.7428967846</v>
      </c>
      <c r="F2534" s="3">
        <v>21</v>
      </c>
      <c r="G2534" s="9">
        <v>2590000</v>
      </c>
      <c r="H2534" s="4" t="s">
        <v>16</v>
      </c>
      <c r="J2534" s="9">
        <f t="shared" si="81"/>
        <v>0</v>
      </c>
    </row>
    <row r="2535" spans="1:10">
      <c r="A2535" t="s">
        <v>2036</v>
      </c>
      <c r="B2535" t="s">
        <v>1160</v>
      </c>
      <c r="C2535" t="s">
        <v>101</v>
      </c>
      <c r="D2535" t="s">
        <v>2037</v>
      </c>
      <c r="E2535" s="9">
        <f t="shared" si="80"/>
        <v>1562405.7428967846</v>
      </c>
      <c r="F2535" s="3">
        <v>21</v>
      </c>
      <c r="G2535" s="9">
        <v>2590000</v>
      </c>
      <c r="H2535" s="4" t="s">
        <v>16</v>
      </c>
      <c r="J2535" s="9">
        <f t="shared" si="81"/>
        <v>0</v>
      </c>
    </row>
    <row r="2536" spans="1:10" hidden="1">
      <c r="A2536" t="s">
        <v>1406</v>
      </c>
      <c r="B2536" t="s">
        <v>1160</v>
      </c>
      <c r="C2536" t="s">
        <v>101</v>
      </c>
      <c r="D2536" t="s">
        <v>1407</v>
      </c>
      <c r="E2536" s="9">
        <f t="shared" si="80"/>
        <v>8.445436448090728</v>
      </c>
      <c r="F2536" s="3">
        <v>21</v>
      </c>
      <c r="G2536" s="9">
        <v>14</v>
      </c>
      <c r="H2536" s="5" t="s">
        <v>24</v>
      </c>
      <c r="J2536" s="9">
        <f t="shared" si="81"/>
        <v>0</v>
      </c>
    </row>
    <row r="2537" spans="1:10" hidden="1">
      <c r="A2537" t="s">
        <v>1408</v>
      </c>
      <c r="B2537" t="s">
        <v>1160</v>
      </c>
      <c r="C2537" t="s">
        <v>101</v>
      </c>
      <c r="D2537" t="s">
        <v>1409</v>
      </c>
      <c r="E2537" s="9">
        <f t="shared" si="80"/>
        <v>8.445436448090728</v>
      </c>
      <c r="F2537" s="3">
        <v>21</v>
      </c>
      <c r="G2537" s="9">
        <v>14</v>
      </c>
      <c r="H2537" s="5" t="s">
        <v>24</v>
      </c>
      <c r="J2537" s="9">
        <f t="shared" si="81"/>
        <v>0</v>
      </c>
    </row>
    <row r="2538" spans="1:10">
      <c r="A2538" t="s">
        <v>1169</v>
      </c>
      <c r="B2538" t="s">
        <v>1160</v>
      </c>
      <c r="C2538" t="s">
        <v>101</v>
      </c>
      <c r="D2538" t="s">
        <v>1170</v>
      </c>
      <c r="E2538" s="9">
        <f t="shared" si="80"/>
        <v>1563419.1952705556</v>
      </c>
      <c r="F2538" s="3">
        <v>21</v>
      </c>
      <c r="G2538" s="9">
        <v>2591680</v>
      </c>
      <c r="H2538" s="4" t="s">
        <v>16</v>
      </c>
      <c r="J2538" s="9">
        <f t="shared" si="81"/>
        <v>0</v>
      </c>
    </row>
    <row r="2539" spans="1:10">
      <c r="A2539" t="s">
        <v>1171</v>
      </c>
      <c r="B2539" t="s">
        <v>1160</v>
      </c>
      <c r="C2539" t="s">
        <v>101</v>
      </c>
      <c r="D2539" t="s">
        <v>1172</v>
      </c>
      <c r="E2539" s="9">
        <f t="shared" si="80"/>
        <v>1563419.1952705556</v>
      </c>
      <c r="F2539" s="3">
        <v>21</v>
      </c>
      <c r="G2539" s="9">
        <v>2591680</v>
      </c>
      <c r="H2539" s="5" t="s">
        <v>5080</v>
      </c>
      <c r="J2539" s="9">
        <f t="shared" si="81"/>
        <v>0</v>
      </c>
    </row>
    <row r="2540" spans="1:10">
      <c r="A2540" t="s">
        <v>1402</v>
      </c>
      <c r="B2540" t="s">
        <v>1160</v>
      </c>
      <c r="C2540" t="s">
        <v>101</v>
      </c>
      <c r="D2540" t="s">
        <v>1403</v>
      </c>
      <c r="E2540" s="9">
        <f t="shared" si="80"/>
        <v>1800567.0507329432</v>
      </c>
      <c r="F2540" s="3">
        <v>21</v>
      </c>
      <c r="G2540" s="9">
        <v>2984800</v>
      </c>
      <c r="H2540" s="4" t="s">
        <v>16</v>
      </c>
      <c r="J2540" s="9">
        <f t="shared" si="81"/>
        <v>0</v>
      </c>
    </row>
    <row r="2541" spans="1:10">
      <c r="A2541" t="s">
        <v>1173</v>
      </c>
      <c r="B2541" t="s">
        <v>1160</v>
      </c>
      <c r="C2541" t="s">
        <v>101</v>
      </c>
      <c r="D2541" t="s">
        <v>1174</v>
      </c>
      <c r="E2541" s="9">
        <f t="shared" si="80"/>
        <v>1800567.0507329432</v>
      </c>
      <c r="F2541" s="3">
        <v>21</v>
      </c>
      <c r="G2541" s="9">
        <v>2984800</v>
      </c>
      <c r="H2541" s="4" t="s">
        <v>16</v>
      </c>
      <c r="J2541" s="9">
        <f t="shared" si="81"/>
        <v>0</v>
      </c>
    </row>
    <row r="2542" spans="1:10" hidden="1">
      <c r="A2542" t="s">
        <v>1404</v>
      </c>
      <c r="B2542" t="s">
        <v>1160</v>
      </c>
      <c r="C2542" t="s">
        <v>101</v>
      </c>
      <c r="D2542" t="s">
        <v>1405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1410</v>
      </c>
      <c r="B2543" t="s">
        <v>1160</v>
      </c>
      <c r="C2543" t="s">
        <v>101</v>
      </c>
      <c r="D2543" t="s">
        <v>1411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 hidden="1">
      <c r="A2544" t="s">
        <v>1412</v>
      </c>
      <c r="B2544" t="s">
        <v>1160</v>
      </c>
      <c r="C2544" t="s">
        <v>101</v>
      </c>
      <c r="D2544" t="s">
        <v>1413</v>
      </c>
      <c r="E2544" s="9">
        <f t="shared" si="80"/>
        <v>8.445436448090728</v>
      </c>
      <c r="F2544" s="3">
        <v>21</v>
      </c>
      <c r="G2544" s="9">
        <v>14</v>
      </c>
      <c r="H2544" s="5" t="s">
        <v>24</v>
      </c>
      <c r="J2544" s="9">
        <f t="shared" si="81"/>
        <v>0</v>
      </c>
    </row>
    <row r="2545" spans="1:10" hidden="1">
      <c r="A2545" t="s">
        <v>1416</v>
      </c>
      <c r="B2545" t="s">
        <v>1160</v>
      </c>
      <c r="C2545" t="s">
        <v>101</v>
      </c>
      <c r="D2545" t="s">
        <v>1417</v>
      </c>
      <c r="E2545" s="9">
        <f t="shared" si="80"/>
        <v>8.445436448090728</v>
      </c>
      <c r="F2545" s="3">
        <v>21</v>
      </c>
      <c r="G2545" s="9">
        <v>14</v>
      </c>
      <c r="H2545" s="5" t="s">
        <v>24</v>
      </c>
      <c r="J2545" s="9">
        <f t="shared" si="81"/>
        <v>0</v>
      </c>
    </row>
    <row r="2546" spans="1:10" hidden="1">
      <c r="A2546" t="s">
        <v>1414</v>
      </c>
      <c r="B2546" t="s">
        <v>1160</v>
      </c>
      <c r="C2546" t="s">
        <v>101</v>
      </c>
      <c r="D2546" t="s">
        <v>1415</v>
      </c>
      <c r="E2546" s="9">
        <f t="shared" si="80"/>
        <v>8.445436448090728</v>
      </c>
      <c r="F2546" s="3">
        <v>21</v>
      </c>
      <c r="G2546" s="9">
        <v>14</v>
      </c>
      <c r="H2546" s="5" t="s">
        <v>24</v>
      </c>
      <c r="J2546" s="9">
        <f t="shared" si="81"/>
        <v>0</v>
      </c>
    </row>
    <row r="2547" spans="1:10">
      <c r="A2547" t="s">
        <v>2925</v>
      </c>
      <c r="B2547" t="s">
        <v>1160</v>
      </c>
      <c r="C2547" t="s">
        <v>101</v>
      </c>
      <c r="D2547" t="s">
        <v>2926</v>
      </c>
      <c r="E2547" s="9">
        <f t="shared" si="80"/>
        <v>1486396.8148639682</v>
      </c>
      <c r="F2547" s="3">
        <v>21</v>
      </c>
      <c r="G2547" s="9">
        <v>2464000</v>
      </c>
      <c r="H2547" s="4" t="s">
        <v>16</v>
      </c>
      <c r="J2547" s="9">
        <f t="shared" si="81"/>
        <v>0</v>
      </c>
    </row>
    <row r="2548" spans="1:10">
      <c r="A2548" t="s">
        <v>2927</v>
      </c>
      <c r="B2548" t="s">
        <v>1160</v>
      </c>
      <c r="C2548" t="s">
        <v>101</v>
      </c>
      <c r="D2548" t="s">
        <v>2928</v>
      </c>
      <c r="E2548" s="9">
        <f t="shared" si="80"/>
        <v>1486396.8148639682</v>
      </c>
      <c r="F2548" s="3">
        <v>21</v>
      </c>
      <c r="G2548" s="9">
        <v>2464000</v>
      </c>
      <c r="H2548" s="5" t="s">
        <v>5080</v>
      </c>
      <c r="J2548" s="9">
        <f t="shared" si="81"/>
        <v>0</v>
      </c>
    </row>
    <row r="2549" spans="1:10">
      <c r="A2549" t="s">
        <v>2929</v>
      </c>
      <c r="B2549" t="s">
        <v>1160</v>
      </c>
      <c r="C2549" t="s">
        <v>101</v>
      </c>
      <c r="D2549" t="s">
        <v>2930</v>
      </c>
      <c r="E2549" s="9">
        <f t="shared" si="80"/>
        <v>1486396.8148639682</v>
      </c>
      <c r="F2549" s="3">
        <v>21</v>
      </c>
      <c r="G2549" s="9">
        <v>2464000</v>
      </c>
      <c r="H2549" s="4" t="s">
        <v>16</v>
      </c>
      <c r="J2549" s="9">
        <f t="shared" si="81"/>
        <v>0</v>
      </c>
    </row>
    <row r="2550" spans="1:10">
      <c r="A2550" t="s">
        <v>2425</v>
      </c>
      <c r="B2550" t="s">
        <v>1160</v>
      </c>
      <c r="C2550" t="s">
        <v>101</v>
      </c>
      <c r="D2550" t="s">
        <v>2426</v>
      </c>
      <c r="E2550" s="9">
        <f t="shared" si="80"/>
        <v>1604632.9251372383</v>
      </c>
      <c r="F2550" s="3">
        <v>21</v>
      </c>
      <c r="G2550" s="9">
        <v>2660000</v>
      </c>
      <c r="H2550" s="4" t="s">
        <v>16</v>
      </c>
      <c r="J2550" s="9">
        <f t="shared" si="81"/>
        <v>0</v>
      </c>
    </row>
    <row r="2551" spans="1:10">
      <c r="A2551" t="s">
        <v>2427</v>
      </c>
      <c r="B2551" t="s">
        <v>1160</v>
      </c>
      <c r="C2551" t="s">
        <v>101</v>
      </c>
      <c r="D2551" t="s">
        <v>2428</v>
      </c>
      <c r="E2551" s="9">
        <f t="shared" si="80"/>
        <v>1604632.9251372383</v>
      </c>
      <c r="F2551" s="3">
        <v>21</v>
      </c>
      <c r="G2551" s="9">
        <v>2660000</v>
      </c>
      <c r="H2551" s="4" t="s">
        <v>16</v>
      </c>
      <c r="J2551" s="9">
        <f t="shared" si="81"/>
        <v>0</v>
      </c>
    </row>
    <row r="2552" spans="1:10">
      <c r="A2552" t="s">
        <v>2617</v>
      </c>
      <c r="B2552" t="s">
        <v>1160</v>
      </c>
      <c r="C2552" t="s">
        <v>101</v>
      </c>
      <c r="D2552" t="s">
        <v>2618</v>
      </c>
      <c r="E2552" s="9">
        <f t="shared" si="80"/>
        <v>1604632.9251372383</v>
      </c>
      <c r="F2552" s="3">
        <v>21</v>
      </c>
      <c r="G2552" s="9">
        <v>2660000</v>
      </c>
      <c r="H2552" s="4" t="s">
        <v>16</v>
      </c>
      <c r="J2552" s="9">
        <f t="shared" si="81"/>
        <v>0</v>
      </c>
    </row>
    <row r="2553" spans="1:10">
      <c r="A2553" t="s">
        <v>2429</v>
      </c>
      <c r="B2553" t="s">
        <v>1160</v>
      </c>
      <c r="C2553" t="s">
        <v>101</v>
      </c>
      <c r="D2553" t="s">
        <v>2430</v>
      </c>
      <c r="E2553" s="9">
        <f t="shared" si="80"/>
        <v>1604632.9251372383</v>
      </c>
      <c r="F2553" s="3">
        <v>21</v>
      </c>
      <c r="G2553" s="9">
        <v>2660000</v>
      </c>
      <c r="H2553" s="4" t="s">
        <v>16</v>
      </c>
      <c r="J2553" s="9">
        <f t="shared" si="81"/>
        <v>0</v>
      </c>
    </row>
    <row r="2554" spans="1:10" hidden="1">
      <c r="A2554" t="s">
        <v>2619</v>
      </c>
      <c r="B2554" t="s">
        <v>1160</v>
      </c>
      <c r="C2554" t="s">
        <v>101</v>
      </c>
      <c r="D2554" t="s">
        <v>2620</v>
      </c>
      <c r="E2554" s="9">
        <f t="shared" si="80"/>
        <v>8.445436448090728</v>
      </c>
      <c r="F2554" s="3">
        <v>21</v>
      </c>
      <c r="G2554" s="9">
        <v>14</v>
      </c>
      <c r="H2554" s="4" t="s">
        <v>16</v>
      </c>
      <c r="J2554" s="9">
        <f t="shared" si="81"/>
        <v>0</v>
      </c>
    </row>
    <row r="2555" spans="1:10">
      <c r="A2555" t="s">
        <v>2431</v>
      </c>
      <c r="B2555" t="s">
        <v>1160</v>
      </c>
      <c r="C2555" t="s">
        <v>101</v>
      </c>
      <c r="D2555" t="s">
        <v>2432</v>
      </c>
      <c r="E2555" s="9">
        <f t="shared" si="80"/>
        <v>1849550.5821318694</v>
      </c>
      <c r="F2555" s="3">
        <v>21</v>
      </c>
      <c r="G2555" s="9">
        <v>3066000</v>
      </c>
      <c r="H2555" s="4" t="s">
        <v>16</v>
      </c>
      <c r="J2555" s="9">
        <f t="shared" si="81"/>
        <v>0</v>
      </c>
    </row>
    <row r="2556" spans="1:10" hidden="1">
      <c r="A2556" t="s">
        <v>2921</v>
      </c>
      <c r="B2556" t="s">
        <v>1160</v>
      </c>
      <c r="C2556" t="s">
        <v>101</v>
      </c>
      <c r="D2556" t="s">
        <v>2922</v>
      </c>
      <c r="E2556" s="9">
        <f t="shared" si="80"/>
        <v>8.445436448090728</v>
      </c>
      <c r="F2556" s="3">
        <v>21</v>
      </c>
      <c r="G2556" s="9">
        <v>14</v>
      </c>
      <c r="H2556" s="5" t="s">
        <v>24</v>
      </c>
      <c r="J2556" s="9">
        <f t="shared" si="81"/>
        <v>0</v>
      </c>
    </row>
    <row r="2557" spans="1:10" hidden="1">
      <c r="A2557" t="s">
        <v>4066</v>
      </c>
      <c r="B2557" t="s">
        <v>1160</v>
      </c>
      <c r="C2557" t="s">
        <v>101</v>
      </c>
      <c r="D2557" t="s">
        <v>4067</v>
      </c>
      <c r="E2557" s="9">
        <f t="shared" si="80"/>
        <v>8.445436448090728</v>
      </c>
      <c r="F2557" s="3">
        <v>21</v>
      </c>
      <c r="G2557" s="9">
        <v>14</v>
      </c>
      <c r="H2557" s="5" t="s">
        <v>24</v>
      </c>
      <c r="J2557" s="9">
        <f t="shared" si="81"/>
        <v>0</v>
      </c>
    </row>
    <row r="2558" spans="1:10">
      <c r="A2558" t="s">
        <v>4068</v>
      </c>
      <c r="B2558" t="s">
        <v>1160</v>
      </c>
      <c r="C2558" t="s">
        <v>101</v>
      </c>
      <c r="D2558" t="s">
        <v>4069</v>
      </c>
      <c r="E2558" s="9">
        <f t="shared" si="80"/>
        <v>2533630.934427218</v>
      </c>
      <c r="F2558" s="3">
        <v>21</v>
      </c>
      <c r="G2558" s="9">
        <v>4200000</v>
      </c>
      <c r="H2558" s="4" t="s">
        <v>16</v>
      </c>
      <c r="J2558" s="9">
        <f t="shared" si="81"/>
        <v>0</v>
      </c>
    </row>
    <row r="2559" spans="1:10">
      <c r="A2559" t="s">
        <v>4084</v>
      </c>
      <c r="B2559" t="s">
        <v>1160</v>
      </c>
      <c r="C2559" t="s">
        <v>101</v>
      </c>
      <c r="D2559" t="s">
        <v>4085</v>
      </c>
      <c r="E2559" s="9">
        <f t="shared" si="80"/>
        <v>2305604.1503287689</v>
      </c>
      <c r="F2559" s="3">
        <v>21</v>
      </c>
      <c r="G2559" s="9">
        <v>3822000</v>
      </c>
      <c r="H2559" s="4" t="s">
        <v>16</v>
      </c>
      <c r="J2559" s="9">
        <f t="shared" si="81"/>
        <v>0</v>
      </c>
    </row>
    <row r="2560" spans="1:10">
      <c r="A2560" t="s">
        <v>4573</v>
      </c>
      <c r="B2560" t="s">
        <v>1160</v>
      </c>
      <c r="C2560" t="s">
        <v>101</v>
      </c>
      <c r="D2560" t="s">
        <v>4574</v>
      </c>
      <c r="E2560" s="9">
        <f t="shared" si="80"/>
        <v>2305604.1503287689</v>
      </c>
      <c r="F2560" s="3">
        <v>21</v>
      </c>
      <c r="G2560" s="9">
        <v>3822000</v>
      </c>
      <c r="H2560" s="4" t="s">
        <v>16</v>
      </c>
      <c r="J2560" s="9">
        <f t="shared" si="81"/>
        <v>0</v>
      </c>
    </row>
    <row r="2561" spans="1:10">
      <c r="A2561" t="s">
        <v>4575</v>
      </c>
      <c r="B2561" t="s">
        <v>1160</v>
      </c>
      <c r="C2561" t="s">
        <v>101</v>
      </c>
      <c r="D2561" t="s">
        <v>4576</v>
      </c>
      <c r="E2561" s="9">
        <f t="shared" si="80"/>
        <v>2305604.1503287689</v>
      </c>
      <c r="F2561" s="3">
        <v>21</v>
      </c>
      <c r="G2561" s="9">
        <v>3822000</v>
      </c>
      <c r="H2561" s="4" t="s">
        <v>16</v>
      </c>
      <c r="J2561" s="9">
        <f t="shared" si="81"/>
        <v>0</v>
      </c>
    </row>
    <row r="2562" spans="1:10">
      <c r="A2562" t="s">
        <v>3986</v>
      </c>
      <c r="B2562" t="s">
        <v>1160</v>
      </c>
      <c r="C2562" t="s">
        <v>101</v>
      </c>
      <c r="D2562" t="s">
        <v>3987</v>
      </c>
      <c r="E2562" s="9">
        <f t="shared" si="80"/>
        <v>2854557.5194546659</v>
      </c>
      <c r="F2562" s="3">
        <v>21</v>
      </c>
      <c r="G2562" s="9">
        <v>4732000</v>
      </c>
      <c r="H2562" s="5" t="s">
        <v>5080</v>
      </c>
      <c r="J2562" s="9">
        <f t="shared" si="81"/>
        <v>0</v>
      </c>
    </row>
    <row r="2563" spans="1:10">
      <c r="A2563" t="s">
        <v>3988</v>
      </c>
      <c r="B2563" t="s">
        <v>1160</v>
      </c>
      <c r="C2563" t="s">
        <v>101</v>
      </c>
      <c r="D2563" t="s">
        <v>3989</v>
      </c>
      <c r="E2563" s="9">
        <f t="shared" si="80"/>
        <v>2854557.5194546659</v>
      </c>
      <c r="F2563" s="3">
        <v>21</v>
      </c>
      <c r="G2563" s="9">
        <v>4732000</v>
      </c>
      <c r="H2563" s="4" t="s">
        <v>16</v>
      </c>
      <c r="J2563" s="9">
        <f t="shared" si="81"/>
        <v>0</v>
      </c>
    </row>
    <row r="2564" spans="1:10">
      <c r="A2564" t="s">
        <v>3984</v>
      </c>
      <c r="B2564" t="s">
        <v>1160</v>
      </c>
      <c r="C2564" t="s">
        <v>101</v>
      </c>
      <c r="D2564" t="s">
        <v>3985</v>
      </c>
      <c r="E2564" s="9">
        <f t="shared" si="80"/>
        <v>2854557.5194546659</v>
      </c>
      <c r="F2564" s="3">
        <v>21</v>
      </c>
      <c r="G2564" s="9">
        <v>4732000</v>
      </c>
      <c r="H2564" s="5" t="s">
        <v>5080</v>
      </c>
      <c r="J2564" s="9">
        <f t="shared" si="81"/>
        <v>0</v>
      </c>
    </row>
    <row r="2565" spans="1:10">
      <c r="A2565" t="s">
        <v>3990</v>
      </c>
      <c r="B2565" t="s">
        <v>1160</v>
      </c>
      <c r="C2565" t="s">
        <v>101</v>
      </c>
      <c r="D2565" t="s">
        <v>3991</v>
      </c>
      <c r="E2565" s="9">
        <f t="shared" si="80"/>
        <v>2854557.5194546659</v>
      </c>
      <c r="F2565" s="3">
        <v>21</v>
      </c>
      <c r="G2565" s="9">
        <v>4732000</v>
      </c>
      <c r="H2565" s="5" t="s">
        <v>5080</v>
      </c>
      <c r="J2565" s="9">
        <f t="shared" si="81"/>
        <v>0</v>
      </c>
    </row>
    <row r="2566" spans="1:10" hidden="1">
      <c r="A2566" t="s">
        <v>4589</v>
      </c>
      <c r="B2566" t="s">
        <v>1160</v>
      </c>
      <c r="C2566" t="s">
        <v>101</v>
      </c>
      <c r="D2566" t="s">
        <v>4528</v>
      </c>
      <c r="E2566" s="9">
        <f t="shared" si="80"/>
        <v>8.445436448090728</v>
      </c>
      <c r="F2566" s="3">
        <v>21</v>
      </c>
      <c r="G2566" s="9">
        <v>14</v>
      </c>
      <c r="H2566" s="5" t="s">
        <v>24</v>
      </c>
      <c r="J2566" s="9">
        <f t="shared" si="81"/>
        <v>0</v>
      </c>
    </row>
    <row r="2567" spans="1:10" hidden="1">
      <c r="A2567" t="s">
        <v>4590</v>
      </c>
      <c r="B2567" t="s">
        <v>1160</v>
      </c>
      <c r="C2567" t="s">
        <v>101</v>
      </c>
      <c r="D2567" t="s">
        <v>4528</v>
      </c>
      <c r="E2567" s="9">
        <f t="shared" si="80"/>
        <v>8.445436448090728</v>
      </c>
      <c r="F2567" s="3">
        <v>21</v>
      </c>
      <c r="G2567" s="9">
        <v>14</v>
      </c>
      <c r="H2567" s="5" t="s">
        <v>24</v>
      </c>
      <c r="J2567" s="9">
        <f t="shared" si="81"/>
        <v>0</v>
      </c>
    </row>
    <row r="2568" spans="1:10" hidden="1">
      <c r="A2568" t="s">
        <v>4591</v>
      </c>
      <c r="B2568" t="s">
        <v>1160</v>
      </c>
      <c r="C2568" t="s">
        <v>101</v>
      </c>
      <c r="D2568" t="s">
        <v>4528</v>
      </c>
      <c r="E2568" s="9">
        <f t="shared" si="80"/>
        <v>8.445436448090728</v>
      </c>
      <c r="F2568" s="3">
        <v>21</v>
      </c>
      <c r="G2568" s="9">
        <v>14</v>
      </c>
      <c r="H2568" s="5" t="s">
        <v>24</v>
      </c>
      <c r="J2568" s="9">
        <f t="shared" si="81"/>
        <v>0</v>
      </c>
    </row>
    <row r="2569" spans="1:10" hidden="1">
      <c r="A2569" t="s">
        <v>4592</v>
      </c>
      <c r="B2569" t="s">
        <v>1160</v>
      </c>
      <c r="C2569" t="s">
        <v>101</v>
      </c>
      <c r="D2569" t="s">
        <v>4528</v>
      </c>
      <c r="E2569" s="9">
        <f t="shared" ref="E2569:E2632" si="82">SUM(G2569/(1+(F2569/100)) /(1+(37/100)))</f>
        <v>8.445436448090728</v>
      </c>
      <c r="F2569" s="3">
        <v>21</v>
      </c>
      <c r="G2569" s="9">
        <v>14</v>
      </c>
      <c r="H2569" s="5" t="s">
        <v>24</v>
      </c>
      <c r="J2569" s="9">
        <f t="shared" ref="J2569:J2632" si="83">SUM(E2569* I2569)</f>
        <v>0</v>
      </c>
    </row>
    <row r="2570" spans="1:10" hidden="1">
      <c r="A2570" t="s">
        <v>4593</v>
      </c>
      <c r="B2570" t="s">
        <v>1160</v>
      </c>
      <c r="C2570" t="s">
        <v>101</v>
      </c>
      <c r="D2570" t="s">
        <v>4528</v>
      </c>
      <c r="E2570" s="9">
        <f t="shared" si="82"/>
        <v>8.445436448090728</v>
      </c>
      <c r="F2570" s="3">
        <v>21</v>
      </c>
      <c r="G2570" s="9">
        <v>14</v>
      </c>
      <c r="H2570" s="5" t="s">
        <v>24</v>
      </c>
      <c r="J2570" s="9">
        <f t="shared" si="83"/>
        <v>0</v>
      </c>
    </row>
    <row r="2571" spans="1:10" hidden="1">
      <c r="A2571" t="s">
        <v>4088</v>
      </c>
      <c r="B2571" t="s">
        <v>1160</v>
      </c>
      <c r="C2571" t="s">
        <v>101</v>
      </c>
      <c r="D2571" t="s">
        <v>4089</v>
      </c>
      <c r="E2571" s="9">
        <f t="shared" si="82"/>
        <v>8.445436448090728</v>
      </c>
      <c r="F2571" s="3">
        <v>21</v>
      </c>
      <c r="G2571" s="9">
        <v>14</v>
      </c>
      <c r="H2571" s="4" t="s">
        <v>16</v>
      </c>
      <c r="J2571" s="9">
        <f t="shared" si="83"/>
        <v>0</v>
      </c>
    </row>
    <row r="2572" spans="1:10" hidden="1">
      <c r="A2572" t="s">
        <v>4594</v>
      </c>
      <c r="B2572" t="s">
        <v>1160</v>
      </c>
      <c r="C2572" t="s">
        <v>101</v>
      </c>
      <c r="D2572" t="s">
        <v>4528</v>
      </c>
      <c r="E2572" s="9">
        <f t="shared" si="82"/>
        <v>8.445436448090728</v>
      </c>
      <c r="F2572" s="3">
        <v>21</v>
      </c>
      <c r="G2572" s="9">
        <v>14</v>
      </c>
      <c r="H2572" s="5" t="s">
        <v>24</v>
      </c>
      <c r="J2572" s="9">
        <f t="shared" si="83"/>
        <v>0</v>
      </c>
    </row>
    <row r="2573" spans="1:10" hidden="1">
      <c r="A2573" t="s">
        <v>4595</v>
      </c>
      <c r="B2573" t="s">
        <v>1160</v>
      </c>
      <c r="C2573" t="s">
        <v>101</v>
      </c>
      <c r="D2573" t="s">
        <v>4528</v>
      </c>
      <c r="E2573" s="9">
        <f t="shared" si="82"/>
        <v>8.445436448090728</v>
      </c>
      <c r="F2573" s="3">
        <v>21</v>
      </c>
      <c r="G2573" s="9">
        <v>14</v>
      </c>
      <c r="H2573" s="5" t="s">
        <v>24</v>
      </c>
      <c r="J2573" s="9">
        <f t="shared" si="83"/>
        <v>0</v>
      </c>
    </row>
    <row r="2574" spans="1:10">
      <c r="A2574" t="s">
        <v>4078</v>
      </c>
      <c r="B2574" t="s">
        <v>1160</v>
      </c>
      <c r="C2574" t="s">
        <v>101</v>
      </c>
      <c r="D2574" t="s">
        <v>4079</v>
      </c>
      <c r="E2574" s="9">
        <f t="shared" si="82"/>
        <v>658744.04295107676</v>
      </c>
      <c r="F2574" s="3">
        <v>21</v>
      </c>
      <c r="G2574" s="9">
        <v>1092000</v>
      </c>
      <c r="H2574" s="4" t="s">
        <v>16</v>
      </c>
      <c r="J2574" s="9">
        <f t="shared" si="83"/>
        <v>0</v>
      </c>
    </row>
    <row r="2575" spans="1:10" hidden="1">
      <c r="A2575" t="s">
        <v>4596</v>
      </c>
      <c r="B2575" t="s">
        <v>1160</v>
      </c>
      <c r="C2575" t="s">
        <v>101</v>
      </c>
      <c r="D2575" t="s">
        <v>4528</v>
      </c>
      <c r="E2575" s="9">
        <f t="shared" si="82"/>
        <v>8.445436448090728</v>
      </c>
      <c r="F2575" s="3">
        <v>21</v>
      </c>
      <c r="G2575" s="9">
        <v>14</v>
      </c>
      <c r="H2575" s="5" t="s">
        <v>24</v>
      </c>
      <c r="J2575" s="9">
        <f t="shared" si="83"/>
        <v>0</v>
      </c>
    </row>
    <row r="2576" spans="1:10" hidden="1">
      <c r="A2576" t="s">
        <v>4597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4598</v>
      </c>
      <c r="B2577" t="s">
        <v>1160</v>
      </c>
      <c r="C2577" t="s">
        <v>101</v>
      </c>
      <c r="D2577" t="s">
        <v>4528</v>
      </c>
      <c r="E2577" s="9">
        <f t="shared" si="82"/>
        <v>8.445436448090728</v>
      </c>
      <c r="F2577" s="3">
        <v>21</v>
      </c>
      <c r="G2577" s="9">
        <v>14</v>
      </c>
      <c r="H2577" s="5" t="s">
        <v>24</v>
      </c>
      <c r="J2577" s="9">
        <f t="shared" si="83"/>
        <v>0</v>
      </c>
    </row>
    <row r="2578" spans="1:10" hidden="1">
      <c r="A2578" t="s">
        <v>3976</v>
      </c>
      <c r="B2578" t="s">
        <v>1160</v>
      </c>
      <c r="C2578" t="s">
        <v>101</v>
      </c>
      <c r="D2578" t="s">
        <v>3977</v>
      </c>
      <c r="E2578" s="9">
        <f t="shared" si="82"/>
        <v>8.445436448090728</v>
      </c>
      <c r="F2578" s="3">
        <v>21</v>
      </c>
      <c r="G2578" s="9">
        <v>14</v>
      </c>
      <c r="H2578" s="4" t="s">
        <v>16</v>
      </c>
      <c r="J2578" s="9">
        <f t="shared" si="83"/>
        <v>0</v>
      </c>
    </row>
    <row r="2579" spans="1:10">
      <c r="A2579" t="s">
        <v>4577</v>
      </c>
      <c r="B2579" t="s">
        <v>1160</v>
      </c>
      <c r="C2579" t="s">
        <v>101</v>
      </c>
      <c r="D2579" t="s">
        <v>4578</v>
      </c>
      <c r="E2579" s="9">
        <f t="shared" si="82"/>
        <v>4560535.6819689926</v>
      </c>
      <c r="F2579" s="3">
        <v>21</v>
      </c>
      <c r="G2579" s="9">
        <v>7560000</v>
      </c>
      <c r="H2579" s="4" t="s">
        <v>16</v>
      </c>
      <c r="J2579" s="9">
        <f t="shared" si="83"/>
        <v>0</v>
      </c>
    </row>
    <row r="2580" spans="1:10">
      <c r="A2580" t="s">
        <v>3978</v>
      </c>
      <c r="B2580" t="s">
        <v>1160</v>
      </c>
      <c r="C2580" t="s">
        <v>101</v>
      </c>
      <c r="D2580" t="s">
        <v>3979</v>
      </c>
      <c r="E2580" s="9">
        <f t="shared" si="82"/>
        <v>3749773.782952283</v>
      </c>
      <c r="F2580" s="3">
        <v>21</v>
      </c>
      <c r="G2580" s="9">
        <v>6216000</v>
      </c>
      <c r="H2580" s="4" t="s">
        <v>16</v>
      </c>
      <c r="J2580" s="9">
        <f t="shared" si="83"/>
        <v>0</v>
      </c>
    </row>
    <row r="2581" spans="1:10">
      <c r="A2581" t="s">
        <v>3980</v>
      </c>
      <c r="B2581" t="s">
        <v>1160</v>
      </c>
      <c r="C2581" t="s">
        <v>101</v>
      </c>
      <c r="D2581" t="s">
        <v>3981</v>
      </c>
      <c r="E2581" s="9">
        <f t="shared" si="82"/>
        <v>4138263.8595644566</v>
      </c>
      <c r="F2581" s="3">
        <v>21</v>
      </c>
      <c r="G2581" s="9">
        <v>6860000</v>
      </c>
      <c r="H2581" s="5" t="s">
        <v>5080</v>
      </c>
      <c r="J2581" s="9">
        <f t="shared" si="83"/>
        <v>0</v>
      </c>
    </row>
    <row r="2582" spans="1:10" hidden="1">
      <c r="A2582" t="s">
        <v>4587</v>
      </c>
      <c r="B2582" t="s">
        <v>1160</v>
      </c>
      <c r="C2582" t="s">
        <v>101</v>
      </c>
      <c r="D2582" t="s">
        <v>4588</v>
      </c>
      <c r="E2582" s="9">
        <f t="shared" si="82"/>
        <v>8.445436448090728</v>
      </c>
      <c r="F2582" s="3">
        <v>21</v>
      </c>
      <c r="G2582" s="9">
        <v>14</v>
      </c>
      <c r="H2582" s="4" t="s">
        <v>16</v>
      </c>
      <c r="J2582" s="9">
        <f t="shared" si="83"/>
        <v>0</v>
      </c>
    </row>
    <row r="2583" spans="1:10">
      <c r="A2583" t="s">
        <v>4072</v>
      </c>
      <c r="B2583" t="s">
        <v>1160</v>
      </c>
      <c r="C2583" t="s">
        <v>101</v>
      </c>
      <c r="D2583" t="s">
        <v>4073</v>
      </c>
      <c r="E2583" s="9">
        <f t="shared" si="82"/>
        <v>658744.04295107676</v>
      </c>
      <c r="F2583" s="3">
        <v>21</v>
      </c>
      <c r="G2583" s="9">
        <v>1092000</v>
      </c>
      <c r="H2583" s="4" t="s">
        <v>16</v>
      </c>
      <c r="J2583" s="9">
        <f t="shared" si="83"/>
        <v>0</v>
      </c>
    </row>
    <row r="2584" spans="1:10">
      <c r="A2584" t="s">
        <v>4074</v>
      </c>
      <c r="B2584" t="s">
        <v>1160</v>
      </c>
      <c r="C2584" t="s">
        <v>101</v>
      </c>
      <c r="D2584" t="s">
        <v>4075</v>
      </c>
      <c r="E2584" s="9">
        <f t="shared" si="82"/>
        <v>658744.04295107676</v>
      </c>
      <c r="F2584" s="3">
        <v>21</v>
      </c>
      <c r="G2584" s="9">
        <v>1092000</v>
      </c>
      <c r="H2584" s="4" t="s">
        <v>16</v>
      </c>
      <c r="J2584" s="9">
        <f t="shared" si="83"/>
        <v>0</v>
      </c>
    </row>
    <row r="2585" spans="1:10">
      <c r="A2585" t="s">
        <v>4076</v>
      </c>
      <c r="B2585" t="s">
        <v>1160</v>
      </c>
      <c r="C2585" t="s">
        <v>101</v>
      </c>
      <c r="D2585" t="s">
        <v>4077</v>
      </c>
      <c r="E2585" s="9">
        <f t="shared" si="82"/>
        <v>658744.04295107676</v>
      </c>
      <c r="F2585" s="3">
        <v>21</v>
      </c>
      <c r="G2585" s="9">
        <v>1092000</v>
      </c>
      <c r="H2585" s="5" t="s">
        <v>5080</v>
      </c>
      <c r="J2585" s="9">
        <f t="shared" si="83"/>
        <v>0</v>
      </c>
    </row>
    <row r="2586" spans="1:10" hidden="1">
      <c r="A2586" t="s">
        <v>4102</v>
      </c>
      <c r="B2586" t="s">
        <v>1160</v>
      </c>
      <c r="C2586" t="s">
        <v>101</v>
      </c>
      <c r="D2586" t="s">
        <v>4103</v>
      </c>
      <c r="E2586" s="9">
        <f t="shared" si="82"/>
        <v>8.445436448090728</v>
      </c>
      <c r="F2586" s="3">
        <v>21</v>
      </c>
      <c r="G2586" s="9">
        <v>14</v>
      </c>
      <c r="H2586" s="5" t="s">
        <v>24</v>
      </c>
      <c r="J2586" s="9">
        <f t="shared" si="83"/>
        <v>0</v>
      </c>
    </row>
    <row r="2587" spans="1:10">
      <c r="A2587" t="s">
        <v>4579</v>
      </c>
      <c r="B2587" t="s">
        <v>1160</v>
      </c>
      <c r="C2587" t="s">
        <v>101</v>
      </c>
      <c r="D2587" t="s">
        <v>4580</v>
      </c>
      <c r="E2587" s="9">
        <f t="shared" si="82"/>
        <v>160463.29251372383</v>
      </c>
      <c r="F2587" s="3">
        <v>21</v>
      </c>
      <c r="G2587" s="9">
        <v>266000</v>
      </c>
      <c r="H2587" s="4" t="s">
        <v>16</v>
      </c>
      <c r="J2587" s="9">
        <f t="shared" si="83"/>
        <v>0</v>
      </c>
    </row>
    <row r="2588" spans="1:10">
      <c r="A2588" t="s">
        <v>3002</v>
      </c>
      <c r="B2588" t="s">
        <v>3004</v>
      </c>
      <c r="C2588" t="s">
        <v>140</v>
      </c>
      <c r="D2588" t="s">
        <v>3003</v>
      </c>
      <c r="E2588" s="9">
        <f t="shared" si="82"/>
        <v>27869.940278699403</v>
      </c>
      <c r="F2588" s="3">
        <v>21</v>
      </c>
      <c r="G2588" s="9">
        <v>46200</v>
      </c>
      <c r="H2588" s="6" t="s">
        <v>45</v>
      </c>
      <c r="J2588" s="9">
        <f t="shared" si="83"/>
        <v>0</v>
      </c>
    </row>
    <row r="2589" spans="1:10">
      <c r="A2589" t="s">
        <v>3009</v>
      </c>
      <c r="B2589" t="s">
        <v>3004</v>
      </c>
      <c r="C2589" t="s">
        <v>140</v>
      </c>
      <c r="D2589" t="s">
        <v>3010</v>
      </c>
      <c r="E2589" s="9">
        <f t="shared" si="82"/>
        <v>27869.940278699403</v>
      </c>
      <c r="F2589" s="3">
        <v>21</v>
      </c>
      <c r="G2589" s="9">
        <v>46200</v>
      </c>
      <c r="H2589" s="6" t="s">
        <v>45</v>
      </c>
      <c r="J2589" s="9">
        <f t="shared" si="83"/>
        <v>0</v>
      </c>
    </row>
    <row r="2590" spans="1:10">
      <c r="A2590" t="s">
        <v>3007</v>
      </c>
      <c r="B2590" t="s">
        <v>3004</v>
      </c>
      <c r="C2590" t="s">
        <v>140</v>
      </c>
      <c r="D2590" t="s">
        <v>3008</v>
      </c>
      <c r="E2590" s="9">
        <f t="shared" si="82"/>
        <v>27869.940278699403</v>
      </c>
      <c r="F2590" s="3">
        <v>21</v>
      </c>
      <c r="G2590" s="9">
        <v>46200</v>
      </c>
      <c r="H2590" s="6" t="s">
        <v>45</v>
      </c>
      <c r="J2590" s="9">
        <f t="shared" si="83"/>
        <v>0</v>
      </c>
    </row>
    <row r="2591" spans="1:10">
      <c r="A2591" t="s">
        <v>3011</v>
      </c>
      <c r="B2591" t="s">
        <v>3004</v>
      </c>
      <c r="C2591" t="s">
        <v>140</v>
      </c>
      <c r="D2591" t="s">
        <v>3012</v>
      </c>
      <c r="E2591" s="9">
        <f t="shared" si="82"/>
        <v>27869.940278699403</v>
      </c>
      <c r="F2591" s="3">
        <v>21</v>
      </c>
      <c r="G2591" s="9">
        <v>46200</v>
      </c>
      <c r="H2591" s="6" t="s">
        <v>45</v>
      </c>
      <c r="J2591" s="9">
        <f t="shared" si="83"/>
        <v>0</v>
      </c>
    </row>
    <row r="2592" spans="1:10">
      <c r="A2592" t="s">
        <v>3005</v>
      </c>
      <c r="B2592" t="s">
        <v>3004</v>
      </c>
      <c r="C2592" t="s">
        <v>140</v>
      </c>
      <c r="D2592" t="s">
        <v>3006</v>
      </c>
      <c r="E2592" s="9">
        <f t="shared" si="82"/>
        <v>27869.940278699403</v>
      </c>
      <c r="F2592" s="3">
        <v>21</v>
      </c>
      <c r="G2592" s="9">
        <v>46200</v>
      </c>
      <c r="H2592" s="4" t="s">
        <v>16</v>
      </c>
      <c r="J2592" s="9">
        <f t="shared" si="83"/>
        <v>0</v>
      </c>
    </row>
    <row r="2593" spans="1:10">
      <c r="A2593" t="s">
        <v>355</v>
      </c>
      <c r="B2593" t="s">
        <v>277</v>
      </c>
      <c r="C2593" t="s">
        <v>101</v>
      </c>
      <c r="D2593" t="s">
        <v>356</v>
      </c>
      <c r="E2593" s="9">
        <f t="shared" si="82"/>
        <v>27388.550401158231</v>
      </c>
      <c r="F2593" s="3">
        <v>21</v>
      </c>
      <c r="G2593" s="9">
        <v>45402</v>
      </c>
      <c r="H2593" s="4" t="s">
        <v>16</v>
      </c>
      <c r="J2593" s="9">
        <f t="shared" si="83"/>
        <v>0</v>
      </c>
    </row>
    <row r="2594" spans="1:10">
      <c r="A2594" t="s">
        <v>4755</v>
      </c>
      <c r="B2594" t="s">
        <v>277</v>
      </c>
      <c r="C2594" t="s">
        <v>101</v>
      </c>
      <c r="D2594" t="s">
        <v>4756</v>
      </c>
      <c r="E2594" s="9">
        <f t="shared" si="82"/>
        <v>5911.8055136635094</v>
      </c>
      <c r="F2594" s="3">
        <v>21</v>
      </c>
      <c r="G2594" s="9">
        <v>9800</v>
      </c>
      <c r="H2594" s="6" t="s">
        <v>45</v>
      </c>
      <c r="J2594" s="9">
        <f t="shared" si="83"/>
        <v>0</v>
      </c>
    </row>
    <row r="2595" spans="1:10">
      <c r="A2595" t="s">
        <v>2089</v>
      </c>
      <c r="B2595" t="s">
        <v>277</v>
      </c>
      <c r="C2595" t="s">
        <v>101</v>
      </c>
      <c r="D2595" t="s">
        <v>2090</v>
      </c>
      <c r="E2595" s="9">
        <f t="shared" si="82"/>
        <v>15809.857030825842</v>
      </c>
      <c r="F2595" s="3">
        <v>21</v>
      </c>
      <c r="G2595" s="9">
        <v>26208</v>
      </c>
      <c r="H2595" s="4" t="s">
        <v>16</v>
      </c>
      <c r="J2595" s="9">
        <f t="shared" si="83"/>
        <v>0</v>
      </c>
    </row>
    <row r="2596" spans="1:10">
      <c r="A2596" t="s">
        <v>2091</v>
      </c>
      <c r="B2596" t="s">
        <v>277</v>
      </c>
      <c r="C2596" t="s">
        <v>101</v>
      </c>
      <c r="D2596" t="s">
        <v>2092</v>
      </c>
      <c r="E2596" s="9">
        <f t="shared" si="82"/>
        <v>16688.182421427278</v>
      </c>
      <c r="F2596" s="3">
        <v>21</v>
      </c>
      <c r="G2596" s="9">
        <v>27664</v>
      </c>
      <c r="H2596" s="4" t="s">
        <v>16</v>
      </c>
      <c r="J2596" s="9">
        <f t="shared" si="83"/>
        <v>0</v>
      </c>
    </row>
    <row r="2597" spans="1:10">
      <c r="A2597" t="s">
        <v>2087</v>
      </c>
      <c r="B2597" t="s">
        <v>277</v>
      </c>
      <c r="C2597" t="s">
        <v>101</v>
      </c>
      <c r="D2597" t="s">
        <v>2088</v>
      </c>
      <c r="E2597" s="9">
        <f t="shared" si="82"/>
        <v>37159.920371599204</v>
      </c>
      <c r="F2597" s="3">
        <v>21</v>
      </c>
      <c r="G2597" s="9">
        <v>61600</v>
      </c>
      <c r="H2597" s="4" t="s">
        <v>16</v>
      </c>
      <c r="J2597" s="9">
        <f t="shared" si="83"/>
        <v>0</v>
      </c>
    </row>
    <row r="2598" spans="1:10">
      <c r="A2598" t="s">
        <v>423</v>
      </c>
      <c r="B2598" t="s">
        <v>277</v>
      </c>
      <c r="C2598" t="s">
        <v>101</v>
      </c>
      <c r="D2598" t="s">
        <v>424</v>
      </c>
      <c r="E2598" s="9">
        <f t="shared" si="82"/>
        <v>10134.523737708872</v>
      </c>
      <c r="F2598" s="3">
        <v>21</v>
      </c>
      <c r="G2598" s="9">
        <v>16800</v>
      </c>
      <c r="H2598" s="6" t="s">
        <v>45</v>
      </c>
      <c r="J2598" s="9">
        <f t="shared" si="83"/>
        <v>0</v>
      </c>
    </row>
    <row r="2599" spans="1:10">
      <c r="A2599" t="s">
        <v>421</v>
      </c>
      <c r="B2599" t="s">
        <v>277</v>
      </c>
      <c r="C2599" t="s">
        <v>101</v>
      </c>
      <c r="D2599" t="s">
        <v>422</v>
      </c>
      <c r="E2599" s="9">
        <f t="shared" si="82"/>
        <v>10134.523737708872</v>
      </c>
      <c r="F2599" s="3">
        <v>21</v>
      </c>
      <c r="G2599" s="9">
        <v>16800</v>
      </c>
      <c r="H2599" s="6" t="s">
        <v>45</v>
      </c>
      <c r="J2599" s="9">
        <f t="shared" si="83"/>
        <v>0</v>
      </c>
    </row>
    <row r="2600" spans="1:10">
      <c r="A2600" t="s">
        <v>425</v>
      </c>
      <c r="B2600" t="s">
        <v>277</v>
      </c>
      <c r="C2600" t="s">
        <v>101</v>
      </c>
      <c r="D2600" t="s">
        <v>426</v>
      </c>
      <c r="E2600" s="9">
        <f t="shared" si="82"/>
        <v>10134.523737708872</v>
      </c>
      <c r="F2600" s="3">
        <v>21</v>
      </c>
      <c r="G2600" s="9">
        <v>16800</v>
      </c>
      <c r="H2600" s="6" t="s">
        <v>45</v>
      </c>
      <c r="J2600" s="9">
        <f t="shared" si="83"/>
        <v>0</v>
      </c>
    </row>
    <row r="2601" spans="1:10">
      <c r="A2601" t="s">
        <v>427</v>
      </c>
      <c r="B2601" t="s">
        <v>277</v>
      </c>
      <c r="C2601" t="s">
        <v>101</v>
      </c>
      <c r="D2601" t="s">
        <v>422</v>
      </c>
      <c r="E2601" s="9">
        <f t="shared" si="82"/>
        <v>10134.523737708872</v>
      </c>
      <c r="F2601" s="3">
        <v>21</v>
      </c>
      <c r="G2601" s="9">
        <v>16800</v>
      </c>
      <c r="H2601" s="6" t="s">
        <v>45</v>
      </c>
      <c r="J2601" s="9">
        <f t="shared" si="83"/>
        <v>0</v>
      </c>
    </row>
    <row r="2602" spans="1:10">
      <c r="A2602" t="s">
        <v>640</v>
      </c>
      <c r="B2602" t="s">
        <v>277</v>
      </c>
      <c r="C2602" t="s">
        <v>101</v>
      </c>
      <c r="D2602" t="s">
        <v>641</v>
      </c>
      <c r="E2602" s="9">
        <f t="shared" si="82"/>
        <v>10134.523737708872</v>
      </c>
      <c r="F2602" s="3">
        <v>21</v>
      </c>
      <c r="G2602" s="9">
        <v>16800</v>
      </c>
      <c r="H2602" s="6" t="s">
        <v>45</v>
      </c>
      <c r="J2602" s="9">
        <f t="shared" si="83"/>
        <v>0</v>
      </c>
    </row>
    <row r="2603" spans="1:10">
      <c r="A2603" t="s">
        <v>642</v>
      </c>
      <c r="B2603" t="s">
        <v>277</v>
      </c>
      <c r="C2603" t="s">
        <v>101</v>
      </c>
      <c r="D2603" t="s">
        <v>643</v>
      </c>
      <c r="E2603" s="9">
        <f t="shared" si="82"/>
        <v>10134.523737708872</v>
      </c>
      <c r="F2603" s="3">
        <v>21</v>
      </c>
      <c r="G2603" s="9">
        <v>16800</v>
      </c>
      <c r="H2603" s="6" t="s">
        <v>45</v>
      </c>
      <c r="J2603" s="9">
        <f t="shared" si="83"/>
        <v>0</v>
      </c>
    </row>
    <row r="2604" spans="1:10">
      <c r="A2604" t="s">
        <v>830</v>
      </c>
      <c r="B2604" t="s">
        <v>277</v>
      </c>
      <c r="C2604" t="s">
        <v>101</v>
      </c>
      <c r="D2604" t="s">
        <v>831</v>
      </c>
      <c r="E2604" s="9">
        <f t="shared" si="82"/>
        <v>18968.450262411774</v>
      </c>
      <c r="F2604" s="3">
        <v>21</v>
      </c>
      <c r="G2604" s="9">
        <v>31444</v>
      </c>
      <c r="H2604" s="4" t="s">
        <v>16</v>
      </c>
      <c r="J2604" s="9">
        <f t="shared" si="83"/>
        <v>0</v>
      </c>
    </row>
    <row r="2605" spans="1:10">
      <c r="A2605" t="s">
        <v>822</v>
      </c>
      <c r="B2605" t="s">
        <v>277</v>
      </c>
      <c r="C2605" t="s">
        <v>101</v>
      </c>
      <c r="D2605" t="s">
        <v>823</v>
      </c>
      <c r="E2605" s="9">
        <f t="shared" si="82"/>
        <v>18968.450262411774</v>
      </c>
      <c r="F2605" s="3">
        <v>21</v>
      </c>
      <c r="G2605" s="9">
        <v>31444</v>
      </c>
      <c r="H2605" s="4" t="s">
        <v>16</v>
      </c>
      <c r="J2605" s="9">
        <f t="shared" si="83"/>
        <v>0</v>
      </c>
    </row>
    <row r="2606" spans="1:10">
      <c r="A2606" t="s">
        <v>832</v>
      </c>
      <c r="B2606" t="s">
        <v>277</v>
      </c>
      <c r="C2606" t="s">
        <v>101</v>
      </c>
      <c r="D2606" t="s">
        <v>833</v>
      </c>
      <c r="E2606" s="9">
        <f t="shared" si="82"/>
        <v>18968.450262411774</v>
      </c>
      <c r="F2606" s="3">
        <v>21</v>
      </c>
      <c r="G2606" s="9">
        <v>31444</v>
      </c>
      <c r="H2606" s="4" t="s">
        <v>16</v>
      </c>
      <c r="J2606" s="9">
        <f t="shared" si="83"/>
        <v>0</v>
      </c>
    </row>
    <row r="2607" spans="1:10">
      <c r="A2607" t="s">
        <v>834</v>
      </c>
      <c r="B2607" t="s">
        <v>277</v>
      </c>
      <c r="C2607" t="s">
        <v>101</v>
      </c>
      <c r="D2607" t="s">
        <v>835</v>
      </c>
      <c r="E2607" s="9">
        <f t="shared" si="82"/>
        <v>18968.450262411774</v>
      </c>
      <c r="F2607" s="3">
        <v>21</v>
      </c>
      <c r="G2607" s="9">
        <v>31444</v>
      </c>
      <c r="H2607" s="4" t="s">
        <v>16</v>
      </c>
      <c r="J2607" s="9">
        <f t="shared" si="83"/>
        <v>0</v>
      </c>
    </row>
    <row r="2608" spans="1:10">
      <c r="A2608" t="s">
        <v>977</v>
      </c>
      <c r="B2608" t="s">
        <v>277</v>
      </c>
      <c r="C2608" t="s">
        <v>101</v>
      </c>
      <c r="D2608" t="s">
        <v>978</v>
      </c>
      <c r="E2608" s="9">
        <f t="shared" si="82"/>
        <v>18968.450262411774</v>
      </c>
      <c r="F2608" s="3">
        <v>21</v>
      </c>
      <c r="G2608" s="9">
        <v>31444</v>
      </c>
      <c r="H2608" s="4" t="s">
        <v>16</v>
      </c>
      <c r="J2608" s="9">
        <f t="shared" si="83"/>
        <v>0</v>
      </c>
    </row>
    <row r="2609" spans="1:10">
      <c r="A2609" t="s">
        <v>820</v>
      </c>
      <c r="B2609" t="s">
        <v>277</v>
      </c>
      <c r="C2609" t="s">
        <v>101</v>
      </c>
      <c r="D2609" t="s">
        <v>821</v>
      </c>
      <c r="E2609" s="9">
        <f t="shared" si="82"/>
        <v>18968.450262411774</v>
      </c>
      <c r="F2609" s="3">
        <v>21</v>
      </c>
      <c r="G2609" s="9">
        <v>31444</v>
      </c>
      <c r="H2609" s="4" t="s">
        <v>16</v>
      </c>
      <c r="J2609" s="9">
        <f t="shared" si="83"/>
        <v>0</v>
      </c>
    </row>
    <row r="2610" spans="1:10">
      <c r="A2610" t="s">
        <v>824</v>
      </c>
      <c r="B2610" t="s">
        <v>277</v>
      </c>
      <c r="C2610" t="s">
        <v>101</v>
      </c>
      <c r="D2610" t="s">
        <v>825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828</v>
      </c>
      <c r="B2611" t="s">
        <v>277</v>
      </c>
      <c r="C2611" t="s">
        <v>101</v>
      </c>
      <c r="D2611" t="s">
        <v>829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826</v>
      </c>
      <c r="B2612" t="s">
        <v>277</v>
      </c>
      <c r="C2612" t="s">
        <v>101</v>
      </c>
      <c r="D2612" t="s">
        <v>827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979</v>
      </c>
      <c r="B2613" t="s">
        <v>277</v>
      </c>
      <c r="C2613" t="s">
        <v>101</v>
      </c>
      <c r="D2613" t="s">
        <v>980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2868</v>
      </c>
      <c r="B2614" t="s">
        <v>277</v>
      </c>
      <c r="C2614" t="s">
        <v>101</v>
      </c>
      <c r="D2614" t="s">
        <v>2869</v>
      </c>
      <c r="E2614" s="9">
        <f t="shared" si="82"/>
        <v>27025.39663389033</v>
      </c>
      <c r="F2614" s="3">
        <v>21</v>
      </c>
      <c r="G2614" s="9">
        <v>44800</v>
      </c>
      <c r="H2614" s="4" t="s">
        <v>16</v>
      </c>
      <c r="J2614" s="9">
        <f t="shared" si="83"/>
        <v>0</v>
      </c>
    </row>
    <row r="2615" spans="1:10">
      <c r="A2615" t="s">
        <v>2870</v>
      </c>
      <c r="B2615" t="s">
        <v>277</v>
      </c>
      <c r="C2615" t="s">
        <v>101</v>
      </c>
      <c r="D2615" t="s">
        <v>2871</v>
      </c>
      <c r="E2615" s="9">
        <f t="shared" si="82"/>
        <v>27025.39663389033</v>
      </c>
      <c r="F2615" s="3">
        <v>21</v>
      </c>
      <c r="G2615" s="9">
        <v>44800</v>
      </c>
      <c r="H2615" s="4" t="s">
        <v>16</v>
      </c>
      <c r="J2615" s="9">
        <f t="shared" si="83"/>
        <v>0</v>
      </c>
    </row>
    <row r="2616" spans="1:10">
      <c r="A2616" t="s">
        <v>808</v>
      </c>
      <c r="B2616" t="s">
        <v>277</v>
      </c>
      <c r="C2616" t="s">
        <v>101</v>
      </c>
      <c r="D2616" t="s">
        <v>809</v>
      </c>
      <c r="E2616" s="9">
        <f t="shared" si="82"/>
        <v>22768.896664052601</v>
      </c>
      <c r="F2616" s="3">
        <v>21</v>
      </c>
      <c r="G2616" s="9">
        <v>37744</v>
      </c>
      <c r="H2616" s="4" t="s">
        <v>16</v>
      </c>
      <c r="J2616" s="9">
        <f t="shared" si="83"/>
        <v>0</v>
      </c>
    </row>
    <row r="2617" spans="1:10">
      <c r="A2617" t="s">
        <v>810</v>
      </c>
      <c r="B2617" t="s">
        <v>277</v>
      </c>
      <c r="C2617" t="s">
        <v>101</v>
      </c>
      <c r="D2617" t="s">
        <v>811</v>
      </c>
      <c r="E2617" s="9">
        <f t="shared" si="82"/>
        <v>22768.896664052601</v>
      </c>
      <c r="F2617" s="3">
        <v>21</v>
      </c>
      <c r="G2617" s="9">
        <v>37744</v>
      </c>
      <c r="H2617" s="4" t="s">
        <v>16</v>
      </c>
      <c r="J2617" s="9">
        <f t="shared" si="83"/>
        <v>0</v>
      </c>
    </row>
    <row r="2618" spans="1:10">
      <c r="A2618" t="s">
        <v>544</v>
      </c>
      <c r="B2618" t="s">
        <v>277</v>
      </c>
      <c r="C2618" t="s">
        <v>101</v>
      </c>
      <c r="D2618" t="s">
        <v>545</v>
      </c>
      <c r="E2618" s="9">
        <f t="shared" si="82"/>
        <v>11333.775713337756</v>
      </c>
      <c r="F2618" s="3">
        <v>21</v>
      </c>
      <c r="G2618" s="9">
        <v>18788</v>
      </c>
      <c r="H2618" s="4" t="s">
        <v>16</v>
      </c>
      <c r="J2618" s="9">
        <f t="shared" si="83"/>
        <v>0</v>
      </c>
    </row>
    <row r="2619" spans="1:10">
      <c r="A2619" t="s">
        <v>2687</v>
      </c>
      <c r="B2619" t="s">
        <v>277</v>
      </c>
      <c r="C2619" t="s">
        <v>101</v>
      </c>
      <c r="D2619" t="s">
        <v>2688</v>
      </c>
      <c r="E2619" s="9">
        <f t="shared" si="82"/>
        <v>15201.78560656331</v>
      </c>
      <c r="F2619" s="3">
        <v>21</v>
      </c>
      <c r="G2619" s="9">
        <v>25200</v>
      </c>
      <c r="H2619" s="4" t="s">
        <v>16</v>
      </c>
      <c r="J2619" s="9">
        <f t="shared" si="83"/>
        <v>0</v>
      </c>
    </row>
    <row r="2620" spans="1:10">
      <c r="A2620" t="s">
        <v>275</v>
      </c>
      <c r="B2620" t="s">
        <v>277</v>
      </c>
      <c r="C2620" t="s">
        <v>101</v>
      </c>
      <c r="D2620" t="s">
        <v>276</v>
      </c>
      <c r="E2620" s="9">
        <f t="shared" si="82"/>
        <v>16890.872896181456</v>
      </c>
      <c r="F2620" s="3">
        <v>21</v>
      </c>
      <c r="G2620" s="9">
        <v>28000</v>
      </c>
      <c r="H2620" s="6" t="s">
        <v>45</v>
      </c>
      <c r="J2620" s="9">
        <f t="shared" si="83"/>
        <v>0</v>
      </c>
    </row>
    <row r="2621" spans="1:10">
      <c r="A2621" t="s">
        <v>278</v>
      </c>
      <c r="B2621" t="s">
        <v>277</v>
      </c>
      <c r="C2621" t="s">
        <v>101</v>
      </c>
      <c r="D2621" t="s">
        <v>279</v>
      </c>
      <c r="E2621" s="9">
        <f t="shared" si="82"/>
        <v>16890.872896181456</v>
      </c>
      <c r="F2621" s="3">
        <v>21</v>
      </c>
      <c r="G2621" s="9">
        <v>28000</v>
      </c>
      <c r="H2621" s="6" t="s">
        <v>45</v>
      </c>
      <c r="J2621" s="9">
        <f t="shared" si="83"/>
        <v>0</v>
      </c>
    </row>
    <row r="2622" spans="1:10">
      <c r="A2622" t="s">
        <v>280</v>
      </c>
      <c r="B2622" t="s">
        <v>277</v>
      </c>
      <c r="C2622" t="s">
        <v>101</v>
      </c>
      <c r="D2622" t="s">
        <v>281</v>
      </c>
      <c r="E2622" s="9">
        <f t="shared" si="82"/>
        <v>16890.872896181456</v>
      </c>
      <c r="F2622" s="3">
        <v>21</v>
      </c>
      <c r="G2622" s="9">
        <v>28000</v>
      </c>
      <c r="H2622" s="6" t="s">
        <v>45</v>
      </c>
      <c r="J2622" s="9">
        <f t="shared" si="83"/>
        <v>0</v>
      </c>
    </row>
    <row r="2623" spans="1:10">
      <c r="A2623" t="s">
        <v>282</v>
      </c>
      <c r="B2623" t="s">
        <v>277</v>
      </c>
      <c r="C2623" t="s">
        <v>101</v>
      </c>
      <c r="D2623" t="s">
        <v>283</v>
      </c>
      <c r="E2623" s="9">
        <f t="shared" si="82"/>
        <v>16890.872896181456</v>
      </c>
      <c r="F2623" s="3">
        <v>21</v>
      </c>
      <c r="G2623" s="9">
        <v>28000</v>
      </c>
      <c r="H2623" s="6" t="s">
        <v>45</v>
      </c>
      <c r="J2623" s="9">
        <f t="shared" si="83"/>
        <v>0</v>
      </c>
    </row>
    <row r="2624" spans="1:10">
      <c r="A2624" t="s">
        <v>284</v>
      </c>
      <c r="B2624" t="s">
        <v>277</v>
      </c>
      <c r="C2624" t="s">
        <v>101</v>
      </c>
      <c r="D2624" t="s">
        <v>285</v>
      </c>
      <c r="E2624" s="9">
        <f t="shared" si="82"/>
        <v>16890.872896181456</v>
      </c>
      <c r="F2624" s="3">
        <v>21</v>
      </c>
      <c r="G2624" s="9">
        <v>28000</v>
      </c>
      <c r="H2624" s="6" t="s">
        <v>45</v>
      </c>
      <c r="J2624" s="9">
        <f t="shared" si="83"/>
        <v>0</v>
      </c>
    </row>
    <row r="2625" spans="1:10">
      <c r="A2625" t="s">
        <v>1510</v>
      </c>
      <c r="B2625" t="s">
        <v>277</v>
      </c>
      <c r="C2625" t="s">
        <v>101</v>
      </c>
      <c r="D2625" t="s">
        <v>1511</v>
      </c>
      <c r="E2625" s="9">
        <f t="shared" si="82"/>
        <v>16890.872896181456</v>
      </c>
      <c r="F2625" s="3">
        <v>21</v>
      </c>
      <c r="G2625" s="9">
        <v>28000</v>
      </c>
      <c r="H2625" s="6" t="s">
        <v>45</v>
      </c>
      <c r="J2625" s="9">
        <f t="shared" si="83"/>
        <v>0</v>
      </c>
    </row>
    <row r="2626" spans="1:10">
      <c r="A2626" t="s">
        <v>1506</v>
      </c>
      <c r="B2626" t="s">
        <v>277</v>
      </c>
      <c r="C2626" t="s">
        <v>101</v>
      </c>
      <c r="D2626" t="s">
        <v>1507</v>
      </c>
      <c r="E2626" s="9">
        <f t="shared" si="82"/>
        <v>11418.230077818664</v>
      </c>
      <c r="F2626" s="3">
        <v>21</v>
      </c>
      <c r="G2626" s="9">
        <v>18928</v>
      </c>
      <c r="H2626" s="4" t="s">
        <v>16</v>
      </c>
      <c r="J2626" s="9">
        <f t="shared" si="83"/>
        <v>0</v>
      </c>
    </row>
    <row r="2627" spans="1:10">
      <c r="A2627" t="s">
        <v>552</v>
      </c>
      <c r="B2627" t="s">
        <v>277</v>
      </c>
      <c r="C2627" t="s">
        <v>101</v>
      </c>
      <c r="D2627" t="s">
        <v>553</v>
      </c>
      <c r="E2627" s="9">
        <f t="shared" si="82"/>
        <v>12262.773722627737</v>
      </c>
      <c r="F2627" s="3">
        <v>21</v>
      </c>
      <c r="G2627" s="9">
        <v>20328</v>
      </c>
      <c r="H2627" s="4" t="s">
        <v>16</v>
      </c>
      <c r="J2627" s="9">
        <f t="shared" si="83"/>
        <v>0</v>
      </c>
    </row>
    <row r="2628" spans="1:10" hidden="1">
      <c r="A2628" t="s">
        <v>4192</v>
      </c>
      <c r="B2628" t="s">
        <v>277</v>
      </c>
      <c r="C2628" t="s">
        <v>101</v>
      </c>
      <c r="E2628" s="9">
        <f t="shared" si="82"/>
        <v>8.445436448090728</v>
      </c>
      <c r="F2628" s="3">
        <v>21</v>
      </c>
      <c r="G2628" s="9">
        <v>14</v>
      </c>
      <c r="H2628" s="4" t="s">
        <v>16</v>
      </c>
      <c r="J2628" s="9">
        <f t="shared" si="83"/>
        <v>0</v>
      </c>
    </row>
    <row r="2629" spans="1:10">
      <c r="A2629" t="s">
        <v>2405</v>
      </c>
      <c r="B2629" t="s">
        <v>277</v>
      </c>
      <c r="C2629" t="s">
        <v>101</v>
      </c>
      <c r="D2629" t="s">
        <v>2406</v>
      </c>
      <c r="E2629" s="9">
        <f t="shared" si="82"/>
        <v>18579.960185799602</v>
      </c>
      <c r="F2629" s="3">
        <v>21</v>
      </c>
      <c r="G2629" s="9">
        <v>30800</v>
      </c>
      <c r="H2629" s="4" t="s">
        <v>16</v>
      </c>
      <c r="J2629" s="9">
        <f t="shared" si="83"/>
        <v>0</v>
      </c>
    </row>
    <row r="2630" spans="1:10">
      <c r="A2630" t="s">
        <v>2403</v>
      </c>
      <c r="B2630" t="s">
        <v>277</v>
      </c>
      <c r="C2630" t="s">
        <v>101</v>
      </c>
      <c r="D2630" t="s">
        <v>2404</v>
      </c>
      <c r="E2630" s="9">
        <f t="shared" si="82"/>
        <v>18579.960185799602</v>
      </c>
      <c r="F2630" s="3">
        <v>21</v>
      </c>
      <c r="G2630" s="9">
        <v>30800</v>
      </c>
      <c r="H2630" s="4" t="s">
        <v>16</v>
      </c>
      <c r="J2630" s="9">
        <f t="shared" si="83"/>
        <v>0</v>
      </c>
    </row>
    <row r="2631" spans="1:10">
      <c r="A2631" t="s">
        <v>2407</v>
      </c>
      <c r="B2631" t="s">
        <v>277</v>
      </c>
      <c r="C2631" t="s">
        <v>101</v>
      </c>
      <c r="D2631" t="s">
        <v>2408</v>
      </c>
      <c r="E2631" s="9">
        <f t="shared" si="82"/>
        <v>14357.241961754238</v>
      </c>
      <c r="F2631" s="3">
        <v>21</v>
      </c>
      <c r="G2631" s="9">
        <v>23800</v>
      </c>
      <c r="H2631" s="4" t="s">
        <v>16</v>
      </c>
      <c r="J2631" s="9">
        <f t="shared" si="83"/>
        <v>0</v>
      </c>
    </row>
    <row r="2632" spans="1:10">
      <c r="A2632" t="s">
        <v>2409</v>
      </c>
      <c r="B2632" t="s">
        <v>277</v>
      </c>
      <c r="C2632" t="s">
        <v>101</v>
      </c>
      <c r="D2632" t="s">
        <v>2410</v>
      </c>
      <c r="E2632" s="9">
        <f t="shared" si="82"/>
        <v>14357.241961754238</v>
      </c>
      <c r="F2632" s="3">
        <v>21</v>
      </c>
      <c r="G2632" s="9">
        <v>23800</v>
      </c>
      <c r="H2632" s="4" t="s">
        <v>16</v>
      </c>
      <c r="J2632" s="9">
        <f t="shared" si="83"/>
        <v>0</v>
      </c>
    </row>
    <row r="2633" spans="1:10">
      <c r="A2633" t="s">
        <v>546</v>
      </c>
      <c r="B2633" t="s">
        <v>277</v>
      </c>
      <c r="C2633" t="s">
        <v>101</v>
      </c>
      <c r="D2633" t="s">
        <v>547</v>
      </c>
      <c r="E2633" s="9">
        <f t="shared" ref="E2633:E2658" si="84">SUM(G2633/(1+(F2633/100)) /(1+(37/100)))</f>
        <v>11333.775713337756</v>
      </c>
      <c r="F2633" s="3">
        <v>21</v>
      </c>
      <c r="G2633" s="9">
        <v>18788</v>
      </c>
      <c r="H2633" s="4" t="s">
        <v>16</v>
      </c>
      <c r="J2633" s="9">
        <f t="shared" ref="J2633:J2658" si="85">SUM(E2633* I2633)</f>
        <v>0</v>
      </c>
    </row>
    <row r="2634" spans="1:10">
      <c r="A2634" t="s">
        <v>554</v>
      </c>
      <c r="B2634" t="s">
        <v>277</v>
      </c>
      <c r="C2634" t="s">
        <v>101</v>
      </c>
      <c r="D2634" t="s">
        <v>555</v>
      </c>
      <c r="E2634" s="9">
        <f t="shared" si="84"/>
        <v>12262.773722627737</v>
      </c>
      <c r="F2634" s="3">
        <v>21</v>
      </c>
      <c r="G2634" s="9">
        <v>20328</v>
      </c>
      <c r="H2634" s="4" t="s">
        <v>16</v>
      </c>
      <c r="J2634" s="9">
        <f t="shared" si="85"/>
        <v>0</v>
      </c>
    </row>
    <row r="2635" spans="1:10" hidden="1">
      <c r="A2635" t="s">
        <v>4193</v>
      </c>
      <c r="B2635" t="s">
        <v>277</v>
      </c>
      <c r="C2635" t="s">
        <v>101</v>
      </c>
      <c r="E2635" s="9">
        <f t="shared" si="84"/>
        <v>8.445436448090728</v>
      </c>
      <c r="F2635" s="3">
        <v>21</v>
      </c>
      <c r="G2635" s="9">
        <v>14</v>
      </c>
      <c r="H2635" s="4" t="s">
        <v>16</v>
      </c>
      <c r="J2635" s="9">
        <f t="shared" si="85"/>
        <v>0</v>
      </c>
    </row>
    <row r="2636" spans="1:10">
      <c r="A2636" t="s">
        <v>294</v>
      </c>
      <c r="B2636" t="s">
        <v>277</v>
      </c>
      <c r="C2636" t="s">
        <v>101</v>
      </c>
      <c r="D2636" t="s">
        <v>295</v>
      </c>
      <c r="E2636" s="9">
        <f t="shared" si="84"/>
        <v>11342.221149785846</v>
      </c>
      <c r="F2636" s="3">
        <v>21</v>
      </c>
      <c r="G2636" s="9">
        <v>18802</v>
      </c>
      <c r="H2636" s="4" t="s">
        <v>16</v>
      </c>
      <c r="J2636" s="9">
        <f t="shared" si="85"/>
        <v>0</v>
      </c>
    </row>
    <row r="2637" spans="1:10">
      <c r="A2637" t="s">
        <v>296</v>
      </c>
      <c r="B2637" t="s">
        <v>277</v>
      </c>
      <c r="C2637" t="s">
        <v>101</v>
      </c>
      <c r="D2637" t="s">
        <v>297</v>
      </c>
      <c r="E2637" s="9">
        <f t="shared" si="84"/>
        <v>11342.221149785846</v>
      </c>
      <c r="F2637" s="3">
        <v>21</v>
      </c>
      <c r="G2637" s="9">
        <v>18802</v>
      </c>
      <c r="H2637" s="4" t="s">
        <v>16</v>
      </c>
      <c r="J2637" s="9">
        <f t="shared" si="85"/>
        <v>0</v>
      </c>
    </row>
    <row r="2638" spans="1:10">
      <c r="A2638" t="s">
        <v>298</v>
      </c>
      <c r="B2638" t="s">
        <v>277</v>
      </c>
      <c r="C2638" t="s">
        <v>101</v>
      </c>
      <c r="D2638" t="s">
        <v>299</v>
      </c>
      <c r="E2638" s="9">
        <f t="shared" si="84"/>
        <v>11342.221149785846</v>
      </c>
      <c r="F2638" s="3">
        <v>21</v>
      </c>
      <c r="G2638" s="9">
        <v>18802</v>
      </c>
      <c r="H2638" s="4" t="s">
        <v>16</v>
      </c>
      <c r="J2638" s="9">
        <f t="shared" si="85"/>
        <v>0</v>
      </c>
    </row>
    <row r="2639" spans="1:10">
      <c r="A2639" t="s">
        <v>548</v>
      </c>
      <c r="B2639" t="s">
        <v>277</v>
      </c>
      <c r="C2639" t="s">
        <v>101</v>
      </c>
      <c r="D2639" t="s">
        <v>549</v>
      </c>
      <c r="E2639" s="9">
        <f t="shared" si="84"/>
        <v>12262.773722627737</v>
      </c>
      <c r="F2639" s="3">
        <v>21</v>
      </c>
      <c r="G2639" s="9">
        <v>20328</v>
      </c>
      <c r="H2639" s="4" t="s">
        <v>16</v>
      </c>
      <c r="J2639" s="9">
        <f t="shared" si="85"/>
        <v>0</v>
      </c>
    </row>
    <row r="2640" spans="1:10">
      <c r="A2640" t="s">
        <v>550</v>
      </c>
      <c r="B2640" t="s">
        <v>277</v>
      </c>
      <c r="C2640" t="s">
        <v>101</v>
      </c>
      <c r="D2640" t="s">
        <v>551</v>
      </c>
      <c r="E2640" s="9">
        <f t="shared" si="84"/>
        <v>11333.775713337756</v>
      </c>
      <c r="F2640" s="3">
        <v>21</v>
      </c>
      <c r="G2640" s="9">
        <v>18788</v>
      </c>
      <c r="H2640" s="4" t="s">
        <v>16</v>
      </c>
      <c r="J2640" s="9">
        <f t="shared" si="85"/>
        <v>0</v>
      </c>
    </row>
    <row r="2641" spans="1:10">
      <c r="A2641" t="s">
        <v>300</v>
      </c>
      <c r="B2641" t="s">
        <v>277</v>
      </c>
      <c r="C2641" t="s">
        <v>101</v>
      </c>
      <c r="D2641" t="s">
        <v>301</v>
      </c>
      <c r="E2641" s="9">
        <f t="shared" si="84"/>
        <v>11342.221149785846</v>
      </c>
      <c r="F2641" s="3">
        <v>21</v>
      </c>
      <c r="G2641" s="9">
        <v>18802</v>
      </c>
      <c r="H2641" s="4" t="s">
        <v>16</v>
      </c>
      <c r="J2641" s="9">
        <f t="shared" si="85"/>
        <v>0</v>
      </c>
    </row>
    <row r="2642" spans="1:10">
      <c r="A2642" t="s">
        <v>2689</v>
      </c>
      <c r="B2642" t="s">
        <v>277</v>
      </c>
      <c r="C2642" t="s">
        <v>101</v>
      </c>
      <c r="D2642" t="s">
        <v>2690</v>
      </c>
      <c r="E2642" s="9">
        <f t="shared" si="84"/>
        <v>10134.523737708872</v>
      </c>
      <c r="F2642" s="3">
        <v>21</v>
      </c>
      <c r="G2642" s="9">
        <v>16800</v>
      </c>
      <c r="H2642" s="4" t="s">
        <v>16</v>
      </c>
      <c r="J2642" s="9">
        <f t="shared" si="85"/>
        <v>0</v>
      </c>
    </row>
    <row r="2643" spans="1:10">
      <c r="A2643" t="s">
        <v>2691</v>
      </c>
      <c r="B2643" t="s">
        <v>277</v>
      </c>
      <c r="C2643" t="s">
        <v>101</v>
      </c>
      <c r="D2643" t="s">
        <v>2692</v>
      </c>
      <c r="E2643" s="9">
        <f t="shared" si="84"/>
        <v>10134.523737708872</v>
      </c>
      <c r="F2643" s="3">
        <v>21</v>
      </c>
      <c r="G2643" s="9">
        <v>16800</v>
      </c>
      <c r="H2643" s="4" t="s">
        <v>16</v>
      </c>
      <c r="J2643" s="9">
        <f t="shared" si="85"/>
        <v>0</v>
      </c>
    </row>
    <row r="2644" spans="1:10">
      <c r="A2644" t="s">
        <v>286</v>
      </c>
      <c r="B2644" t="s">
        <v>277</v>
      </c>
      <c r="C2644" t="s">
        <v>101</v>
      </c>
      <c r="D2644" t="s">
        <v>287</v>
      </c>
      <c r="E2644" s="9">
        <f t="shared" si="84"/>
        <v>28461.12083006576</v>
      </c>
      <c r="F2644" s="3">
        <v>21</v>
      </c>
      <c r="G2644" s="9">
        <v>47180.000000000007</v>
      </c>
      <c r="H2644" s="4" t="s">
        <v>16</v>
      </c>
      <c r="J2644" s="9">
        <f t="shared" si="85"/>
        <v>0</v>
      </c>
    </row>
    <row r="2645" spans="1:10">
      <c r="A2645" t="s">
        <v>288</v>
      </c>
      <c r="B2645" t="s">
        <v>277</v>
      </c>
      <c r="C2645" t="s">
        <v>101</v>
      </c>
      <c r="D2645" t="s">
        <v>289</v>
      </c>
      <c r="E2645" s="9">
        <f t="shared" si="84"/>
        <v>11342.221149785846</v>
      </c>
      <c r="F2645" s="3">
        <v>21</v>
      </c>
      <c r="G2645" s="9">
        <v>18802</v>
      </c>
      <c r="H2645" s="4" t="s">
        <v>16</v>
      </c>
      <c r="J2645" s="9">
        <f t="shared" si="85"/>
        <v>0</v>
      </c>
    </row>
    <row r="2646" spans="1:10">
      <c r="A2646" t="s">
        <v>290</v>
      </c>
      <c r="B2646" t="s">
        <v>277</v>
      </c>
      <c r="C2646" t="s">
        <v>101</v>
      </c>
      <c r="D2646" t="s">
        <v>291</v>
      </c>
      <c r="E2646" s="9">
        <f t="shared" si="84"/>
        <v>11342.221149785846</v>
      </c>
      <c r="F2646" s="3">
        <v>21</v>
      </c>
      <c r="G2646" s="9">
        <v>18802</v>
      </c>
      <c r="H2646" s="4" t="s">
        <v>16</v>
      </c>
      <c r="J2646" s="9">
        <f t="shared" si="85"/>
        <v>0</v>
      </c>
    </row>
    <row r="2647" spans="1:10">
      <c r="A2647" t="s">
        <v>292</v>
      </c>
      <c r="B2647" t="s">
        <v>277</v>
      </c>
      <c r="C2647" t="s">
        <v>101</v>
      </c>
      <c r="D2647" t="s">
        <v>293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 hidden="1">
      <c r="A2648" t="s">
        <v>1810</v>
      </c>
      <c r="B2648" t="s">
        <v>277</v>
      </c>
      <c r="C2648" t="s">
        <v>101</v>
      </c>
      <c r="D2648" t="s">
        <v>1811</v>
      </c>
      <c r="E2648" s="9">
        <f t="shared" si="84"/>
        <v>8.445436448090728</v>
      </c>
      <c r="F2648" s="3">
        <v>21</v>
      </c>
      <c r="G2648" s="9">
        <v>14</v>
      </c>
      <c r="H2648" s="4" t="s">
        <v>16</v>
      </c>
      <c r="J2648" s="9">
        <f t="shared" si="85"/>
        <v>0</v>
      </c>
    </row>
    <row r="2649" spans="1:10">
      <c r="A2649" t="s">
        <v>802</v>
      </c>
      <c r="B2649" t="s">
        <v>277</v>
      </c>
      <c r="C2649" t="s">
        <v>101</v>
      </c>
      <c r="D2649" t="s">
        <v>803</v>
      </c>
      <c r="E2649" s="9">
        <f t="shared" si="84"/>
        <v>15176.449297219038</v>
      </c>
      <c r="F2649" s="3">
        <v>21</v>
      </c>
      <c r="G2649" s="9">
        <v>25158</v>
      </c>
      <c r="H2649" s="4" t="s">
        <v>16</v>
      </c>
      <c r="J2649" s="9">
        <f t="shared" si="85"/>
        <v>0</v>
      </c>
    </row>
    <row r="2650" spans="1:10">
      <c r="A2650" t="s">
        <v>1508</v>
      </c>
      <c r="B2650" t="s">
        <v>277</v>
      </c>
      <c r="C2650" t="s">
        <v>101</v>
      </c>
      <c r="D2650" t="s">
        <v>1509</v>
      </c>
      <c r="E2650" s="9">
        <f t="shared" si="84"/>
        <v>11418.230077818664</v>
      </c>
      <c r="F2650" s="3">
        <v>21</v>
      </c>
      <c r="G2650" s="9">
        <v>18928</v>
      </c>
      <c r="H2650" s="4" t="s">
        <v>16</v>
      </c>
      <c r="J2650" s="9">
        <f t="shared" si="85"/>
        <v>0</v>
      </c>
    </row>
    <row r="2651" spans="1:10" hidden="1">
      <c r="A2651" t="s">
        <v>4194</v>
      </c>
      <c r="B2651" t="s">
        <v>277</v>
      </c>
      <c r="C2651" t="s">
        <v>101</v>
      </c>
      <c r="E2651" s="9">
        <f t="shared" si="84"/>
        <v>8.445436448090728</v>
      </c>
      <c r="F2651" s="3">
        <v>21</v>
      </c>
      <c r="G2651" s="9">
        <v>14</v>
      </c>
      <c r="H2651" s="4" t="s">
        <v>16</v>
      </c>
      <c r="J2651" s="9">
        <f t="shared" si="85"/>
        <v>0</v>
      </c>
    </row>
    <row r="2652" spans="1:10">
      <c r="A2652" t="s">
        <v>812</v>
      </c>
      <c r="B2652" t="s">
        <v>277</v>
      </c>
      <c r="C2652" t="s">
        <v>101</v>
      </c>
      <c r="D2652" t="s">
        <v>813</v>
      </c>
      <c r="E2652" s="9">
        <f t="shared" si="84"/>
        <v>18968.450262411774</v>
      </c>
      <c r="F2652" s="3">
        <v>21</v>
      </c>
      <c r="G2652" s="9">
        <v>31444</v>
      </c>
      <c r="H2652" s="4" t="s">
        <v>16</v>
      </c>
      <c r="J2652" s="9">
        <f t="shared" si="85"/>
        <v>0</v>
      </c>
    </row>
    <row r="2653" spans="1:10">
      <c r="A2653" t="s">
        <v>818</v>
      </c>
      <c r="B2653" t="s">
        <v>277</v>
      </c>
      <c r="C2653" t="s">
        <v>101</v>
      </c>
      <c r="D2653" t="s">
        <v>819</v>
      </c>
      <c r="E2653" s="9">
        <f t="shared" si="84"/>
        <v>23714.785546238763</v>
      </c>
      <c r="F2653" s="3">
        <v>21</v>
      </c>
      <c r="G2653" s="9">
        <v>39312</v>
      </c>
      <c r="H2653" s="4" t="s">
        <v>16</v>
      </c>
      <c r="J2653" s="9">
        <f t="shared" si="85"/>
        <v>0</v>
      </c>
    </row>
    <row r="2654" spans="1:10">
      <c r="A2654" t="s">
        <v>816</v>
      </c>
      <c r="B2654" t="s">
        <v>277</v>
      </c>
      <c r="C2654" t="s">
        <v>101</v>
      </c>
      <c r="D2654" t="s">
        <v>817</v>
      </c>
      <c r="E2654" s="9">
        <f t="shared" si="84"/>
        <v>28461.12083006576</v>
      </c>
      <c r="F2654" s="3">
        <v>21</v>
      </c>
      <c r="G2654" s="9">
        <v>47180.000000000007</v>
      </c>
      <c r="H2654" s="4" t="s">
        <v>16</v>
      </c>
      <c r="J2654" s="9">
        <f t="shared" si="85"/>
        <v>0</v>
      </c>
    </row>
    <row r="2655" spans="1:10">
      <c r="A2655" t="s">
        <v>836</v>
      </c>
      <c r="B2655" t="s">
        <v>277</v>
      </c>
      <c r="C2655" t="s">
        <v>101</v>
      </c>
      <c r="D2655" t="s">
        <v>837</v>
      </c>
      <c r="E2655" s="9">
        <f t="shared" si="84"/>
        <v>23714.785546238763</v>
      </c>
      <c r="F2655" s="3">
        <v>21</v>
      </c>
      <c r="G2655" s="9">
        <v>39312</v>
      </c>
      <c r="H2655" s="4" t="s">
        <v>16</v>
      </c>
      <c r="J2655" s="9">
        <f t="shared" si="85"/>
        <v>0</v>
      </c>
    </row>
    <row r="2656" spans="1:10">
      <c r="A2656" t="s">
        <v>806</v>
      </c>
      <c r="B2656" t="s">
        <v>277</v>
      </c>
      <c r="C2656" t="s">
        <v>101</v>
      </c>
      <c r="D2656" t="s">
        <v>807</v>
      </c>
      <c r="E2656" s="9">
        <f t="shared" si="84"/>
        <v>15176.449297219038</v>
      </c>
      <c r="F2656" s="3">
        <v>21</v>
      </c>
      <c r="G2656" s="9">
        <v>25158</v>
      </c>
      <c r="H2656" s="4" t="s">
        <v>16</v>
      </c>
      <c r="J2656" s="9">
        <f t="shared" si="85"/>
        <v>0</v>
      </c>
    </row>
    <row r="2657" spans="1:10">
      <c r="A2657" t="s">
        <v>804</v>
      </c>
      <c r="B2657" t="s">
        <v>277</v>
      </c>
      <c r="C2657" t="s">
        <v>101</v>
      </c>
      <c r="D2657" t="s">
        <v>805</v>
      </c>
      <c r="E2657" s="9">
        <f t="shared" si="84"/>
        <v>15176.449297219038</v>
      </c>
      <c r="F2657" s="3">
        <v>21</v>
      </c>
      <c r="G2657" s="9">
        <v>25158</v>
      </c>
      <c r="H2657" s="4" t="s">
        <v>16</v>
      </c>
      <c r="J2657" s="9">
        <f t="shared" si="85"/>
        <v>0</v>
      </c>
    </row>
    <row r="2658" spans="1:10">
      <c r="A2658" t="s">
        <v>814</v>
      </c>
      <c r="B2658" t="s">
        <v>277</v>
      </c>
      <c r="C2658" t="s">
        <v>101</v>
      </c>
      <c r="D2658" t="s">
        <v>815</v>
      </c>
      <c r="E2658" s="9">
        <f t="shared" si="84"/>
        <v>36045.122760451224</v>
      </c>
      <c r="F2658" s="3">
        <v>21</v>
      </c>
      <c r="G2658" s="9">
        <v>59752</v>
      </c>
      <c r="H2658" s="4" t="s">
        <v>16</v>
      </c>
      <c r="J2658" s="9">
        <f t="shared" si="85"/>
        <v>0</v>
      </c>
    </row>
    <row r="2659" spans="1:10" hidden="1">
      <c r="A2659" t="s">
        <v>1455</v>
      </c>
      <c r="B2659" t="s">
        <v>277</v>
      </c>
      <c r="C2659" t="s">
        <v>101</v>
      </c>
      <c r="D2659" t="s">
        <v>815</v>
      </c>
      <c r="E2659" s="9">
        <f t="shared" ref="E2659" si="86">SUM(G2659/(1+(F2659/100)) /(1+(37/100)))</f>
        <v>8.445436448090728</v>
      </c>
      <c r="F2659" s="3">
        <v>21</v>
      </c>
      <c r="G2659" s="9">
        <v>14</v>
      </c>
      <c r="H2659" s="4" t="s">
        <v>16</v>
      </c>
      <c r="J2659" s="9">
        <f t="shared" ref="J2659" si="87">SUM(E2659* I2659)</f>
        <v>0</v>
      </c>
    </row>
  </sheetData>
  <autoFilter ref="A7:J2659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16.0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2025-10-29T18:15:24Z</dcterms:modified>
</cp:coreProperties>
</file>